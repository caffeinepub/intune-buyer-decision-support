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a\OneDrive\Desktop\NIFT\SEM 8\"/>
    </mc:Choice>
  </mc:AlternateContent>
  <xr:revisionPtr revIDLastSave="0" documentId="13_ncr:1_{6A249188-94EB-42D0-8342-9D4E030E1702}" xr6:coauthVersionLast="47" xr6:coauthVersionMax="47" xr10:uidLastSave="{00000000-0000-0000-0000-000000000000}"/>
  <bookViews>
    <workbookView xWindow="-110" yWindow="-110" windowWidth="19420" windowHeight="10300" xr2:uid="{3169586C-EADD-41F3-9B63-49433D32FD54}"/>
  </bookViews>
  <sheets>
    <sheet name="M3" sheetId="13" r:id="rId1"/>
    <sheet name="Sheet1" sheetId="14" r:id="rId2"/>
    <sheet name="M2" sheetId="12" r:id="rId3"/>
    <sheet name="M1 " sheetId="11" r:id="rId4"/>
  </sheets>
  <definedNames>
    <definedName name="_xlnm._FilterDatabase" localSheetId="3" hidden="1">'M1 '!$A$1:$Y$1</definedName>
    <definedName name="_xlnm._FilterDatabase" localSheetId="2" hidden="1">'M2'!$A$1:$Z$1</definedName>
    <definedName name="_xlnm._FilterDatabase" localSheetId="0" hidden="1">'M3'!$A$1:$Z$1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4" l="1"/>
  <c r="AB300" i="14"/>
  <c r="AC300" i="14" s="1"/>
  <c r="AG300" i="14" s="1"/>
  <c r="V300" i="14"/>
  <c r="S300" i="14"/>
  <c r="R300" i="14"/>
  <c r="P300" i="14"/>
  <c r="O300" i="14"/>
  <c r="J300" i="14"/>
  <c r="G300" i="14"/>
  <c r="AD300" i="14" s="1"/>
  <c r="AB299" i="14"/>
  <c r="AC299" i="14" s="1"/>
  <c r="AG299" i="14" s="1"/>
  <c r="V299" i="14"/>
  <c r="S299" i="14"/>
  <c r="R299" i="14"/>
  <c r="O299" i="14"/>
  <c r="P299" i="14" s="1"/>
  <c r="J299" i="14"/>
  <c r="G299" i="14"/>
  <c r="AG298" i="14"/>
  <c r="AC298" i="14"/>
  <c r="AB298" i="14"/>
  <c r="V298" i="14"/>
  <c r="S298" i="14"/>
  <c r="R298" i="14"/>
  <c r="O298" i="14"/>
  <c r="P298" i="14" s="1"/>
  <c r="J298" i="14"/>
  <c r="G298" i="14"/>
  <c r="AD298" i="14" s="1"/>
  <c r="AG297" i="14"/>
  <c r="AC297" i="14"/>
  <c r="AB297" i="14"/>
  <c r="S297" i="14"/>
  <c r="R297" i="14"/>
  <c r="V297" i="14" s="1"/>
  <c r="P297" i="14"/>
  <c r="O297" i="14"/>
  <c r="J297" i="14"/>
  <c r="G297" i="14"/>
  <c r="M297" i="14" s="1"/>
  <c r="W297" i="14" s="1"/>
  <c r="AC296" i="14"/>
  <c r="AG296" i="14" s="1"/>
  <c r="AB296" i="14"/>
  <c r="S296" i="14"/>
  <c r="R296" i="14"/>
  <c r="V296" i="14" s="1"/>
  <c r="O296" i="14"/>
  <c r="J296" i="14"/>
  <c r="G296" i="14"/>
  <c r="AB295" i="14"/>
  <c r="AC295" i="14" s="1"/>
  <c r="AG295" i="14" s="1"/>
  <c r="V295" i="14"/>
  <c r="S295" i="14"/>
  <c r="R295" i="14"/>
  <c r="O295" i="14"/>
  <c r="J295" i="14"/>
  <c r="G295" i="14"/>
  <c r="M295" i="14" s="1"/>
  <c r="W295" i="14" s="1"/>
  <c r="AB294" i="14"/>
  <c r="AC294" i="14" s="1"/>
  <c r="AG294" i="14" s="1"/>
  <c r="S294" i="14"/>
  <c r="R294" i="14"/>
  <c r="V294" i="14" s="1"/>
  <c r="O294" i="14"/>
  <c r="J294" i="14"/>
  <c r="G294" i="14"/>
  <c r="AD294" i="14" s="1"/>
  <c r="AC293" i="14"/>
  <c r="AG293" i="14" s="1"/>
  <c r="AB293" i="14"/>
  <c r="V293" i="14"/>
  <c r="S293" i="14"/>
  <c r="R293" i="14"/>
  <c r="O293" i="14"/>
  <c r="J293" i="14"/>
  <c r="G293" i="14"/>
  <c r="M293" i="14" s="1"/>
  <c r="W293" i="14" s="1"/>
  <c r="AB292" i="14"/>
  <c r="AC292" i="14" s="1"/>
  <c r="AG292" i="14" s="1"/>
  <c r="S292" i="14"/>
  <c r="R292" i="14"/>
  <c r="V292" i="14" s="1"/>
  <c r="P292" i="14"/>
  <c r="O292" i="14"/>
  <c r="J292" i="14"/>
  <c r="G292" i="14"/>
  <c r="M292" i="14" s="1"/>
  <c r="W292" i="14" s="1"/>
  <c r="AB291" i="14"/>
  <c r="AC291" i="14" s="1"/>
  <c r="AG291" i="14" s="1"/>
  <c r="V291" i="14"/>
  <c r="S291" i="14"/>
  <c r="R291" i="14"/>
  <c r="O291" i="14"/>
  <c r="J291" i="14"/>
  <c r="G291" i="14"/>
  <c r="AG290" i="14"/>
  <c r="AB290" i="14"/>
  <c r="AC290" i="14" s="1"/>
  <c r="S290" i="14"/>
  <c r="R290" i="14"/>
  <c r="V290" i="14" s="1"/>
  <c r="O290" i="14"/>
  <c r="J290" i="14"/>
  <c r="G290" i="14"/>
  <c r="AD290" i="14" s="1"/>
  <c r="AB289" i="14"/>
  <c r="AC289" i="14" s="1"/>
  <c r="AG289" i="14" s="1"/>
  <c r="S289" i="14"/>
  <c r="R289" i="14"/>
  <c r="V289" i="14" s="1"/>
  <c r="P289" i="14"/>
  <c r="O289" i="14"/>
  <c r="N289" i="14"/>
  <c r="J289" i="14"/>
  <c r="G289" i="14"/>
  <c r="AC288" i="14"/>
  <c r="AG288" i="14" s="1"/>
  <c r="AB288" i="14"/>
  <c r="S288" i="14"/>
  <c r="R288" i="14"/>
  <c r="V288" i="14" s="1"/>
  <c r="O288" i="14"/>
  <c r="J288" i="14"/>
  <c r="G288" i="14"/>
  <c r="AD288" i="14" s="1"/>
  <c r="AB287" i="14"/>
  <c r="AC287" i="14" s="1"/>
  <c r="AG287" i="14" s="1"/>
  <c r="V287" i="14"/>
  <c r="S287" i="14"/>
  <c r="R287" i="14"/>
  <c r="P287" i="14"/>
  <c r="O287" i="14"/>
  <c r="J287" i="14"/>
  <c r="G287" i="14"/>
  <c r="AD287" i="14" s="1"/>
  <c r="AB286" i="14"/>
  <c r="AC286" i="14" s="1"/>
  <c r="AG286" i="14" s="1"/>
  <c r="V286" i="14"/>
  <c r="S286" i="14"/>
  <c r="R286" i="14"/>
  <c r="P286" i="14"/>
  <c r="O286" i="14"/>
  <c r="J286" i="14"/>
  <c r="G286" i="14"/>
  <c r="M286" i="14" s="1"/>
  <c r="W286" i="14" s="1"/>
  <c r="AG285" i="14"/>
  <c r="AB285" i="14"/>
  <c r="AC285" i="14" s="1"/>
  <c r="S285" i="14"/>
  <c r="R285" i="14"/>
  <c r="V285" i="14" s="1"/>
  <c r="Q285" i="14"/>
  <c r="U285" i="14" s="1"/>
  <c r="AF285" i="14" s="1"/>
  <c r="P285" i="14"/>
  <c r="O285" i="14"/>
  <c r="J285" i="14"/>
  <c r="G285" i="14"/>
  <c r="AB284" i="14"/>
  <c r="AC284" i="14" s="1"/>
  <c r="AG284" i="14" s="1"/>
  <c r="S284" i="14"/>
  <c r="R284" i="14"/>
  <c r="V284" i="14" s="1"/>
  <c r="O284" i="14"/>
  <c r="J284" i="14"/>
  <c r="G284" i="14"/>
  <c r="M284" i="14" s="1"/>
  <c r="W284" i="14" s="1"/>
  <c r="AG283" i="14"/>
  <c r="AB283" i="14"/>
  <c r="AC283" i="14" s="1"/>
  <c r="S283" i="14"/>
  <c r="R283" i="14"/>
  <c r="V283" i="14" s="1"/>
  <c r="P283" i="14"/>
  <c r="O283" i="14"/>
  <c r="J283" i="14"/>
  <c r="G283" i="14"/>
  <c r="AC282" i="14"/>
  <c r="AG282" i="14" s="1"/>
  <c r="AB282" i="14"/>
  <c r="V282" i="14"/>
  <c r="S282" i="14"/>
  <c r="R282" i="14"/>
  <c r="O282" i="14"/>
  <c r="J282" i="14"/>
  <c r="G282" i="14"/>
  <c r="M282" i="14" s="1"/>
  <c r="W282" i="14" s="1"/>
  <c r="AG281" i="14"/>
  <c r="AC281" i="14"/>
  <c r="AB281" i="14"/>
  <c r="V281" i="14"/>
  <c r="S281" i="14"/>
  <c r="R281" i="14"/>
  <c r="P281" i="14"/>
  <c r="O281" i="14"/>
  <c r="J281" i="14"/>
  <c r="G281" i="14"/>
  <c r="M281" i="14" s="1"/>
  <c r="W281" i="14" s="1"/>
  <c r="AB280" i="14"/>
  <c r="AC280" i="14" s="1"/>
  <c r="AG280" i="14" s="1"/>
  <c r="V280" i="14"/>
  <c r="S280" i="14"/>
  <c r="R280" i="14"/>
  <c r="O280" i="14"/>
  <c r="J280" i="14"/>
  <c r="G280" i="14"/>
  <c r="AG279" i="14"/>
  <c r="AB279" i="14"/>
  <c r="AC279" i="14" s="1"/>
  <c r="S279" i="14"/>
  <c r="R279" i="14"/>
  <c r="V279" i="14" s="1"/>
  <c r="P279" i="14"/>
  <c r="O279" i="14"/>
  <c r="J279" i="14"/>
  <c r="G279" i="14"/>
  <c r="AG278" i="14"/>
  <c r="AB278" i="14"/>
  <c r="AC278" i="14" s="1"/>
  <c r="S278" i="14"/>
  <c r="R278" i="14"/>
  <c r="V278" i="14" s="1"/>
  <c r="O278" i="14"/>
  <c r="J278" i="14"/>
  <c r="G278" i="14"/>
  <c r="AB277" i="14"/>
  <c r="AC277" i="14" s="1"/>
  <c r="AG277" i="14" s="1"/>
  <c r="S277" i="14"/>
  <c r="R277" i="14"/>
  <c r="V277" i="14" s="1"/>
  <c r="P277" i="14"/>
  <c r="O277" i="14"/>
  <c r="J277" i="14"/>
  <c r="G277" i="14"/>
  <c r="AB276" i="14"/>
  <c r="AC276" i="14" s="1"/>
  <c r="AG276" i="14" s="1"/>
  <c r="S276" i="14"/>
  <c r="R276" i="14"/>
  <c r="V276" i="14" s="1"/>
  <c r="P276" i="14"/>
  <c r="O276" i="14"/>
  <c r="J276" i="14"/>
  <c r="G276" i="14"/>
  <c r="AC275" i="14"/>
  <c r="AG275" i="14" s="1"/>
  <c r="AB275" i="14"/>
  <c r="V275" i="14"/>
  <c r="S275" i="14"/>
  <c r="R275" i="14"/>
  <c r="P275" i="14"/>
  <c r="O275" i="14"/>
  <c r="N275" i="14"/>
  <c r="J275" i="14"/>
  <c r="G275" i="14"/>
  <c r="AG274" i="14"/>
  <c r="AB274" i="14"/>
  <c r="AC274" i="14" s="1"/>
  <c r="V274" i="14"/>
  <c r="S274" i="14"/>
  <c r="R274" i="14"/>
  <c r="O274" i="14"/>
  <c r="J274" i="14"/>
  <c r="G274" i="14"/>
  <c r="AD274" i="14" s="1"/>
  <c r="AG273" i="14"/>
  <c r="AB273" i="14"/>
  <c r="AC273" i="14" s="1"/>
  <c r="S273" i="14"/>
  <c r="R273" i="14"/>
  <c r="V273" i="14" s="1"/>
  <c r="Q273" i="14"/>
  <c r="U273" i="14" s="1"/>
  <c r="AF273" i="14" s="1"/>
  <c r="O273" i="14"/>
  <c r="P273" i="14" s="1"/>
  <c r="J273" i="14"/>
  <c r="G273" i="14"/>
  <c r="AB272" i="14"/>
  <c r="AC272" i="14" s="1"/>
  <c r="AG272" i="14" s="1"/>
  <c r="V272" i="14"/>
  <c r="S272" i="14"/>
  <c r="R272" i="14"/>
  <c r="O272" i="14"/>
  <c r="J272" i="14"/>
  <c r="G272" i="14"/>
  <c r="AD272" i="14" s="1"/>
  <c r="AC271" i="14"/>
  <c r="AG271" i="14" s="1"/>
  <c r="AB271" i="14"/>
  <c r="S271" i="14"/>
  <c r="R271" i="14"/>
  <c r="V271" i="14" s="1"/>
  <c r="O271" i="14"/>
  <c r="N271" i="14"/>
  <c r="J271" i="14"/>
  <c r="G271" i="14"/>
  <c r="M271" i="14" s="1"/>
  <c r="W271" i="14" s="1"/>
  <c r="AG270" i="14"/>
  <c r="AB270" i="14"/>
  <c r="AC270" i="14" s="1"/>
  <c r="S270" i="14"/>
  <c r="R270" i="14"/>
  <c r="V270" i="14" s="1"/>
  <c r="Q270" i="14"/>
  <c r="U270" i="14" s="1"/>
  <c r="AF270" i="14" s="1"/>
  <c r="P270" i="14"/>
  <c r="O270" i="14"/>
  <c r="J270" i="14"/>
  <c r="G270" i="14"/>
  <c r="AC269" i="14"/>
  <c r="AG269" i="14" s="1"/>
  <c r="AB269" i="14"/>
  <c r="S269" i="14"/>
  <c r="R269" i="14"/>
  <c r="V269" i="14" s="1"/>
  <c r="Q269" i="14"/>
  <c r="U269" i="14" s="1"/>
  <c r="AF269" i="14" s="1"/>
  <c r="P269" i="14"/>
  <c r="O269" i="14"/>
  <c r="J269" i="14"/>
  <c r="G269" i="14"/>
  <c r="AB268" i="14"/>
  <c r="AC268" i="14" s="1"/>
  <c r="AG268" i="14" s="1"/>
  <c r="V268" i="14"/>
  <c r="S268" i="14"/>
  <c r="R268" i="14"/>
  <c r="O268" i="14"/>
  <c r="J268" i="14"/>
  <c r="G268" i="14"/>
  <c r="AB267" i="14"/>
  <c r="AC267" i="14" s="1"/>
  <c r="AG267" i="14" s="1"/>
  <c r="S267" i="14"/>
  <c r="R267" i="14"/>
  <c r="V267" i="14" s="1"/>
  <c r="Q267" i="14"/>
  <c r="U267" i="14" s="1"/>
  <c r="AF267" i="14" s="1"/>
  <c r="O267" i="14"/>
  <c r="P267" i="14" s="1"/>
  <c r="J267" i="14"/>
  <c r="G267" i="14"/>
  <c r="AB266" i="14"/>
  <c r="AC266" i="14" s="1"/>
  <c r="AG266" i="14" s="1"/>
  <c r="V266" i="14"/>
  <c r="S266" i="14"/>
  <c r="R266" i="14"/>
  <c r="O266" i="14"/>
  <c r="N266" i="14"/>
  <c r="J266" i="14"/>
  <c r="G266" i="14"/>
  <c r="AC265" i="14"/>
  <c r="AG265" i="14" s="1"/>
  <c r="AB265" i="14"/>
  <c r="S265" i="14"/>
  <c r="R265" i="14"/>
  <c r="V265" i="14" s="1"/>
  <c r="O265" i="14"/>
  <c r="J265" i="14"/>
  <c r="G265" i="14"/>
  <c r="M265" i="14" s="1"/>
  <c r="W265" i="14" s="1"/>
  <c r="AG264" i="14"/>
  <c r="AB264" i="14"/>
  <c r="AC264" i="14" s="1"/>
  <c r="S264" i="14"/>
  <c r="R264" i="14"/>
  <c r="V264" i="14" s="1"/>
  <c r="P264" i="14"/>
  <c r="O264" i="14"/>
  <c r="J264" i="14"/>
  <c r="G264" i="14"/>
  <c r="M264" i="14" s="1"/>
  <c r="W264" i="14" s="1"/>
  <c r="AC263" i="14"/>
  <c r="AG263" i="14" s="1"/>
  <c r="AB263" i="14"/>
  <c r="S263" i="14"/>
  <c r="R263" i="14"/>
  <c r="V263" i="14" s="1"/>
  <c r="O263" i="14"/>
  <c r="N263" i="14"/>
  <c r="J263" i="14"/>
  <c r="G263" i="14"/>
  <c r="M263" i="14" s="1"/>
  <c r="W263" i="14" s="1"/>
  <c r="AG262" i="14"/>
  <c r="AC262" i="14"/>
  <c r="AB262" i="14"/>
  <c r="S262" i="14"/>
  <c r="R262" i="14"/>
  <c r="V262" i="14" s="1"/>
  <c r="O262" i="14"/>
  <c r="J262" i="14"/>
  <c r="G262" i="14"/>
  <c r="M262" i="14" s="1"/>
  <c r="W262" i="14" s="1"/>
  <c r="AG261" i="14"/>
  <c r="AB261" i="14"/>
  <c r="AC261" i="14" s="1"/>
  <c r="V261" i="14"/>
  <c r="S261" i="14"/>
  <c r="R261" i="14"/>
  <c r="O261" i="14"/>
  <c r="J261" i="14"/>
  <c r="G261" i="14"/>
  <c r="AB260" i="14"/>
  <c r="AC260" i="14" s="1"/>
  <c r="AG260" i="14" s="1"/>
  <c r="S260" i="14"/>
  <c r="R260" i="14"/>
  <c r="V260" i="14" s="1"/>
  <c r="Q260" i="14"/>
  <c r="U260" i="14" s="1"/>
  <c r="AF260" i="14" s="1"/>
  <c r="O260" i="14"/>
  <c r="P260" i="14" s="1"/>
  <c r="J260" i="14"/>
  <c r="G260" i="14"/>
  <c r="AB259" i="14"/>
  <c r="AC259" i="14" s="1"/>
  <c r="AG259" i="14" s="1"/>
  <c r="S259" i="14"/>
  <c r="R259" i="14"/>
  <c r="V259" i="14" s="1"/>
  <c r="O259" i="14"/>
  <c r="J259" i="14"/>
  <c r="G259" i="14"/>
  <c r="AB258" i="14"/>
  <c r="AC258" i="14" s="1"/>
  <c r="AG258" i="14" s="1"/>
  <c r="V258" i="14"/>
  <c r="S258" i="14"/>
  <c r="R258" i="14"/>
  <c r="P258" i="14"/>
  <c r="O258" i="14"/>
  <c r="J258" i="14"/>
  <c r="G258" i="14"/>
  <c r="AB257" i="14"/>
  <c r="AC257" i="14" s="1"/>
  <c r="AG257" i="14" s="1"/>
  <c r="S257" i="14"/>
  <c r="R257" i="14"/>
  <c r="V257" i="14" s="1"/>
  <c r="O257" i="14"/>
  <c r="J257" i="14"/>
  <c r="G257" i="14"/>
  <c r="AB256" i="14"/>
  <c r="AC256" i="14" s="1"/>
  <c r="AG256" i="14" s="1"/>
  <c r="V256" i="14"/>
  <c r="S256" i="14"/>
  <c r="R256" i="14"/>
  <c r="O256" i="14"/>
  <c r="J256" i="14"/>
  <c r="G256" i="14"/>
  <c r="AG255" i="14"/>
  <c r="AC255" i="14"/>
  <c r="AB255" i="14"/>
  <c r="S255" i="14"/>
  <c r="R255" i="14"/>
  <c r="V255" i="14" s="1"/>
  <c r="O255" i="14"/>
  <c r="J255" i="14"/>
  <c r="G255" i="14"/>
  <c r="AC254" i="14"/>
  <c r="AG254" i="14" s="1"/>
  <c r="AB254" i="14"/>
  <c r="V254" i="14"/>
  <c r="S254" i="14"/>
  <c r="R254" i="14"/>
  <c r="O254" i="14"/>
  <c r="J254" i="14"/>
  <c r="G254" i="14"/>
  <c r="AB253" i="14"/>
  <c r="AC253" i="14" s="1"/>
  <c r="AG253" i="14" s="1"/>
  <c r="S253" i="14"/>
  <c r="R253" i="14"/>
  <c r="V253" i="14" s="1"/>
  <c r="P253" i="14"/>
  <c r="O253" i="14"/>
  <c r="J253" i="14"/>
  <c r="G253" i="14"/>
  <c r="AC252" i="14"/>
  <c r="AG252" i="14" s="1"/>
  <c r="AB252" i="14"/>
  <c r="V252" i="14"/>
  <c r="S252" i="14"/>
  <c r="R252" i="14"/>
  <c r="O252" i="14"/>
  <c r="J252" i="14"/>
  <c r="G252" i="14"/>
  <c r="M252" i="14" s="1"/>
  <c r="W252" i="14" s="1"/>
  <c r="AB251" i="14"/>
  <c r="AC251" i="14" s="1"/>
  <c r="AG251" i="14" s="1"/>
  <c r="V251" i="14"/>
  <c r="U251" i="14"/>
  <c r="AF251" i="14" s="1"/>
  <c r="S251" i="14"/>
  <c r="R251" i="14"/>
  <c r="P251" i="14"/>
  <c r="Q251" i="14" s="1"/>
  <c r="O251" i="14"/>
  <c r="J251" i="14"/>
  <c r="G251" i="14"/>
  <c r="AB250" i="14"/>
  <c r="AC250" i="14" s="1"/>
  <c r="AG250" i="14" s="1"/>
  <c r="V250" i="14"/>
  <c r="S250" i="14"/>
  <c r="R250" i="14"/>
  <c r="O250" i="14"/>
  <c r="P250" i="14" s="1"/>
  <c r="J250" i="14"/>
  <c r="G250" i="14"/>
  <c r="AB249" i="14"/>
  <c r="AC249" i="14" s="1"/>
  <c r="AG249" i="14" s="1"/>
  <c r="S249" i="14"/>
  <c r="R249" i="14"/>
  <c r="V249" i="14" s="1"/>
  <c r="P249" i="14"/>
  <c r="O249" i="14"/>
  <c r="J249" i="14"/>
  <c r="G249" i="14"/>
  <c r="AD249" i="14" s="1"/>
  <c r="AC248" i="14"/>
  <c r="AG248" i="14" s="1"/>
  <c r="AB248" i="14"/>
  <c r="S248" i="14"/>
  <c r="R248" i="14"/>
  <c r="V248" i="14" s="1"/>
  <c r="O248" i="14"/>
  <c r="J248" i="14"/>
  <c r="G248" i="14"/>
  <c r="AB247" i="14"/>
  <c r="AC247" i="14" s="1"/>
  <c r="AG247" i="14" s="1"/>
  <c r="S247" i="14"/>
  <c r="R247" i="14"/>
  <c r="V247" i="14" s="1"/>
  <c r="P247" i="14"/>
  <c r="O247" i="14"/>
  <c r="J247" i="14"/>
  <c r="G247" i="14"/>
  <c r="AD247" i="14" s="1"/>
  <c r="AG246" i="14"/>
  <c r="AC246" i="14"/>
  <c r="AB246" i="14"/>
  <c r="S246" i="14"/>
  <c r="R246" i="14"/>
  <c r="V246" i="14" s="1"/>
  <c r="O246" i="14"/>
  <c r="J246" i="14"/>
  <c r="G246" i="14"/>
  <c r="AD246" i="14" s="1"/>
  <c r="AB245" i="14"/>
  <c r="AC245" i="14" s="1"/>
  <c r="AG245" i="14" s="1"/>
  <c r="S245" i="14"/>
  <c r="R245" i="14"/>
  <c r="V245" i="14" s="1"/>
  <c r="P245" i="14"/>
  <c r="O245" i="14"/>
  <c r="J245" i="14"/>
  <c r="G245" i="14"/>
  <c r="AC244" i="14"/>
  <c r="AG244" i="14" s="1"/>
  <c r="AB244" i="14"/>
  <c r="V244" i="14"/>
  <c r="S244" i="14"/>
  <c r="R244" i="14"/>
  <c r="O244" i="14"/>
  <c r="J244" i="14"/>
  <c r="G244" i="14"/>
  <c r="M244" i="14" s="1"/>
  <c r="W244" i="14" s="1"/>
  <c r="AC243" i="14"/>
  <c r="AG243" i="14" s="1"/>
  <c r="AB243" i="14"/>
  <c r="V243" i="14"/>
  <c r="S243" i="14"/>
  <c r="R243" i="14"/>
  <c r="O243" i="14"/>
  <c r="J243" i="14"/>
  <c r="G243" i="14"/>
  <c r="M243" i="14" s="1"/>
  <c r="W243" i="14" s="1"/>
  <c r="AG242" i="14"/>
  <c r="AC242" i="14"/>
  <c r="AB242" i="14"/>
  <c r="S242" i="14"/>
  <c r="R242" i="14"/>
  <c r="V242" i="14" s="1"/>
  <c r="P242" i="14"/>
  <c r="O242" i="14"/>
  <c r="J242" i="14"/>
  <c r="G242" i="14"/>
  <c r="AC241" i="14"/>
  <c r="AG241" i="14" s="1"/>
  <c r="AB241" i="14"/>
  <c r="V241" i="14"/>
  <c r="S241" i="14"/>
  <c r="R241" i="14"/>
  <c r="P241" i="14"/>
  <c r="O241" i="14"/>
  <c r="J241" i="14"/>
  <c r="G241" i="14"/>
  <c r="AD241" i="14" s="1"/>
  <c r="AB240" i="14"/>
  <c r="AC240" i="14" s="1"/>
  <c r="AG240" i="14" s="1"/>
  <c r="V240" i="14"/>
  <c r="S240" i="14"/>
  <c r="R240" i="14"/>
  <c r="O240" i="14"/>
  <c r="N210" i="14" s="1"/>
  <c r="T210" i="14" s="1"/>
  <c r="J240" i="14"/>
  <c r="G240" i="14"/>
  <c r="AD240" i="14" s="1"/>
  <c r="AB239" i="14"/>
  <c r="AC239" i="14" s="1"/>
  <c r="AG239" i="14" s="1"/>
  <c r="V239" i="14"/>
  <c r="S239" i="14"/>
  <c r="R239" i="14"/>
  <c r="P239" i="14"/>
  <c r="O239" i="14"/>
  <c r="J239" i="14"/>
  <c r="G239" i="14"/>
  <c r="M239" i="14" s="1"/>
  <c r="W239" i="14" s="1"/>
  <c r="AG238" i="14"/>
  <c r="AB238" i="14"/>
  <c r="AC238" i="14" s="1"/>
  <c r="V238" i="14"/>
  <c r="S238" i="14"/>
  <c r="R238" i="14"/>
  <c r="P238" i="14"/>
  <c r="O238" i="14"/>
  <c r="J238" i="14"/>
  <c r="G238" i="14"/>
  <c r="M238" i="14" s="1"/>
  <c r="W238" i="14" s="1"/>
  <c r="AC237" i="14"/>
  <c r="AG237" i="14" s="1"/>
  <c r="AB237" i="14"/>
  <c r="V237" i="14"/>
  <c r="S237" i="14"/>
  <c r="R237" i="14"/>
  <c r="P237" i="14"/>
  <c r="O237" i="14"/>
  <c r="J237" i="14"/>
  <c r="G237" i="14"/>
  <c r="AC236" i="14"/>
  <c r="AG236" i="14" s="1"/>
  <c r="AB236" i="14"/>
  <c r="V236" i="14"/>
  <c r="S236" i="14"/>
  <c r="R236" i="14"/>
  <c r="P236" i="14"/>
  <c r="O236" i="14"/>
  <c r="J236" i="14"/>
  <c r="G236" i="14"/>
  <c r="AC235" i="14"/>
  <c r="AG235" i="14" s="1"/>
  <c r="AB235" i="14"/>
  <c r="V235" i="14"/>
  <c r="S235" i="14"/>
  <c r="R235" i="14"/>
  <c r="P235" i="14"/>
  <c r="O235" i="14"/>
  <c r="J235" i="14"/>
  <c r="G235" i="14"/>
  <c r="AB234" i="14"/>
  <c r="AC234" i="14" s="1"/>
  <c r="AG234" i="14" s="1"/>
  <c r="V234" i="14"/>
  <c r="S234" i="14"/>
  <c r="R234" i="14"/>
  <c r="O234" i="14"/>
  <c r="J234" i="14"/>
  <c r="G234" i="14"/>
  <c r="AG233" i="14"/>
  <c r="AB233" i="14"/>
  <c r="AC233" i="14" s="1"/>
  <c r="S233" i="14"/>
  <c r="R233" i="14"/>
  <c r="V233" i="14" s="1"/>
  <c r="P233" i="14"/>
  <c r="O233" i="14"/>
  <c r="J233" i="14"/>
  <c r="G233" i="14"/>
  <c r="AC232" i="14"/>
  <c r="AG232" i="14" s="1"/>
  <c r="AB232" i="14"/>
  <c r="S232" i="14"/>
  <c r="R232" i="14"/>
  <c r="V232" i="14" s="1"/>
  <c r="O232" i="14"/>
  <c r="J232" i="14"/>
  <c r="G232" i="14"/>
  <c r="AB231" i="14"/>
  <c r="AC231" i="14" s="1"/>
  <c r="AG231" i="14" s="1"/>
  <c r="S231" i="14"/>
  <c r="R231" i="14"/>
  <c r="V231" i="14" s="1"/>
  <c r="O231" i="14"/>
  <c r="J231" i="14"/>
  <c r="G231" i="14"/>
  <c r="M231" i="14" s="1"/>
  <c r="W231" i="14" s="1"/>
  <c r="AB230" i="14"/>
  <c r="AC230" i="14" s="1"/>
  <c r="AG230" i="14" s="1"/>
  <c r="V230" i="14"/>
  <c r="S230" i="14"/>
  <c r="R230" i="14"/>
  <c r="P230" i="14"/>
  <c r="O230" i="14"/>
  <c r="J230" i="14"/>
  <c r="Q230" i="14" s="1"/>
  <c r="U230" i="14" s="1"/>
  <c r="AF230" i="14" s="1"/>
  <c r="G230" i="14"/>
  <c r="AB229" i="14"/>
  <c r="AC229" i="14" s="1"/>
  <c r="AG229" i="14" s="1"/>
  <c r="S229" i="14"/>
  <c r="R229" i="14"/>
  <c r="V229" i="14" s="1"/>
  <c r="P229" i="14"/>
  <c r="O229" i="14"/>
  <c r="J229" i="14"/>
  <c r="G229" i="14"/>
  <c r="M229" i="14" s="1"/>
  <c r="W229" i="14" s="1"/>
  <c r="AG228" i="14"/>
  <c r="AB228" i="14"/>
  <c r="AC228" i="14" s="1"/>
  <c r="S228" i="14"/>
  <c r="R228" i="14"/>
  <c r="V228" i="14" s="1"/>
  <c r="P228" i="14"/>
  <c r="O228" i="14"/>
  <c r="J228" i="14"/>
  <c r="G228" i="14"/>
  <c r="AD228" i="14" s="1"/>
  <c r="AG227" i="14"/>
  <c r="AB227" i="14"/>
  <c r="AC227" i="14" s="1"/>
  <c r="V227" i="14"/>
  <c r="S227" i="14"/>
  <c r="R227" i="14"/>
  <c r="P227" i="14"/>
  <c r="O227" i="14"/>
  <c r="J227" i="14"/>
  <c r="G227" i="14"/>
  <c r="AG226" i="14"/>
  <c r="AB226" i="14"/>
  <c r="AC226" i="14" s="1"/>
  <c r="V226" i="14"/>
  <c r="S226" i="14"/>
  <c r="R226" i="14"/>
  <c r="P226" i="14"/>
  <c r="O226" i="14"/>
  <c r="J226" i="14"/>
  <c r="G226" i="14"/>
  <c r="AB225" i="14"/>
  <c r="AC225" i="14" s="1"/>
  <c r="AG225" i="14" s="1"/>
  <c r="V225" i="14"/>
  <c r="S225" i="14"/>
  <c r="R225" i="14"/>
  <c r="O225" i="14"/>
  <c r="J225" i="14"/>
  <c r="G225" i="14"/>
  <c r="AG224" i="14"/>
  <c r="AC224" i="14"/>
  <c r="AB224" i="14"/>
  <c r="S224" i="14"/>
  <c r="R224" i="14"/>
  <c r="V224" i="14" s="1"/>
  <c r="O224" i="14"/>
  <c r="J224" i="14"/>
  <c r="G224" i="14"/>
  <c r="M224" i="14" s="1"/>
  <c r="W224" i="14" s="1"/>
  <c r="AB223" i="14"/>
  <c r="AC223" i="14" s="1"/>
  <c r="AG223" i="14" s="1"/>
  <c r="S223" i="14"/>
  <c r="R223" i="14"/>
  <c r="V223" i="14" s="1"/>
  <c r="O223" i="14"/>
  <c r="J223" i="14"/>
  <c r="G223" i="14"/>
  <c r="AC222" i="14"/>
  <c r="AG222" i="14" s="1"/>
  <c r="AB222" i="14"/>
  <c r="S222" i="14"/>
  <c r="R222" i="14"/>
  <c r="V222" i="14" s="1"/>
  <c r="P222" i="14"/>
  <c r="O222" i="14"/>
  <c r="J222" i="14"/>
  <c r="G222" i="14"/>
  <c r="AB221" i="14"/>
  <c r="AC221" i="14" s="1"/>
  <c r="AG221" i="14" s="1"/>
  <c r="V221" i="14"/>
  <c r="S221" i="14"/>
  <c r="R221" i="14"/>
  <c r="P221" i="14"/>
  <c r="O221" i="14"/>
  <c r="J221" i="14"/>
  <c r="G221" i="14"/>
  <c r="AC220" i="14"/>
  <c r="AG220" i="14" s="1"/>
  <c r="AB220" i="14"/>
  <c r="V220" i="14"/>
  <c r="S220" i="14"/>
  <c r="R220" i="14"/>
  <c r="P220" i="14"/>
  <c r="O220" i="14"/>
  <c r="J220" i="14"/>
  <c r="G220" i="14"/>
  <c r="M220" i="14" s="1"/>
  <c r="W220" i="14" s="1"/>
  <c r="AB219" i="14"/>
  <c r="AC219" i="14" s="1"/>
  <c r="AG219" i="14" s="1"/>
  <c r="V219" i="14"/>
  <c r="S219" i="14"/>
  <c r="R219" i="14"/>
  <c r="O219" i="14"/>
  <c r="J219" i="14"/>
  <c r="G219" i="14"/>
  <c r="M219" i="14" s="1"/>
  <c r="W219" i="14" s="1"/>
  <c r="AB218" i="14"/>
  <c r="AC218" i="14" s="1"/>
  <c r="AG218" i="14" s="1"/>
  <c r="V218" i="14"/>
  <c r="S218" i="14"/>
  <c r="R218" i="14"/>
  <c r="O218" i="14"/>
  <c r="J218" i="14"/>
  <c r="G218" i="14"/>
  <c r="AB217" i="14"/>
  <c r="AC217" i="14" s="1"/>
  <c r="AG217" i="14" s="1"/>
  <c r="S217" i="14"/>
  <c r="R217" i="14"/>
  <c r="V217" i="14" s="1"/>
  <c r="P217" i="14"/>
  <c r="O217" i="14"/>
  <c r="J217" i="14"/>
  <c r="G217" i="14"/>
  <c r="AG216" i="14"/>
  <c r="AC216" i="14"/>
  <c r="AB216" i="14"/>
  <c r="S216" i="14"/>
  <c r="R216" i="14"/>
  <c r="V216" i="14" s="1"/>
  <c r="O216" i="14"/>
  <c r="J216" i="14"/>
  <c r="G216" i="14"/>
  <c r="AD216" i="14" s="1"/>
  <c r="AG215" i="14"/>
  <c r="AB215" i="14"/>
  <c r="AC215" i="14" s="1"/>
  <c r="U215" i="14"/>
  <c r="AF215" i="14" s="1"/>
  <c r="S215" i="14"/>
  <c r="R215" i="14"/>
  <c r="V215" i="14" s="1"/>
  <c r="Q215" i="14"/>
  <c r="P215" i="14"/>
  <c r="O215" i="14"/>
  <c r="J215" i="14"/>
  <c r="G215" i="14"/>
  <c r="M215" i="14" s="1"/>
  <c r="W215" i="14" s="1"/>
  <c r="AB214" i="14"/>
  <c r="AC214" i="14" s="1"/>
  <c r="AG214" i="14" s="1"/>
  <c r="S214" i="14"/>
  <c r="R214" i="14"/>
  <c r="V214" i="14" s="1"/>
  <c r="P214" i="14"/>
  <c r="O214" i="14"/>
  <c r="J214" i="14"/>
  <c r="G214" i="14"/>
  <c r="AC213" i="14"/>
  <c r="AG213" i="14" s="1"/>
  <c r="AB213" i="14"/>
  <c r="S213" i="14"/>
  <c r="R213" i="14"/>
  <c r="V213" i="14" s="1"/>
  <c r="P213" i="14"/>
  <c r="O213" i="14"/>
  <c r="J213" i="14"/>
  <c r="G213" i="14"/>
  <c r="M213" i="14" s="1"/>
  <c r="W213" i="14" s="1"/>
  <c r="AB212" i="14"/>
  <c r="AC212" i="14" s="1"/>
  <c r="AG212" i="14" s="1"/>
  <c r="S212" i="14"/>
  <c r="R212" i="14"/>
  <c r="V212" i="14" s="1"/>
  <c r="O212" i="14"/>
  <c r="J212" i="14"/>
  <c r="G212" i="14"/>
  <c r="M212" i="14" s="1"/>
  <c r="W212" i="14" s="1"/>
  <c r="AC211" i="14"/>
  <c r="AG211" i="14" s="1"/>
  <c r="AB211" i="14"/>
  <c r="U211" i="14"/>
  <c r="AF211" i="14" s="1"/>
  <c r="S211" i="14"/>
  <c r="R211" i="14"/>
  <c r="V211" i="14" s="1"/>
  <c r="Q211" i="14"/>
  <c r="P211" i="14"/>
  <c r="O211" i="14"/>
  <c r="J211" i="14"/>
  <c r="G211" i="14"/>
  <c r="M211" i="14" s="1"/>
  <c r="W211" i="14" s="1"/>
  <c r="AC210" i="14"/>
  <c r="AG210" i="14" s="1"/>
  <c r="AB210" i="14"/>
  <c r="V210" i="14"/>
  <c r="S210" i="14"/>
  <c r="R210" i="14"/>
  <c r="P210" i="14"/>
  <c r="O210" i="14"/>
  <c r="J210" i="14"/>
  <c r="G210" i="14"/>
  <c r="AB209" i="14"/>
  <c r="AC209" i="14" s="1"/>
  <c r="AG209" i="14" s="1"/>
  <c r="V209" i="14"/>
  <c r="S209" i="14"/>
  <c r="R209" i="14"/>
  <c r="O209" i="14"/>
  <c r="J209" i="14"/>
  <c r="G209" i="14"/>
  <c r="AD209" i="14" s="1"/>
  <c r="AC208" i="14"/>
  <c r="AG208" i="14" s="1"/>
  <c r="AB208" i="14"/>
  <c r="V208" i="14"/>
  <c r="S208" i="14"/>
  <c r="R208" i="14"/>
  <c r="O208" i="14"/>
  <c r="J208" i="14"/>
  <c r="G208" i="14"/>
  <c r="AB207" i="14"/>
  <c r="AC207" i="14" s="1"/>
  <c r="AG207" i="14" s="1"/>
  <c r="U207" i="14"/>
  <c r="AF207" i="14" s="1"/>
  <c r="S207" i="14"/>
  <c r="R207" i="14"/>
  <c r="V207" i="14" s="1"/>
  <c r="Q207" i="14"/>
  <c r="O207" i="14"/>
  <c r="P207" i="14" s="1"/>
  <c r="J207" i="14"/>
  <c r="G207" i="14"/>
  <c r="M207" i="14" s="1"/>
  <c r="W207" i="14" s="1"/>
  <c r="AB206" i="14"/>
  <c r="AC206" i="14" s="1"/>
  <c r="AG206" i="14" s="1"/>
  <c r="S206" i="14"/>
  <c r="R206" i="14"/>
  <c r="V206" i="14" s="1"/>
  <c r="O206" i="14"/>
  <c r="J206" i="14"/>
  <c r="G206" i="14"/>
  <c r="AG205" i="14"/>
  <c r="AC205" i="14"/>
  <c r="AB205" i="14"/>
  <c r="S205" i="14"/>
  <c r="R205" i="14"/>
  <c r="V205" i="14" s="1"/>
  <c r="P205" i="14"/>
  <c r="Q205" i="14" s="1"/>
  <c r="U205" i="14" s="1"/>
  <c r="AF205" i="14" s="1"/>
  <c r="O205" i="14"/>
  <c r="J205" i="14"/>
  <c r="G205" i="14"/>
  <c r="M205" i="14" s="1"/>
  <c r="W205" i="14" s="1"/>
  <c r="AB204" i="14"/>
  <c r="AC204" i="14" s="1"/>
  <c r="AG204" i="14" s="1"/>
  <c r="V204" i="14"/>
  <c r="S204" i="14"/>
  <c r="R204" i="14"/>
  <c r="P204" i="14"/>
  <c r="O204" i="14"/>
  <c r="J204" i="14"/>
  <c r="G204" i="14"/>
  <c r="AC203" i="14"/>
  <c r="AG203" i="14" s="1"/>
  <c r="AB203" i="14"/>
  <c r="S203" i="14"/>
  <c r="R203" i="14"/>
  <c r="V203" i="14" s="1"/>
  <c r="O203" i="14"/>
  <c r="J203" i="14"/>
  <c r="G203" i="14"/>
  <c r="M203" i="14" s="1"/>
  <c r="W203" i="14" s="1"/>
  <c r="AC202" i="14"/>
  <c r="AG202" i="14" s="1"/>
  <c r="AB202" i="14"/>
  <c r="S202" i="14"/>
  <c r="R202" i="14"/>
  <c r="V202" i="14" s="1"/>
  <c r="O202" i="14"/>
  <c r="J202" i="14"/>
  <c r="G202" i="14"/>
  <c r="M202" i="14" s="1"/>
  <c r="W202" i="14" s="1"/>
  <c r="AG201" i="14"/>
  <c r="AC201" i="14"/>
  <c r="AB201" i="14"/>
  <c r="V201" i="14"/>
  <c r="S201" i="14"/>
  <c r="R201" i="14"/>
  <c r="P201" i="14"/>
  <c r="O201" i="14"/>
  <c r="J201" i="14"/>
  <c r="G201" i="14"/>
  <c r="M201" i="14" s="1"/>
  <c r="W201" i="14" s="1"/>
  <c r="AC200" i="14"/>
  <c r="AG200" i="14" s="1"/>
  <c r="AB200" i="14"/>
  <c r="V200" i="14"/>
  <c r="S200" i="14"/>
  <c r="R200" i="14"/>
  <c r="P200" i="14"/>
  <c r="O200" i="14"/>
  <c r="J200" i="14"/>
  <c r="G200" i="14"/>
  <c r="AG199" i="14"/>
  <c r="AB199" i="14"/>
  <c r="AC199" i="14" s="1"/>
  <c r="V199" i="14"/>
  <c r="S199" i="14"/>
  <c r="R199" i="14"/>
  <c r="O199" i="14"/>
  <c r="J199" i="14"/>
  <c r="G199" i="14"/>
  <c r="AG198" i="14"/>
  <c r="AC198" i="14"/>
  <c r="AB198" i="14"/>
  <c r="V198" i="14"/>
  <c r="S198" i="14"/>
  <c r="R198" i="14"/>
  <c r="P198" i="14"/>
  <c r="O198" i="14"/>
  <c r="J198" i="14"/>
  <c r="G198" i="14"/>
  <c r="AG197" i="14"/>
  <c r="AB197" i="14"/>
  <c r="AC197" i="14" s="1"/>
  <c r="S197" i="14"/>
  <c r="R197" i="14"/>
  <c r="V197" i="14" s="1"/>
  <c r="O197" i="14"/>
  <c r="J197" i="14"/>
  <c r="G197" i="14"/>
  <c r="M197" i="14" s="1"/>
  <c r="W197" i="14" s="1"/>
  <c r="AB196" i="14"/>
  <c r="AC196" i="14" s="1"/>
  <c r="AG196" i="14" s="1"/>
  <c r="S196" i="14"/>
  <c r="R196" i="14"/>
  <c r="V196" i="14" s="1"/>
  <c r="Q196" i="14"/>
  <c r="U196" i="14" s="1"/>
  <c r="AF196" i="14" s="1"/>
  <c r="P196" i="14"/>
  <c r="O196" i="14"/>
  <c r="J196" i="14"/>
  <c r="G196" i="14"/>
  <c r="AB195" i="14"/>
  <c r="AC195" i="14" s="1"/>
  <c r="AG195" i="14" s="1"/>
  <c r="V195" i="14"/>
  <c r="S195" i="14"/>
  <c r="R195" i="14"/>
  <c r="O195" i="14"/>
  <c r="J195" i="14"/>
  <c r="G195" i="14"/>
  <c r="M195" i="14" s="1"/>
  <c r="W195" i="14" s="1"/>
  <c r="AC194" i="14"/>
  <c r="AG194" i="14" s="1"/>
  <c r="AB194" i="14"/>
  <c r="V194" i="14"/>
  <c r="S194" i="14"/>
  <c r="R194" i="14"/>
  <c r="P194" i="14"/>
  <c r="O194" i="14"/>
  <c r="J194" i="14"/>
  <c r="G194" i="14"/>
  <c r="M194" i="14" s="1"/>
  <c r="W194" i="14" s="1"/>
  <c r="AC193" i="14"/>
  <c r="AG193" i="14" s="1"/>
  <c r="AB193" i="14"/>
  <c r="S193" i="14"/>
  <c r="R193" i="14"/>
  <c r="V193" i="14" s="1"/>
  <c r="O193" i="14"/>
  <c r="J193" i="14"/>
  <c r="G193" i="14"/>
  <c r="AD193" i="14" s="1"/>
  <c r="AG192" i="14"/>
  <c r="AC192" i="14"/>
  <c r="AB192" i="14"/>
  <c r="V192" i="14"/>
  <c r="S192" i="14"/>
  <c r="R192" i="14"/>
  <c r="P192" i="14"/>
  <c r="O192" i="14"/>
  <c r="J192" i="14"/>
  <c r="G192" i="14"/>
  <c r="AD192" i="14" s="1"/>
  <c r="AB191" i="14"/>
  <c r="AC191" i="14" s="1"/>
  <c r="AG191" i="14" s="1"/>
  <c r="V191" i="14"/>
  <c r="S191" i="14"/>
  <c r="R191" i="14"/>
  <c r="P191" i="14"/>
  <c r="O191" i="14"/>
  <c r="J191" i="14"/>
  <c r="G191" i="14"/>
  <c r="AB190" i="14"/>
  <c r="AC190" i="14" s="1"/>
  <c r="AG190" i="14" s="1"/>
  <c r="S190" i="14"/>
  <c r="R190" i="14"/>
  <c r="V190" i="14" s="1"/>
  <c r="P190" i="14"/>
  <c r="Q190" i="14" s="1"/>
  <c r="U190" i="14" s="1"/>
  <c r="AF190" i="14" s="1"/>
  <c r="O190" i="14"/>
  <c r="J190" i="14"/>
  <c r="G190" i="14"/>
  <c r="M190" i="14" s="1"/>
  <c r="W190" i="14" s="1"/>
  <c r="AG189" i="14"/>
  <c r="AB189" i="14"/>
  <c r="AC189" i="14" s="1"/>
  <c r="S189" i="14"/>
  <c r="R189" i="14"/>
  <c r="V189" i="14" s="1"/>
  <c r="O189" i="14"/>
  <c r="J189" i="14"/>
  <c r="G189" i="14"/>
  <c r="AD189" i="14" s="1"/>
  <c r="AC188" i="14"/>
  <c r="AG188" i="14" s="1"/>
  <c r="AB188" i="14"/>
  <c r="V188" i="14"/>
  <c r="S188" i="14"/>
  <c r="R188" i="14"/>
  <c r="O188" i="14"/>
  <c r="P188" i="14" s="1"/>
  <c r="J188" i="14"/>
  <c r="G188" i="14"/>
  <c r="M188" i="14" s="1"/>
  <c r="W188" i="14" s="1"/>
  <c r="AB187" i="14"/>
  <c r="AC187" i="14" s="1"/>
  <c r="AG187" i="14" s="1"/>
  <c r="S187" i="14"/>
  <c r="R187" i="14"/>
  <c r="V187" i="14" s="1"/>
  <c r="O187" i="14"/>
  <c r="J187" i="14"/>
  <c r="G187" i="14"/>
  <c r="AB186" i="14"/>
  <c r="AC186" i="14" s="1"/>
  <c r="AG186" i="14" s="1"/>
  <c r="V186" i="14"/>
  <c r="S186" i="14"/>
  <c r="R186" i="14"/>
  <c r="P186" i="14"/>
  <c r="O186" i="14"/>
  <c r="J186" i="14"/>
  <c r="G186" i="14"/>
  <c r="M186" i="14" s="1"/>
  <c r="W186" i="14" s="1"/>
  <c r="AB185" i="14"/>
  <c r="AC185" i="14" s="1"/>
  <c r="AG185" i="14" s="1"/>
  <c r="S185" i="14"/>
  <c r="R185" i="14"/>
  <c r="V185" i="14" s="1"/>
  <c r="P185" i="14"/>
  <c r="O185" i="14"/>
  <c r="J185" i="14"/>
  <c r="G185" i="14"/>
  <c r="AB184" i="14"/>
  <c r="AC184" i="14" s="1"/>
  <c r="AG184" i="14" s="1"/>
  <c r="S184" i="14"/>
  <c r="R184" i="14"/>
  <c r="V184" i="14" s="1"/>
  <c r="O184" i="14"/>
  <c r="J184" i="14"/>
  <c r="G184" i="14"/>
  <c r="M184" i="14" s="1"/>
  <c r="W184" i="14" s="1"/>
  <c r="AB183" i="14"/>
  <c r="AC183" i="14" s="1"/>
  <c r="AG183" i="14" s="1"/>
  <c r="S183" i="14"/>
  <c r="R183" i="14"/>
  <c r="V183" i="14" s="1"/>
  <c r="P183" i="14"/>
  <c r="O183" i="14"/>
  <c r="J183" i="14"/>
  <c r="G183" i="14"/>
  <c r="AD183" i="14" s="1"/>
  <c r="AB182" i="14"/>
  <c r="AC182" i="14" s="1"/>
  <c r="AG182" i="14" s="1"/>
  <c r="V182" i="14"/>
  <c r="S182" i="14"/>
  <c r="R182" i="14"/>
  <c r="O182" i="14"/>
  <c r="J182" i="14"/>
  <c r="G182" i="14"/>
  <c r="AG181" i="14"/>
  <c r="AC181" i="14"/>
  <c r="AB181" i="14"/>
  <c r="V181" i="14"/>
  <c r="S181" i="14"/>
  <c r="R181" i="14"/>
  <c r="Q181" i="14"/>
  <c r="U181" i="14" s="1"/>
  <c r="AF181" i="14" s="1"/>
  <c r="P181" i="14"/>
  <c r="O181" i="14"/>
  <c r="J181" i="14"/>
  <c r="G181" i="14"/>
  <c r="M181" i="14" s="1"/>
  <c r="W181" i="14" s="1"/>
  <c r="AG180" i="14"/>
  <c r="AC180" i="14"/>
  <c r="AB180" i="14"/>
  <c r="S180" i="14"/>
  <c r="R180" i="14"/>
  <c r="V180" i="14" s="1"/>
  <c r="P180" i="14"/>
  <c r="Q180" i="14" s="1"/>
  <c r="U180" i="14" s="1"/>
  <c r="AF180" i="14" s="1"/>
  <c r="O180" i="14"/>
  <c r="J180" i="14"/>
  <c r="G180" i="14"/>
  <c r="M180" i="14" s="1"/>
  <c r="W180" i="14" s="1"/>
  <c r="AB179" i="14"/>
  <c r="AC179" i="14" s="1"/>
  <c r="AG179" i="14" s="1"/>
  <c r="S179" i="14"/>
  <c r="R179" i="14"/>
  <c r="V179" i="14" s="1"/>
  <c r="O179" i="14"/>
  <c r="J179" i="14"/>
  <c r="G179" i="14"/>
  <c r="AD179" i="14" s="1"/>
  <c r="AB178" i="14"/>
  <c r="AC178" i="14" s="1"/>
  <c r="AG178" i="14" s="1"/>
  <c r="S178" i="14"/>
  <c r="R178" i="14"/>
  <c r="V178" i="14" s="1"/>
  <c r="O178" i="14"/>
  <c r="J178" i="14"/>
  <c r="G178" i="14"/>
  <c r="M178" i="14" s="1"/>
  <c r="W178" i="14" s="1"/>
  <c r="AB177" i="14"/>
  <c r="AC177" i="14" s="1"/>
  <c r="AG177" i="14" s="1"/>
  <c r="V177" i="14"/>
  <c r="S177" i="14"/>
  <c r="R177" i="14"/>
  <c r="P177" i="14"/>
  <c r="O177" i="14"/>
  <c r="J177" i="14"/>
  <c r="G177" i="14"/>
  <c r="AG176" i="14"/>
  <c r="AB176" i="14"/>
  <c r="AC176" i="14" s="1"/>
  <c r="V176" i="14"/>
  <c r="S176" i="14"/>
  <c r="R176" i="14"/>
  <c r="O176" i="14"/>
  <c r="J176" i="14"/>
  <c r="G176" i="14"/>
  <c r="AB175" i="14"/>
  <c r="AC175" i="14" s="1"/>
  <c r="AG175" i="14" s="1"/>
  <c r="U175" i="14"/>
  <c r="AF175" i="14" s="1"/>
  <c r="S175" i="14"/>
  <c r="R175" i="14"/>
  <c r="V175" i="14" s="1"/>
  <c r="Q175" i="14"/>
  <c r="P175" i="14"/>
  <c r="O175" i="14"/>
  <c r="J175" i="14"/>
  <c r="G175" i="14"/>
  <c r="M175" i="14" s="1"/>
  <c r="W175" i="14" s="1"/>
  <c r="AB174" i="14"/>
  <c r="AC174" i="14" s="1"/>
  <c r="AG174" i="14" s="1"/>
  <c r="V174" i="14"/>
  <c r="S174" i="14"/>
  <c r="R174" i="14"/>
  <c r="O174" i="14"/>
  <c r="J174" i="14"/>
  <c r="G174" i="14"/>
  <c r="M174" i="14" s="1"/>
  <c r="W174" i="14" s="1"/>
  <c r="AC173" i="14"/>
  <c r="AG173" i="14" s="1"/>
  <c r="AB173" i="14"/>
  <c r="S173" i="14"/>
  <c r="R173" i="14"/>
  <c r="V173" i="14" s="1"/>
  <c r="O173" i="14"/>
  <c r="J173" i="14"/>
  <c r="G173" i="14"/>
  <c r="M173" i="14" s="1"/>
  <c r="W173" i="14" s="1"/>
  <c r="AC172" i="14"/>
  <c r="AG172" i="14" s="1"/>
  <c r="AB172" i="14"/>
  <c r="S172" i="14"/>
  <c r="R172" i="14"/>
  <c r="V172" i="14" s="1"/>
  <c r="Q172" i="14"/>
  <c r="U172" i="14" s="1"/>
  <c r="AF172" i="14" s="1"/>
  <c r="P172" i="14"/>
  <c r="O172" i="14"/>
  <c r="J172" i="14"/>
  <c r="G172" i="14"/>
  <c r="M172" i="14" s="1"/>
  <c r="W172" i="14" s="1"/>
  <c r="AC171" i="14"/>
  <c r="AG171" i="14" s="1"/>
  <c r="AB171" i="14"/>
  <c r="V171" i="14"/>
  <c r="S171" i="14"/>
  <c r="R171" i="14"/>
  <c r="O171" i="14"/>
  <c r="P171" i="14" s="1"/>
  <c r="J171" i="14"/>
  <c r="G171" i="14"/>
  <c r="M171" i="14" s="1"/>
  <c r="W171" i="14" s="1"/>
  <c r="AB170" i="14"/>
  <c r="AC170" i="14" s="1"/>
  <c r="AG170" i="14" s="1"/>
  <c r="V170" i="14"/>
  <c r="S170" i="14"/>
  <c r="R170" i="14"/>
  <c r="O170" i="14"/>
  <c r="J170" i="14"/>
  <c r="G170" i="14"/>
  <c r="AD170" i="14" s="1"/>
  <c r="AB169" i="14"/>
  <c r="AC169" i="14" s="1"/>
  <c r="AG169" i="14" s="1"/>
  <c r="S169" i="14"/>
  <c r="R169" i="14"/>
  <c r="V169" i="14" s="1"/>
  <c r="P169" i="14"/>
  <c r="O169" i="14"/>
  <c r="J169" i="14"/>
  <c r="G169" i="14"/>
  <c r="M169" i="14" s="1"/>
  <c r="W169" i="14" s="1"/>
  <c r="AG168" i="14"/>
  <c r="AB168" i="14"/>
  <c r="AC168" i="14" s="1"/>
  <c r="V168" i="14"/>
  <c r="S168" i="14"/>
  <c r="R168" i="14"/>
  <c r="P168" i="14"/>
  <c r="O168" i="14"/>
  <c r="J168" i="14"/>
  <c r="G168" i="14"/>
  <c r="M168" i="14" s="1"/>
  <c r="W168" i="14" s="1"/>
  <c r="AB167" i="14"/>
  <c r="AC167" i="14" s="1"/>
  <c r="AG167" i="14" s="1"/>
  <c r="S167" i="14"/>
  <c r="R167" i="14"/>
  <c r="V167" i="14" s="1"/>
  <c r="O167" i="14"/>
  <c r="J167" i="14"/>
  <c r="G167" i="14"/>
  <c r="AD167" i="14" s="1"/>
  <c r="AB166" i="14"/>
  <c r="AC166" i="14" s="1"/>
  <c r="AG166" i="14" s="1"/>
  <c r="S166" i="14"/>
  <c r="R166" i="14"/>
  <c r="V166" i="14" s="1"/>
  <c r="Q166" i="14"/>
  <c r="U166" i="14" s="1"/>
  <c r="AF166" i="14" s="1"/>
  <c r="P166" i="14"/>
  <c r="O166" i="14"/>
  <c r="J166" i="14"/>
  <c r="G166" i="14"/>
  <c r="AD166" i="14" s="1"/>
  <c r="AC165" i="14"/>
  <c r="AG165" i="14" s="1"/>
  <c r="AB165" i="14"/>
  <c r="V165" i="14"/>
  <c r="S165" i="14"/>
  <c r="R165" i="14"/>
  <c r="O165" i="14"/>
  <c r="J165" i="14"/>
  <c r="G165" i="14"/>
  <c r="AB164" i="14"/>
  <c r="AC164" i="14" s="1"/>
  <c r="AG164" i="14" s="1"/>
  <c r="S164" i="14"/>
  <c r="R164" i="14"/>
  <c r="V164" i="14" s="1"/>
  <c r="O164" i="14"/>
  <c r="J164" i="14"/>
  <c r="G164" i="14"/>
  <c r="AB163" i="14"/>
  <c r="AC163" i="14" s="1"/>
  <c r="AG163" i="14" s="1"/>
  <c r="S163" i="14"/>
  <c r="R163" i="14"/>
  <c r="V163" i="14" s="1"/>
  <c r="P163" i="14"/>
  <c r="O163" i="14"/>
  <c r="J163" i="14"/>
  <c r="G163" i="14"/>
  <c r="M163" i="14" s="1"/>
  <c r="W163" i="14" s="1"/>
  <c r="AB162" i="14"/>
  <c r="AC162" i="14" s="1"/>
  <c r="AG162" i="14" s="1"/>
  <c r="V162" i="14"/>
  <c r="S162" i="14"/>
  <c r="R162" i="14"/>
  <c r="P162" i="14"/>
  <c r="Q162" i="14" s="1"/>
  <c r="U162" i="14" s="1"/>
  <c r="AF162" i="14" s="1"/>
  <c r="O162" i="14"/>
  <c r="J162" i="14"/>
  <c r="G162" i="14"/>
  <c r="M162" i="14" s="1"/>
  <c r="W162" i="14" s="1"/>
  <c r="AB161" i="14"/>
  <c r="AC161" i="14" s="1"/>
  <c r="AG161" i="14" s="1"/>
  <c r="S161" i="14"/>
  <c r="R161" i="14"/>
  <c r="V161" i="14" s="1"/>
  <c r="P161" i="14"/>
  <c r="O161" i="14"/>
  <c r="J161" i="14"/>
  <c r="G161" i="14"/>
  <c r="AG160" i="14"/>
  <c r="AC160" i="14"/>
  <c r="AB160" i="14"/>
  <c r="S160" i="14"/>
  <c r="R160" i="14"/>
  <c r="V160" i="14" s="1"/>
  <c r="O160" i="14"/>
  <c r="J160" i="14"/>
  <c r="G160" i="14"/>
  <c r="M160" i="14" s="1"/>
  <c r="W160" i="14" s="1"/>
  <c r="AC159" i="14"/>
  <c r="AG159" i="14" s="1"/>
  <c r="AB159" i="14"/>
  <c r="V159" i="14"/>
  <c r="S159" i="14"/>
  <c r="R159" i="14"/>
  <c r="O159" i="14"/>
  <c r="J159" i="14"/>
  <c r="G159" i="14"/>
  <c r="M159" i="14" s="1"/>
  <c r="W159" i="14" s="1"/>
  <c r="AB158" i="14"/>
  <c r="AC158" i="14" s="1"/>
  <c r="AG158" i="14" s="1"/>
  <c r="V158" i="14"/>
  <c r="S158" i="14"/>
  <c r="R158" i="14"/>
  <c r="O158" i="14"/>
  <c r="J158" i="14"/>
  <c r="G158" i="14"/>
  <c r="AB157" i="14"/>
  <c r="AC157" i="14" s="1"/>
  <c r="AG157" i="14" s="1"/>
  <c r="V157" i="14"/>
  <c r="S157" i="14"/>
  <c r="R157" i="14"/>
  <c r="P157" i="14"/>
  <c r="O157" i="14"/>
  <c r="J157" i="14"/>
  <c r="G157" i="14"/>
  <c r="AB156" i="14"/>
  <c r="AC156" i="14" s="1"/>
  <c r="AG156" i="14" s="1"/>
  <c r="S156" i="14"/>
  <c r="R156" i="14"/>
  <c r="V156" i="14" s="1"/>
  <c r="P156" i="14"/>
  <c r="O156" i="14"/>
  <c r="J156" i="14"/>
  <c r="G156" i="14"/>
  <c r="M156" i="14" s="1"/>
  <c r="W156" i="14" s="1"/>
  <c r="AG155" i="14"/>
  <c r="AC155" i="14"/>
  <c r="AB155" i="14"/>
  <c r="S155" i="14"/>
  <c r="R155" i="14"/>
  <c r="V155" i="14" s="1"/>
  <c r="O155" i="14"/>
  <c r="J155" i="14"/>
  <c r="G155" i="14"/>
  <c r="M155" i="14" s="1"/>
  <c r="W155" i="14" s="1"/>
  <c r="AB154" i="14"/>
  <c r="AC154" i="14" s="1"/>
  <c r="AG154" i="14" s="1"/>
  <c r="S154" i="14"/>
  <c r="R154" i="14"/>
  <c r="V154" i="14" s="1"/>
  <c r="O154" i="14"/>
  <c r="J154" i="14"/>
  <c r="G154" i="14"/>
  <c r="M154" i="14" s="1"/>
  <c r="W154" i="14" s="1"/>
  <c r="AB153" i="14"/>
  <c r="AC153" i="14" s="1"/>
  <c r="AG153" i="14" s="1"/>
  <c r="V153" i="14"/>
  <c r="S153" i="14"/>
  <c r="R153" i="14"/>
  <c r="P153" i="14"/>
  <c r="O153" i="14"/>
  <c r="J153" i="14"/>
  <c r="G153" i="14"/>
  <c r="AB152" i="14"/>
  <c r="AC152" i="14" s="1"/>
  <c r="AG152" i="14" s="1"/>
  <c r="V152" i="14"/>
  <c r="S152" i="14"/>
  <c r="R152" i="14"/>
  <c r="O152" i="14"/>
  <c r="J152" i="14"/>
  <c r="G152" i="14"/>
  <c r="AD152" i="14" s="1"/>
  <c r="AB151" i="14"/>
  <c r="AC151" i="14" s="1"/>
  <c r="AG151" i="14" s="1"/>
  <c r="U151" i="14"/>
  <c r="AF151" i="14" s="1"/>
  <c r="S151" i="14"/>
  <c r="R151" i="14"/>
  <c r="V151" i="14" s="1"/>
  <c r="Q151" i="14"/>
  <c r="P151" i="14"/>
  <c r="O151" i="14"/>
  <c r="J151" i="14"/>
  <c r="G151" i="14"/>
  <c r="M151" i="14" s="1"/>
  <c r="W151" i="14" s="1"/>
  <c r="AB150" i="14"/>
  <c r="AC150" i="14" s="1"/>
  <c r="AG150" i="14" s="1"/>
  <c r="S150" i="14"/>
  <c r="R150" i="14"/>
  <c r="V150" i="14" s="1"/>
  <c r="P150" i="14"/>
  <c r="O150" i="14"/>
  <c r="J150" i="14"/>
  <c r="G150" i="14"/>
  <c r="AG149" i="14"/>
  <c r="AC149" i="14"/>
  <c r="AB149" i="14"/>
  <c r="S149" i="14"/>
  <c r="R149" i="14"/>
  <c r="V149" i="14" s="1"/>
  <c r="O149" i="14"/>
  <c r="P149" i="14" s="1"/>
  <c r="J149" i="14"/>
  <c r="G149" i="14"/>
  <c r="M149" i="14" s="1"/>
  <c r="W149" i="14" s="1"/>
  <c r="AG148" i="14"/>
  <c r="AB148" i="14"/>
  <c r="AC148" i="14" s="1"/>
  <c r="S148" i="14"/>
  <c r="R148" i="14"/>
  <c r="V148" i="14" s="1"/>
  <c r="P148" i="14"/>
  <c r="Q148" i="14" s="1"/>
  <c r="U148" i="14" s="1"/>
  <c r="AF148" i="14" s="1"/>
  <c r="O148" i="14"/>
  <c r="J148" i="14"/>
  <c r="G148" i="14"/>
  <c r="M148" i="14" s="1"/>
  <c r="W148" i="14" s="1"/>
  <c r="AB147" i="14"/>
  <c r="AC147" i="14" s="1"/>
  <c r="AG147" i="14" s="1"/>
  <c r="V147" i="14"/>
  <c r="S147" i="14"/>
  <c r="R147" i="14"/>
  <c r="O147" i="14"/>
  <c r="J147" i="14"/>
  <c r="G147" i="14"/>
  <c r="M147" i="14" s="1"/>
  <c r="W147" i="14" s="1"/>
  <c r="AG146" i="14"/>
  <c r="AC146" i="14"/>
  <c r="AB146" i="14"/>
  <c r="V146" i="14"/>
  <c r="S146" i="14"/>
  <c r="R146" i="14"/>
  <c r="O146" i="14"/>
  <c r="J146" i="14"/>
  <c r="G146" i="14"/>
  <c r="AD146" i="14" s="1"/>
  <c r="AG145" i="14"/>
  <c r="AB145" i="14"/>
  <c r="AC145" i="14" s="1"/>
  <c r="V145" i="14"/>
  <c r="S145" i="14"/>
  <c r="R145" i="14"/>
  <c r="P145" i="14"/>
  <c r="O145" i="14"/>
  <c r="J145" i="14"/>
  <c r="G145" i="14"/>
  <c r="AB144" i="14"/>
  <c r="AC144" i="14" s="1"/>
  <c r="AG144" i="14" s="1"/>
  <c r="S144" i="14"/>
  <c r="R144" i="14"/>
  <c r="V144" i="14" s="1"/>
  <c r="P144" i="14"/>
  <c r="O144" i="14"/>
  <c r="J144" i="14"/>
  <c r="G144" i="14"/>
  <c r="AB143" i="14"/>
  <c r="AC143" i="14" s="1"/>
  <c r="AG143" i="14" s="1"/>
  <c r="S143" i="14"/>
  <c r="R143" i="14"/>
  <c r="V143" i="14" s="1"/>
  <c r="P143" i="14"/>
  <c r="O143" i="14"/>
  <c r="J143" i="14"/>
  <c r="G143" i="14"/>
  <c r="AB142" i="14"/>
  <c r="AC142" i="14" s="1"/>
  <c r="AG142" i="14" s="1"/>
  <c r="V142" i="14"/>
  <c r="S142" i="14"/>
  <c r="R142" i="14"/>
  <c r="O142" i="14"/>
  <c r="J142" i="14"/>
  <c r="G142" i="14"/>
  <c r="AB141" i="14"/>
  <c r="AC141" i="14" s="1"/>
  <c r="AG141" i="14" s="1"/>
  <c r="V141" i="14"/>
  <c r="S141" i="14"/>
  <c r="R141" i="14"/>
  <c r="O141" i="14"/>
  <c r="J141" i="14"/>
  <c r="G141" i="14"/>
  <c r="AB140" i="14"/>
  <c r="AC140" i="14" s="1"/>
  <c r="AG140" i="14" s="1"/>
  <c r="V140" i="14"/>
  <c r="S140" i="14"/>
  <c r="R140" i="14"/>
  <c r="O140" i="14"/>
  <c r="J140" i="14"/>
  <c r="G140" i="14"/>
  <c r="AB139" i="14"/>
  <c r="AC139" i="14" s="1"/>
  <c r="AG139" i="14" s="1"/>
  <c r="S139" i="14"/>
  <c r="R139" i="14"/>
  <c r="V139" i="14" s="1"/>
  <c r="P139" i="14"/>
  <c r="O139" i="14"/>
  <c r="J139" i="14"/>
  <c r="G139" i="14"/>
  <c r="M139" i="14" s="1"/>
  <c r="W139" i="14" s="1"/>
  <c r="AB138" i="14"/>
  <c r="AC138" i="14" s="1"/>
  <c r="AG138" i="14" s="1"/>
  <c r="V138" i="14"/>
  <c r="S138" i="14"/>
  <c r="R138" i="14"/>
  <c r="P138" i="14"/>
  <c r="O138" i="14"/>
  <c r="J138" i="14"/>
  <c r="G138" i="14"/>
  <c r="AB137" i="14"/>
  <c r="AC137" i="14" s="1"/>
  <c r="AG137" i="14" s="1"/>
  <c r="S137" i="14"/>
  <c r="R137" i="14"/>
  <c r="V137" i="14" s="1"/>
  <c r="P137" i="14"/>
  <c r="O137" i="14"/>
  <c r="J137" i="14"/>
  <c r="G137" i="14"/>
  <c r="AD137" i="14" s="1"/>
  <c r="AG136" i="14"/>
  <c r="AB136" i="14"/>
  <c r="AC136" i="14" s="1"/>
  <c r="S136" i="14"/>
  <c r="R136" i="14"/>
  <c r="V136" i="14" s="1"/>
  <c r="Q136" i="14"/>
  <c r="U136" i="14" s="1"/>
  <c r="AF136" i="14" s="1"/>
  <c r="O136" i="14"/>
  <c r="P136" i="14" s="1"/>
  <c r="J136" i="14"/>
  <c r="G136" i="14"/>
  <c r="AC135" i="14"/>
  <c r="AG135" i="14" s="1"/>
  <c r="AB135" i="14"/>
  <c r="S135" i="14"/>
  <c r="R135" i="14"/>
  <c r="V135" i="14" s="1"/>
  <c r="O135" i="14"/>
  <c r="J135" i="14"/>
  <c r="G135" i="14"/>
  <c r="AG134" i="14"/>
  <c r="AC134" i="14"/>
  <c r="AB134" i="14"/>
  <c r="V134" i="14"/>
  <c r="S134" i="14"/>
  <c r="R134" i="14"/>
  <c r="O134" i="14"/>
  <c r="J134" i="14"/>
  <c r="G134" i="14"/>
  <c r="M134" i="14" s="1"/>
  <c r="W134" i="14" s="1"/>
  <c r="AC133" i="14"/>
  <c r="AG133" i="14" s="1"/>
  <c r="AB133" i="14"/>
  <c r="V133" i="14"/>
  <c r="U133" i="14"/>
  <c r="AF133" i="14" s="1"/>
  <c r="S133" i="14"/>
  <c r="R133" i="14"/>
  <c r="Q133" i="14"/>
  <c r="P133" i="14"/>
  <c r="O133" i="14"/>
  <c r="J133" i="14"/>
  <c r="G133" i="14"/>
  <c r="M133" i="14" s="1"/>
  <c r="W133" i="14" s="1"/>
  <c r="AB132" i="14"/>
  <c r="AC132" i="14" s="1"/>
  <c r="AG132" i="14" s="1"/>
  <c r="S132" i="14"/>
  <c r="R132" i="14"/>
  <c r="V132" i="14" s="1"/>
  <c r="O132" i="14"/>
  <c r="J132" i="14"/>
  <c r="G132" i="14"/>
  <c r="AB131" i="14"/>
  <c r="AC131" i="14" s="1"/>
  <c r="AG131" i="14" s="1"/>
  <c r="V131" i="14"/>
  <c r="S131" i="14"/>
  <c r="R131" i="14"/>
  <c r="P131" i="14"/>
  <c r="O131" i="14"/>
  <c r="J131" i="14"/>
  <c r="G131" i="14"/>
  <c r="AD131" i="14" s="1"/>
  <c r="AB130" i="14"/>
  <c r="AC130" i="14" s="1"/>
  <c r="AG130" i="14" s="1"/>
  <c r="V130" i="14"/>
  <c r="S130" i="14"/>
  <c r="R130" i="14"/>
  <c r="Q130" i="14"/>
  <c r="U130" i="14" s="1"/>
  <c r="AF130" i="14" s="1"/>
  <c r="P130" i="14"/>
  <c r="O130" i="14"/>
  <c r="J130" i="14"/>
  <c r="G130" i="14"/>
  <c r="M130" i="14" s="1"/>
  <c r="W130" i="14" s="1"/>
  <c r="AB129" i="14"/>
  <c r="AC129" i="14" s="1"/>
  <c r="AG129" i="14" s="1"/>
  <c r="S129" i="14"/>
  <c r="R129" i="14"/>
  <c r="V129" i="14" s="1"/>
  <c r="O129" i="14"/>
  <c r="J129" i="14"/>
  <c r="G129" i="14"/>
  <c r="AB128" i="14"/>
  <c r="AC128" i="14" s="1"/>
  <c r="AG128" i="14" s="1"/>
  <c r="S128" i="14"/>
  <c r="R128" i="14"/>
  <c r="V128" i="14" s="1"/>
  <c r="P128" i="14"/>
  <c r="O128" i="14"/>
  <c r="J128" i="14"/>
  <c r="G128" i="14"/>
  <c r="AB127" i="14"/>
  <c r="AC127" i="14" s="1"/>
  <c r="AG127" i="14" s="1"/>
  <c r="V127" i="14"/>
  <c r="S127" i="14"/>
  <c r="R127" i="14"/>
  <c r="O127" i="14"/>
  <c r="J127" i="14"/>
  <c r="G127" i="14"/>
  <c r="M127" i="14" s="1"/>
  <c r="W127" i="14" s="1"/>
  <c r="AC126" i="14"/>
  <c r="AG126" i="14" s="1"/>
  <c r="AB126" i="14"/>
  <c r="S126" i="14"/>
  <c r="R126" i="14"/>
  <c r="V126" i="14" s="1"/>
  <c r="O126" i="14"/>
  <c r="J126" i="14"/>
  <c r="G126" i="14"/>
  <c r="AD126" i="14" s="1"/>
  <c r="AG125" i="14"/>
  <c r="AB125" i="14"/>
  <c r="AC125" i="14" s="1"/>
  <c r="V125" i="14"/>
  <c r="S125" i="14"/>
  <c r="R125" i="14"/>
  <c r="P125" i="14"/>
  <c r="O125" i="14"/>
  <c r="J125" i="14"/>
  <c r="G125" i="14"/>
  <c r="M125" i="14" s="1"/>
  <c r="W125" i="14" s="1"/>
  <c r="AG124" i="14"/>
  <c r="AC124" i="14"/>
  <c r="AB124" i="14"/>
  <c r="S124" i="14"/>
  <c r="R124" i="14"/>
  <c r="V124" i="14" s="1"/>
  <c r="P124" i="14"/>
  <c r="O124" i="14"/>
  <c r="J124" i="14"/>
  <c r="G124" i="14"/>
  <c r="AB123" i="14"/>
  <c r="AC123" i="14" s="1"/>
  <c r="AG123" i="14" s="1"/>
  <c r="S123" i="14"/>
  <c r="R123" i="14"/>
  <c r="V123" i="14" s="1"/>
  <c r="P123" i="14"/>
  <c r="O123" i="14"/>
  <c r="J123" i="14"/>
  <c r="G123" i="14"/>
  <c r="M123" i="14" s="1"/>
  <c r="W123" i="14" s="1"/>
  <c r="AB122" i="14"/>
  <c r="AC122" i="14" s="1"/>
  <c r="AG122" i="14" s="1"/>
  <c r="S122" i="14"/>
  <c r="R122" i="14"/>
  <c r="V122" i="14" s="1"/>
  <c r="O122" i="14"/>
  <c r="N122" i="14"/>
  <c r="J122" i="14"/>
  <c r="G122" i="14"/>
  <c r="M122" i="14" s="1"/>
  <c r="W122" i="14" s="1"/>
  <c r="AB121" i="14"/>
  <c r="AC121" i="14" s="1"/>
  <c r="AG121" i="14" s="1"/>
  <c r="V121" i="14"/>
  <c r="S121" i="14"/>
  <c r="R121" i="14"/>
  <c r="O121" i="14"/>
  <c r="J121" i="14"/>
  <c r="G121" i="14"/>
  <c r="AG120" i="14"/>
  <c r="AB120" i="14"/>
  <c r="AC120" i="14" s="1"/>
  <c r="S120" i="14"/>
  <c r="R120" i="14"/>
  <c r="V120" i="14" s="1"/>
  <c r="O120" i="14"/>
  <c r="J120" i="14"/>
  <c r="G120" i="14"/>
  <c r="AD120" i="14" s="1"/>
  <c r="AB119" i="14"/>
  <c r="AC119" i="14" s="1"/>
  <c r="AG119" i="14" s="1"/>
  <c r="S119" i="14"/>
  <c r="R119" i="14"/>
  <c r="V119" i="14" s="1"/>
  <c r="P119" i="14"/>
  <c r="O119" i="14"/>
  <c r="J119" i="14"/>
  <c r="G119" i="14"/>
  <c r="M119" i="14" s="1"/>
  <c r="W119" i="14" s="1"/>
  <c r="AB118" i="14"/>
  <c r="AC118" i="14" s="1"/>
  <c r="AG118" i="14" s="1"/>
  <c r="S118" i="14"/>
  <c r="R118" i="14"/>
  <c r="V118" i="14" s="1"/>
  <c r="O118" i="14"/>
  <c r="P118" i="14" s="1"/>
  <c r="J118" i="14"/>
  <c r="G118" i="14"/>
  <c r="M118" i="14" s="1"/>
  <c r="W118" i="14" s="1"/>
  <c r="AC117" i="14"/>
  <c r="AG117" i="14" s="1"/>
  <c r="AB117" i="14"/>
  <c r="S117" i="14"/>
  <c r="R117" i="14"/>
  <c r="V117" i="14" s="1"/>
  <c r="O117" i="14"/>
  <c r="J117" i="14"/>
  <c r="G117" i="14"/>
  <c r="M117" i="14" s="1"/>
  <c r="W117" i="14" s="1"/>
  <c r="AG116" i="14"/>
  <c r="AC116" i="14"/>
  <c r="AB116" i="14"/>
  <c r="V116" i="14"/>
  <c r="S116" i="14"/>
  <c r="R116" i="14"/>
  <c r="O116" i="14"/>
  <c r="J116" i="14"/>
  <c r="G116" i="14"/>
  <c r="AC115" i="14"/>
  <c r="AG115" i="14" s="1"/>
  <c r="AB115" i="14"/>
  <c r="V115" i="14"/>
  <c r="S115" i="14"/>
  <c r="R115" i="14"/>
  <c r="P115" i="14"/>
  <c r="O115" i="14"/>
  <c r="J115" i="14"/>
  <c r="G115" i="14"/>
  <c r="M115" i="14" s="1"/>
  <c r="W115" i="14" s="1"/>
  <c r="AC114" i="14"/>
  <c r="AG114" i="14" s="1"/>
  <c r="AB114" i="14"/>
  <c r="V114" i="14"/>
  <c r="S114" i="14"/>
  <c r="R114" i="14"/>
  <c r="O114" i="14"/>
  <c r="J114" i="14"/>
  <c r="G114" i="14"/>
  <c r="AB113" i="14"/>
  <c r="AC113" i="14" s="1"/>
  <c r="AG113" i="14" s="1"/>
  <c r="V113" i="14"/>
  <c r="S113" i="14"/>
  <c r="R113" i="14"/>
  <c r="P113" i="14"/>
  <c r="O113" i="14"/>
  <c r="N191" i="14" s="1"/>
  <c r="J113" i="14"/>
  <c r="G113" i="14"/>
  <c r="M113" i="14" s="1"/>
  <c r="W113" i="14" s="1"/>
  <c r="AB112" i="14"/>
  <c r="AC112" i="14" s="1"/>
  <c r="AG112" i="14" s="1"/>
  <c r="V112" i="14"/>
  <c r="S112" i="14"/>
  <c r="R112" i="14"/>
  <c r="O112" i="14"/>
  <c r="J112" i="14"/>
  <c r="G112" i="14"/>
  <c r="M112" i="14" s="1"/>
  <c r="W112" i="14" s="1"/>
  <c r="AG111" i="14"/>
  <c r="AB111" i="14"/>
  <c r="AC111" i="14" s="1"/>
  <c r="S111" i="14"/>
  <c r="R111" i="14"/>
  <c r="V111" i="14" s="1"/>
  <c r="O111" i="14"/>
  <c r="J111" i="14"/>
  <c r="G111" i="14"/>
  <c r="AD111" i="14" s="1"/>
  <c r="AB110" i="14"/>
  <c r="AC110" i="14" s="1"/>
  <c r="AG110" i="14" s="1"/>
  <c r="S110" i="14"/>
  <c r="R110" i="14"/>
  <c r="V110" i="14" s="1"/>
  <c r="O110" i="14"/>
  <c r="N110" i="14"/>
  <c r="AE110" i="14" s="1"/>
  <c r="J110" i="14"/>
  <c r="G110" i="14"/>
  <c r="AD110" i="14" s="1"/>
  <c r="AB109" i="14"/>
  <c r="AC109" i="14" s="1"/>
  <c r="AG109" i="14" s="1"/>
  <c r="V109" i="14"/>
  <c r="S109" i="14"/>
  <c r="R109" i="14"/>
  <c r="Q109" i="14"/>
  <c r="U109" i="14" s="1"/>
  <c r="AF109" i="14" s="1"/>
  <c r="P109" i="14"/>
  <c r="O109" i="14"/>
  <c r="J109" i="14"/>
  <c r="G109" i="14"/>
  <c r="M109" i="14" s="1"/>
  <c r="W109" i="14" s="1"/>
  <c r="AB108" i="14"/>
  <c r="AC108" i="14" s="1"/>
  <c r="AG108" i="14" s="1"/>
  <c r="V108" i="14"/>
  <c r="S108" i="14"/>
  <c r="R108" i="14"/>
  <c r="O108" i="14"/>
  <c r="J108" i="14"/>
  <c r="G108" i="14"/>
  <c r="AD108" i="14" s="1"/>
  <c r="AG107" i="14"/>
  <c r="AB107" i="14"/>
  <c r="AC107" i="14" s="1"/>
  <c r="S107" i="14"/>
  <c r="R107" i="14"/>
  <c r="V107" i="14" s="1"/>
  <c r="Q107" i="14"/>
  <c r="U107" i="14" s="1"/>
  <c r="AF107" i="14" s="1"/>
  <c r="P107" i="14"/>
  <c r="O107" i="14"/>
  <c r="J107" i="14"/>
  <c r="G107" i="14"/>
  <c r="M107" i="14" s="1"/>
  <c r="W107" i="14" s="1"/>
  <c r="AC106" i="14"/>
  <c r="AG106" i="14" s="1"/>
  <c r="AB106" i="14"/>
  <c r="S106" i="14"/>
  <c r="R106" i="14"/>
  <c r="V106" i="14" s="1"/>
  <c r="P106" i="14"/>
  <c r="O106" i="14"/>
  <c r="J106" i="14"/>
  <c r="G106" i="14"/>
  <c r="AB105" i="14"/>
  <c r="AC105" i="14" s="1"/>
  <c r="AG105" i="14" s="1"/>
  <c r="U105" i="14"/>
  <c r="AF105" i="14" s="1"/>
  <c r="S105" i="14"/>
  <c r="R105" i="14"/>
  <c r="V105" i="14" s="1"/>
  <c r="Q105" i="14"/>
  <c r="P105" i="14"/>
  <c r="O105" i="14"/>
  <c r="J105" i="14"/>
  <c r="G105" i="14"/>
  <c r="AB104" i="14"/>
  <c r="AC104" i="14" s="1"/>
  <c r="AG104" i="14" s="1"/>
  <c r="S104" i="14"/>
  <c r="R104" i="14"/>
  <c r="V104" i="14" s="1"/>
  <c r="O104" i="14"/>
  <c r="J104" i="14"/>
  <c r="G104" i="14"/>
  <c r="AB103" i="14"/>
  <c r="AC103" i="14" s="1"/>
  <c r="AG103" i="14" s="1"/>
  <c r="V103" i="14"/>
  <c r="S103" i="14"/>
  <c r="R103" i="14"/>
  <c r="O103" i="14"/>
  <c r="J103" i="14"/>
  <c r="G103" i="14"/>
  <c r="AD103" i="14" s="1"/>
  <c r="AC102" i="14"/>
  <c r="AG102" i="14" s="1"/>
  <c r="AB102" i="14"/>
  <c r="S102" i="14"/>
  <c r="R102" i="14"/>
  <c r="V102" i="14" s="1"/>
  <c r="O102" i="14"/>
  <c r="J102" i="14"/>
  <c r="G102" i="14"/>
  <c r="AD102" i="14" s="1"/>
  <c r="AB101" i="14"/>
  <c r="AC101" i="14" s="1"/>
  <c r="AG101" i="14" s="1"/>
  <c r="S101" i="14"/>
  <c r="R101" i="14"/>
  <c r="V101" i="14" s="1"/>
  <c r="Q101" i="14"/>
  <c r="U101" i="14" s="1"/>
  <c r="AF101" i="14" s="1"/>
  <c r="P101" i="14"/>
  <c r="O101" i="14"/>
  <c r="J101" i="14"/>
  <c r="G101" i="14"/>
  <c r="AB100" i="14"/>
  <c r="AC100" i="14" s="1"/>
  <c r="AG100" i="14" s="1"/>
  <c r="S100" i="14"/>
  <c r="R100" i="14"/>
  <c r="V100" i="14" s="1"/>
  <c r="O100" i="14"/>
  <c r="N100" i="14"/>
  <c r="J100" i="14"/>
  <c r="G100" i="14"/>
  <c r="M100" i="14" s="1"/>
  <c r="W100" i="14" s="1"/>
  <c r="AC99" i="14"/>
  <c r="AG99" i="14" s="1"/>
  <c r="AB99" i="14"/>
  <c r="S99" i="14"/>
  <c r="R99" i="14"/>
  <c r="V99" i="14" s="1"/>
  <c r="O99" i="14"/>
  <c r="P99" i="14" s="1"/>
  <c r="J99" i="14"/>
  <c r="G99" i="14"/>
  <c r="M99" i="14" s="1"/>
  <c r="W99" i="14" s="1"/>
  <c r="AG98" i="14"/>
  <c r="AC98" i="14"/>
  <c r="AB98" i="14"/>
  <c r="S98" i="14"/>
  <c r="R98" i="14"/>
  <c r="V98" i="14" s="1"/>
  <c r="O98" i="14"/>
  <c r="J98" i="14"/>
  <c r="G98" i="14"/>
  <c r="M98" i="14" s="1"/>
  <c r="W98" i="14" s="1"/>
  <c r="AC97" i="14"/>
  <c r="AG97" i="14" s="1"/>
  <c r="AB97" i="14"/>
  <c r="V97" i="14"/>
  <c r="S97" i="14"/>
  <c r="R97" i="14"/>
  <c r="Q97" i="14"/>
  <c r="U97" i="14" s="1"/>
  <c r="AF97" i="14" s="1"/>
  <c r="P97" i="14"/>
  <c r="O97" i="14"/>
  <c r="J97" i="14"/>
  <c r="G97" i="14"/>
  <c r="AB96" i="14"/>
  <c r="AC96" i="14" s="1"/>
  <c r="AG96" i="14" s="1"/>
  <c r="V96" i="14"/>
  <c r="S96" i="14"/>
  <c r="R96" i="14"/>
  <c r="O96" i="14"/>
  <c r="J96" i="14"/>
  <c r="G96" i="14"/>
  <c r="AB95" i="14"/>
  <c r="AC95" i="14" s="1"/>
  <c r="AG95" i="14" s="1"/>
  <c r="V95" i="14"/>
  <c r="S95" i="14"/>
  <c r="R95" i="14"/>
  <c r="P95" i="14"/>
  <c r="O95" i="14"/>
  <c r="J95" i="14"/>
  <c r="G95" i="14"/>
  <c r="M95" i="14" s="1"/>
  <c r="W95" i="14" s="1"/>
  <c r="AB94" i="14"/>
  <c r="AC94" i="14" s="1"/>
  <c r="AG94" i="14" s="1"/>
  <c r="V94" i="14"/>
  <c r="S94" i="14"/>
  <c r="R94" i="14"/>
  <c r="O94" i="14"/>
  <c r="J94" i="14"/>
  <c r="G94" i="14"/>
  <c r="M94" i="14" s="1"/>
  <c r="W94" i="14" s="1"/>
  <c r="AB93" i="14"/>
  <c r="AC93" i="14" s="1"/>
  <c r="AG93" i="14" s="1"/>
  <c r="S93" i="14"/>
  <c r="R93" i="14"/>
  <c r="V93" i="14" s="1"/>
  <c r="O93" i="14"/>
  <c r="J93" i="14"/>
  <c r="G93" i="14"/>
  <c r="AD93" i="14" s="1"/>
  <c r="AB92" i="14"/>
  <c r="AC92" i="14" s="1"/>
  <c r="AG92" i="14" s="1"/>
  <c r="S92" i="14"/>
  <c r="R92" i="14"/>
  <c r="V92" i="14" s="1"/>
  <c r="O92" i="14"/>
  <c r="P92" i="14" s="1"/>
  <c r="J92" i="14"/>
  <c r="G92" i="14"/>
  <c r="M92" i="14" s="1"/>
  <c r="W92" i="14" s="1"/>
  <c r="AB91" i="14"/>
  <c r="AC91" i="14" s="1"/>
  <c r="AG91" i="14" s="1"/>
  <c r="V91" i="14"/>
  <c r="S91" i="14"/>
  <c r="R91" i="14"/>
  <c r="O91" i="14"/>
  <c r="J91" i="14"/>
  <c r="G91" i="14"/>
  <c r="M91" i="14" s="1"/>
  <c r="W91" i="14" s="1"/>
  <c r="AB90" i="14"/>
  <c r="AC90" i="14" s="1"/>
  <c r="AG90" i="14" s="1"/>
  <c r="V90" i="14"/>
  <c r="S90" i="14"/>
  <c r="R90" i="14"/>
  <c r="O90" i="14"/>
  <c r="J90" i="14"/>
  <c r="G90" i="14"/>
  <c r="AD90" i="14" s="1"/>
  <c r="AG89" i="14"/>
  <c r="AB89" i="14"/>
  <c r="AC89" i="14" s="1"/>
  <c r="S89" i="14"/>
  <c r="R89" i="14"/>
  <c r="V89" i="14" s="1"/>
  <c r="P89" i="14"/>
  <c r="Q89" i="14" s="1"/>
  <c r="U89" i="14" s="1"/>
  <c r="AF89" i="14" s="1"/>
  <c r="O89" i="14"/>
  <c r="J89" i="14"/>
  <c r="G89" i="14"/>
  <c r="M89" i="14" s="1"/>
  <c r="W89" i="14" s="1"/>
  <c r="AB88" i="14"/>
  <c r="AC88" i="14" s="1"/>
  <c r="AG88" i="14" s="1"/>
  <c r="V88" i="14"/>
  <c r="S88" i="14"/>
  <c r="R88" i="14"/>
  <c r="P88" i="14"/>
  <c r="Q88" i="14" s="1"/>
  <c r="U88" i="14" s="1"/>
  <c r="AF88" i="14" s="1"/>
  <c r="O88" i="14"/>
  <c r="J88" i="14"/>
  <c r="G88" i="14"/>
  <c r="AB87" i="14"/>
  <c r="AC87" i="14" s="1"/>
  <c r="AG87" i="14" s="1"/>
  <c r="U87" i="14"/>
  <c r="AF87" i="14" s="1"/>
  <c r="S87" i="14"/>
  <c r="R87" i="14"/>
  <c r="V87" i="14" s="1"/>
  <c r="Q87" i="14"/>
  <c r="P87" i="14"/>
  <c r="O87" i="14"/>
  <c r="J87" i="14"/>
  <c r="G87" i="14"/>
  <c r="M87" i="14" s="1"/>
  <c r="W87" i="14" s="1"/>
  <c r="AB86" i="14"/>
  <c r="AC86" i="14" s="1"/>
  <c r="AG86" i="14" s="1"/>
  <c r="S86" i="14"/>
  <c r="R86" i="14"/>
  <c r="V86" i="14" s="1"/>
  <c r="O86" i="14"/>
  <c r="N86" i="14"/>
  <c r="J86" i="14"/>
  <c r="G86" i="14"/>
  <c r="AD86" i="14" s="1"/>
  <c r="AB85" i="14"/>
  <c r="AC85" i="14" s="1"/>
  <c r="AG85" i="14" s="1"/>
  <c r="V85" i="14"/>
  <c r="S85" i="14"/>
  <c r="R85" i="14"/>
  <c r="P85" i="14"/>
  <c r="O85" i="14"/>
  <c r="J85" i="14"/>
  <c r="G85" i="14"/>
  <c r="AG84" i="14"/>
  <c r="AC84" i="14"/>
  <c r="AB84" i="14"/>
  <c r="S84" i="14"/>
  <c r="R84" i="14"/>
  <c r="V84" i="14" s="1"/>
  <c r="O84" i="14"/>
  <c r="J84" i="14"/>
  <c r="G84" i="14"/>
  <c r="AG83" i="14"/>
  <c r="AB83" i="14"/>
  <c r="AC83" i="14" s="1"/>
  <c r="S83" i="14"/>
  <c r="R83" i="14"/>
  <c r="V83" i="14" s="1"/>
  <c r="P83" i="14"/>
  <c r="Q83" i="14" s="1"/>
  <c r="U83" i="14" s="1"/>
  <c r="AF83" i="14" s="1"/>
  <c r="O83" i="14"/>
  <c r="J83" i="14"/>
  <c r="G83" i="14"/>
  <c r="M83" i="14" s="1"/>
  <c r="W83" i="14" s="1"/>
  <c r="AB82" i="14"/>
  <c r="AC82" i="14" s="1"/>
  <c r="AG82" i="14" s="1"/>
  <c r="S82" i="14"/>
  <c r="R82" i="14"/>
  <c r="V82" i="14" s="1"/>
  <c r="P82" i="14"/>
  <c r="O82" i="14"/>
  <c r="J82" i="14"/>
  <c r="G82" i="14"/>
  <c r="M82" i="14" s="1"/>
  <c r="W82" i="14" s="1"/>
  <c r="AG81" i="14"/>
  <c r="AC81" i="14"/>
  <c r="AB81" i="14"/>
  <c r="U81" i="14"/>
  <c r="AF81" i="14" s="1"/>
  <c r="S81" i="14"/>
  <c r="R81" i="14"/>
  <c r="V81" i="14" s="1"/>
  <c r="P81" i="14"/>
  <c r="Q81" i="14" s="1"/>
  <c r="O81" i="14"/>
  <c r="J81" i="14"/>
  <c r="G81" i="14"/>
  <c r="AD81" i="14" s="1"/>
  <c r="AG80" i="14"/>
  <c r="AC80" i="14"/>
  <c r="AB80" i="14"/>
  <c r="S80" i="14"/>
  <c r="R80" i="14"/>
  <c r="V80" i="14" s="1"/>
  <c r="Q80" i="14"/>
  <c r="U80" i="14" s="1"/>
  <c r="AF80" i="14" s="1"/>
  <c r="P80" i="14"/>
  <c r="O80" i="14"/>
  <c r="J80" i="14"/>
  <c r="G80" i="14"/>
  <c r="M80" i="14" s="1"/>
  <c r="W80" i="14" s="1"/>
  <c r="AC79" i="14"/>
  <c r="AG79" i="14" s="1"/>
  <c r="AB79" i="14"/>
  <c r="V79" i="14"/>
  <c r="S79" i="14"/>
  <c r="R79" i="14"/>
  <c r="Q79" i="14"/>
  <c r="U79" i="14" s="1"/>
  <c r="AF79" i="14" s="1"/>
  <c r="P79" i="14"/>
  <c r="O79" i="14"/>
  <c r="J79" i="14"/>
  <c r="G79" i="14"/>
  <c r="AD79" i="14" s="1"/>
  <c r="AB78" i="14"/>
  <c r="AC78" i="14" s="1"/>
  <c r="AG78" i="14" s="1"/>
  <c r="S78" i="14"/>
  <c r="R78" i="14"/>
  <c r="V78" i="14" s="1"/>
  <c r="O78" i="14"/>
  <c r="J78" i="14"/>
  <c r="G78" i="14"/>
  <c r="AD78" i="14" s="1"/>
  <c r="AB77" i="14"/>
  <c r="AC77" i="14" s="1"/>
  <c r="AG77" i="14" s="1"/>
  <c r="V77" i="14"/>
  <c r="S77" i="14"/>
  <c r="R77" i="14"/>
  <c r="P77" i="14"/>
  <c r="O77" i="14"/>
  <c r="J77" i="14"/>
  <c r="G77" i="14"/>
  <c r="M77" i="14" s="1"/>
  <c r="W77" i="14" s="1"/>
  <c r="AG76" i="14"/>
  <c r="AC76" i="14"/>
  <c r="AB76" i="14"/>
  <c r="V76" i="14"/>
  <c r="S76" i="14"/>
  <c r="R76" i="14"/>
  <c r="O76" i="14"/>
  <c r="P76" i="14" s="1"/>
  <c r="J76" i="14"/>
  <c r="G76" i="14"/>
  <c r="AB75" i="14"/>
  <c r="AC75" i="14" s="1"/>
  <c r="AG75" i="14" s="1"/>
  <c r="S75" i="14"/>
  <c r="R75" i="14"/>
  <c r="V75" i="14" s="1"/>
  <c r="O75" i="14"/>
  <c r="J75" i="14"/>
  <c r="G75" i="14"/>
  <c r="M75" i="14" s="1"/>
  <c r="W75" i="14" s="1"/>
  <c r="AC74" i="14"/>
  <c r="AG74" i="14" s="1"/>
  <c r="AB74" i="14"/>
  <c r="S74" i="14"/>
  <c r="R74" i="14"/>
  <c r="V74" i="14" s="1"/>
  <c r="P74" i="14"/>
  <c r="O74" i="14"/>
  <c r="J74" i="14"/>
  <c r="G74" i="14"/>
  <c r="M74" i="14" s="1"/>
  <c r="W74" i="14" s="1"/>
  <c r="AB73" i="14"/>
  <c r="AC73" i="14" s="1"/>
  <c r="AG73" i="14" s="1"/>
  <c r="V73" i="14"/>
  <c r="S73" i="14"/>
  <c r="R73" i="14"/>
  <c r="O73" i="14"/>
  <c r="J73" i="14"/>
  <c r="G73" i="14"/>
  <c r="AD73" i="14" s="1"/>
  <c r="AB72" i="14"/>
  <c r="AC72" i="14" s="1"/>
  <c r="AG72" i="14" s="1"/>
  <c r="V72" i="14"/>
  <c r="S72" i="14"/>
  <c r="R72" i="14"/>
  <c r="O72" i="14"/>
  <c r="J72" i="14"/>
  <c r="G72" i="14"/>
  <c r="AG71" i="14"/>
  <c r="AB71" i="14"/>
  <c r="AC71" i="14" s="1"/>
  <c r="S71" i="14"/>
  <c r="R71" i="14"/>
  <c r="V71" i="14" s="1"/>
  <c r="Q71" i="14"/>
  <c r="U71" i="14" s="1"/>
  <c r="AF71" i="14" s="1"/>
  <c r="P71" i="14"/>
  <c r="O71" i="14"/>
  <c r="J71" i="14"/>
  <c r="G71" i="14"/>
  <c r="M71" i="14" s="1"/>
  <c r="W71" i="14" s="1"/>
  <c r="AB70" i="14"/>
  <c r="AC70" i="14" s="1"/>
  <c r="AG70" i="14" s="1"/>
  <c r="V70" i="14"/>
  <c r="S70" i="14"/>
  <c r="R70" i="14"/>
  <c r="P70" i="14"/>
  <c r="Q70" i="14" s="1"/>
  <c r="U70" i="14" s="1"/>
  <c r="AF70" i="14" s="1"/>
  <c r="O70" i="14"/>
  <c r="J70" i="14"/>
  <c r="G70" i="14"/>
  <c r="AC69" i="14"/>
  <c r="AG69" i="14" s="1"/>
  <c r="AB69" i="14"/>
  <c r="S69" i="14"/>
  <c r="R69" i="14"/>
  <c r="V69" i="14" s="1"/>
  <c r="Q69" i="14"/>
  <c r="U69" i="14" s="1"/>
  <c r="AF69" i="14" s="1"/>
  <c r="P69" i="14"/>
  <c r="O69" i="14"/>
  <c r="J69" i="14"/>
  <c r="G69" i="14"/>
  <c r="AD69" i="14" s="1"/>
  <c r="AB68" i="14"/>
  <c r="AC68" i="14" s="1"/>
  <c r="AG68" i="14" s="1"/>
  <c r="V68" i="14"/>
  <c r="S68" i="14"/>
  <c r="R68" i="14"/>
  <c r="O68" i="14"/>
  <c r="J68" i="14"/>
  <c r="G68" i="14"/>
  <c r="AD68" i="14" s="1"/>
  <c r="AC67" i="14"/>
  <c r="AG67" i="14" s="1"/>
  <c r="AB67" i="14"/>
  <c r="V67" i="14"/>
  <c r="S67" i="14"/>
  <c r="R67" i="14"/>
  <c r="P67" i="14"/>
  <c r="Q67" i="14" s="1"/>
  <c r="U67" i="14" s="1"/>
  <c r="AF67" i="14" s="1"/>
  <c r="O67" i="14"/>
  <c r="J67" i="14"/>
  <c r="G67" i="14"/>
  <c r="M67" i="14" s="1"/>
  <c r="W67" i="14" s="1"/>
  <c r="AB66" i="14"/>
  <c r="AC66" i="14" s="1"/>
  <c r="AG66" i="14" s="1"/>
  <c r="V66" i="14"/>
  <c r="S66" i="14"/>
  <c r="R66" i="14"/>
  <c r="O66" i="14"/>
  <c r="J66" i="14"/>
  <c r="G66" i="14"/>
  <c r="AD66" i="14" s="1"/>
  <c r="AG65" i="14"/>
  <c r="AB65" i="14"/>
  <c r="AC65" i="14" s="1"/>
  <c r="S65" i="14"/>
  <c r="R65" i="14"/>
  <c r="V65" i="14" s="1"/>
  <c r="P65" i="14"/>
  <c r="O65" i="14"/>
  <c r="J65" i="14"/>
  <c r="G65" i="14"/>
  <c r="AF64" i="14"/>
  <c r="AC64" i="14"/>
  <c r="AG64" i="14" s="1"/>
  <c r="AB64" i="14"/>
  <c r="S64" i="14"/>
  <c r="R64" i="14"/>
  <c r="V64" i="14" s="1"/>
  <c r="O64" i="14"/>
  <c r="P64" i="14" s="1"/>
  <c r="Q64" i="14" s="1"/>
  <c r="U64" i="14" s="1"/>
  <c r="J64" i="14"/>
  <c r="G64" i="14"/>
  <c r="AG63" i="14"/>
  <c r="AC63" i="14"/>
  <c r="AB63" i="14"/>
  <c r="S63" i="14"/>
  <c r="R63" i="14"/>
  <c r="V63" i="14" s="1"/>
  <c r="O63" i="14"/>
  <c r="P63" i="14" s="1"/>
  <c r="J63" i="14"/>
  <c r="G63" i="14"/>
  <c r="AD63" i="14" s="1"/>
  <c r="AB62" i="14"/>
  <c r="AC62" i="14" s="1"/>
  <c r="AG62" i="14" s="1"/>
  <c r="V62" i="14"/>
  <c r="S62" i="14"/>
  <c r="R62" i="14"/>
  <c r="O62" i="14"/>
  <c r="J62" i="14"/>
  <c r="G62" i="14"/>
  <c r="M62" i="14" s="1"/>
  <c r="W62" i="14" s="1"/>
  <c r="AG61" i="14"/>
  <c r="AB61" i="14"/>
  <c r="AC61" i="14" s="1"/>
  <c r="S61" i="14"/>
  <c r="R61" i="14"/>
  <c r="V61" i="14" s="1"/>
  <c r="Q61" i="14"/>
  <c r="U61" i="14" s="1"/>
  <c r="AF61" i="14" s="1"/>
  <c r="P61" i="14"/>
  <c r="O61" i="14"/>
  <c r="J61" i="14"/>
  <c r="G61" i="14"/>
  <c r="AC60" i="14"/>
  <c r="AG60" i="14" s="1"/>
  <c r="AB60" i="14"/>
  <c r="V60" i="14"/>
  <c r="S60" i="14"/>
  <c r="R60" i="14"/>
  <c r="O60" i="14"/>
  <c r="J60" i="14"/>
  <c r="G60" i="14"/>
  <c r="AB59" i="14"/>
  <c r="AC59" i="14" s="1"/>
  <c r="AG59" i="14" s="1"/>
  <c r="V59" i="14"/>
  <c r="S59" i="14"/>
  <c r="R59" i="14"/>
  <c r="O59" i="14"/>
  <c r="P59" i="14" s="1"/>
  <c r="J59" i="14"/>
  <c r="G59" i="14"/>
  <c r="M59" i="14" s="1"/>
  <c r="W59" i="14" s="1"/>
  <c r="AC58" i="14"/>
  <c r="AG58" i="14" s="1"/>
  <c r="AB58" i="14"/>
  <c r="S58" i="14"/>
  <c r="R58" i="14"/>
  <c r="V58" i="14" s="1"/>
  <c r="O58" i="14"/>
  <c r="J58" i="14"/>
  <c r="G58" i="14"/>
  <c r="M58" i="14" s="1"/>
  <c r="W58" i="14" s="1"/>
  <c r="AB57" i="14"/>
  <c r="AC57" i="14" s="1"/>
  <c r="AG57" i="14" s="1"/>
  <c r="V57" i="14"/>
  <c r="S57" i="14"/>
  <c r="R57" i="14"/>
  <c r="O57" i="14"/>
  <c r="P57" i="14" s="1"/>
  <c r="J57" i="14"/>
  <c r="G57" i="14"/>
  <c r="AD57" i="14" s="1"/>
  <c r="AB56" i="14"/>
  <c r="AC56" i="14" s="1"/>
  <c r="AG56" i="14" s="1"/>
  <c r="V56" i="14"/>
  <c r="S56" i="14"/>
  <c r="R56" i="14"/>
  <c r="O56" i="14"/>
  <c r="J56" i="14"/>
  <c r="G56" i="14"/>
  <c r="AB55" i="14"/>
  <c r="AC55" i="14" s="1"/>
  <c r="AG55" i="14" s="1"/>
  <c r="S55" i="14"/>
  <c r="R55" i="14"/>
  <c r="V55" i="14" s="1"/>
  <c r="P55" i="14"/>
  <c r="O55" i="14"/>
  <c r="J55" i="14"/>
  <c r="G55" i="14"/>
  <c r="AD55" i="14" s="1"/>
  <c r="AG54" i="14"/>
  <c r="AC54" i="14"/>
  <c r="AB54" i="14"/>
  <c r="S54" i="14"/>
  <c r="R54" i="14"/>
  <c r="V54" i="14" s="1"/>
  <c r="O54" i="14"/>
  <c r="J54" i="14"/>
  <c r="G54" i="14"/>
  <c r="M54" i="14" s="1"/>
  <c r="W54" i="14" s="1"/>
  <c r="AB53" i="14"/>
  <c r="AC53" i="14" s="1"/>
  <c r="AG53" i="14" s="1"/>
  <c r="V53" i="14"/>
  <c r="S53" i="14"/>
  <c r="R53" i="14"/>
  <c r="O53" i="14"/>
  <c r="P53" i="14" s="1"/>
  <c r="J53" i="14"/>
  <c r="G53" i="14"/>
  <c r="M53" i="14" s="1"/>
  <c r="W53" i="14" s="1"/>
  <c r="AB52" i="14"/>
  <c r="AC52" i="14" s="1"/>
  <c r="AG52" i="14" s="1"/>
  <c r="S52" i="14"/>
  <c r="R52" i="14"/>
  <c r="V52" i="14" s="1"/>
  <c r="O52" i="14"/>
  <c r="P52" i="14" s="1"/>
  <c r="J52" i="14"/>
  <c r="G52" i="14"/>
  <c r="AC51" i="14"/>
  <c r="AG51" i="14" s="1"/>
  <c r="AB51" i="14"/>
  <c r="S51" i="14"/>
  <c r="R51" i="14"/>
  <c r="V51" i="14" s="1"/>
  <c r="O51" i="14"/>
  <c r="J51" i="14"/>
  <c r="G51" i="14"/>
  <c r="AB50" i="14"/>
  <c r="AC50" i="14" s="1"/>
  <c r="AG50" i="14" s="1"/>
  <c r="V50" i="14"/>
  <c r="S50" i="14"/>
  <c r="R50" i="14"/>
  <c r="O50" i="14"/>
  <c r="J50" i="14"/>
  <c r="G50" i="14"/>
  <c r="AD50" i="14" s="1"/>
  <c r="AB49" i="14"/>
  <c r="AC49" i="14" s="1"/>
  <c r="AG49" i="14" s="1"/>
  <c r="V49" i="14"/>
  <c r="S49" i="14"/>
  <c r="R49" i="14"/>
  <c r="P49" i="14"/>
  <c r="O49" i="14"/>
  <c r="J49" i="14"/>
  <c r="G49" i="14"/>
  <c r="AG48" i="14"/>
  <c r="AC48" i="14"/>
  <c r="AB48" i="14"/>
  <c r="S48" i="14"/>
  <c r="R48" i="14"/>
  <c r="V48" i="14" s="1"/>
  <c r="O48" i="14"/>
  <c r="P48" i="14" s="1"/>
  <c r="J48" i="14"/>
  <c r="G48" i="14"/>
  <c r="AB47" i="14"/>
  <c r="AC47" i="14" s="1"/>
  <c r="AG47" i="14" s="1"/>
  <c r="S47" i="14"/>
  <c r="R47" i="14"/>
  <c r="V47" i="14" s="1"/>
  <c r="O47" i="14"/>
  <c r="J47" i="14"/>
  <c r="G47" i="14"/>
  <c r="AD47" i="14" s="1"/>
  <c r="AB46" i="14"/>
  <c r="AC46" i="14" s="1"/>
  <c r="AG46" i="14" s="1"/>
  <c r="S46" i="14"/>
  <c r="R46" i="14"/>
  <c r="V46" i="14" s="1"/>
  <c r="O46" i="14"/>
  <c r="P46" i="14" s="1"/>
  <c r="J46" i="14"/>
  <c r="G46" i="14"/>
  <c r="M46" i="14" s="1"/>
  <c r="W46" i="14" s="1"/>
  <c r="AB45" i="14"/>
  <c r="AC45" i="14" s="1"/>
  <c r="AG45" i="14" s="1"/>
  <c r="S45" i="14"/>
  <c r="R45" i="14"/>
  <c r="V45" i="14" s="1"/>
  <c r="O45" i="14"/>
  <c r="J45" i="14"/>
  <c r="G45" i="14"/>
  <c r="M45" i="14" s="1"/>
  <c r="W45" i="14" s="1"/>
  <c r="AG44" i="14"/>
  <c r="AB44" i="14"/>
  <c r="AC44" i="14" s="1"/>
  <c r="V44" i="14"/>
  <c r="S44" i="14"/>
  <c r="R44" i="14"/>
  <c r="P44" i="14"/>
  <c r="O44" i="14"/>
  <c r="J44" i="14"/>
  <c r="G44" i="14"/>
  <c r="AB43" i="14"/>
  <c r="AC43" i="14" s="1"/>
  <c r="AG43" i="14" s="1"/>
  <c r="V43" i="14"/>
  <c r="S43" i="14"/>
  <c r="R43" i="14"/>
  <c r="P43" i="14"/>
  <c r="O43" i="14"/>
  <c r="J43" i="14"/>
  <c r="G43" i="14"/>
  <c r="AD43" i="14" s="1"/>
  <c r="AC42" i="14"/>
  <c r="AG42" i="14" s="1"/>
  <c r="AB42" i="14"/>
  <c r="V42" i="14"/>
  <c r="S42" i="14"/>
  <c r="R42" i="14"/>
  <c r="O42" i="14"/>
  <c r="J42" i="14"/>
  <c r="G42" i="14"/>
  <c r="M42" i="14" s="1"/>
  <c r="W42" i="14" s="1"/>
  <c r="AG41" i="14"/>
  <c r="AB41" i="14"/>
  <c r="AC41" i="14" s="1"/>
  <c r="V41" i="14"/>
  <c r="S41" i="14"/>
  <c r="R41" i="14"/>
  <c r="O41" i="14"/>
  <c r="J41" i="14"/>
  <c r="G41" i="14"/>
  <c r="M41" i="14" s="1"/>
  <c r="W41" i="14" s="1"/>
  <c r="AB40" i="14"/>
  <c r="AC40" i="14" s="1"/>
  <c r="AG40" i="14" s="1"/>
  <c r="S40" i="14"/>
  <c r="R40" i="14"/>
  <c r="V40" i="14" s="1"/>
  <c r="O40" i="14"/>
  <c r="J40" i="14"/>
  <c r="G40" i="14"/>
  <c r="M40" i="14" s="1"/>
  <c r="W40" i="14" s="1"/>
  <c r="AC39" i="14"/>
  <c r="AG39" i="14" s="1"/>
  <c r="AB39" i="14"/>
  <c r="S39" i="14"/>
  <c r="R39" i="14"/>
  <c r="V39" i="14" s="1"/>
  <c r="P39" i="14"/>
  <c r="O39" i="14"/>
  <c r="J39" i="14"/>
  <c r="G39" i="14"/>
  <c r="AD39" i="14" s="1"/>
  <c r="AB38" i="14"/>
  <c r="AC38" i="14" s="1"/>
  <c r="AG38" i="14" s="1"/>
  <c r="V38" i="14"/>
  <c r="S38" i="14"/>
  <c r="R38" i="14"/>
  <c r="O38" i="14"/>
  <c r="J38" i="14"/>
  <c r="G38" i="14"/>
  <c r="M38" i="14" s="1"/>
  <c r="W38" i="14" s="1"/>
  <c r="AG37" i="14"/>
  <c r="AB37" i="14"/>
  <c r="AC37" i="14" s="1"/>
  <c r="V37" i="14"/>
  <c r="S37" i="14"/>
  <c r="R37" i="14"/>
  <c r="Q37" i="14"/>
  <c r="U37" i="14" s="1"/>
  <c r="AF37" i="14" s="1"/>
  <c r="P37" i="14"/>
  <c r="O37" i="14"/>
  <c r="J37" i="14"/>
  <c r="G37" i="14"/>
  <c r="AC36" i="14"/>
  <c r="AG36" i="14" s="1"/>
  <c r="AB36" i="14"/>
  <c r="V36" i="14"/>
  <c r="S36" i="14"/>
  <c r="R36" i="14"/>
  <c r="O36" i="14"/>
  <c r="J36" i="14"/>
  <c r="G36" i="14"/>
  <c r="AB35" i="14"/>
  <c r="AC35" i="14" s="1"/>
  <c r="AG35" i="14" s="1"/>
  <c r="V35" i="14"/>
  <c r="S35" i="14"/>
  <c r="R35" i="14"/>
  <c r="O35" i="14"/>
  <c r="P35" i="14" s="1"/>
  <c r="J35" i="14"/>
  <c r="G35" i="14"/>
  <c r="AD35" i="14" s="1"/>
  <c r="AB34" i="14"/>
  <c r="AC34" i="14" s="1"/>
  <c r="AG34" i="14" s="1"/>
  <c r="S34" i="14"/>
  <c r="R34" i="14"/>
  <c r="V34" i="14" s="1"/>
  <c r="O34" i="14"/>
  <c r="J34" i="14"/>
  <c r="G34" i="14"/>
  <c r="M34" i="14" s="1"/>
  <c r="W34" i="14" s="1"/>
  <c r="AC33" i="14"/>
  <c r="AG33" i="14" s="1"/>
  <c r="AB33" i="14"/>
  <c r="V33" i="14"/>
  <c r="S33" i="14"/>
  <c r="R33" i="14"/>
  <c r="O33" i="14"/>
  <c r="J33" i="14"/>
  <c r="G33" i="14"/>
  <c r="M33" i="14" s="1"/>
  <c r="W33" i="14" s="1"/>
  <c r="AB32" i="14"/>
  <c r="AC32" i="14" s="1"/>
  <c r="AG32" i="14" s="1"/>
  <c r="V32" i="14"/>
  <c r="S32" i="14"/>
  <c r="R32" i="14"/>
  <c r="O32" i="14"/>
  <c r="J32" i="14"/>
  <c r="G32" i="14"/>
  <c r="AD32" i="14" s="1"/>
  <c r="AB31" i="14"/>
  <c r="AC31" i="14" s="1"/>
  <c r="AG31" i="14" s="1"/>
  <c r="S31" i="14"/>
  <c r="R31" i="14"/>
  <c r="V31" i="14" s="1"/>
  <c r="P31" i="14"/>
  <c r="O31" i="14"/>
  <c r="J31" i="14"/>
  <c r="G31" i="14"/>
  <c r="AD31" i="14" s="1"/>
  <c r="AG30" i="14"/>
  <c r="AC30" i="14"/>
  <c r="AB30" i="14"/>
  <c r="S30" i="14"/>
  <c r="R30" i="14"/>
  <c r="V30" i="14" s="1"/>
  <c r="O30" i="14"/>
  <c r="J30" i="14"/>
  <c r="G30" i="14"/>
  <c r="M30" i="14" s="1"/>
  <c r="W30" i="14" s="1"/>
  <c r="AB29" i="14"/>
  <c r="AC29" i="14" s="1"/>
  <c r="AG29" i="14" s="1"/>
  <c r="S29" i="14"/>
  <c r="R29" i="14"/>
  <c r="V29" i="14" s="1"/>
  <c r="O29" i="14"/>
  <c r="P29" i="14" s="1"/>
  <c r="J29" i="14"/>
  <c r="G29" i="14"/>
  <c r="AB28" i="14"/>
  <c r="AC28" i="14" s="1"/>
  <c r="AG28" i="14" s="1"/>
  <c r="S28" i="14"/>
  <c r="R28" i="14"/>
  <c r="V28" i="14" s="1"/>
  <c r="Q28" i="14"/>
  <c r="U28" i="14" s="1"/>
  <c r="AF28" i="14" s="1"/>
  <c r="P28" i="14"/>
  <c r="O28" i="14"/>
  <c r="J28" i="14"/>
  <c r="G28" i="14"/>
  <c r="AB27" i="14"/>
  <c r="AC27" i="14" s="1"/>
  <c r="AG27" i="14" s="1"/>
  <c r="V27" i="14"/>
  <c r="S27" i="14"/>
  <c r="R27" i="14"/>
  <c r="O27" i="14"/>
  <c r="J27" i="14"/>
  <c r="G27" i="14"/>
  <c r="AB26" i="14"/>
  <c r="AC26" i="14" s="1"/>
  <c r="AG26" i="14" s="1"/>
  <c r="V26" i="14"/>
  <c r="S26" i="14"/>
  <c r="R26" i="14"/>
  <c r="O26" i="14"/>
  <c r="J26" i="14"/>
  <c r="G26" i="14"/>
  <c r="M26" i="14" s="1"/>
  <c r="W26" i="14" s="1"/>
  <c r="AB25" i="14"/>
  <c r="AC25" i="14" s="1"/>
  <c r="AG25" i="14" s="1"/>
  <c r="V25" i="14"/>
  <c r="S25" i="14"/>
  <c r="R25" i="14"/>
  <c r="P25" i="14"/>
  <c r="O25" i="14"/>
  <c r="J25" i="14"/>
  <c r="G25" i="14"/>
  <c r="AC24" i="14"/>
  <c r="AG24" i="14" s="1"/>
  <c r="AB24" i="14"/>
  <c r="S24" i="14"/>
  <c r="R24" i="14"/>
  <c r="V24" i="14" s="1"/>
  <c r="O24" i="14"/>
  <c r="J24" i="14"/>
  <c r="G24" i="14"/>
  <c r="M24" i="14" s="1"/>
  <c r="W24" i="14" s="1"/>
  <c r="AG23" i="14"/>
  <c r="AC23" i="14"/>
  <c r="AB23" i="14"/>
  <c r="S23" i="14"/>
  <c r="R23" i="14"/>
  <c r="V23" i="14" s="1"/>
  <c r="O23" i="14"/>
  <c r="N18" i="14" s="1"/>
  <c r="J23" i="14"/>
  <c r="G23" i="14"/>
  <c r="M23" i="14" s="1"/>
  <c r="W23" i="14" s="1"/>
  <c r="AB22" i="14"/>
  <c r="AC22" i="14" s="1"/>
  <c r="AG22" i="14" s="1"/>
  <c r="V22" i="14"/>
  <c r="S22" i="14"/>
  <c r="R22" i="14"/>
  <c r="O22" i="14"/>
  <c r="J22" i="14"/>
  <c r="G22" i="14"/>
  <c r="M22" i="14" s="1"/>
  <c r="W22" i="14" s="1"/>
  <c r="AB21" i="14"/>
  <c r="AC21" i="14" s="1"/>
  <c r="AG21" i="14" s="1"/>
  <c r="S21" i="14"/>
  <c r="R21" i="14"/>
  <c r="V21" i="14" s="1"/>
  <c r="P21" i="14"/>
  <c r="O21" i="14"/>
  <c r="J21" i="14"/>
  <c r="G21" i="14"/>
  <c r="M21" i="14" s="1"/>
  <c r="W21" i="14" s="1"/>
  <c r="AG20" i="14"/>
  <c r="AC20" i="14"/>
  <c r="AB20" i="14"/>
  <c r="S20" i="14"/>
  <c r="R20" i="14"/>
  <c r="V20" i="14" s="1"/>
  <c r="O20" i="14"/>
  <c r="P20" i="14" s="1"/>
  <c r="Q20" i="14" s="1"/>
  <c r="U20" i="14" s="1"/>
  <c r="AF20" i="14" s="1"/>
  <c r="J20" i="14"/>
  <c r="G20" i="14"/>
  <c r="M20" i="14" s="1"/>
  <c r="W20" i="14" s="1"/>
  <c r="AG19" i="14"/>
  <c r="AB19" i="14"/>
  <c r="AC19" i="14" s="1"/>
  <c r="V19" i="14"/>
  <c r="S19" i="14"/>
  <c r="R19" i="14"/>
  <c r="P19" i="14"/>
  <c r="O19" i="14"/>
  <c r="J19" i="14"/>
  <c r="G19" i="14"/>
  <c r="AD19" i="14" s="1"/>
  <c r="AB18" i="14"/>
  <c r="AC18" i="14" s="1"/>
  <c r="AG18" i="14" s="1"/>
  <c r="V18" i="14"/>
  <c r="S18" i="14"/>
  <c r="R18" i="14"/>
  <c r="O18" i="14"/>
  <c r="J18" i="14"/>
  <c r="G18" i="14"/>
  <c r="M18" i="14" s="1"/>
  <c r="W18" i="14" s="1"/>
  <c r="AB17" i="14"/>
  <c r="AC17" i="14" s="1"/>
  <c r="AG17" i="14" s="1"/>
  <c r="S17" i="14"/>
  <c r="R17" i="14"/>
  <c r="V17" i="14" s="1"/>
  <c r="Q17" i="14"/>
  <c r="U17" i="14" s="1"/>
  <c r="AF17" i="14" s="1"/>
  <c r="P17" i="14"/>
  <c r="O17" i="14"/>
  <c r="J17" i="14"/>
  <c r="G17" i="14"/>
  <c r="M17" i="14" s="1"/>
  <c r="W17" i="14" s="1"/>
  <c r="AG16" i="14"/>
  <c r="AC16" i="14"/>
  <c r="AB16" i="14"/>
  <c r="V16" i="14"/>
  <c r="S16" i="14"/>
  <c r="R16" i="14"/>
  <c r="P16" i="14"/>
  <c r="O16" i="14"/>
  <c r="J16" i="14"/>
  <c r="G16" i="14"/>
  <c r="M16" i="14" s="1"/>
  <c r="W16" i="14" s="1"/>
  <c r="AC15" i="14"/>
  <c r="AG15" i="14" s="1"/>
  <c r="AB15" i="14"/>
  <c r="V15" i="14"/>
  <c r="S15" i="14"/>
  <c r="R15" i="14"/>
  <c r="O15" i="14"/>
  <c r="P15" i="14" s="1"/>
  <c r="J15" i="14"/>
  <c r="G15" i="14"/>
  <c r="AD15" i="14" s="1"/>
  <c r="AB14" i="14"/>
  <c r="AC14" i="14" s="1"/>
  <c r="AG14" i="14" s="1"/>
  <c r="V14" i="14"/>
  <c r="S14" i="14"/>
  <c r="R14" i="14"/>
  <c r="O14" i="14"/>
  <c r="J14" i="14"/>
  <c r="G14" i="14"/>
  <c r="M14" i="14" s="1"/>
  <c r="W14" i="14" s="1"/>
  <c r="AB13" i="14"/>
  <c r="AC13" i="14" s="1"/>
  <c r="AG13" i="14" s="1"/>
  <c r="V13" i="14"/>
  <c r="S13" i="14"/>
  <c r="R13" i="14"/>
  <c r="P13" i="14"/>
  <c r="Q13" i="14" s="1"/>
  <c r="U13" i="14" s="1"/>
  <c r="AF13" i="14" s="1"/>
  <c r="O13" i="14"/>
  <c r="J13" i="14"/>
  <c r="G13" i="14"/>
  <c r="M13" i="14" s="1"/>
  <c r="W13" i="14" s="1"/>
  <c r="AG12" i="14"/>
  <c r="AB12" i="14"/>
  <c r="AC12" i="14" s="1"/>
  <c r="S12" i="14"/>
  <c r="R12" i="14"/>
  <c r="V12" i="14" s="1"/>
  <c r="P12" i="14"/>
  <c r="O12" i="14"/>
  <c r="J12" i="14"/>
  <c r="AB11" i="14"/>
  <c r="AC11" i="14" s="1"/>
  <c r="AG11" i="14" s="1"/>
  <c r="V11" i="14"/>
  <c r="S11" i="14"/>
  <c r="R11" i="14"/>
  <c r="O11" i="14"/>
  <c r="P11" i="14" s="1"/>
  <c r="J11" i="14"/>
  <c r="G11" i="14"/>
  <c r="M11" i="14" s="1"/>
  <c r="W11" i="14" s="1"/>
  <c r="AB10" i="14"/>
  <c r="AC10" i="14" s="1"/>
  <c r="AG10" i="14" s="1"/>
  <c r="S10" i="14"/>
  <c r="R10" i="14"/>
  <c r="V10" i="14" s="1"/>
  <c r="P10" i="14"/>
  <c r="O10" i="14"/>
  <c r="N13" i="14" s="1"/>
  <c r="J10" i="14"/>
  <c r="G10" i="14"/>
  <c r="AC9" i="14"/>
  <c r="AG9" i="14" s="1"/>
  <c r="AB9" i="14"/>
  <c r="S9" i="14"/>
  <c r="R9" i="14"/>
  <c r="V9" i="14" s="1"/>
  <c r="P9" i="14"/>
  <c r="O9" i="14"/>
  <c r="J9" i="14"/>
  <c r="G9" i="14"/>
  <c r="M9" i="14" s="1"/>
  <c r="W9" i="14" s="1"/>
  <c r="AC8" i="14"/>
  <c r="AG8" i="14" s="1"/>
  <c r="AB8" i="14"/>
  <c r="S8" i="14"/>
  <c r="R8" i="14"/>
  <c r="V8" i="14" s="1"/>
  <c r="O8" i="14"/>
  <c r="J8" i="14"/>
  <c r="G8" i="14"/>
  <c r="AC7" i="14"/>
  <c r="AG7" i="14" s="1"/>
  <c r="AB7" i="14"/>
  <c r="V7" i="14"/>
  <c r="S7" i="14"/>
  <c r="R7" i="14"/>
  <c r="O7" i="14"/>
  <c r="P7" i="14" s="1"/>
  <c r="J7" i="14"/>
  <c r="G7" i="14"/>
  <c r="AD7" i="14" s="1"/>
  <c r="AB6" i="14"/>
  <c r="AC6" i="14" s="1"/>
  <c r="AG6" i="14" s="1"/>
  <c r="S6" i="14"/>
  <c r="R6" i="14"/>
  <c r="V6" i="14" s="1"/>
  <c r="P6" i="14"/>
  <c r="O6" i="14"/>
  <c r="J6" i="14"/>
  <c r="G6" i="14"/>
  <c r="AD6" i="14" s="1"/>
  <c r="AG5" i="14"/>
  <c r="AB5" i="14"/>
  <c r="AC5" i="14" s="1"/>
  <c r="S5" i="14"/>
  <c r="R5" i="14"/>
  <c r="V5" i="14" s="1"/>
  <c r="P5" i="14"/>
  <c r="O5" i="14"/>
  <c r="J5" i="14"/>
  <c r="G5" i="14"/>
  <c r="AB4" i="14"/>
  <c r="AC4" i="14" s="1"/>
  <c r="AG4" i="14" s="1"/>
  <c r="V4" i="14"/>
  <c r="S4" i="14"/>
  <c r="R4" i="14"/>
  <c r="O4" i="14"/>
  <c r="J4" i="14"/>
  <c r="G4" i="14"/>
  <c r="M4" i="14" s="1"/>
  <c r="W4" i="14" s="1"/>
  <c r="AB3" i="14"/>
  <c r="AC3" i="14" s="1"/>
  <c r="AG3" i="14" s="1"/>
  <c r="S3" i="14"/>
  <c r="R3" i="14"/>
  <c r="V3" i="14" s="1"/>
  <c r="P3" i="14"/>
  <c r="O3" i="14"/>
  <c r="J3" i="14"/>
  <c r="G3" i="14"/>
  <c r="M3" i="14" s="1"/>
  <c r="W3" i="14" s="1"/>
  <c r="AG2" i="14"/>
  <c r="AB2" i="14"/>
  <c r="AC2" i="14" s="1"/>
  <c r="S2" i="14"/>
  <c r="R2" i="14"/>
  <c r="V2" i="14" s="1"/>
  <c r="P2" i="14"/>
  <c r="O2" i="14"/>
  <c r="J2" i="14"/>
  <c r="G2" i="14"/>
  <c r="AD213" i="14" l="1"/>
  <c r="AD202" i="14"/>
  <c r="AD190" i="14"/>
  <c r="AD282" i="14"/>
  <c r="AD244" i="14"/>
  <c r="AD215" i="14"/>
  <c r="AD229" i="14"/>
  <c r="AD284" i="14"/>
  <c r="AD201" i="14"/>
  <c r="AD219" i="14"/>
  <c r="AD252" i="14"/>
  <c r="AD243" i="14"/>
  <c r="AD281" i="14"/>
  <c r="AD211" i="14"/>
  <c r="AD95" i="14"/>
  <c r="AD45" i="14"/>
  <c r="AD3" i="14"/>
  <c r="AD109" i="14"/>
  <c r="AD172" i="14"/>
  <c r="AD38" i="14"/>
  <c r="AD186" i="14"/>
  <c r="AD123" i="14"/>
  <c r="AD159" i="14"/>
  <c r="AD155" i="14"/>
  <c r="M189" i="14"/>
  <c r="W189" i="14" s="1"/>
  <c r="AD154" i="14"/>
  <c r="AD184" i="14"/>
  <c r="AD173" i="14"/>
  <c r="AD26" i="14"/>
  <c r="AD99" i="14"/>
  <c r="AD194" i="14"/>
  <c r="AD100" i="14"/>
  <c r="AD9" i="14"/>
  <c r="AD24" i="14"/>
  <c r="AD127" i="14"/>
  <c r="M108" i="14"/>
  <c r="W108" i="14" s="1"/>
  <c r="AD162" i="14"/>
  <c r="AD14" i="14"/>
  <c r="AD23" i="14"/>
  <c r="AD122" i="14"/>
  <c r="AD13" i="14"/>
  <c r="AD58" i="14"/>
  <c r="AD62" i="14"/>
  <c r="AD71" i="14"/>
  <c r="AD92" i="14"/>
  <c r="AD11" i="14"/>
  <c r="AD54" i="14"/>
  <c r="AD80" i="14"/>
  <c r="AD91" i="14"/>
  <c r="AD160" i="14"/>
  <c r="M192" i="14"/>
  <c r="W192" i="14" s="1"/>
  <c r="M7" i="14"/>
  <c r="W7" i="14" s="1"/>
  <c r="M69" i="14"/>
  <c r="W69" i="14" s="1"/>
  <c r="M183" i="14"/>
  <c r="W183" i="14" s="1"/>
  <c r="M68" i="14"/>
  <c r="W68" i="14" s="1"/>
  <c r="M294" i="14"/>
  <c r="W294" i="14" s="1"/>
  <c r="M288" i="14"/>
  <c r="W288" i="14" s="1"/>
  <c r="AD231" i="14"/>
  <c r="AD195" i="14"/>
  <c r="AD4" i="14"/>
  <c r="AD17" i="14"/>
  <c r="AD41" i="14"/>
  <c r="AD75" i="14"/>
  <c r="AD148" i="14"/>
  <c r="AD22" i="14"/>
  <c r="AD59" i="14"/>
  <c r="AD67" i="14"/>
  <c r="AD112" i="14"/>
  <c r="AD113" i="14"/>
  <c r="AD115" i="14"/>
  <c r="AD119" i="14"/>
  <c r="AD147" i="14"/>
  <c r="AD149" i="14"/>
  <c r="AD168" i="14"/>
  <c r="AD212" i="14"/>
  <c r="AD220" i="14"/>
  <c r="AD262" i="14"/>
  <c r="AD293" i="14"/>
  <c r="AD295" i="14"/>
  <c r="AD297" i="14"/>
  <c r="M6" i="14"/>
  <c r="W6" i="14" s="1"/>
  <c r="M126" i="14"/>
  <c r="W126" i="14" s="1"/>
  <c r="AD178" i="14"/>
  <c r="M290" i="14"/>
  <c r="W290" i="14" s="1"/>
  <c r="M81" i="14"/>
  <c r="W81" i="14" s="1"/>
  <c r="AD171" i="14"/>
  <c r="AD207" i="14"/>
  <c r="AD292" i="14"/>
  <c r="AD20" i="14"/>
  <c r="M55" i="14"/>
  <c r="W55" i="14" s="1"/>
  <c r="AD87" i="14"/>
  <c r="AD151" i="14"/>
  <c r="AD239" i="14"/>
  <c r="AD286" i="14"/>
  <c r="AD18" i="14"/>
  <c r="AD30" i="14"/>
  <c r="AD33" i="14"/>
  <c r="AD53" i="14"/>
  <c r="AD77" i="14"/>
  <c r="AD117" i="14"/>
  <c r="AD169" i="14"/>
  <c r="AD174" i="14"/>
  <c r="AD205" i="14"/>
  <c r="AD263" i="14"/>
  <c r="M222" i="14"/>
  <c r="W222" i="14" s="1"/>
  <c r="AD222" i="14"/>
  <c r="M129" i="14"/>
  <c r="W129" i="14" s="1"/>
  <c r="AD129" i="14"/>
  <c r="AD218" i="14"/>
  <c r="M218" i="14"/>
  <c r="W218" i="14" s="1"/>
  <c r="AD235" i="14"/>
  <c r="M235" i="14"/>
  <c r="W235" i="14" s="1"/>
  <c r="AD255" i="14"/>
  <c r="M255" i="14"/>
  <c r="W255" i="14" s="1"/>
  <c r="M39" i="14"/>
  <c r="W39" i="14" s="1"/>
  <c r="M64" i="14"/>
  <c r="W64" i="14" s="1"/>
  <c r="AD64" i="14"/>
  <c r="M248" i="14"/>
  <c r="W248" i="14" s="1"/>
  <c r="AD248" i="14"/>
  <c r="M268" i="14"/>
  <c r="W268" i="14" s="1"/>
  <c r="AD268" i="14"/>
  <c r="AD51" i="14"/>
  <c r="M51" i="14"/>
  <c r="W51" i="14" s="1"/>
  <c r="M73" i="14"/>
  <c r="W73" i="14" s="1"/>
  <c r="AD143" i="14"/>
  <c r="M143" i="14"/>
  <c r="W143" i="14" s="1"/>
  <c r="M157" i="14"/>
  <c r="W157" i="14" s="1"/>
  <c r="AD157" i="14"/>
  <c r="M257" i="14"/>
  <c r="W257" i="14" s="1"/>
  <c r="AD257" i="14"/>
  <c r="AD25" i="14"/>
  <c r="M25" i="14"/>
  <c r="W25" i="14" s="1"/>
  <c r="AD237" i="14"/>
  <c r="M237" i="14"/>
  <c r="W237" i="14" s="1"/>
  <c r="AD97" i="14"/>
  <c r="M97" i="14"/>
  <c r="W97" i="14" s="1"/>
  <c r="M10" i="14"/>
  <c r="W10" i="14" s="1"/>
  <c r="AD10" i="14"/>
  <c r="M136" i="14"/>
  <c r="W136" i="14" s="1"/>
  <c r="AD136" i="14"/>
  <c r="M196" i="14"/>
  <c r="W196" i="14" s="1"/>
  <c r="AD196" i="14"/>
  <c r="M135" i="14"/>
  <c r="W135" i="14" s="1"/>
  <c r="AD135" i="14"/>
  <c r="M145" i="14"/>
  <c r="W145" i="14" s="1"/>
  <c r="AD145" i="14"/>
  <c r="AD225" i="14"/>
  <c r="M225" i="14"/>
  <c r="W225" i="14" s="1"/>
  <c r="AD276" i="14"/>
  <c r="M276" i="14"/>
  <c r="W276" i="14" s="1"/>
  <c r="M105" i="14"/>
  <c r="W105" i="14" s="1"/>
  <c r="AD105" i="14"/>
  <c r="M256" i="14"/>
  <c r="W256" i="14" s="1"/>
  <c r="AD256" i="14"/>
  <c r="M141" i="14"/>
  <c r="W141" i="14" s="1"/>
  <c r="AD141" i="14"/>
  <c r="M269" i="14"/>
  <c r="W269" i="14" s="1"/>
  <c r="AD269" i="14"/>
  <c r="M296" i="14"/>
  <c r="W296" i="14" s="1"/>
  <c r="AD296" i="14"/>
  <c r="AD65" i="14"/>
  <c r="M65" i="14"/>
  <c r="W65" i="14" s="1"/>
  <c r="M165" i="14"/>
  <c r="W165" i="14" s="1"/>
  <c r="AD165" i="14"/>
  <c r="M200" i="14"/>
  <c r="W200" i="14" s="1"/>
  <c r="AD200" i="14"/>
  <c r="M85" i="14"/>
  <c r="W85" i="14" s="1"/>
  <c r="AD85" i="14"/>
  <c r="M233" i="14"/>
  <c r="W233" i="14" s="1"/>
  <c r="AD233" i="14"/>
  <c r="M254" i="14"/>
  <c r="W254" i="14" s="1"/>
  <c r="AD254" i="14"/>
  <c r="M63" i="14"/>
  <c r="W63" i="14" s="1"/>
  <c r="M266" i="14"/>
  <c r="W266" i="14" s="1"/>
  <c r="AD266" i="14"/>
  <c r="AD161" i="14"/>
  <c r="M161" i="14"/>
  <c r="W161" i="14" s="1"/>
  <c r="M253" i="14"/>
  <c r="W253" i="14" s="1"/>
  <c r="AD253" i="14"/>
  <c r="M210" i="14"/>
  <c r="W210" i="14" s="1"/>
  <c r="AD210" i="14"/>
  <c r="M226" i="14"/>
  <c r="W226" i="14" s="1"/>
  <c r="AD226" i="14"/>
  <c r="AD283" i="14"/>
  <c r="M283" i="14"/>
  <c r="W283" i="14" s="1"/>
  <c r="AD28" i="14"/>
  <c r="M28" i="14"/>
  <c r="W28" i="14" s="1"/>
  <c r="AD29" i="14"/>
  <c r="M29" i="14"/>
  <c r="W29" i="14" s="1"/>
  <c r="AD72" i="14"/>
  <c r="M72" i="14"/>
  <c r="W72" i="14" s="1"/>
  <c r="AD132" i="14"/>
  <c r="M132" i="14"/>
  <c r="W132" i="14" s="1"/>
  <c r="AD251" i="14"/>
  <c r="M251" i="14"/>
  <c r="W251" i="14" s="1"/>
  <c r="M137" i="14"/>
  <c r="W137" i="14" s="1"/>
  <c r="M90" i="14"/>
  <c r="W90" i="14" s="1"/>
  <c r="M193" i="14"/>
  <c r="W193" i="14" s="1"/>
  <c r="M240" i="14"/>
  <c r="W240" i="14" s="1"/>
  <c r="M35" i="14"/>
  <c r="W35" i="14" s="1"/>
  <c r="M93" i="14"/>
  <c r="W93" i="14" s="1"/>
  <c r="M166" i="14"/>
  <c r="W166" i="14" s="1"/>
  <c r="M167" i="14"/>
  <c r="W167" i="14" s="1"/>
  <c r="M247" i="14"/>
  <c r="W247" i="14" s="1"/>
  <c r="M31" i="14"/>
  <c r="W31" i="14" s="1"/>
  <c r="M111" i="14"/>
  <c r="W111" i="14" s="1"/>
  <c r="M179" i="14"/>
  <c r="W179" i="14" s="1"/>
  <c r="AD133" i="14"/>
  <c r="M228" i="14"/>
  <c r="W228" i="14" s="1"/>
  <c r="M15" i="14"/>
  <c r="W15" i="14" s="1"/>
  <c r="M146" i="14"/>
  <c r="W146" i="14" s="1"/>
  <c r="AD46" i="14"/>
  <c r="M110" i="14"/>
  <c r="W110" i="14" s="1"/>
  <c r="AD265" i="14"/>
  <c r="M300" i="14"/>
  <c r="W300" i="14" s="1"/>
  <c r="M246" i="14"/>
  <c r="W246" i="14" s="1"/>
  <c r="M249" i="14"/>
  <c r="W249" i="14" s="1"/>
  <c r="M274" i="14"/>
  <c r="W274" i="14" s="1"/>
  <c r="M47" i="14"/>
  <c r="W47" i="14" s="1"/>
  <c r="M209" i="14"/>
  <c r="W209" i="14" s="1"/>
  <c r="M19" i="14"/>
  <c r="W19" i="14" s="1"/>
  <c r="AD82" i="14"/>
  <c r="AD94" i="14"/>
  <c r="M120" i="14"/>
  <c r="W120" i="14" s="1"/>
  <c r="AD163" i="14"/>
  <c r="M170" i="14"/>
  <c r="W170" i="14" s="1"/>
  <c r="AD264" i="14"/>
  <c r="Q57" i="14"/>
  <c r="U57" i="14" s="1"/>
  <c r="AF57" i="14" s="1"/>
  <c r="AE42" i="14"/>
  <c r="AE58" i="14"/>
  <c r="M5" i="14"/>
  <c r="W5" i="14" s="1"/>
  <c r="AD5" i="14"/>
  <c r="P30" i="14"/>
  <c r="AE50" i="14"/>
  <c r="P50" i="14"/>
  <c r="Q10" i="14"/>
  <c r="U10" i="14" s="1"/>
  <c r="AF10" i="14" s="1"/>
  <c r="Q16" i="14"/>
  <c r="U16" i="14" s="1"/>
  <c r="AF16" i="14" s="1"/>
  <c r="N26" i="14"/>
  <c r="Q44" i="14"/>
  <c r="U44" i="14" s="1"/>
  <c r="AF44" i="14" s="1"/>
  <c r="T122" i="14"/>
  <c r="P122" i="14"/>
  <c r="AE122" i="14"/>
  <c r="N120" i="14"/>
  <c r="N141" i="14"/>
  <c r="T141" i="14" s="1"/>
  <c r="N118" i="14"/>
  <c r="N184" i="14"/>
  <c r="N135" i="14"/>
  <c r="Q185" i="14"/>
  <c r="U185" i="14" s="1"/>
  <c r="AF185" i="14" s="1"/>
  <c r="M221" i="14"/>
  <c r="W221" i="14" s="1"/>
  <c r="AD221" i="14"/>
  <c r="AE26" i="14"/>
  <c r="P26" i="14"/>
  <c r="N55" i="14"/>
  <c r="Q63" i="14"/>
  <c r="U63" i="14" s="1"/>
  <c r="AF63" i="14" s="1"/>
  <c r="M128" i="14"/>
  <c r="W128" i="14" s="1"/>
  <c r="AD128" i="14"/>
  <c r="N170" i="14"/>
  <c r="AE170" i="14" s="1"/>
  <c r="AD204" i="14"/>
  <c r="M204" i="14"/>
  <c r="W204" i="14" s="1"/>
  <c r="M278" i="14"/>
  <c r="W278" i="14" s="1"/>
  <c r="AD278" i="14"/>
  <c r="T50" i="14"/>
  <c r="N173" i="14"/>
  <c r="AE173" i="14" s="1"/>
  <c r="Q5" i="14"/>
  <c r="U5" i="14" s="1"/>
  <c r="AF5" i="14" s="1"/>
  <c r="T111" i="14"/>
  <c r="N152" i="14"/>
  <c r="Q7" i="14"/>
  <c r="U7" i="14" s="1"/>
  <c r="AF7" i="14" s="1"/>
  <c r="Q31" i="14"/>
  <c r="U31" i="14" s="1"/>
  <c r="AF31" i="14" s="1"/>
  <c r="AD34" i="14"/>
  <c r="Q86" i="14"/>
  <c r="U86" i="14" s="1"/>
  <c r="AF86" i="14" s="1"/>
  <c r="AD121" i="14"/>
  <c r="M121" i="14"/>
  <c r="W121" i="14" s="1"/>
  <c r="Q149" i="14"/>
  <c r="U149" i="14" s="1"/>
  <c r="AF149" i="14" s="1"/>
  <c r="T189" i="14"/>
  <c r="AE189" i="14"/>
  <c r="P189" i="14"/>
  <c r="M223" i="14"/>
  <c r="W223" i="14" s="1"/>
  <c r="AD223" i="14"/>
  <c r="M250" i="14"/>
  <c r="W250" i="14" s="1"/>
  <c r="AD250" i="14"/>
  <c r="AD44" i="14"/>
  <c r="M44" i="14"/>
  <c r="W44" i="14" s="1"/>
  <c r="Q55" i="14"/>
  <c r="U55" i="14" s="1"/>
  <c r="AF55" i="14" s="1"/>
  <c r="N25" i="14"/>
  <c r="Q42" i="14"/>
  <c r="U42" i="14" s="1"/>
  <c r="AF42" i="14" s="1"/>
  <c r="AD49" i="14"/>
  <c r="M49" i="14"/>
  <c r="W49" i="14" s="1"/>
  <c r="N69" i="14"/>
  <c r="T191" i="14"/>
  <c r="AE191" i="14"/>
  <c r="AE289" i="14"/>
  <c r="T289" i="14"/>
  <c r="Q34" i="14"/>
  <c r="U34" i="14" s="1"/>
  <c r="AF34" i="14" s="1"/>
  <c r="P42" i="14"/>
  <c r="Q49" i="14"/>
  <c r="U49" i="14" s="1"/>
  <c r="AF49" i="14" s="1"/>
  <c r="N58" i="14"/>
  <c r="P160" i="14"/>
  <c r="N177" i="14"/>
  <c r="M216" i="14"/>
  <c r="W216" i="14" s="1"/>
  <c r="T284" i="14"/>
  <c r="P284" i="14"/>
  <c r="AE284" i="14"/>
  <c r="T54" i="14"/>
  <c r="T58" i="14"/>
  <c r="P58" i="14"/>
  <c r="AD84" i="14"/>
  <c r="M84" i="14"/>
  <c r="W84" i="14" s="1"/>
  <c r="N216" i="14"/>
  <c r="Q15" i="14"/>
  <c r="U15" i="14" s="1"/>
  <c r="AF15" i="14" s="1"/>
  <c r="P54" i="14"/>
  <c r="Q84" i="14"/>
  <c r="U84" i="14" s="1"/>
  <c r="AF84" i="14" s="1"/>
  <c r="Q108" i="14"/>
  <c r="U108" i="14" s="1"/>
  <c r="AF108" i="14" s="1"/>
  <c r="N231" i="14"/>
  <c r="T231" i="14" s="1"/>
  <c r="Q240" i="14"/>
  <c r="U240" i="14" s="1"/>
  <c r="AF240" i="14" s="1"/>
  <c r="Q253" i="14"/>
  <c r="U253" i="14" s="1"/>
  <c r="AF253" i="14" s="1"/>
  <c r="M8" i="14"/>
  <c r="W8" i="14" s="1"/>
  <c r="AD8" i="14"/>
  <c r="Q11" i="14"/>
  <c r="U11" i="14" s="1"/>
  <c r="AF11" i="14" s="1"/>
  <c r="T26" i="14"/>
  <c r="Q118" i="14"/>
  <c r="U118" i="14" s="1"/>
  <c r="AF118" i="14" s="1"/>
  <c r="N23" i="14"/>
  <c r="M48" i="14"/>
  <c r="W48" i="14" s="1"/>
  <c r="AD48" i="14"/>
  <c r="Q85" i="14"/>
  <c r="U85" i="14" s="1"/>
  <c r="AF85" i="14" s="1"/>
  <c r="N108" i="14"/>
  <c r="T108" i="14" s="1"/>
  <c r="Q128" i="14"/>
  <c r="U128" i="14" s="1"/>
  <c r="AF128" i="14" s="1"/>
  <c r="T147" i="14"/>
  <c r="P147" i="14"/>
  <c r="AE147" i="14"/>
  <c r="Q161" i="14"/>
  <c r="U161" i="14" s="1"/>
  <c r="AF161" i="14" s="1"/>
  <c r="AE30" i="14"/>
  <c r="AD104" i="14"/>
  <c r="M104" i="14"/>
  <c r="W104" i="14" s="1"/>
  <c r="P108" i="14"/>
  <c r="Q153" i="14"/>
  <c r="U153" i="14" s="1"/>
  <c r="AF153" i="14" s="1"/>
  <c r="P246" i="14"/>
  <c r="AD42" i="14"/>
  <c r="T48" i="14"/>
  <c r="AE48" i="14"/>
  <c r="T57" i="14"/>
  <c r="AD114" i="14"/>
  <c r="M114" i="14"/>
  <c r="W114" i="14" s="1"/>
  <c r="Q137" i="14"/>
  <c r="U137" i="14" s="1"/>
  <c r="AF137" i="14" s="1"/>
  <c r="AD2" i="14"/>
  <c r="M2" i="14"/>
  <c r="W2" i="14" s="1"/>
  <c r="AD27" i="14"/>
  <c r="M27" i="14"/>
  <c r="W27" i="14" s="1"/>
  <c r="Q48" i="14"/>
  <c r="U48" i="14" s="1"/>
  <c r="AF48" i="14" s="1"/>
  <c r="AD52" i="14"/>
  <c r="M52" i="14"/>
  <c r="W52" i="14" s="1"/>
  <c r="M86" i="14"/>
  <c r="W86" i="14" s="1"/>
  <c r="M106" i="14"/>
  <c r="W106" i="14" s="1"/>
  <c r="AD106" i="14"/>
  <c r="Q121" i="14"/>
  <c r="U121" i="14" s="1"/>
  <c r="AF121" i="14" s="1"/>
  <c r="Q122" i="14"/>
  <c r="U122" i="14" s="1"/>
  <c r="AF122" i="14" s="1"/>
  <c r="M142" i="14"/>
  <c r="W142" i="14" s="1"/>
  <c r="AD142" i="14"/>
  <c r="M198" i="14"/>
  <c r="W198" i="14" s="1"/>
  <c r="AD198" i="14"/>
  <c r="AD236" i="14"/>
  <c r="M236" i="14"/>
  <c r="W236" i="14" s="1"/>
  <c r="P111" i="14"/>
  <c r="Q139" i="14"/>
  <c r="U139" i="14" s="1"/>
  <c r="AF139" i="14" s="1"/>
  <c r="Q214" i="14"/>
  <c r="U214" i="14" s="1"/>
  <c r="AF214" i="14" s="1"/>
  <c r="Q221" i="14"/>
  <c r="U221" i="14" s="1"/>
  <c r="AF221" i="14" s="1"/>
  <c r="Q258" i="14"/>
  <c r="U258" i="14" s="1"/>
  <c r="AF258" i="14" s="1"/>
  <c r="AE28" i="14"/>
  <c r="N33" i="14"/>
  <c r="AE33" i="14" s="1"/>
  <c r="N41" i="14"/>
  <c r="N51" i="14"/>
  <c r="AE88" i="14"/>
  <c r="Q124" i="14"/>
  <c r="U124" i="14" s="1"/>
  <c r="AF124" i="14" s="1"/>
  <c r="N172" i="14"/>
  <c r="AE240" i="14"/>
  <c r="P240" i="14"/>
  <c r="T41" i="14"/>
  <c r="AE41" i="14"/>
  <c r="Q46" i="14"/>
  <c r="U46" i="14" s="1"/>
  <c r="AF46" i="14" s="1"/>
  <c r="M60" i="14"/>
  <c r="W60" i="14" s="1"/>
  <c r="AD60" i="14"/>
  <c r="Q82" i="14"/>
  <c r="U82" i="14" s="1"/>
  <c r="AF82" i="14" s="1"/>
  <c r="P23" i="14"/>
  <c r="P33" i="14"/>
  <c r="P41" i="14"/>
  <c r="N68" i="14"/>
  <c r="AE68" i="14" s="1"/>
  <c r="Q2" i="14"/>
  <c r="U2" i="14" s="1"/>
  <c r="AF2" i="14" s="1"/>
  <c r="N34" i="14"/>
  <c r="AE34" i="14" s="1"/>
  <c r="N11" i="14"/>
  <c r="AE11" i="14" s="1"/>
  <c r="N255" i="14"/>
  <c r="AE255" i="14" s="1"/>
  <c r="AE10" i="14"/>
  <c r="N73" i="14"/>
  <c r="AE73" i="14" s="1"/>
  <c r="N62" i="14"/>
  <c r="N49" i="14"/>
  <c r="N15" i="14"/>
  <c r="N8" i="14"/>
  <c r="T8" i="14" s="1"/>
  <c r="N4" i="14"/>
  <c r="AE4" i="14" s="1"/>
  <c r="N251" i="14"/>
  <c r="T13" i="14"/>
  <c r="X13" i="14" s="1"/>
  <c r="Y13" i="14" s="1"/>
  <c r="AE13" i="14"/>
  <c r="T16" i="14"/>
  <c r="X16" i="14" s="1"/>
  <c r="Y16" i="14" s="1"/>
  <c r="Q25" i="14"/>
  <c r="U25" i="14" s="1"/>
  <c r="AF25" i="14" s="1"/>
  <c r="AD74" i="14"/>
  <c r="N107" i="14"/>
  <c r="AD139" i="14"/>
  <c r="N159" i="14"/>
  <c r="AE159" i="14" s="1"/>
  <c r="T275" i="14"/>
  <c r="AE275" i="14"/>
  <c r="Q278" i="14"/>
  <c r="U278" i="14" s="1"/>
  <c r="AF278" i="14" s="1"/>
  <c r="Q27" i="14"/>
  <c r="U27" i="14" s="1"/>
  <c r="AF27" i="14" s="1"/>
  <c r="M138" i="14"/>
  <c r="W138" i="14" s="1"/>
  <c r="AD138" i="14"/>
  <c r="Q141" i="14"/>
  <c r="U141" i="14" s="1"/>
  <c r="AF141" i="14" s="1"/>
  <c r="T159" i="14"/>
  <c r="Q188" i="14"/>
  <c r="U188" i="14" s="1"/>
  <c r="AF188" i="14" s="1"/>
  <c r="P216" i="14"/>
  <c r="T255" i="14"/>
  <c r="P255" i="14"/>
  <c r="AE18" i="14"/>
  <c r="T18" i="14"/>
  <c r="T86" i="14"/>
  <c r="P86" i="14"/>
  <c r="N85" i="14"/>
  <c r="N262" i="14"/>
  <c r="T262" i="14" s="1"/>
  <c r="AE87" i="14"/>
  <c r="T100" i="14"/>
  <c r="AE100" i="14"/>
  <c r="M150" i="14"/>
  <c r="W150" i="14" s="1"/>
  <c r="AD150" i="14"/>
  <c r="AE152" i="14"/>
  <c r="P152" i="14"/>
  <c r="T152" i="14"/>
  <c r="Q213" i="14"/>
  <c r="U213" i="14" s="1"/>
  <c r="AF213" i="14" s="1"/>
  <c r="P225" i="14"/>
  <c r="T266" i="14"/>
  <c r="P266" i="14"/>
  <c r="AE266" i="14"/>
  <c r="AE271" i="14"/>
  <c r="T271" i="14"/>
  <c r="P271" i="14"/>
  <c r="P18" i="14"/>
  <c r="AD21" i="14"/>
  <c r="T34" i="14"/>
  <c r="Q39" i="14"/>
  <c r="U39" i="14" s="1"/>
  <c r="AF39" i="14" s="1"/>
  <c r="AD56" i="14"/>
  <c r="M56" i="14"/>
  <c r="W56" i="14" s="1"/>
  <c r="P179" i="14"/>
  <c r="T268" i="14"/>
  <c r="AE268" i="14"/>
  <c r="P268" i="14"/>
  <c r="P4" i="14"/>
  <c r="N80" i="14"/>
  <c r="AE80" i="14" s="1"/>
  <c r="N9" i="14"/>
  <c r="T9" i="14" s="1"/>
  <c r="N82" i="14"/>
  <c r="AE82" i="14" s="1"/>
  <c r="N39" i="14"/>
  <c r="AE39" i="14" s="1"/>
  <c r="N17" i="14"/>
  <c r="N6" i="14"/>
  <c r="N3" i="14"/>
  <c r="N84" i="14"/>
  <c r="N56" i="14"/>
  <c r="N31" i="14"/>
  <c r="N22" i="14"/>
  <c r="T22" i="14" s="1"/>
  <c r="N14" i="14"/>
  <c r="AE14" i="14" s="1"/>
  <c r="N254" i="14"/>
  <c r="AE254" i="14" s="1"/>
  <c r="N64" i="14"/>
  <c r="N63" i="14"/>
  <c r="N46" i="14"/>
  <c r="N43" i="14"/>
  <c r="N35" i="14"/>
  <c r="T35" i="14" s="1"/>
  <c r="N27" i="14"/>
  <c r="AE27" i="14" s="1"/>
  <c r="N47" i="14"/>
  <c r="N93" i="14"/>
  <c r="Q95" i="14"/>
  <c r="U95" i="14" s="1"/>
  <c r="AF95" i="14" s="1"/>
  <c r="Q169" i="14"/>
  <c r="U169" i="14" s="1"/>
  <c r="AF169" i="14" s="1"/>
  <c r="T202" i="14"/>
  <c r="AE32" i="14"/>
  <c r="T32" i="14"/>
  <c r="N38" i="14"/>
  <c r="Q52" i="14"/>
  <c r="U52" i="14" s="1"/>
  <c r="AF52" i="14" s="1"/>
  <c r="N59" i="14"/>
  <c r="T59" i="14" s="1"/>
  <c r="T93" i="14"/>
  <c r="N112" i="14"/>
  <c r="AE112" i="14" s="1"/>
  <c r="AE93" i="14"/>
  <c r="N91" i="14"/>
  <c r="N94" i="14"/>
  <c r="T94" i="14" s="1"/>
  <c r="AD96" i="14"/>
  <c r="M96" i="14"/>
  <c r="W96" i="14" s="1"/>
  <c r="P202" i="14"/>
  <c r="Q242" i="14"/>
  <c r="U242" i="14" s="1"/>
  <c r="AF242" i="14" s="1"/>
  <c r="T11" i="14"/>
  <c r="AE20" i="14"/>
  <c r="N21" i="14"/>
  <c r="T24" i="14"/>
  <c r="P32" i="14"/>
  <c r="P38" i="14"/>
  <c r="P40" i="14"/>
  <c r="M43" i="14"/>
  <c r="W43" i="14" s="1"/>
  <c r="P47" i="14"/>
  <c r="Q59" i="14"/>
  <c r="U59" i="14" s="1"/>
  <c r="AF59" i="14" s="1"/>
  <c r="M66" i="14"/>
  <c r="W66" i="14" s="1"/>
  <c r="N67" i="14"/>
  <c r="AE67" i="14" s="1"/>
  <c r="P93" i="14"/>
  <c r="N117" i="14"/>
  <c r="Q183" i="14"/>
  <c r="U183" i="14" s="1"/>
  <c r="AF183" i="14" s="1"/>
  <c r="Q186" i="14"/>
  <c r="U186" i="14" s="1"/>
  <c r="AF186" i="14" s="1"/>
  <c r="T188" i="14"/>
  <c r="X188" i="14" s="1"/>
  <c r="Y188" i="14" s="1"/>
  <c r="Q194" i="14"/>
  <c r="U194" i="14" s="1"/>
  <c r="AF194" i="14" s="1"/>
  <c r="Q209" i="14"/>
  <c r="U209" i="14" s="1"/>
  <c r="AF209" i="14" s="1"/>
  <c r="N253" i="14"/>
  <c r="T253" i="14" s="1"/>
  <c r="AE216" i="14"/>
  <c r="T216" i="14"/>
  <c r="N225" i="14"/>
  <c r="Q236" i="14"/>
  <c r="U236" i="14" s="1"/>
  <c r="AF236" i="14" s="1"/>
  <c r="AE51" i="14"/>
  <c r="M76" i="14"/>
  <c r="W76" i="14" s="1"/>
  <c r="AD76" i="14"/>
  <c r="N90" i="14"/>
  <c r="T90" i="14" s="1"/>
  <c r="P100" i="14"/>
  <c r="Q102" i="14"/>
  <c r="U102" i="14" s="1"/>
  <c r="AF102" i="14" s="1"/>
  <c r="N104" i="14"/>
  <c r="AE106" i="14"/>
  <c r="M116" i="14"/>
  <c r="W116" i="14" s="1"/>
  <c r="AD116" i="14"/>
  <c r="P135" i="14"/>
  <c r="Q138" i="14"/>
  <c r="U138" i="14" s="1"/>
  <c r="AF138" i="14" s="1"/>
  <c r="P159" i="14"/>
  <c r="P184" i="14"/>
  <c r="N7" i="14"/>
  <c r="Q21" i="14"/>
  <c r="U21" i="14" s="1"/>
  <c r="AF21" i="14" s="1"/>
  <c r="P34" i="14"/>
  <c r="Q65" i="14"/>
  <c r="U65" i="14" s="1"/>
  <c r="AF65" i="14" s="1"/>
  <c r="P73" i="14"/>
  <c r="T75" i="14"/>
  <c r="AE75" i="14"/>
  <c r="Q92" i="14"/>
  <c r="U92" i="14" s="1"/>
  <c r="AF92" i="14" s="1"/>
  <c r="M102" i="14"/>
  <c r="W102" i="14" s="1"/>
  <c r="P104" i="14"/>
  <c r="Q106" i="14"/>
  <c r="U106" i="14" s="1"/>
  <c r="AF106" i="14" s="1"/>
  <c r="P167" i="14"/>
  <c r="AE167" i="14"/>
  <c r="Q43" i="14"/>
  <c r="U43" i="14" s="1"/>
  <c r="AF43" i="14" s="1"/>
  <c r="P45" i="14"/>
  <c r="P62" i="14"/>
  <c r="Q66" i="14"/>
  <c r="U66" i="14" s="1"/>
  <c r="AF66" i="14" s="1"/>
  <c r="M70" i="14"/>
  <c r="W70" i="14" s="1"/>
  <c r="AD70" i="14"/>
  <c r="Q74" i="14"/>
  <c r="U74" i="14" s="1"/>
  <c r="AF74" i="14" s="1"/>
  <c r="P75" i="14"/>
  <c r="Q77" i="14"/>
  <c r="U77" i="14" s="1"/>
  <c r="AF77" i="14" s="1"/>
  <c r="N102" i="14"/>
  <c r="AE120" i="14"/>
  <c r="P120" i="14"/>
  <c r="T120" i="14"/>
  <c r="T149" i="14"/>
  <c r="AE149" i="14"/>
  <c r="Q150" i="14"/>
  <c r="U150" i="14" s="1"/>
  <c r="AF150" i="14" s="1"/>
  <c r="N201" i="14"/>
  <c r="AE201" i="14" s="1"/>
  <c r="Q229" i="14"/>
  <c r="U229" i="14" s="1"/>
  <c r="AF229" i="14" s="1"/>
  <c r="N296" i="14"/>
  <c r="AE296" i="14" s="1"/>
  <c r="Q3" i="14"/>
  <c r="U3" i="14" s="1"/>
  <c r="AF3" i="14" s="1"/>
  <c r="Q6" i="14"/>
  <c r="U6" i="14" s="1"/>
  <c r="AF6" i="14" s="1"/>
  <c r="N10" i="14"/>
  <c r="T10" i="14" s="1"/>
  <c r="AD16" i="14"/>
  <c r="Q19" i="14"/>
  <c r="U19" i="14" s="1"/>
  <c r="AF19" i="14" s="1"/>
  <c r="AE21" i="14"/>
  <c r="T21" i="14"/>
  <c r="P24" i="14"/>
  <c r="Q29" i="14"/>
  <c r="U29" i="14" s="1"/>
  <c r="AF29" i="14" s="1"/>
  <c r="Q53" i="14"/>
  <c r="U53" i="14" s="1"/>
  <c r="AF53" i="14" s="1"/>
  <c r="N66" i="14"/>
  <c r="T67" i="14"/>
  <c r="X67" i="14" s="1"/>
  <c r="Y67" i="14" s="1"/>
  <c r="AE86" i="14"/>
  <c r="N293" i="14"/>
  <c r="T293" i="14" s="1"/>
  <c r="N154" i="14"/>
  <c r="AE154" i="14" s="1"/>
  <c r="N127" i="14"/>
  <c r="T127" i="14" s="1"/>
  <c r="N176" i="14"/>
  <c r="T176" i="14" s="1"/>
  <c r="N158" i="14"/>
  <c r="T158" i="14" s="1"/>
  <c r="N155" i="14"/>
  <c r="N142" i="14"/>
  <c r="T142" i="14" s="1"/>
  <c r="P117" i="14"/>
  <c r="N197" i="14"/>
  <c r="AE197" i="14" s="1"/>
  <c r="N153" i="14"/>
  <c r="T153" i="14" s="1"/>
  <c r="N140" i="14"/>
  <c r="N129" i="14"/>
  <c r="AE129" i="14" s="1"/>
  <c r="N116" i="14"/>
  <c r="N143" i="14"/>
  <c r="T143" i="14" s="1"/>
  <c r="N207" i="14"/>
  <c r="N130" i="14"/>
  <c r="AE130" i="14" s="1"/>
  <c r="N126" i="14"/>
  <c r="N205" i="14"/>
  <c r="N148" i="14"/>
  <c r="N134" i="14"/>
  <c r="N128" i="14"/>
  <c r="N123" i="14"/>
  <c r="T123" i="14" s="1"/>
  <c r="X123" i="14" s="1"/>
  <c r="Y123" i="14" s="1"/>
  <c r="N121" i="14"/>
  <c r="T121" i="14" s="1"/>
  <c r="N165" i="14"/>
  <c r="T165" i="14" s="1"/>
  <c r="M124" i="14"/>
  <c r="W124" i="14" s="1"/>
  <c r="AD124" i="14"/>
  <c r="AE146" i="14"/>
  <c r="P146" i="14"/>
  <c r="N147" i="14"/>
  <c r="AD158" i="14"/>
  <c r="M158" i="14"/>
  <c r="W158" i="14" s="1"/>
  <c r="N174" i="14"/>
  <c r="M191" i="14"/>
  <c r="W191" i="14" s="1"/>
  <c r="AD191" i="14"/>
  <c r="P193" i="14"/>
  <c r="T196" i="14"/>
  <c r="Q201" i="14"/>
  <c r="U201" i="14" s="1"/>
  <c r="AF201" i="14" s="1"/>
  <c r="M214" i="14"/>
  <c r="W214" i="14" s="1"/>
  <c r="AD214" i="14"/>
  <c r="P219" i="14"/>
  <c r="T219" i="14"/>
  <c r="P231" i="14"/>
  <c r="N246" i="14"/>
  <c r="AE246" i="14" s="1"/>
  <c r="N284" i="14"/>
  <c r="AD260" i="14"/>
  <c r="M260" i="14"/>
  <c r="W260" i="14" s="1"/>
  <c r="P263" i="14"/>
  <c r="AE263" i="14"/>
  <c r="T263" i="14"/>
  <c r="AE290" i="14"/>
  <c r="P296" i="14"/>
  <c r="AD40" i="14"/>
  <c r="AE60" i="14"/>
  <c r="AD61" i="14"/>
  <c r="M61" i="14"/>
  <c r="W61" i="14" s="1"/>
  <c r="M36" i="14"/>
  <c r="W36" i="14" s="1"/>
  <c r="AD36" i="14"/>
  <c r="AE102" i="14"/>
  <c r="P102" i="14"/>
  <c r="T102" i="14"/>
  <c r="T110" i="14"/>
  <c r="P110" i="14"/>
  <c r="Q119" i="14"/>
  <c r="U119" i="14" s="1"/>
  <c r="AF119" i="14" s="1"/>
  <c r="Q123" i="14"/>
  <c r="U123" i="14" s="1"/>
  <c r="AF123" i="14" s="1"/>
  <c r="AD130" i="14"/>
  <c r="AD134" i="14"/>
  <c r="AD140" i="14"/>
  <c r="M140" i="14"/>
  <c r="W140" i="14" s="1"/>
  <c r="T173" i="14"/>
  <c r="T174" i="14"/>
  <c r="P174" i="14"/>
  <c r="AE174" i="14"/>
  <c r="AD206" i="14"/>
  <c r="M206" i="14"/>
  <c r="W206" i="14" s="1"/>
  <c r="N223" i="14"/>
  <c r="T223" i="14" s="1"/>
  <c r="N213" i="14"/>
  <c r="N215" i="14"/>
  <c r="N218" i="14"/>
  <c r="N229" i="14"/>
  <c r="AE220" i="14"/>
  <c r="Q227" i="14"/>
  <c r="U227" i="14" s="1"/>
  <c r="AF227" i="14" s="1"/>
  <c r="AD234" i="14"/>
  <c r="M234" i="14"/>
  <c r="W234" i="14" s="1"/>
  <c r="P290" i="14"/>
  <c r="Q32" i="14"/>
  <c r="U32" i="14" s="1"/>
  <c r="AF32" i="14" s="1"/>
  <c r="Q35" i="14"/>
  <c r="U35" i="14" s="1"/>
  <c r="AF35" i="14" s="1"/>
  <c r="Q36" i="14"/>
  <c r="U36" i="14" s="1"/>
  <c r="AF36" i="14" s="1"/>
  <c r="Q72" i="14"/>
  <c r="U72" i="14" s="1"/>
  <c r="AF72" i="14" s="1"/>
  <c r="Q76" i="14"/>
  <c r="U76" i="14" s="1"/>
  <c r="AF76" i="14" s="1"/>
  <c r="AE94" i="14"/>
  <c r="Q99" i="14"/>
  <c r="U99" i="14" s="1"/>
  <c r="AF99" i="14" s="1"/>
  <c r="M101" i="14"/>
  <c r="W101" i="14" s="1"/>
  <c r="AD101" i="14"/>
  <c r="Q143" i="14"/>
  <c r="U143" i="14" s="1"/>
  <c r="AF143" i="14" s="1"/>
  <c r="AD164" i="14"/>
  <c r="M164" i="14"/>
  <c r="W164" i="14" s="1"/>
  <c r="AE165" i="14"/>
  <c r="P173" i="14"/>
  <c r="N209" i="14"/>
  <c r="AE209" i="14" s="1"/>
  <c r="P212" i="14"/>
  <c r="Q241" i="14"/>
  <c r="U241" i="14" s="1"/>
  <c r="AF241" i="14" s="1"/>
  <c r="AD245" i="14"/>
  <c r="M245" i="14"/>
  <c r="W245" i="14" s="1"/>
  <c r="AD12" i="14"/>
  <c r="M12" i="14"/>
  <c r="W12" i="14" s="1"/>
  <c r="T14" i="14"/>
  <c r="M32" i="14"/>
  <c r="W32" i="14" s="1"/>
  <c r="AD37" i="14"/>
  <c r="M37" i="14"/>
  <c r="W37" i="14" s="1"/>
  <c r="M50" i="14"/>
  <c r="W50" i="14" s="1"/>
  <c r="Q90" i="14"/>
  <c r="U90" i="14" s="1"/>
  <c r="AF90" i="14" s="1"/>
  <c r="T98" i="14"/>
  <c r="M103" i="14"/>
  <c r="W103" i="14" s="1"/>
  <c r="Q157" i="14"/>
  <c r="U157" i="14" s="1"/>
  <c r="AF157" i="14" s="1"/>
  <c r="Q164" i="14"/>
  <c r="U164" i="14" s="1"/>
  <c r="AF164" i="14" s="1"/>
  <c r="P165" i="14"/>
  <c r="M177" i="14"/>
  <c r="W177" i="14" s="1"/>
  <c r="AD177" i="14"/>
  <c r="AE206" i="14"/>
  <c r="P206" i="14"/>
  <c r="T206" i="14"/>
  <c r="AD208" i="14"/>
  <c r="M208" i="14"/>
  <c r="W208" i="14" s="1"/>
  <c r="M241" i="14"/>
  <c r="W241" i="14" s="1"/>
  <c r="P243" i="14"/>
  <c r="Q245" i="14"/>
  <c r="U245" i="14" s="1"/>
  <c r="AF245" i="14" s="1"/>
  <c r="P256" i="14"/>
  <c r="Q168" i="14"/>
  <c r="U168" i="14" s="1"/>
  <c r="AF168" i="14" s="1"/>
  <c r="AE200" i="14"/>
  <c r="Q239" i="14"/>
  <c r="U239" i="14" s="1"/>
  <c r="AF239" i="14" s="1"/>
  <c r="P254" i="14"/>
  <c r="T254" i="14"/>
  <c r="P22" i="14"/>
  <c r="AE22" i="14"/>
  <c r="Q26" i="14"/>
  <c r="U26" i="14" s="1"/>
  <c r="AF26" i="14" s="1"/>
  <c r="AE56" i="14"/>
  <c r="T56" i="14"/>
  <c r="M57" i="14"/>
  <c r="W57" i="14" s="1"/>
  <c r="P84" i="14"/>
  <c r="N103" i="14"/>
  <c r="T103" i="14" s="1"/>
  <c r="N99" i="14"/>
  <c r="N92" i="14"/>
  <c r="AE92" i="14" s="1"/>
  <c r="AE121" i="14"/>
  <c r="P121" i="14"/>
  <c r="AD270" i="14"/>
  <c r="M270" i="14"/>
  <c r="W270" i="14" s="1"/>
  <c r="N24" i="14"/>
  <c r="AE24" i="14" s="1"/>
  <c r="N61" i="14"/>
  <c r="N53" i="14"/>
  <c r="N45" i="14"/>
  <c r="AE45" i="14" s="1"/>
  <c r="N37" i="14"/>
  <c r="N29" i="14"/>
  <c r="N16" i="14"/>
  <c r="AE16" i="14" s="1"/>
  <c r="N2" i="14"/>
  <c r="N257" i="14"/>
  <c r="N76" i="14"/>
  <c r="T76" i="14" s="1"/>
  <c r="N28" i="14"/>
  <c r="T28" i="14" s="1"/>
  <c r="X28" i="14" s="1"/>
  <c r="Y28" i="14" s="1"/>
  <c r="N259" i="14"/>
  <c r="T259" i="14" s="1"/>
  <c r="N247" i="14"/>
  <c r="AE247" i="14" s="1"/>
  <c r="N81" i="14"/>
  <c r="N74" i="14"/>
  <c r="N72" i="14"/>
  <c r="N44" i="14"/>
  <c r="T44" i="14" s="1"/>
  <c r="N12" i="14"/>
  <c r="T12" i="14" s="1"/>
  <c r="N5" i="14"/>
  <c r="N52" i="14"/>
  <c r="T52" i="14" s="1"/>
  <c r="N19" i="14"/>
  <c r="Q4" i="14"/>
  <c r="U4" i="14" s="1"/>
  <c r="AF4" i="14" s="1"/>
  <c r="AE9" i="14"/>
  <c r="Q12" i="14"/>
  <c r="U12" i="14" s="1"/>
  <c r="AF12" i="14" s="1"/>
  <c r="P14" i="14"/>
  <c r="N20" i="14"/>
  <c r="T20" i="14" s="1"/>
  <c r="X20" i="14" s="1"/>
  <c r="Y20" i="14" s="1"/>
  <c r="N32" i="14"/>
  <c r="N40" i="14"/>
  <c r="T40" i="14" s="1"/>
  <c r="N50" i="14"/>
  <c r="P56" i="14"/>
  <c r="N57" i="14"/>
  <c r="AE57" i="14" s="1"/>
  <c r="N75" i="14"/>
  <c r="M79" i="14"/>
  <c r="W79" i="14" s="1"/>
  <c r="T80" i="14"/>
  <c r="X80" i="14" s="1"/>
  <c r="Y80" i="14" s="1"/>
  <c r="T82" i="14"/>
  <c r="M88" i="14"/>
  <c r="W88" i="14" s="1"/>
  <c r="AD88" i="14"/>
  <c r="P91" i="14"/>
  <c r="P98" i="14"/>
  <c r="P112" i="14"/>
  <c r="Q115" i="14"/>
  <c r="U115" i="14" s="1"/>
  <c r="AF115" i="14" s="1"/>
  <c r="AD125" i="14"/>
  <c r="AE126" i="14"/>
  <c r="P126" i="14"/>
  <c r="T126" i="14"/>
  <c r="T137" i="14"/>
  <c r="M153" i="14"/>
  <c r="W153" i="14" s="1"/>
  <c r="AD153" i="14"/>
  <c r="Q156" i="14"/>
  <c r="U156" i="14" s="1"/>
  <c r="AF156" i="14" s="1"/>
  <c r="P164" i="14"/>
  <c r="Q170" i="14"/>
  <c r="U170" i="14" s="1"/>
  <c r="AF170" i="14" s="1"/>
  <c r="Q171" i="14"/>
  <c r="U171" i="14" s="1"/>
  <c r="AF171" i="14" s="1"/>
  <c r="Q177" i="14"/>
  <c r="U177" i="14" s="1"/>
  <c r="AF177" i="14" s="1"/>
  <c r="Q200" i="14"/>
  <c r="U200" i="14" s="1"/>
  <c r="AF200" i="14" s="1"/>
  <c r="N219" i="14"/>
  <c r="AE219" i="14" s="1"/>
  <c r="Q233" i="14"/>
  <c r="U233" i="14" s="1"/>
  <c r="AF233" i="14" s="1"/>
  <c r="N239" i="14"/>
  <c r="Q266" i="14"/>
  <c r="U266" i="14" s="1"/>
  <c r="AF266" i="14" s="1"/>
  <c r="Q281" i="14"/>
  <c r="U281" i="14" s="1"/>
  <c r="AF281" i="14" s="1"/>
  <c r="N285" i="14"/>
  <c r="Q283" i="14"/>
  <c r="U283" i="14" s="1"/>
  <c r="AF283" i="14" s="1"/>
  <c r="AE66" i="14"/>
  <c r="P66" i="14"/>
  <c r="T66" i="14"/>
  <c r="AE90" i="14"/>
  <c r="P90" i="14"/>
  <c r="N89" i="14"/>
  <c r="N106" i="14"/>
  <c r="T106" i="14" s="1"/>
  <c r="N97" i="14"/>
  <c r="N96" i="14"/>
  <c r="T96" i="14" s="1"/>
  <c r="P94" i="14"/>
  <c r="N105" i="14"/>
  <c r="T105" i="14" s="1"/>
  <c r="AD156" i="14"/>
  <c r="AE176" i="14"/>
  <c r="P176" i="14"/>
  <c r="AE208" i="14"/>
  <c r="M232" i="14"/>
  <c r="W232" i="14" s="1"/>
  <c r="AD232" i="14"/>
  <c r="M291" i="14"/>
  <c r="W291" i="14" s="1"/>
  <c r="AD291" i="14"/>
  <c r="P8" i="14"/>
  <c r="Q9" i="14"/>
  <c r="U9" i="14" s="1"/>
  <c r="AF9" i="14" s="1"/>
  <c r="P27" i="14"/>
  <c r="P36" i="14"/>
  <c r="P51" i="14"/>
  <c r="AE52" i="14"/>
  <c r="P60" i="14"/>
  <c r="Q60" i="14" s="1"/>
  <c r="U60" i="14" s="1"/>
  <c r="AF60" i="14" s="1"/>
  <c r="AD83" i="14"/>
  <c r="P103" i="14"/>
  <c r="Q103" i="14" s="1"/>
  <c r="U103" i="14" s="1"/>
  <c r="AF103" i="14" s="1"/>
  <c r="AE105" i="14"/>
  <c r="T116" i="14"/>
  <c r="AE116" i="14"/>
  <c r="AD118" i="14"/>
  <c r="Q125" i="14"/>
  <c r="U125" i="14" s="1"/>
  <c r="AF125" i="14" s="1"/>
  <c r="T129" i="14"/>
  <c r="M131" i="14"/>
  <c r="W131" i="14" s="1"/>
  <c r="AE140" i="14"/>
  <c r="P140" i="14"/>
  <c r="T140" i="14"/>
  <c r="Q152" i="14"/>
  <c r="U152" i="14" s="1"/>
  <c r="AF152" i="14" s="1"/>
  <c r="T154" i="14"/>
  <c r="P155" i="14"/>
  <c r="N162" i="14"/>
  <c r="AE162" i="14" s="1"/>
  <c r="Q167" i="14"/>
  <c r="U167" i="14" s="1"/>
  <c r="AF167" i="14" s="1"/>
  <c r="N168" i="14"/>
  <c r="N180" i="14"/>
  <c r="N204" i="14"/>
  <c r="P208" i="14"/>
  <c r="Q235" i="14"/>
  <c r="U235" i="14" s="1"/>
  <c r="AF235" i="14" s="1"/>
  <c r="T257" i="14"/>
  <c r="AE257" i="14"/>
  <c r="Q265" i="14"/>
  <c r="U265" i="14" s="1"/>
  <c r="AF265" i="14" s="1"/>
  <c r="N276" i="14"/>
  <c r="Q279" i="14"/>
  <c r="U279" i="14" s="1"/>
  <c r="AF279" i="14" s="1"/>
  <c r="Q284" i="14"/>
  <c r="U284" i="14" s="1"/>
  <c r="AF284" i="14" s="1"/>
  <c r="M285" i="14"/>
  <c r="W285" i="14" s="1"/>
  <c r="AD285" i="14"/>
  <c r="N203" i="14"/>
  <c r="AE123" i="14"/>
  <c r="AE143" i="14"/>
  <c r="Q163" i="14"/>
  <c r="U163" i="14" s="1"/>
  <c r="AF163" i="14" s="1"/>
  <c r="P170" i="14"/>
  <c r="Q191" i="14"/>
  <c r="U191" i="14" s="1"/>
  <c r="AF191" i="14" s="1"/>
  <c r="Q204" i="14"/>
  <c r="U204" i="14" s="1"/>
  <c r="AF204" i="14" s="1"/>
  <c r="AD259" i="14"/>
  <c r="M259" i="14"/>
  <c r="W259" i="14" s="1"/>
  <c r="Q276" i="14"/>
  <c r="U276" i="14" s="1"/>
  <c r="AF276" i="14" s="1"/>
  <c r="T51" i="14"/>
  <c r="T68" i="14"/>
  <c r="P68" i="14"/>
  <c r="AD107" i="14"/>
  <c r="Q131" i="14"/>
  <c r="U131" i="14" s="1"/>
  <c r="AF131" i="14" s="1"/>
  <c r="P134" i="14"/>
  <c r="P141" i="14"/>
  <c r="P142" i="14"/>
  <c r="AE142" i="14"/>
  <c r="Q146" i="14"/>
  <c r="U146" i="14" s="1"/>
  <c r="AF146" i="14" s="1"/>
  <c r="AE158" i="14"/>
  <c r="P158" i="14"/>
  <c r="AD175" i="14"/>
  <c r="AD181" i="14"/>
  <c r="AD187" i="14"/>
  <c r="M187" i="14"/>
  <c r="W187" i="14" s="1"/>
  <c r="AE12" i="14"/>
  <c r="Q38" i="14"/>
  <c r="U38" i="14" s="1"/>
  <c r="AF38" i="14" s="1"/>
  <c r="P72" i="14"/>
  <c r="M78" i="14"/>
  <c r="W78" i="14" s="1"/>
  <c r="N273" i="14"/>
  <c r="T273" i="14" s="1"/>
  <c r="N274" i="14"/>
  <c r="N268" i="14"/>
  <c r="N261" i="14"/>
  <c r="AE261" i="14" s="1"/>
  <c r="N260" i="14"/>
  <c r="T260" i="14" s="1"/>
  <c r="N270" i="14"/>
  <c r="N267" i="14"/>
  <c r="T267" i="14" s="1"/>
  <c r="N265" i="14"/>
  <c r="N264" i="14"/>
  <c r="N272" i="14"/>
  <c r="N269" i="14"/>
  <c r="N88" i="14"/>
  <c r="T88" i="14" s="1"/>
  <c r="N87" i="14"/>
  <c r="T87" i="14" s="1"/>
  <c r="X87" i="14" s="1"/>
  <c r="Y87" i="14" s="1"/>
  <c r="AD89" i="14"/>
  <c r="N98" i="14"/>
  <c r="AE98" i="14" s="1"/>
  <c r="AD98" i="14"/>
  <c r="N109" i="14"/>
  <c r="N111" i="14"/>
  <c r="AE111" i="14" s="1"/>
  <c r="Q113" i="14"/>
  <c r="U113" i="14" s="1"/>
  <c r="AF113" i="14" s="1"/>
  <c r="P116" i="14"/>
  <c r="P127" i="14"/>
  <c r="P129" i="14"/>
  <c r="Q144" i="14"/>
  <c r="U144" i="14" s="1"/>
  <c r="AF144" i="14" s="1"/>
  <c r="Q145" i="14"/>
  <c r="U145" i="14" s="1"/>
  <c r="AF145" i="14" s="1"/>
  <c r="N146" i="14"/>
  <c r="T146" i="14" s="1"/>
  <c r="M152" i="14"/>
  <c r="W152" i="14" s="1"/>
  <c r="P154" i="14"/>
  <c r="T162" i="14"/>
  <c r="X162" i="14" s="1"/>
  <c r="Y162" i="14" s="1"/>
  <c r="P182" i="14"/>
  <c r="AD188" i="14"/>
  <c r="T190" i="14"/>
  <c r="X190" i="14" s="1"/>
  <c r="Y190" i="14" s="1"/>
  <c r="AE190" i="14"/>
  <c r="Q192" i="14"/>
  <c r="U192" i="14" s="1"/>
  <c r="AF192" i="14" s="1"/>
  <c r="Q195" i="14"/>
  <c r="U195" i="14" s="1"/>
  <c r="AF195" i="14" s="1"/>
  <c r="P197" i="14"/>
  <c r="AE199" i="14"/>
  <c r="P199" i="14"/>
  <c r="T199" i="14"/>
  <c r="P218" i="14"/>
  <c r="P223" i="14"/>
  <c r="T224" i="14"/>
  <c r="AE224" i="14"/>
  <c r="P224" i="14"/>
  <c r="Q226" i="14"/>
  <c r="U226" i="14" s="1"/>
  <c r="AF226" i="14" s="1"/>
  <c r="Q237" i="14"/>
  <c r="U237" i="14" s="1"/>
  <c r="AF237" i="14" s="1"/>
  <c r="Q238" i="14"/>
  <c r="U238" i="14" s="1"/>
  <c r="AF238" i="14" s="1"/>
  <c r="AD242" i="14"/>
  <c r="M242" i="14"/>
  <c r="W242" i="14" s="1"/>
  <c r="T247" i="14"/>
  <c r="P257" i="14"/>
  <c r="N256" i="14"/>
  <c r="N258" i="14"/>
  <c r="N249" i="14"/>
  <c r="N248" i="14"/>
  <c r="T248" i="14" s="1"/>
  <c r="N245" i="14"/>
  <c r="N250" i="14"/>
  <c r="N244" i="14"/>
  <c r="N252" i="14"/>
  <c r="N83" i="14"/>
  <c r="N77" i="14"/>
  <c r="N71" i="14"/>
  <c r="N65" i="14"/>
  <c r="N70" i="14"/>
  <c r="T70" i="14" s="1"/>
  <c r="N78" i="14"/>
  <c r="T78" i="14" s="1"/>
  <c r="N79" i="14"/>
  <c r="N114" i="14"/>
  <c r="T114" i="14" s="1"/>
  <c r="N115" i="14"/>
  <c r="N124" i="14"/>
  <c r="N132" i="14"/>
  <c r="T132" i="14" s="1"/>
  <c r="N133" i="14"/>
  <c r="Q142" i="14"/>
  <c r="U142" i="14" s="1"/>
  <c r="AF142" i="14" s="1"/>
  <c r="M144" i="14"/>
  <c r="W144" i="14" s="1"/>
  <c r="AD144" i="14"/>
  <c r="N178" i="14"/>
  <c r="AE178" i="14" s="1"/>
  <c r="AD182" i="14"/>
  <c r="M182" i="14"/>
  <c r="W182" i="14" s="1"/>
  <c r="M185" i="14"/>
  <c r="W185" i="14" s="1"/>
  <c r="AD185" i="14"/>
  <c r="N194" i="14"/>
  <c r="N195" i="14"/>
  <c r="Q210" i="14"/>
  <c r="U210" i="14" s="1"/>
  <c r="N211" i="14"/>
  <c r="T211" i="14" s="1"/>
  <c r="X211" i="14" s="1"/>
  <c r="Y211" i="14" s="1"/>
  <c r="AE211" i="14"/>
  <c r="Q225" i="14"/>
  <c r="U225" i="14" s="1"/>
  <c r="AF225" i="14" s="1"/>
  <c r="N235" i="14"/>
  <c r="AD273" i="14"/>
  <c r="M273" i="14"/>
  <c r="W273" i="14" s="1"/>
  <c r="AD277" i="14"/>
  <c r="M277" i="14"/>
  <c r="W277" i="14" s="1"/>
  <c r="N288" i="14"/>
  <c r="AE288" i="14" s="1"/>
  <c r="N30" i="14"/>
  <c r="T30" i="14" s="1"/>
  <c r="N36" i="14"/>
  <c r="N42" i="14"/>
  <c r="T42" i="14" s="1"/>
  <c r="X42" i="14" s="1"/>
  <c r="Y42" i="14" s="1"/>
  <c r="N48" i="14"/>
  <c r="N54" i="14"/>
  <c r="AE54" i="14" s="1"/>
  <c r="N60" i="14"/>
  <c r="T60" i="14" s="1"/>
  <c r="AE78" i="14"/>
  <c r="P78" i="14"/>
  <c r="AE96" i="14"/>
  <c r="P96" i="14"/>
  <c r="AE114" i="14"/>
  <c r="P114" i="14"/>
  <c r="N113" i="14"/>
  <c r="AE132" i="14"/>
  <c r="P132" i="14"/>
  <c r="N137" i="14"/>
  <c r="AE137" i="14" s="1"/>
  <c r="AE150" i="14"/>
  <c r="N160" i="14"/>
  <c r="T160" i="14" s="1"/>
  <c r="N164" i="14"/>
  <c r="AE164" i="14" s="1"/>
  <c r="T178" i="14"/>
  <c r="P178" i="14"/>
  <c r="N179" i="14"/>
  <c r="AD180" i="14"/>
  <c r="Q182" i="14"/>
  <c r="U182" i="14" s="1"/>
  <c r="AF182" i="14" s="1"/>
  <c r="N183" i="14"/>
  <c r="N190" i="14"/>
  <c r="P195" i="14"/>
  <c r="P203" i="14"/>
  <c r="N206" i="14"/>
  <c r="T214" i="14"/>
  <c r="AE214" i="14"/>
  <c r="Q254" i="14"/>
  <c r="U254" i="14" s="1"/>
  <c r="AF254" i="14" s="1"/>
  <c r="M280" i="14"/>
  <c r="W280" i="14" s="1"/>
  <c r="AD280" i="14"/>
  <c r="P288" i="14"/>
  <c r="N290" i="14"/>
  <c r="T290" i="14" s="1"/>
  <c r="N95" i="14"/>
  <c r="N101" i="14"/>
  <c r="N119" i="14"/>
  <c r="N125" i="14"/>
  <c r="N131" i="14"/>
  <c r="N138" i="14"/>
  <c r="N144" i="14"/>
  <c r="N156" i="14"/>
  <c r="T156" i="14" s="1"/>
  <c r="X156" i="14" s="1"/>
  <c r="Y156" i="14" s="1"/>
  <c r="N161" i="14"/>
  <c r="T161" i="14" s="1"/>
  <c r="N166" i="14"/>
  <c r="T172" i="14"/>
  <c r="X172" i="14" s="1"/>
  <c r="Y172" i="14" s="1"/>
  <c r="AE172" i="14"/>
  <c r="Q184" i="14"/>
  <c r="U184" i="14" s="1"/>
  <c r="AF184" i="14" s="1"/>
  <c r="N187" i="14"/>
  <c r="T187" i="14" s="1"/>
  <c r="AD199" i="14"/>
  <c r="M199" i="14"/>
  <c r="W199" i="14" s="1"/>
  <c r="AD203" i="14"/>
  <c r="N287" i="14"/>
  <c r="T287" i="14" s="1"/>
  <c r="N240" i="14"/>
  <c r="T240" i="14" s="1"/>
  <c r="N238" i="14"/>
  <c r="AE238" i="14" s="1"/>
  <c r="N228" i="14"/>
  <c r="N226" i="14"/>
  <c r="T226" i="14" s="1"/>
  <c r="P209" i="14"/>
  <c r="N233" i="14"/>
  <c r="N227" i="14"/>
  <c r="N221" i="14"/>
  <c r="N214" i="14"/>
  <c r="N234" i="14"/>
  <c r="T234" i="14" s="1"/>
  <c r="N224" i="14"/>
  <c r="N217" i="14"/>
  <c r="T217" i="14" s="1"/>
  <c r="N212" i="14"/>
  <c r="T209" i="14"/>
  <c r="N237" i="14"/>
  <c r="AE237" i="14" s="1"/>
  <c r="N230" i="14"/>
  <c r="N222" i="14"/>
  <c r="T222" i="14" s="1"/>
  <c r="N286" i="14"/>
  <c r="Q220" i="14"/>
  <c r="U220" i="14" s="1"/>
  <c r="AF220" i="14" s="1"/>
  <c r="N232" i="14"/>
  <c r="N241" i="14"/>
  <c r="Q250" i="14"/>
  <c r="U250" i="14" s="1"/>
  <c r="AF250" i="14" s="1"/>
  <c r="Q259" i="14"/>
  <c r="U259" i="14" s="1"/>
  <c r="AF259" i="14" s="1"/>
  <c r="AD261" i="14"/>
  <c r="M261" i="14"/>
  <c r="W261" i="14" s="1"/>
  <c r="Q277" i="14"/>
  <c r="U277" i="14" s="1"/>
  <c r="AF277" i="14" s="1"/>
  <c r="N297" i="14"/>
  <c r="N298" i="14"/>
  <c r="N300" i="14"/>
  <c r="T300" i="14" s="1"/>
  <c r="N299" i="14"/>
  <c r="N283" i="14"/>
  <c r="N281" i="14"/>
  <c r="T281" i="14" s="1"/>
  <c r="N279" i="14"/>
  <c r="N295" i="14"/>
  <c r="T295" i="14" s="1"/>
  <c r="N242" i="14"/>
  <c r="N291" i="14"/>
  <c r="T291" i="14" s="1"/>
  <c r="N277" i="14"/>
  <c r="T277" i="14" s="1"/>
  <c r="N208" i="14"/>
  <c r="T208" i="14" s="1"/>
  <c r="N294" i="14"/>
  <c r="AE294" i="14" s="1"/>
  <c r="N243" i="14"/>
  <c r="N280" i="14"/>
  <c r="AE280" i="14" s="1"/>
  <c r="N198" i="14"/>
  <c r="N192" i="14"/>
  <c r="N186" i="14"/>
  <c r="N200" i="14"/>
  <c r="T200" i="14" s="1"/>
  <c r="N199" i="14"/>
  <c r="N185" i="14"/>
  <c r="N282" i="14"/>
  <c r="AE282" i="14" s="1"/>
  <c r="N278" i="14"/>
  <c r="AE278" i="14" s="1"/>
  <c r="N181" i="14"/>
  <c r="N175" i="14"/>
  <c r="N169" i="14"/>
  <c r="N163" i="14"/>
  <c r="N157" i="14"/>
  <c r="N151" i="14"/>
  <c r="N145" i="14"/>
  <c r="N139" i="14"/>
  <c r="N189" i="14"/>
  <c r="N167" i="14"/>
  <c r="T167" i="14" s="1"/>
  <c r="N149" i="14"/>
  <c r="N292" i="14"/>
  <c r="N136" i="14"/>
  <c r="N150" i="14"/>
  <c r="T150" i="14" s="1"/>
  <c r="N171" i="14"/>
  <c r="AD176" i="14"/>
  <c r="M176" i="14"/>
  <c r="W176" i="14" s="1"/>
  <c r="N182" i="14"/>
  <c r="T182" i="14" s="1"/>
  <c r="AE187" i="14"/>
  <c r="P187" i="14"/>
  <c r="N188" i="14"/>
  <c r="AE188" i="14" s="1"/>
  <c r="N193" i="14"/>
  <c r="N196" i="14"/>
  <c r="AE196" i="14" s="1"/>
  <c r="AD197" i="14"/>
  <c r="Q199" i="14"/>
  <c r="U199" i="14" s="1"/>
  <c r="AF199" i="14" s="1"/>
  <c r="N202" i="14"/>
  <c r="AE202" i="14" s="1"/>
  <c r="AE217" i="14"/>
  <c r="N220" i="14"/>
  <c r="T220" i="14" s="1"/>
  <c r="X220" i="14" s="1"/>
  <c r="Y220" i="14" s="1"/>
  <c r="AD227" i="14"/>
  <c r="M227" i="14"/>
  <c r="W227" i="14" s="1"/>
  <c r="P232" i="14"/>
  <c r="N236" i="14"/>
  <c r="AE236" i="14" s="1"/>
  <c r="Q246" i="14"/>
  <c r="U246" i="14" s="1"/>
  <c r="AF246" i="14" s="1"/>
  <c r="Q247" i="14"/>
  <c r="U247" i="14" s="1"/>
  <c r="AF247" i="14" s="1"/>
  <c r="Q249" i="14"/>
  <c r="U249" i="14" s="1"/>
  <c r="AF249" i="14" s="1"/>
  <c r="AD258" i="14"/>
  <c r="M258" i="14"/>
  <c r="W258" i="14" s="1"/>
  <c r="Q261" i="14"/>
  <c r="U261" i="14" s="1"/>
  <c r="AF261" i="14" s="1"/>
  <c r="AD279" i="14"/>
  <c r="M279" i="14"/>
  <c r="W279" i="14" s="1"/>
  <c r="Q198" i="14"/>
  <c r="U198" i="14" s="1"/>
  <c r="AF198" i="14" s="1"/>
  <c r="AE210" i="14"/>
  <c r="AD217" i="14"/>
  <c r="M217" i="14"/>
  <c r="W217" i="14" s="1"/>
  <c r="AD230" i="14"/>
  <c r="M230" i="14"/>
  <c r="W230" i="14" s="1"/>
  <c r="T236" i="14"/>
  <c r="P261" i="14"/>
  <c r="Q217" i="14"/>
  <c r="U217" i="14" s="1"/>
  <c r="AF217" i="14" s="1"/>
  <c r="Q234" i="14"/>
  <c r="U234" i="14" s="1"/>
  <c r="AF234" i="14" s="1"/>
  <c r="AE244" i="14"/>
  <c r="P244" i="14"/>
  <c r="T244" i="14"/>
  <c r="AE252" i="14"/>
  <c r="T252" i="14"/>
  <c r="Q264" i="14"/>
  <c r="U264" i="14" s="1"/>
  <c r="AF264" i="14" s="1"/>
  <c r="AD267" i="14"/>
  <c r="M267" i="14"/>
  <c r="W267" i="14" s="1"/>
  <c r="T274" i="14"/>
  <c r="AE274" i="14"/>
  <c r="P252" i="14"/>
  <c r="P274" i="14"/>
  <c r="Q287" i="14"/>
  <c r="U287" i="14" s="1"/>
  <c r="AF287" i="14" s="1"/>
  <c r="T294" i="14"/>
  <c r="AE222" i="14"/>
  <c r="AD224" i="14"/>
  <c r="T279" i="14"/>
  <c r="AE279" i="14"/>
  <c r="M287" i="14"/>
  <c r="W287" i="14" s="1"/>
  <c r="P294" i="14"/>
  <c r="P234" i="14"/>
  <c r="AE262" i="14"/>
  <c r="P262" i="14"/>
  <c r="AD271" i="14"/>
  <c r="Q288" i="14"/>
  <c r="U288" i="14" s="1"/>
  <c r="AF288" i="14" s="1"/>
  <c r="Q292" i="14"/>
  <c r="U292" i="14" s="1"/>
  <c r="AF292" i="14" s="1"/>
  <c r="Q228" i="14"/>
  <c r="U228" i="14" s="1"/>
  <c r="AF228" i="14" s="1"/>
  <c r="AD238" i="14"/>
  <c r="AE248" i="14"/>
  <c r="P248" i="14"/>
  <c r="Q271" i="14"/>
  <c r="U271" i="14" s="1"/>
  <c r="AF271" i="14" s="1"/>
  <c r="T272" i="14"/>
  <c r="AE272" i="14"/>
  <c r="P272" i="14"/>
  <c r="P278" i="14"/>
  <c r="Q286" i="14"/>
  <c r="U286" i="14" s="1"/>
  <c r="AF286" i="14" s="1"/>
  <c r="AD289" i="14"/>
  <c r="M289" i="14"/>
  <c r="W289" i="14" s="1"/>
  <c r="T280" i="14"/>
  <c r="Q291" i="14"/>
  <c r="U291" i="14" s="1"/>
  <c r="AF291" i="14" s="1"/>
  <c r="AE295" i="14"/>
  <c r="Q222" i="14"/>
  <c r="U222" i="14" s="1"/>
  <c r="AF222" i="14" s="1"/>
  <c r="AE265" i="14"/>
  <c r="T265" i="14"/>
  <c r="Q272" i="14"/>
  <c r="U272" i="14" s="1"/>
  <c r="AF272" i="14" s="1"/>
  <c r="Q275" i="14"/>
  <c r="U275" i="14" s="1"/>
  <c r="AF275" i="14" s="1"/>
  <c r="P280" i="14"/>
  <c r="P295" i="14"/>
  <c r="P265" i="14"/>
  <c r="M272" i="14"/>
  <c r="W272" i="14" s="1"/>
  <c r="AD299" i="14"/>
  <c r="M299" i="14"/>
  <c r="W299" i="14" s="1"/>
  <c r="Q300" i="14"/>
  <c r="U300" i="14" s="1"/>
  <c r="AF300" i="14" s="1"/>
  <c r="AE259" i="14"/>
  <c r="AE267" i="14"/>
  <c r="AE273" i="14"/>
  <c r="M275" i="14"/>
  <c r="W275" i="14" s="1"/>
  <c r="AD275" i="14"/>
  <c r="Q289" i="14"/>
  <c r="U289" i="14" s="1"/>
  <c r="AF289" i="14" s="1"/>
  <c r="P259" i="14"/>
  <c r="AE260" i="14"/>
  <c r="P282" i="14"/>
  <c r="Q296" i="14"/>
  <c r="U296" i="14" s="1"/>
  <c r="AF296" i="14" s="1"/>
  <c r="AE293" i="14"/>
  <c r="P293" i="14"/>
  <c r="Q293" i="14" s="1"/>
  <c r="U293" i="14" s="1"/>
  <c r="AF293" i="14" s="1"/>
  <c r="AE281" i="14"/>
  <c r="P291" i="14"/>
  <c r="Q297" i="14"/>
  <c r="U297" i="14" s="1"/>
  <c r="AF297" i="14" s="1"/>
  <c r="Q298" i="14"/>
  <c r="U298" i="14" s="1"/>
  <c r="AF298" i="14" s="1"/>
  <c r="Q299" i="14"/>
  <c r="U299" i="14" s="1"/>
  <c r="AF299" i="14" s="1"/>
  <c r="AE287" i="14"/>
  <c r="M298" i="14"/>
  <c r="W298" i="14" s="1"/>
  <c r="AE300" i="14"/>
  <c r="AE23" i="13"/>
  <c r="BP4" i="13"/>
  <c r="BP5" i="13"/>
  <c r="BP6" i="13"/>
  <c r="BP7" i="13"/>
  <c r="BP8" i="13"/>
  <c r="BP9" i="13"/>
  <c r="BP10" i="13"/>
  <c r="BP11" i="13"/>
  <c r="BP12" i="13"/>
  <c r="BP13" i="13"/>
  <c r="BP14" i="13"/>
  <c r="BP15" i="13"/>
  <c r="BP16" i="13"/>
  <c r="BP17" i="13"/>
  <c r="BP18" i="13"/>
  <c r="BP19" i="13"/>
  <c r="BP20" i="13"/>
  <c r="BP21" i="13"/>
  <c r="BP22" i="13"/>
  <c r="BO3" i="13"/>
  <c r="BO4" i="13"/>
  <c r="BO5" i="13"/>
  <c r="BO6" i="13"/>
  <c r="BO7" i="13"/>
  <c r="BO8" i="13"/>
  <c r="BO9" i="13"/>
  <c r="BO10" i="13"/>
  <c r="BO11" i="13"/>
  <c r="BO12" i="13"/>
  <c r="BO13" i="13"/>
  <c r="BO14" i="13"/>
  <c r="BO15" i="13"/>
  <c r="BO16" i="13"/>
  <c r="BO17" i="13"/>
  <c r="BO18" i="13"/>
  <c r="BO19" i="13"/>
  <c r="BO20" i="13"/>
  <c r="BO21" i="13"/>
  <c r="BO22" i="13"/>
  <c r="BO23" i="13"/>
  <c r="BO24" i="13"/>
  <c r="BO25" i="13"/>
  <c r="BO26" i="13"/>
  <c r="BO27" i="13"/>
  <c r="BN3" i="13"/>
  <c r="BN4" i="13"/>
  <c r="BN5" i="13"/>
  <c r="BN6" i="13"/>
  <c r="BN7" i="13"/>
  <c r="BN8" i="13"/>
  <c r="BN9" i="13"/>
  <c r="BN10" i="13"/>
  <c r="BN11" i="13"/>
  <c r="BN12" i="13"/>
  <c r="BN13" i="13"/>
  <c r="BN14" i="13"/>
  <c r="BN15" i="13"/>
  <c r="BN16" i="13"/>
  <c r="BN17" i="13"/>
  <c r="BN18" i="13"/>
  <c r="BM3" i="13"/>
  <c r="BM4" i="13"/>
  <c r="BM5" i="13"/>
  <c r="BM6" i="13"/>
  <c r="BM7" i="13"/>
  <c r="BM8" i="13"/>
  <c r="BM9" i="13"/>
  <c r="BM10" i="13"/>
  <c r="BM11" i="13"/>
  <c r="BM12" i="13"/>
  <c r="BM13" i="13"/>
  <c r="BM14" i="13"/>
  <c r="BM15" i="13"/>
  <c r="BM16" i="13"/>
  <c r="BM17" i="13"/>
  <c r="BM18" i="13"/>
  <c r="BM19" i="13"/>
  <c r="BM20" i="13"/>
  <c r="BM21" i="13"/>
  <c r="BM22" i="13"/>
  <c r="BM23" i="13"/>
  <c r="BM24" i="13"/>
  <c r="BM25" i="13"/>
  <c r="BL3" i="13"/>
  <c r="BL4" i="13"/>
  <c r="BL5" i="13"/>
  <c r="BL6" i="13"/>
  <c r="BL7" i="13"/>
  <c r="BL8" i="13"/>
  <c r="BL9" i="13"/>
  <c r="BL10" i="13"/>
  <c r="BL11" i="13"/>
  <c r="BL12" i="13"/>
  <c r="BL13" i="13"/>
  <c r="BL14" i="13"/>
  <c r="BL15" i="13"/>
  <c r="BL16" i="13"/>
  <c r="BL17" i="13"/>
  <c r="BL18" i="13"/>
  <c r="BL19" i="13"/>
  <c r="BL20" i="13"/>
  <c r="BL21" i="13"/>
  <c r="BL22" i="13"/>
  <c r="BL23" i="13"/>
  <c r="BL24" i="13"/>
  <c r="BL25" i="13"/>
  <c r="BL26" i="13"/>
  <c r="BL27" i="13"/>
  <c r="BL28" i="13"/>
  <c r="BL29" i="13"/>
  <c r="BL30" i="13"/>
  <c r="BL31" i="13"/>
  <c r="BL32" i="13"/>
  <c r="BL33" i="13"/>
  <c r="BL34" i="13"/>
  <c r="BL35" i="13"/>
  <c r="BL36" i="13"/>
  <c r="BL37" i="13"/>
  <c r="BL38" i="13"/>
  <c r="BL39" i="13"/>
  <c r="BL40" i="13"/>
  <c r="BL41" i="13"/>
  <c r="BL42" i="13"/>
  <c r="BL43" i="13"/>
  <c r="BL44" i="13"/>
  <c r="BL45" i="13"/>
  <c r="BL46" i="13"/>
  <c r="BL47" i="13"/>
  <c r="BL48" i="13"/>
  <c r="BL49" i="13"/>
  <c r="BL50" i="13"/>
  <c r="BL51" i="13"/>
  <c r="BL52" i="13"/>
  <c r="BL53" i="13"/>
  <c r="BL54" i="13"/>
  <c r="BL55" i="13"/>
  <c r="BL56" i="13"/>
  <c r="BL57" i="13"/>
  <c r="BL58" i="13"/>
  <c r="BL59" i="13"/>
  <c r="BL60" i="13"/>
  <c r="BL61" i="13"/>
  <c r="BL62" i="13"/>
  <c r="BL63" i="13"/>
  <c r="BL64" i="13"/>
  <c r="BL65" i="13"/>
  <c r="BL66" i="13"/>
  <c r="BL67" i="13"/>
  <c r="BL68" i="13"/>
  <c r="BL69" i="13"/>
  <c r="BL70" i="13"/>
  <c r="BL71" i="13"/>
  <c r="BL72" i="13"/>
  <c r="BL73" i="13"/>
  <c r="BL74" i="13"/>
  <c r="BL75" i="13"/>
  <c r="BL76" i="13"/>
  <c r="BL77" i="13"/>
  <c r="BL78" i="13"/>
  <c r="BL79" i="13"/>
  <c r="BL80" i="13"/>
  <c r="BL81" i="13"/>
  <c r="BL82" i="13"/>
  <c r="BL83" i="13"/>
  <c r="BL84" i="13"/>
  <c r="BL85" i="13"/>
  <c r="BL86" i="13"/>
  <c r="BL87" i="13"/>
  <c r="BL88" i="13"/>
  <c r="BL89" i="13"/>
  <c r="BL90" i="13"/>
  <c r="BL91" i="13"/>
  <c r="BL92" i="13"/>
  <c r="BL93" i="13"/>
  <c r="BL94" i="13"/>
  <c r="BL95" i="13"/>
  <c r="BL96" i="13"/>
  <c r="BL97" i="13"/>
  <c r="BL98" i="13"/>
  <c r="BL99" i="13"/>
  <c r="BL100" i="13"/>
  <c r="BL101" i="13"/>
  <c r="BL102" i="13"/>
  <c r="BL103" i="13"/>
  <c r="BL104" i="13"/>
  <c r="BL105" i="13"/>
  <c r="BL106" i="13"/>
  <c r="BL107" i="13"/>
  <c r="BL108" i="13"/>
  <c r="BL109" i="13"/>
  <c r="BL110" i="13"/>
  <c r="BL111" i="13"/>
  <c r="BL112" i="13"/>
  <c r="BL113" i="13"/>
  <c r="BL114" i="13"/>
  <c r="BL115" i="13"/>
  <c r="BL116" i="13"/>
  <c r="BL117" i="13"/>
  <c r="BL118" i="13"/>
  <c r="BL119" i="13"/>
  <c r="BL120" i="13"/>
  <c r="BL121" i="13"/>
  <c r="BL122" i="13"/>
  <c r="BL123" i="13"/>
  <c r="BL124" i="13"/>
  <c r="BL125" i="13"/>
  <c r="BL126" i="13"/>
  <c r="BL127" i="13"/>
  <c r="BL128" i="13"/>
  <c r="BL129" i="13"/>
  <c r="BL130" i="13"/>
  <c r="BL131" i="13"/>
  <c r="BL132" i="13"/>
  <c r="BL133" i="13"/>
  <c r="BL134" i="13"/>
  <c r="BL135" i="13"/>
  <c r="BL136" i="13"/>
  <c r="BL137" i="13"/>
  <c r="BL138" i="13"/>
  <c r="BL139" i="13"/>
  <c r="BL140" i="13"/>
  <c r="BL141" i="13"/>
  <c r="BL142" i="13"/>
  <c r="BL143" i="13"/>
  <c r="BL144" i="13"/>
  <c r="BL145" i="13"/>
  <c r="BL146" i="13"/>
  <c r="BL147" i="13"/>
  <c r="BL148" i="13"/>
  <c r="BL149" i="13"/>
  <c r="BL150" i="13"/>
  <c r="BL151" i="13"/>
  <c r="BL152" i="13"/>
  <c r="BL153" i="13"/>
  <c r="BL154" i="13"/>
  <c r="BL155" i="13"/>
  <c r="BL156" i="13"/>
  <c r="BL157" i="13"/>
  <c r="BL158" i="13"/>
  <c r="BL159" i="13"/>
  <c r="BL160" i="13"/>
  <c r="BL161" i="13"/>
  <c r="BL162" i="13"/>
  <c r="BL163" i="13"/>
  <c r="BL164" i="13"/>
  <c r="BL165" i="13"/>
  <c r="BL166" i="13"/>
  <c r="BL167" i="13"/>
  <c r="BL168" i="13"/>
  <c r="BL169" i="13"/>
  <c r="BL170" i="13"/>
  <c r="BL171" i="13"/>
  <c r="BL172" i="13"/>
  <c r="BL173" i="13"/>
  <c r="BL174" i="13"/>
  <c r="BL175" i="13"/>
  <c r="BL176" i="13"/>
  <c r="BL177" i="13"/>
  <c r="BL178" i="13"/>
  <c r="BL179" i="13"/>
  <c r="BL180" i="13"/>
  <c r="BL181" i="13"/>
  <c r="BL182" i="13"/>
  <c r="BL183" i="13"/>
  <c r="BL184" i="13"/>
  <c r="BL185" i="13"/>
  <c r="BL186" i="13"/>
  <c r="BL187" i="13"/>
  <c r="BL188" i="13"/>
  <c r="BL189" i="13"/>
  <c r="BL190" i="13"/>
  <c r="BL191" i="13"/>
  <c r="BL192" i="13"/>
  <c r="BL193" i="13"/>
  <c r="BL194" i="13"/>
  <c r="BL195" i="13"/>
  <c r="BL196" i="13"/>
  <c r="BL197" i="13"/>
  <c r="BL198" i="13"/>
  <c r="BL199" i="13"/>
  <c r="BL200" i="13"/>
  <c r="BL201" i="13"/>
  <c r="BL202" i="13"/>
  <c r="BL203" i="13"/>
  <c r="BL204" i="13"/>
  <c r="BL205" i="13"/>
  <c r="BL206" i="13"/>
  <c r="BL207" i="13"/>
  <c r="BL208" i="13"/>
  <c r="BL209" i="13"/>
  <c r="BL210" i="13"/>
  <c r="BL211" i="13"/>
  <c r="BL212" i="13"/>
  <c r="BL213" i="13"/>
  <c r="BL214" i="13"/>
  <c r="BL215" i="13"/>
  <c r="BL216" i="13"/>
  <c r="BL217" i="13"/>
  <c r="BL218" i="13"/>
  <c r="BL219" i="13"/>
  <c r="BL220" i="13"/>
  <c r="BL221" i="13"/>
  <c r="BL222" i="13"/>
  <c r="BL223" i="13"/>
  <c r="BL224" i="13"/>
  <c r="BL225" i="13"/>
  <c r="BL226" i="13"/>
  <c r="BL227" i="13"/>
  <c r="BL228" i="13"/>
  <c r="BL229" i="13"/>
  <c r="BL230" i="13"/>
  <c r="BL231" i="13"/>
  <c r="BL232" i="13"/>
  <c r="BL233" i="13"/>
  <c r="BL234" i="13"/>
  <c r="BL235" i="13"/>
  <c r="BL236" i="13"/>
  <c r="BL237" i="13"/>
  <c r="BL238" i="13"/>
  <c r="BL239" i="13"/>
  <c r="BL240" i="13"/>
  <c r="BL241" i="13"/>
  <c r="BL242" i="13"/>
  <c r="BL243" i="13"/>
  <c r="BL244" i="13"/>
  <c r="BL245" i="13"/>
  <c r="BL246" i="13"/>
  <c r="BL247" i="13"/>
  <c r="BL248" i="13"/>
  <c r="BL249" i="13"/>
  <c r="BL250" i="13"/>
  <c r="BL251" i="13"/>
  <c r="BL252" i="13"/>
  <c r="BL253" i="13"/>
  <c r="BL254" i="13"/>
  <c r="BL255" i="13"/>
  <c r="BL256" i="13"/>
  <c r="BL257" i="13"/>
  <c r="BL258" i="13"/>
  <c r="BL259" i="13"/>
  <c r="BL260" i="13"/>
  <c r="BL261" i="13"/>
  <c r="BL262" i="13"/>
  <c r="BL263" i="13"/>
  <c r="BL264" i="13"/>
  <c r="BL265" i="13"/>
  <c r="BL266" i="13"/>
  <c r="BL267" i="13"/>
  <c r="BL268" i="13"/>
  <c r="BL269" i="13"/>
  <c r="BL270" i="13"/>
  <c r="BL271" i="13"/>
  <c r="BL272" i="13"/>
  <c r="BL273" i="13"/>
  <c r="BL274" i="13"/>
  <c r="BL275" i="13"/>
  <c r="BL276" i="13"/>
  <c r="BL277" i="13"/>
  <c r="BL278" i="13"/>
  <c r="BL279" i="13"/>
  <c r="BL280" i="13"/>
  <c r="BL281" i="13"/>
  <c r="BL282" i="13"/>
  <c r="BL283" i="13"/>
  <c r="BL284" i="13"/>
  <c r="BL285" i="13"/>
  <c r="BL286" i="13"/>
  <c r="BL287" i="13"/>
  <c r="BL288" i="13"/>
  <c r="BL289" i="13"/>
  <c r="BL290" i="13"/>
  <c r="BL291" i="13"/>
  <c r="BL292" i="13"/>
  <c r="BL293" i="13"/>
  <c r="BL294" i="13"/>
  <c r="BL295" i="13"/>
  <c r="BL296" i="13"/>
  <c r="BL297" i="13"/>
  <c r="BL298" i="13"/>
  <c r="BL299" i="13"/>
  <c r="BL300" i="13"/>
  <c r="BK3" i="13"/>
  <c r="BK4" i="13"/>
  <c r="BK5" i="13"/>
  <c r="BK6" i="13"/>
  <c r="BK7" i="13"/>
  <c r="BK8" i="13"/>
  <c r="BK9" i="13"/>
  <c r="BK10" i="13"/>
  <c r="BK11" i="13"/>
  <c r="BK12" i="13"/>
  <c r="BK13" i="13"/>
  <c r="BK14" i="13"/>
  <c r="BK15" i="13"/>
  <c r="BK16" i="13"/>
  <c r="BK17" i="13"/>
  <c r="BK18" i="13"/>
  <c r="BK19" i="13"/>
  <c r="BK20" i="13"/>
  <c r="BK21" i="13"/>
  <c r="BK22" i="13"/>
  <c r="BK23" i="13"/>
  <c r="BK24" i="13"/>
  <c r="BK25" i="13"/>
  <c r="BK26" i="13"/>
  <c r="BK27" i="13"/>
  <c r="BK28" i="13"/>
  <c r="BK29" i="13"/>
  <c r="BK30" i="13"/>
  <c r="BK31" i="13"/>
  <c r="BK32" i="13"/>
  <c r="BK33" i="13"/>
  <c r="BK34" i="13"/>
  <c r="BK35" i="13"/>
  <c r="BK36" i="13"/>
  <c r="BK37" i="13"/>
  <c r="BK38" i="13"/>
  <c r="BK39" i="13"/>
  <c r="BK40" i="13"/>
  <c r="BK41" i="13"/>
  <c r="BK42" i="13"/>
  <c r="BK43" i="13"/>
  <c r="BK44" i="13"/>
  <c r="BK45" i="13"/>
  <c r="BK46" i="13"/>
  <c r="BK47" i="13"/>
  <c r="BK48" i="13"/>
  <c r="BK49" i="13"/>
  <c r="BK50" i="13"/>
  <c r="BK51" i="13"/>
  <c r="BK52" i="13"/>
  <c r="BK53" i="13"/>
  <c r="BK54" i="13"/>
  <c r="BK55" i="13"/>
  <c r="BK56" i="13"/>
  <c r="BK57" i="13"/>
  <c r="BK58" i="13"/>
  <c r="BK59" i="13"/>
  <c r="BK60" i="13"/>
  <c r="BK61" i="13"/>
  <c r="BK62" i="13"/>
  <c r="BK63" i="13"/>
  <c r="BK64" i="13"/>
  <c r="BK65" i="13"/>
  <c r="BK66" i="13"/>
  <c r="BK67" i="13"/>
  <c r="BK68" i="13"/>
  <c r="BK69" i="13"/>
  <c r="BK70" i="13"/>
  <c r="BK71" i="13"/>
  <c r="BK72" i="13"/>
  <c r="BK73" i="13"/>
  <c r="BK74" i="13"/>
  <c r="BK75" i="13"/>
  <c r="BK76" i="13"/>
  <c r="BK77" i="13"/>
  <c r="BK78" i="13"/>
  <c r="BK79" i="13"/>
  <c r="BK80" i="13"/>
  <c r="BK81" i="13"/>
  <c r="BK82" i="13"/>
  <c r="BK83" i="13"/>
  <c r="BK84" i="13"/>
  <c r="BK85" i="13"/>
  <c r="BK86" i="13"/>
  <c r="BK87" i="13"/>
  <c r="BK88" i="13"/>
  <c r="BK89" i="13"/>
  <c r="BK90" i="13"/>
  <c r="BK91" i="13"/>
  <c r="BK92" i="13"/>
  <c r="BK93" i="13"/>
  <c r="BK94" i="13"/>
  <c r="BK95" i="13"/>
  <c r="BK96" i="13"/>
  <c r="BK97" i="13"/>
  <c r="BK98" i="13"/>
  <c r="BK99" i="13"/>
  <c r="BK100" i="13"/>
  <c r="BK101" i="13"/>
  <c r="BK102" i="13"/>
  <c r="BK103" i="13"/>
  <c r="BK104" i="13"/>
  <c r="BK105" i="13"/>
  <c r="BK106" i="13"/>
  <c r="BK107" i="13"/>
  <c r="BK108" i="13"/>
  <c r="BK109" i="13"/>
  <c r="BK110" i="13"/>
  <c r="BK111" i="13"/>
  <c r="BK112" i="13"/>
  <c r="BK113" i="13"/>
  <c r="BK114" i="13"/>
  <c r="BK115" i="13"/>
  <c r="BK116" i="13"/>
  <c r="BK117" i="13"/>
  <c r="BK118" i="13"/>
  <c r="BK119" i="13"/>
  <c r="BK120" i="13"/>
  <c r="BK121" i="13"/>
  <c r="BK122" i="13"/>
  <c r="BK123" i="13"/>
  <c r="BK124" i="13"/>
  <c r="BK125" i="13"/>
  <c r="BK126" i="13"/>
  <c r="BK127" i="13"/>
  <c r="BK128" i="13"/>
  <c r="BK129" i="13"/>
  <c r="BK130" i="13"/>
  <c r="BK131" i="13"/>
  <c r="BK132" i="13"/>
  <c r="BK133" i="13"/>
  <c r="BK134" i="13"/>
  <c r="BK135" i="13"/>
  <c r="BK136" i="13"/>
  <c r="BK137" i="13"/>
  <c r="BK138" i="13"/>
  <c r="BK139" i="13"/>
  <c r="BK140" i="13"/>
  <c r="BK141" i="13"/>
  <c r="BK142" i="13"/>
  <c r="BK143" i="13"/>
  <c r="BK144" i="13"/>
  <c r="BK145" i="13"/>
  <c r="BK146" i="13"/>
  <c r="BK147" i="13"/>
  <c r="BK148" i="13"/>
  <c r="BK149" i="13"/>
  <c r="BK150" i="13"/>
  <c r="BK151" i="13"/>
  <c r="BK152" i="13"/>
  <c r="BK153" i="13"/>
  <c r="BK154" i="13"/>
  <c r="BK155" i="13"/>
  <c r="BK156" i="13"/>
  <c r="BK157" i="13"/>
  <c r="BK158" i="13"/>
  <c r="BK159" i="13"/>
  <c r="BK160" i="13"/>
  <c r="BK161" i="13"/>
  <c r="BK162" i="13"/>
  <c r="BK163" i="13"/>
  <c r="BK164" i="13"/>
  <c r="BK165" i="13"/>
  <c r="BK166" i="13"/>
  <c r="BK167" i="13"/>
  <c r="BK168" i="13"/>
  <c r="BK169" i="13"/>
  <c r="BK170" i="13"/>
  <c r="BK171" i="13"/>
  <c r="BK172" i="13"/>
  <c r="BK173" i="13"/>
  <c r="BK174" i="13"/>
  <c r="BK175" i="13"/>
  <c r="BK176" i="13"/>
  <c r="BK177" i="13"/>
  <c r="BK178" i="13"/>
  <c r="BK179" i="13"/>
  <c r="BK180" i="13"/>
  <c r="BK181" i="13"/>
  <c r="BK182" i="13"/>
  <c r="BK183" i="13"/>
  <c r="BK184" i="13"/>
  <c r="BK185" i="13"/>
  <c r="BK186" i="13"/>
  <c r="BK187" i="13"/>
  <c r="BK188" i="13"/>
  <c r="BK189" i="13"/>
  <c r="BK190" i="13"/>
  <c r="BK191" i="13"/>
  <c r="BK192" i="13"/>
  <c r="BK193" i="13"/>
  <c r="BK194" i="13"/>
  <c r="BK195" i="13"/>
  <c r="BK196" i="13"/>
  <c r="BK197" i="13"/>
  <c r="BK198" i="13"/>
  <c r="BK199" i="13"/>
  <c r="BK200" i="13"/>
  <c r="BK201" i="13"/>
  <c r="BK202" i="13"/>
  <c r="BK203" i="13"/>
  <c r="BK204" i="13"/>
  <c r="BK205" i="13"/>
  <c r="BK206" i="13"/>
  <c r="BK207" i="13"/>
  <c r="BK208" i="13"/>
  <c r="BK209" i="13"/>
  <c r="BK210" i="13"/>
  <c r="BK211" i="13"/>
  <c r="BK212" i="13"/>
  <c r="BK213" i="13"/>
  <c r="BK214" i="13"/>
  <c r="BK215" i="13"/>
  <c r="BK216" i="13"/>
  <c r="BK217" i="13"/>
  <c r="BK218" i="13"/>
  <c r="BK219" i="13"/>
  <c r="BK220" i="13"/>
  <c r="BK221" i="13"/>
  <c r="BK222" i="13"/>
  <c r="BK223" i="13"/>
  <c r="BK224" i="13"/>
  <c r="BK225" i="13"/>
  <c r="BK226" i="13"/>
  <c r="BK227" i="13"/>
  <c r="BK228" i="13"/>
  <c r="BK229" i="13"/>
  <c r="BK230" i="13"/>
  <c r="BK231" i="13"/>
  <c r="BK232" i="13"/>
  <c r="BK233" i="13"/>
  <c r="BK234" i="13"/>
  <c r="BK235" i="13"/>
  <c r="BK236" i="13"/>
  <c r="BK237" i="13"/>
  <c r="BK238" i="13"/>
  <c r="BK239" i="13"/>
  <c r="BK240" i="13"/>
  <c r="BK241" i="13"/>
  <c r="BK242" i="13"/>
  <c r="BK243" i="13"/>
  <c r="BK244" i="13"/>
  <c r="BK245" i="13"/>
  <c r="BK246" i="13"/>
  <c r="BK247" i="13"/>
  <c r="BK248" i="13"/>
  <c r="BK249" i="13"/>
  <c r="BK250" i="13"/>
  <c r="BK251" i="13"/>
  <c r="BK252" i="13"/>
  <c r="BK253" i="13"/>
  <c r="BK254" i="13"/>
  <c r="BK255" i="13"/>
  <c r="BK256" i="13"/>
  <c r="BK257" i="13"/>
  <c r="BK258" i="13"/>
  <c r="BK259" i="13"/>
  <c r="BK260" i="13"/>
  <c r="BK261" i="13"/>
  <c r="BK262" i="13"/>
  <c r="BK263" i="13"/>
  <c r="BK264" i="13"/>
  <c r="BK265" i="13"/>
  <c r="BK266" i="13"/>
  <c r="BK267" i="13"/>
  <c r="BK268" i="13"/>
  <c r="BK269" i="13"/>
  <c r="BK270" i="13"/>
  <c r="BK271" i="13"/>
  <c r="BK272" i="13"/>
  <c r="BK273" i="13"/>
  <c r="BK274" i="13"/>
  <c r="BK275" i="13"/>
  <c r="BK276" i="13"/>
  <c r="BK277" i="13"/>
  <c r="BK278" i="13"/>
  <c r="BK279" i="13"/>
  <c r="BK280" i="13"/>
  <c r="BK281" i="13"/>
  <c r="BK282" i="13"/>
  <c r="BK283" i="13"/>
  <c r="BK284" i="13"/>
  <c r="BK285" i="13"/>
  <c r="BK286" i="13"/>
  <c r="BK287" i="13"/>
  <c r="BK288" i="13"/>
  <c r="BK289" i="13"/>
  <c r="BK290" i="13"/>
  <c r="BK291" i="13"/>
  <c r="BK292" i="13"/>
  <c r="BK293" i="13"/>
  <c r="BK294" i="13"/>
  <c r="BK295" i="13"/>
  <c r="BK296" i="13"/>
  <c r="BK297" i="13"/>
  <c r="BK298" i="13"/>
  <c r="BK299" i="13"/>
  <c r="BK300" i="13"/>
  <c r="BJ3" i="13"/>
  <c r="BJ4" i="13"/>
  <c r="BJ5" i="13"/>
  <c r="BJ6" i="13"/>
  <c r="BJ7" i="13"/>
  <c r="BJ8" i="13"/>
  <c r="BJ9" i="13"/>
  <c r="BJ10" i="13"/>
  <c r="BJ11" i="13"/>
  <c r="BJ12" i="13"/>
  <c r="BJ13" i="13"/>
  <c r="BJ14" i="13"/>
  <c r="BJ15" i="13"/>
  <c r="BJ16" i="13"/>
  <c r="BJ17" i="13"/>
  <c r="BJ18" i="13"/>
  <c r="BJ19" i="13"/>
  <c r="BJ20" i="13"/>
  <c r="BJ21" i="13"/>
  <c r="BJ22" i="13"/>
  <c r="BJ23" i="13"/>
  <c r="BJ24" i="13"/>
  <c r="BJ25" i="13"/>
  <c r="BJ26" i="13"/>
  <c r="BJ27" i="13"/>
  <c r="BJ28" i="13"/>
  <c r="BJ29" i="13"/>
  <c r="BJ30" i="13"/>
  <c r="BJ31" i="13"/>
  <c r="BJ32" i="13"/>
  <c r="BJ33" i="13"/>
  <c r="BJ34" i="13"/>
  <c r="BJ35" i="13"/>
  <c r="BJ36" i="13"/>
  <c r="BJ37" i="13"/>
  <c r="BJ38" i="13"/>
  <c r="BJ39" i="13"/>
  <c r="BJ40" i="13"/>
  <c r="BJ41" i="13"/>
  <c r="BJ42" i="13"/>
  <c r="BJ43" i="13"/>
  <c r="BJ44" i="13"/>
  <c r="BJ45" i="13"/>
  <c r="BJ46" i="13"/>
  <c r="BJ47" i="13"/>
  <c r="BJ48" i="13"/>
  <c r="BJ49" i="13"/>
  <c r="BJ50" i="13"/>
  <c r="BJ51" i="13"/>
  <c r="BJ52" i="13"/>
  <c r="BJ53" i="13"/>
  <c r="BJ54" i="13"/>
  <c r="BJ55" i="13"/>
  <c r="BJ56" i="13"/>
  <c r="BJ57" i="13"/>
  <c r="BJ58" i="13"/>
  <c r="BJ59" i="13"/>
  <c r="BJ60" i="13"/>
  <c r="BJ61" i="13"/>
  <c r="BJ62" i="13"/>
  <c r="BJ63" i="13"/>
  <c r="BJ64" i="13"/>
  <c r="BJ65" i="13"/>
  <c r="BJ66" i="13"/>
  <c r="BJ67" i="13"/>
  <c r="BJ68" i="13"/>
  <c r="BJ69" i="13"/>
  <c r="BJ70" i="13"/>
  <c r="BJ71" i="13"/>
  <c r="BJ72" i="13"/>
  <c r="BJ73" i="13"/>
  <c r="BJ74" i="13"/>
  <c r="BJ75" i="13"/>
  <c r="BJ76" i="13"/>
  <c r="BJ77" i="13"/>
  <c r="BJ78" i="13"/>
  <c r="BJ79" i="13"/>
  <c r="BJ80" i="13"/>
  <c r="BJ81" i="13"/>
  <c r="BJ82" i="13"/>
  <c r="BJ83" i="13"/>
  <c r="BJ84" i="13"/>
  <c r="BJ85" i="13"/>
  <c r="BJ86" i="13"/>
  <c r="BJ87" i="13"/>
  <c r="BJ88" i="13"/>
  <c r="BJ89" i="13"/>
  <c r="BJ90" i="13"/>
  <c r="BJ91" i="13"/>
  <c r="BJ92" i="13"/>
  <c r="BJ93" i="13"/>
  <c r="BJ94" i="13"/>
  <c r="BJ95" i="13"/>
  <c r="BJ96" i="13"/>
  <c r="BJ97" i="13"/>
  <c r="BJ98" i="13"/>
  <c r="BJ99" i="13"/>
  <c r="BJ100" i="13"/>
  <c r="BJ101" i="13"/>
  <c r="BJ102" i="13"/>
  <c r="BJ103" i="13"/>
  <c r="BJ104" i="13"/>
  <c r="BJ105" i="13"/>
  <c r="BJ106" i="13"/>
  <c r="BJ107" i="13"/>
  <c r="BJ108" i="13"/>
  <c r="BJ109" i="13"/>
  <c r="BJ110" i="13"/>
  <c r="BJ111" i="13"/>
  <c r="BJ112" i="13"/>
  <c r="BJ113" i="13"/>
  <c r="BJ114" i="13"/>
  <c r="BJ115" i="13"/>
  <c r="BJ116" i="13"/>
  <c r="BJ117" i="13"/>
  <c r="BJ118" i="13"/>
  <c r="BJ119" i="13"/>
  <c r="BJ120" i="13"/>
  <c r="BJ121" i="13"/>
  <c r="BJ122" i="13"/>
  <c r="BJ123" i="13"/>
  <c r="BJ124" i="13"/>
  <c r="BJ125" i="13"/>
  <c r="BJ126" i="13"/>
  <c r="BJ127" i="13"/>
  <c r="BJ128" i="13"/>
  <c r="BJ129" i="13"/>
  <c r="BJ130" i="13"/>
  <c r="BJ131" i="13"/>
  <c r="BJ132" i="13"/>
  <c r="BJ133" i="13"/>
  <c r="BJ134" i="13"/>
  <c r="BJ135" i="13"/>
  <c r="BJ136" i="13"/>
  <c r="BJ137" i="13"/>
  <c r="BJ138" i="13"/>
  <c r="BJ139" i="13"/>
  <c r="BJ140" i="13"/>
  <c r="BJ141" i="13"/>
  <c r="BJ142" i="13"/>
  <c r="BJ143" i="13"/>
  <c r="BJ144" i="13"/>
  <c r="BJ145" i="13"/>
  <c r="BJ146" i="13"/>
  <c r="BJ147" i="13"/>
  <c r="BJ148" i="13"/>
  <c r="BJ149" i="13"/>
  <c r="BJ150" i="13"/>
  <c r="BJ151" i="13"/>
  <c r="BJ152" i="13"/>
  <c r="BJ153" i="13"/>
  <c r="BJ154" i="13"/>
  <c r="BJ155" i="13"/>
  <c r="BJ156" i="13"/>
  <c r="BJ157" i="13"/>
  <c r="BJ158" i="13"/>
  <c r="BJ159" i="13"/>
  <c r="BJ160" i="13"/>
  <c r="BJ161" i="13"/>
  <c r="BJ162" i="13"/>
  <c r="BJ163" i="13"/>
  <c r="BJ164" i="13"/>
  <c r="BJ165" i="13"/>
  <c r="BJ166" i="13"/>
  <c r="BJ167" i="13"/>
  <c r="BJ168" i="13"/>
  <c r="BJ169" i="13"/>
  <c r="BJ170" i="13"/>
  <c r="BJ171" i="13"/>
  <c r="BJ172" i="13"/>
  <c r="BJ173" i="13"/>
  <c r="BJ174" i="13"/>
  <c r="BJ175" i="13"/>
  <c r="BJ176" i="13"/>
  <c r="BJ177" i="13"/>
  <c r="BJ178" i="13"/>
  <c r="BJ179" i="13"/>
  <c r="BJ180" i="13"/>
  <c r="BJ181" i="13"/>
  <c r="BJ182" i="13"/>
  <c r="BJ183" i="13"/>
  <c r="BJ184" i="13"/>
  <c r="BJ185" i="13"/>
  <c r="BJ186" i="13"/>
  <c r="BJ187" i="13"/>
  <c r="BJ188" i="13"/>
  <c r="BJ189" i="13"/>
  <c r="BJ190" i="13"/>
  <c r="BJ191" i="13"/>
  <c r="BJ192" i="13"/>
  <c r="BJ193" i="13"/>
  <c r="BJ194" i="13"/>
  <c r="BJ195" i="13"/>
  <c r="BJ196" i="13"/>
  <c r="BJ197" i="13"/>
  <c r="BJ198" i="13"/>
  <c r="BJ199" i="13"/>
  <c r="BJ200" i="13"/>
  <c r="BJ201" i="13"/>
  <c r="BJ202" i="13"/>
  <c r="BJ203" i="13"/>
  <c r="BJ204" i="13"/>
  <c r="BJ205" i="13"/>
  <c r="BJ206" i="13"/>
  <c r="BJ207" i="13"/>
  <c r="BJ208" i="13"/>
  <c r="BJ209" i="13"/>
  <c r="BJ210" i="13"/>
  <c r="BJ211" i="13"/>
  <c r="BJ212" i="13"/>
  <c r="BJ213" i="13"/>
  <c r="BJ214" i="13"/>
  <c r="BJ215" i="13"/>
  <c r="BJ216" i="13"/>
  <c r="BJ217" i="13"/>
  <c r="BJ218" i="13"/>
  <c r="BJ219" i="13"/>
  <c r="BJ220" i="13"/>
  <c r="BJ221" i="13"/>
  <c r="BJ222" i="13"/>
  <c r="BJ223" i="13"/>
  <c r="BJ224" i="13"/>
  <c r="BJ225" i="13"/>
  <c r="BJ226" i="13"/>
  <c r="BJ227" i="13"/>
  <c r="BJ228" i="13"/>
  <c r="BJ229" i="13"/>
  <c r="BJ230" i="13"/>
  <c r="BJ231" i="13"/>
  <c r="BJ232" i="13"/>
  <c r="BJ233" i="13"/>
  <c r="BJ234" i="13"/>
  <c r="BJ235" i="13"/>
  <c r="BJ236" i="13"/>
  <c r="BJ237" i="13"/>
  <c r="BJ238" i="13"/>
  <c r="BJ239" i="13"/>
  <c r="BJ240" i="13"/>
  <c r="BJ241" i="13"/>
  <c r="BJ242" i="13"/>
  <c r="BJ243" i="13"/>
  <c r="BJ244" i="13"/>
  <c r="BJ245" i="13"/>
  <c r="BJ246" i="13"/>
  <c r="BJ247" i="13"/>
  <c r="BJ248" i="13"/>
  <c r="BJ249" i="13"/>
  <c r="BJ250" i="13"/>
  <c r="BJ251" i="13"/>
  <c r="BJ252" i="13"/>
  <c r="BJ253" i="13"/>
  <c r="BJ254" i="13"/>
  <c r="BJ255" i="13"/>
  <c r="BJ256" i="13"/>
  <c r="BJ257" i="13"/>
  <c r="BJ258" i="13"/>
  <c r="BJ259" i="13"/>
  <c r="BJ260" i="13"/>
  <c r="BJ261" i="13"/>
  <c r="BJ262" i="13"/>
  <c r="BJ263" i="13"/>
  <c r="BJ264" i="13"/>
  <c r="BJ265" i="13"/>
  <c r="BJ266" i="13"/>
  <c r="BJ267" i="13"/>
  <c r="BJ268" i="13"/>
  <c r="BJ269" i="13"/>
  <c r="BJ270" i="13"/>
  <c r="BJ271" i="13"/>
  <c r="BJ272" i="13"/>
  <c r="BJ273" i="13"/>
  <c r="BJ274" i="13"/>
  <c r="BJ275" i="13"/>
  <c r="BJ276" i="13"/>
  <c r="BJ277" i="13"/>
  <c r="BJ278" i="13"/>
  <c r="BJ279" i="13"/>
  <c r="BJ280" i="13"/>
  <c r="BJ281" i="13"/>
  <c r="BJ282" i="13"/>
  <c r="BJ283" i="13"/>
  <c r="BJ284" i="13"/>
  <c r="BJ285" i="13"/>
  <c r="BJ286" i="13"/>
  <c r="BJ287" i="13"/>
  <c r="BJ288" i="13"/>
  <c r="BJ289" i="13"/>
  <c r="BJ290" i="13"/>
  <c r="BJ291" i="13"/>
  <c r="BJ292" i="13"/>
  <c r="BJ293" i="13"/>
  <c r="BJ294" i="13"/>
  <c r="BJ295" i="13"/>
  <c r="BJ296" i="13"/>
  <c r="BJ297" i="13"/>
  <c r="BJ298" i="13"/>
  <c r="BJ299" i="13"/>
  <c r="BJ300" i="13"/>
  <c r="BI3" i="13"/>
  <c r="BI4" i="13"/>
  <c r="BI5" i="13"/>
  <c r="BI6" i="13"/>
  <c r="BI7" i="13"/>
  <c r="BI8" i="13"/>
  <c r="BI9" i="13"/>
  <c r="BI10" i="13"/>
  <c r="BI11" i="13"/>
  <c r="BI12" i="13"/>
  <c r="BI13" i="13"/>
  <c r="BI14" i="13"/>
  <c r="BI15" i="13"/>
  <c r="BI16" i="13"/>
  <c r="BI17" i="13"/>
  <c r="BI18" i="13"/>
  <c r="BI19" i="13"/>
  <c r="BI20" i="13"/>
  <c r="BI21" i="13"/>
  <c r="BI22" i="13"/>
  <c r="BI23" i="13"/>
  <c r="BI24" i="13"/>
  <c r="BI25" i="13"/>
  <c r="BI26" i="13"/>
  <c r="BI27" i="13"/>
  <c r="BI28" i="13"/>
  <c r="BI29" i="13"/>
  <c r="BI30" i="13"/>
  <c r="BI31" i="13"/>
  <c r="BI32" i="13"/>
  <c r="BI33" i="13"/>
  <c r="BI34" i="13"/>
  <c r="BI35" i="13"/>
  <c r="BI36" i="13"/>
  <c r="BI37" i="13"/>
  <c r="BI38" i="13"/>
  <c r="BI39" i="13"/>
  <c r="BI40" i="13"/>
  <c r="BI41" i="13"/>
  <c r="BI42" i="13"/>
  <c r="BI43" i="13"/>
  <c r="BI44" i="13"/>
  <c r="BI45" i="13"/>
  <c r="BI46" i="13"/>
  <c r="BI47" i="13"/>
  <c r="BI48" i="13"/>
  <c r="BI49" i="13"/>
  <c r="BI50" i="13"/>
  <c r="BI51" i="13"/>
  <c r="BI52" i="13"/>
  <c r="BI53" i="13"/>
  <c r="BI54" i="13"/>
  <c r="BI55" i="13"/>
  <c r="BI56" i="13"/>
  <c r="BI57" i="13"/>
  <c r="BI58" i="13"/>
  <c r="BI59" i="13"/>
  <c r="BI60" i="13"/>
  <c r="BI61" i="13"/>
  <c r="BI62" i="13"/>
  <c r="BI63" i="13"/>
  <c r="BI64" i="13"/>
  <c r="BI65" i="13"/>
  <c r="BI66" i="13"/>
  <c r="BI67" i="13"/>
  <c r="BI68" i="13"/>
  <c r="BI69" i="13"/>
  <c r="BI70" i="13"/>
  <c r="BI71" i="13"/>
  <c r="BI72" i="13"/>
  <c r="BI73" i="13"/>
  <c r="BI74" i="13"/>
  <c r="BI75" i="13"/>
  <c r="BI76" i="13"/>
  <c r="BI77" i="13"/>
  <c r="BI78" i="13"/>
  <c r="BI79" i="13"/>
  <c r="BI80" i="13"/>
  <c r="BI81" i="13"/>
  <c r="BI82" i="13"/>
  <c r="BI83" i="13"/>
  <c r="BI84" i="13"/>
  <c r="BI85" i="13"/>
  <c r="BI86" i="13"/>
  <c r="BI87" i="13"/>
  <c r="BI88" i="13"/>
  <c r="BI89" i="13"/>
  <c r="BI90" i="13"/>
  <c r="BI91" i="13"/>
  <c r="BI92" i="13"/>
  <c r="BI93" i="13"/>
  <c r="BI94" i="13"/>
  <c r="BI95" i="13"/>
  <c r="BI96" i="13"/>
  <c r="BI97" i="13"/>
  <c r="BI98" i="13"/>
  <c r="BI99" i="13"/>
  <c r="BI100" i="13"/>
  <c r="BI101" i="13"/>
  <c r="BI102" i="13"/>
  <c r="BI103" i="13"/>
  <c r="BI104" i="13"/>
  <c r="BI105" i="13"/>
  <c r="BI106" i="13"/>
  <c r="BI107" i="13"/>
  <c r="BI108" i="13"/>
  <c r="BI109" i="13"/>
  <c r="BI110" i="13"/>
  <c r="BI111" i="13"/>
  <c r="BI112" i="13"/>
  <c r="BI113" i="13"/>
  <c r="BI114" i="13"/>
  <c r="BI115" i="13"/>
  <c r="BI116" i="13"/>
  <c r="BI117" i="13"/>
  <c r="BI118" i="13"/>
  <c r="BI119" i="13"/>
  <c r="BI120" i="13"/>
  <c r="BI121" i="13"/>
  <c r="BI122" i="13"/>
  <c r="BI123" i="13"/>
  <c r="BI124" i="13"/>
  <c r="BI125" i="13"/>
  <c r="BI126" i="13"/>
  <c r="BI127" i="13"/>
  <c r="BI128" i="13"/>
  <c r="BI129" i="13"/>
  <c r="BI130" i="13"/>
  <c r="BI131" i="13"/>
  <c r="BI132" i="13"/>
  <c r="BI133" i="13"/>
  <c r="BI134" i="13"/>
  <c r="BI135" i="13"/>
  <c r="BI136" i="13"/>
  <c r="BI137" i="13"/>
  <c r="BI138" i="13"/>
  <c r="BI139" i="13"/>
  <c r="BI140" i="13"/>
  <c r="BI141" i="13"/>
  <c r="BI142" i="13"/>
  <c r="BI143" i="13"/>
  <c r="BI144" i="13"/>
  <c r="BI145" i="13"/>
  <c r="BI146" i="13"/>
  <c r="BI147" i="13"/>
  <c r="BI148" i="13"/>
  <c r="BI149" i="13"/>
  <c r="BI150" i="13"/>
  <c r="BI151" i="13"/>
  <c r="BI152" i="13"/>
  <c r="BI153" i="13"/>
  <c r="BI154" i="13"/>
  <c r="BI155" i="13"/>
  <c r="BI156" i="13"/>
  <c r="BI157" i="13"/>
  <c r="BI158" i="13"/>
  <c r="BI159" i="13"/>
  <c r="BI160" i="13"/>
  <c r="BI161" i="13"/>
  <c r="BI162" i="13"/>
  <c r="BI163" i="13"/>
  <c r="BI164" i="13"/>
  <c r="BI165" i="13"/>
  <c r="BI166" i="13"/>
  <c r="BI167" i="13"/>
  <c r="BI168" i="13"/>
  <c r="BI169" i="13"/>
  <c r="BI170" i="13"/>
  <c r="BI171" i="13"/>
  <c r="BI172" i="13"/>
  <c r="BI173" i="13"/>
  <c r="BI174" i="13"/>
  <c r="BI175" i="13"/>
  <c r="BI176" i="13"/>
  <c r="BI177" i="13"/>
  <c r="BI178" i="13"/>
  <c r="BI179" i="13"/>
  <c r="BI180" i="13"/>
  <c r="BI181" i="13"/>
  <c r="BI182" i="13"/>
  <c r="BI183" i="13"/>
  <c r="BI184" i="13"/>
  <c r="BI185" i="13"/>
  <c r="BI186" i="13"/>
  <c r="BI187" i="13"/>
  <c r="BI188" i="13"/>
  <c r="BI189" i="13"/>
  <c r="BI190" i="13"/>
  <c r="BI191" i="13"/>
  <c r="BI192" i="13"/>
  <c r="BI193" i="13"/>
  <c r="BI194" i="13"/>
  <c r="BI195" i="13"/>
  <c r="BI196" i="13"/>
  <c r="BI197" i="13"/>
  <c r="BI198" i="13"/>
  <c r="BI199" i="13"/>
  <c r="BI200" i="13"/>
  <c r="BI201" i="13"/>
  <c r="BI202" i="13"/>
  <c r="BI203" i="13"/>
  <c r="BI204" i="13"/>
  <c r="BI205" i="13"/>
  <c r="BI206" i="13"/>
  <c r="BI207" i="13"/>
  <c r="BI208" i="13"/>
  <c r="BI209" i="13"/>
  <c r="BI210" i="13"/>
  <c r="BI211" i="13"/>
  <c r="BI212" i="13"/>
  <c r="BI213" i="13"/>
  <c r="BI214" i="13"/>
  <c r="BI215" i="13"/>
  <c r="BI216" i="13"/>
  <c r="BI217" i="13"/>
  <c r="BI218" i="13"/>
  <c r="BI219" i="13"/>
  <c r="BI220" i="13"/>
  <c r="BI221" i="13"/>
  <c r="BI222" i="13"/>
  <c r="BI223" i="13"/>
  <c r="BI224" i="13"/>
  <c r="BI225" i="13"/>
  <c r="BI226" i="13"/>
  <c r="BI227" i="13"/>
  <c r="BI228" i="13"/>
  <c r="BI229" i="13"/>
  <c r="BI230" i="13"/>
  <c r="BI231" i="13"/>
  <c r="BI232" i="13"/>
  <c r="BI233" i="13"/>
  <c r="BI234" i="13"/>
  <c r="BI235" i="13"/>
  <c r="BI236" i="13"/>
  <c r="BI237" i="13"/>
  <c r="BI238" i="13"/>
  <c r="BI239" i="13"/>
  <c r="BI240" i="13"/>
  <c r="BI241" i="13"/>
  <c r="BI242" i="13"/>
  <c r="BI243" i="13"/>
  <c r="BI244" i="13"/>
  <c r="BI245" i="13"/>
  <c r="BI246" i="13"/>
  <c r="BI247" i="13"/>
  <c r="BI248" i="13"/>
  <c r="BI249" i="13"/>
  <c r="BI250" i="13"/>
  <c r="BI251" i="13"/>
  <c r="BI252" i="13"/>
  <c r="BI253" i="13"/>
  <c r="BI254" i="13"/>
  <c r="BI255" i="13"/>
  <c r="BI256" i="13"/>
  <c r="BI257" i="13"/>
  <c r="BI258" i="13"/>
  <c r="BI259" i="13"/>
  <c r="BI260" i="13"/>
  <c r="BI261" i="13"/>
  <c r="BI262" i="13"/>
  <c r="BI263" i="13"/>
  <c r="BI264" i="13"/>
  <c r="BI265" i="13"/>
  <c r="BI266" i="13"/>
  <c r="BI267" i="13"/>
  <c r="BI268" i="13"/>
  <c r="BI269" i="13"/>
  <c r="BI270" i="13"/>
  <c r="BI271" i="13"/>
  <c r="BI272" i="13"/>
  <c r="BI273" i="13"/>
  <c r="BI274" i="13"/>
  <c r="BI275" i="13"/>
  <c r="BI276" i="13"/>
  <c r="BI277" i="13"/>
  <c r="BI278" i="13"/>
  <c r="BI279" i="13"/>
  <c r="BI280" i="13"/>
  <c r="BI281" i="13"/>
  <c r="BI282" i="13"/>
  <c r="BI283" i="13"/>
  <c r="BI284" i="13"/>
  <c r="BI285" i="13"/>
  <c r="BI286" i="13"/>
  <c r="BI287" i="13"/>
  <c r="BI288" i="13"/>
  <c r="BI289" i="13"/>
  <c r="BI290" i="13"/>
  <c r="BI291" i="13"/>
  <c r="BI292" i="13"/>
  <c r="BI293" i="13"/>
  <c r="BI294" i="13"/>
  <c r="BI295" i="13"/>
  <c r="BI296" i="13"/>
  <c r="BI297" i="13"/>
  <c r="BI298" i="13"/>
  <c r="BI299" i="13"/>
  <c r="BI300" i="13"/>
  <c r="BH3" i="13"/>
  <c r="BH4" i="13"/>
  <c r="BH5" i="13"/>
  <c r="BH6" i="13"/>
  <c r="BH7" i="13"/>
  <c r="BH8" i="13"/>
  <c r="BH9" i="13"/>
  <c r="BH10" i="13"/>
  <c r="BH11" i="13"/>
  <c r="BH12" i="13"/>
  <c r="BH13" i="13"/>
  <c r="BH14" i="13"/>
  <c r="BH15" i="13"/>
  <c r="BH16" i="13"/>
  <c r="BH17" i="13"/>
  <c r="BH18" i="13"/>
  <c r="BH19" i="13"/>
  <c r="BH20" i="13"/>
  <c r="BH21" i="13"/>
  <c r="BH22" i="13"/>
  <c r="BH23" i="13"/>
  <c r="BH24" i="13"/>
  <c r="BH25" i="13"/>
  <c r="BH26" i="13"/>
  <c r="BH27" i="13"/>
  <c r="BH28" i="13"/>
  <c r="BH29" i="13"/>
  <c r="BH30" i="13"/>
  <c r="BH31" i="13"/>
  <c r="BH32" i="13"/>
  <c r="BH33" i="13"/>
  <c r="BH34" i="13"/>
  <c r="BH35" i="13"/>
  <c r="BH36" i="13"/>
  <c r="BH37" i="13"/>
  <c r="BH38" i="13"/>
  <c r="BH39" i="13"/>
  <c r="BH40" i="13"/>
  <c r="BH41" i="13"/>
  <c r="BH42" i="13"/>
  <c r="BH43" i="13"/>
  <c r="BH44" i="13"/>
  <c r="BH45" i="13"/>
  <c r="BH46" i="13"/>
  <c r="BH47" i="13"/>
  <c r="BH48" i="13"/>
  <c r="BH49" i="13"/>
  <c r="BH50" i="13"/>
  <c r="BH51" i="13"/>
  <c r="BH52" i="13"/>
  <c r="BH53" i="13"/>
  <c r="BH54" i="13"/>
  <c r="BH55" i="13"/>
  <c r="BH56" i="13"/>
  <c r="BH57" i="13"/>
  <c r="BH58" i="13"/>
  <c r="BH59" i="13"/>
  <c r="BH60" i="13"/>
  <c r="BH61" i="13"/>
  <c r="BH62" i="13"/>
  <c r="BH63" i="13"/>
  <c r="BH64" i="13"/>
  <c r="BH65" i="13"/>
  <c r="BH66" i="13"/>
  <c r="BH67" i="13"/>
  <c r="BH68" i="13"/>
  <c r="BH69" i="13"/>
  <c r="BH70" i="13"/>
  <c r="BH71" i="13"/>
  <c r="BH72" i="13"/>
  <c r="BH73" i="13"/>
  <c r="BH74" i="13"/>
  <c r="BH75" i="13"/>
  <c r="BH76" i="13"/>
  <c r="BH77" i="13"/>
  <c r="BH78" i="13"/>
  <c r="BH79" i="13"/>
  <c r="BH80" i="13"/>
  <c r="BH81" i="13"/>
  <c r="BH82" i="13"/>
  <c r="BH83" i="13"/>
  <c r="BH84" i="13"/>
  <c r="BH85" i="13"/>
  <c r="BH86" i="13"/>
  <c r="BH87" i="13"/>
  <c r="BH88" i="13"/>
  <c r="BH89" i="13"/>
  <c r="BH90" i="13"/>
  <c r="BH91" i="13"/>
  <c r="BH92" i="13"/>
  <c r="BH93" i="13"/>
  <c r="BH94" i="13"/>
  <c r="BH95" i="13"/>
  <c r="BH96" i="13"/>
  <c r="BH97" i="13"/>
  <c r="BH98" i="13"/>
  <c r="BH99" i="13"/>
  <c r="BH100" i="13"/>
  <c r="BH101" i="13"/>
  <c r="BH102" i="13"/>
  <c r="BH103" i="13"/>
  <c r="BH104" i="13"/>
  <c r="BH105" i="13"/>
  <c r="BH106" i="13"/>
  <c r="BH107" i="13"/>
  <c r="BH108" i="13"/>
  <c r="BH109" i="13"/>
  <c r="BH110" i="13"/>
  <c r="BH111" i="13"/>
  <c r="BH112" i="13"/>
  <c r="BH113" i="13"/>
  <c r="BH114" i="13"/>
  <c r="BH115" i="13"/>
  <c r="BH116" i="13"/>
  <c r="BH117" i="13"/>
  <c r="BH118" i="13"/>
  <c r="BH119" i="13"/>
  <c r="BH120" i="13"/>
  <c r="BH121" i="13"/>
  <c r="BH122" i="13"/>
  <c r="BH123" i="13"/>
  <c r="BH124" i="13"/>
  <c r="BH125" i="13"/>
  <c r="BH126" i="13"/>
  <c r="BH127" i="13"/>
  <c r="BH128" i="13"/>
  <c r="BH129" i="13"/>
  <c r="BH130" i="13"/>
  <c r="BH131" i="13"/>
  <c r="BH132" i="13"/>
  <c r="BH133" i="13"/>
  <c r="BH134" i="13"/>
  <c r="BH135" i="13"/>
  <c r="BH136" i="13"/>
  <c r="BH137" i="13"/>
  <c r="BH138" i="13"/>
  <c r="BH139" i="13"/>
  <c r="BH140" i="13"/>
  <c r="BH141" i="13"/>
  <c r="BH142" i="13"/>
  <c r="BH143" i="13"/>
  <c r="BH144" i="13"/>
  <c r="BH145" i="13"/>
  <c r="BH146" i="13"/>
  <c r="BH147" i="13"/>
  <c r="BH148" i="13"/>
  <c r="BH149" i="13"/>
  <c r="BH150" i="13"/>
  <c r="BH151" i="13"/>
  <c r="BH152" i="13"/>
  <c r="BH153" i="13"/>
  <c r="BH154" i="13"/>
  <c r="BH155" i="13"/>
  <c r="BH156" i="13"/>
  <c r="BH157" i="13"/>
  <c r="BH158" i="13"/>
  <c r="BH159" i="13"/>
  <c r="BH160" i="13"/>
  <c r="BH161" i="13"/>
  <c r="BH162" i="13"/>
  <c r="BH163" i="13"/>
  <c r="BH164" i="13"/>
  <c r="BH165" i="13"/>
  <c r="BH166" i="13"/>
  <c r="BH167" i="13"/>
  <c r="BH168" i="13"/>
  <c r="BH169" i="13"/>
  <c r="BH170" i="13"/>
  <c r="BH171" i="13"/>
  <c r="BH172" i="13"/>
  <c r="BH173" i="13"/>
  <c r="BH174" i="13"/>
  <c r="BH175" i="13"/>
  <c r="BH176" i="13"/>
  <c r="BH177" i="13"/>
  <c r="BH178" i="13"/>
  <c r="BH179" i="13"/>
  <c r="BH180" i="13"/>
  <c r="BH181" i="13"/>
  <c r="BH182" i="13"/>
  <c r="BH183" i="13"/>
  <c r="BH184" i="13"/>
  <c r="BH185" i="13"/>
  <c r="BH186" i="13"/>
  <c r="BH187" i="13"/>
  <c r="BH188" i="13"/>
  <c r="BH189" i="13"/>
  <c r="BH190" i="13"/>
  <c r="BH191" i="13"/>
  <c r="BH192" i="13"/>
  <c r="BH193" i="13"/>
  <c r="BH194" i="13"/>
  <c r="BH195" i="13"/>
  <c r="BH196" i="13"/>
  <c r="BH197" i="13"/>
  <c r="BH198" i="13"/>
  <c r="BH199" i="13"/>
  <c r="BH200" i="13"/>
  <c r="BH201" i="13"/>
  <c r="BH202" i="13"/>
  <c r="BH203" i="13"/>
  <c r="BH204" i="13"/>
  <c r="BH205" i="13"/>
  <c r="BH206" i="13"/>
  <c r="BH207" i="13"/>
  <c r="BH208" i="13"/>
  <c r="BH209" i="13"/>
  <c r="BH210" i="13"/>
  <c r="BH211" i="13"/>
  <c r="BH212" i="13"/>
  <c r="BH213" i="13"/>
  <c r="BH214" i="13"/>
  <c r="BH215" i="13"/>
  <c r="BH216" i="13"/>
  <c r="BH217" i="13"/>
  <c r="BH218" i="13"/>
  <c r="BH219" i="13"/>
  <c r="BH220" i="13"/>
  <c r="BH221" i="13"/>
  <c r="BH222" i="13"/>
  <c r="BH223" i="13"/>
  <c r="BH224" i="13"/>
  <c r="BH225" i="13"/>
  <c r="BH226" i="13"/>
  <c r="BH227" i="13"/>
  <c r="BH228" i="13"/>
  <c r="BH229" i="13"/>
  <c r="BH230" i="13"/>
  <c r="BH231" i="13"/>
  <c r="BH232" i="13"/>
  <c r="BH233" i="13"/>
  <c r="BH234" i="13"/>
  <c r="BH235" i="13"/>
  <c r="BH236" i="13"/>
  <c r="BH237" i="13"/>
  <c r="BH238" i="13"/>
  <c r="BH239" i="13"/>
  <c r="BH240" i="13"/>
  <c r="BH241" i="13"/>
  <c r="BH242" i="13"/>
  <c r="BH243" i="13"/>
  <c r="BH244" i="13"/>
  <c r="BH245" i="13"/>
  <c r="BH246" i="13"/>
  <c r="BH247" i="13"/>
  <c r="BH248" i="13"/>
  <c r="BH249" i="13"/>
  <c r="BH250" i="13"/>
  <c r="BH251" i="13"/>
  <c r="BH252" i="13"/>
  <c r="BH253" i="13"/>
  <c r="BH254" i="13"/>
  <c r="BH255" i="13"/>
  <c r="BH256" i="13"/>
  <c r="BH257" i="13"/>
  <c r="BH258" i="13"/>
  <c r="BH259" i="13"/>
  <c r="BH260" i="13"/>
  <c r="BH261" i="13"/>
  <c r="BH262" i="13"/>
  <c r="BH263" i="13"/>
  <c r="BH264" i="13"/>
  <c r="BH265" i="13"/>
  <c r="BH266" i="13"/>
  <c r="BH267" i="13"/>
  <c r="BH268" i="13"/>
  <c r="BH269" i="13"/>
  <c r="BH270" i="13"/>
  <c r="BH271" i="13"/>
  <c r="BH272" i="13"/>
  <c r="BH273" i="13"/>
  <c r="BH274" i="13"/>
  <c r="BH275" i="13"/>
  <c r="BH276" i="13"/>
  <c r="BH277" i="13"/>
  <c r="BH278" i="13"/>
  <c r="BH279" i="13"/>
  <c r="BH280" i="13"/>
  <c r="BH281" i="13"/>
  <c r="BH282" i="13"/>
  <c r="BH283" i="13"/>
  <c r="BH284" i="13"/>
  <c r="BH285" i="13"/>
  <c r="BH286" i="13"/>
  <c r="BH287" i="13"/>
  <c r="BH288" i="13"/>
  <c r="BH289" i="13"/>
  <c r="BH290" i="13"/>
  <c r="BH291" i="13"/>
  <c r="BH292" i="13"/>
  <c r="BH293" i="13"/>
  <c r="BH294" i="13"/>
  <c r="BH295" i="13"/>
  <c r="BH296" i="13"/>
  <c r="BH297" i="13"/>
  <c r="BH298" i="13"/>
  <c r="BH299" i="13"/>
  <c r="BH300" i="13"/>
  <c r="BG3" i="13"/>
  <c r="BG4" i="13"/>
  <c r="BG5" i="13"/>
  <c r="BG6" i="13"/>
  <c r="BG7" i="13"/>
  <c r="BG8" i="13"/>
  <c r="BG9" i="13"/>
  <c r="BG10" i="13"/>
  <c r="BG11" i="13"/>
  <c r="BG12" i="13"/>
  <c r="BG13" i="13"/>
  <c r="BG14" i="13"/>
  <c r="BG15" i="13"/>
  <c r="BG16" i="13"/>
  <c r="BG17" i="13"/>
  <c r="BG18" i="13"/>
  <c r="BG19" i="13"/>
  <c r="BG20" i="13"/>
  <c r="BG21" i="13"/>
  <c r="BG22" i="13"/>
  <c r="BG23" i="13"/>
  <c r="BG24" i="13"/>
  <c r="BG25" i="13"/>
  <c r="BG26" i="13"/>
  <c r="BG27" i="13"/>
  <c r="BG28" i="13"/>
  <c r="BG29" i="13"/>
  <c r="BG30" i="13"/>
  <c r="BG31" i="13"/>
  <c r="BG32" i="13"/>
  <c r="BG33" i="13"/>
  <c r="BG34" i="13"/>
  <c r="BG35" i="13"/>
  <c r="BG36" i="13"/>
  <c r="BG37" i="13"/>
  <c r="BG38" i="13"/>
  <c r="BG39" i="13"/>
  <c r="BG40" i="13"/>
  <c r="BG41" i="13"/>
  <c r="BG42" i="13"/>
  <c r="BG43" i="13"/>
  <c r="BG44" i="13"/>
  <c r="BG45" i="13"/>
  <c r="BG46" i="13"/>
  <c r="BG47" i="13"/>
  <c r="BG48" i="13"/>
  <c r="BG49" i="13"/>
  <c r="BG50" i="13"/>
  <c r="BG51" i="13"/>
  <c r="BG52" i="13"/>
  <c r="BG53" i="13"/>
  <c r="BG54" i="13"/>
  <c r="BG55" i="13"/>
  <c r="BG56" i="13"/>
  <c r="BG57" i="13"/>
  <c r="BG58" i="13"/>
  <c r="BG59" i="13"/>
  <c r="BG60" i="13"/>
  <c r="BG61" i="13"/>
  <c r="BG62" i="13"/>
  <c r="BG63" i="13"/>
  <c r="BG64" i="13"/>
  <c r="BG65" i="13"/>
  <c r="BG66" i="13"/>
  <c r="BG67" i="13"/>
  <c r="BG68" i="13"/>
  <c r="BG69" i="13"/>
  <c r="BG70" i="13"/>
  <c r="BG71" i="13"/>
  <c r="BG72" i="13"/>
  <c r="BG73" i="13"/>
  <c r="BG74" i="13"/>
  <c r="BG75" i="13"/>
  <c r="BG76" i="13"/>
  <c r="BG77" i="13"/>
  <c r="BG78" i="13"/>
  <c r="BG79" i="13"/>
  <c r="BG80" i="13"/>
  <c r="BG81" i="13"/>
  <c r="BG82" i="13"/>
  <c r="BG83" i="13"/>
  <c r="BG84" i="13"/>
  <c r="BG85" i="13"/>
  <c r="BG86" i="13"/>
  <c r="BG87" i="13"/>
  <c r="BG88" i="13"/>
  <c r="BG89" i="13"/>
  <c r="BG90" i="13"/>
  <c r="BG91" i="13"/>
  <c r="BG92" i="13"/>
  <c r="BG93" i="13"/>
  <c r="BG94" i="13"/>
  <c r="BG95" i="13"/>
  <c r="BG96" i="13"/>
  <c r="BG97" i="13"/>
  <c r="BG98" i="13"/>
  <c r="BG99" i="13"/>
  <c r="BG100" i="13"/>
  <c r="BG101" i="13"/>
  <c r="BG102" i="13"/>
  <c r="BG103" i="13"/>
  <c r="BG104" i="13"/>
  <c r="BG105" i="13"/>
  <c r="BG106" i="13"/>
  <c r="BG107" i="13"/>
  <c r="BG108" i="13"/>
  <c r="BG109" i="13"/>
  <c r="BG110" i="13"/>
  <c r="BG111" i="13"/>
  <c r="BG112" i="13"/>
  <c r="BG113" i="13"/>
  <c r="BG114" i="13"/>
  <c r="BG115" i="13"/>
  <c r="BG116" i="13"/>
  <c r="BG117" i="13"/>
  <c r="BG118" i="13"/>
  <c r="BG119" i="13"/>
  <c r="BG120" i="13"/>
  <c r="BG121" i="13"/>
  <c r="BG122" i="13"/>
  <c r="BG123" i="13"/>
  <c r="BG124" i="13"/>
  <c r="BG125" i="13"/>
  <c r="BG126" i="13"/>
  <c r="BG127" i="13"/>
  <c r="BG128" i="13"/>
  <c r="BG129" i="13"/>
  <c r="BG130" i="13"/>
  <c r="BG131" i="13"/>
  <c r="BG132" i="13"/>
  <c r="BG133" i="13"/>
  <c r="BG134" i="13"/>
  <c r="BG135" i="13"/>
  <c r="BG136" i="13"/>
  <c r="BG137" i="13"/>
  <c r="BG138" i="13"/>
  <c r="BG139" i="13"/>
  <c r="BG140" i="13"/>
  <c r="BG141" i="13"/>
  <c r="BG142" i="13"/>
  <c r="BG143" i="13"/>
  <c r="BG144" i="13"/>
  <c r="BG145" i="13"/>
  <c r="BG146" i="13"/>
  <c r="BG147" i="13"/>
  <c r="BG148" i="13"/>
  <c r="BG149" i="13"/>
  <c r="BG150" i="13"/>
  <c r="BG151" i="13"/>
  <c r="BG152" i="13"/>
  <c r="BG153" i="13"/>
  <c r="BG154" i="13"/>
  <c r="BG155" i="13"/>
  <c r="BG156" i="13"/>
  <c r="BG157" i="13"/>
  <c r="BG158" i="13"/>
  <c r="BG159" i="13"/>
  <c r="BG160" i="13"/>
  <c r="BG161" i="13"/>
  <c r="BG162" i="13"/>
  <c r="BG163" i="13"/>
  <c r="BG164" i="13"/>
  <c r="BG165" i="13"/>
  <c r="BG166" i="13"/>
  <c r="BG167" i="13"/>
  <c r="BG168" i="13"/>
  <c r="BG169" i="13"/>
  <c r="BG170" i="13"/>
  <c r="BG171" i="13"/>
  <c r="BG172" i="13"/>
  <c r="BG173" i="13"/>
  <c r="BG174" i="13"/>
  <c r="BG175" i="13"/>
  <c r="BG176" i="13"/>
  <c r="BG177" i="13"/>
  <c r="BG178" i="13"/>
  <c r="BG179" i="13"/>
  <c r="BG180" i="13"/>
  <c r="BG181" i="13"/>
  <c r="BG182" i="13"/>
  <c r="BG183" i="13"/>
  <c r="BG184" i="13"/>
  <c r="BG185" i="13"/>
  <c r="BG186" i="13"/>
  <c r="BG187" i="13"/>
  <c r="BG188" i="13"/>
  <c r="BG189" i="13"/>
  <c r="BG190" i="13"/>
  <c r="BG191" i="13"/>
  <c r="BG192" i="13"/>
  <c r="BG193" i="13"/>
  <c r="BG194" i="13"/>
  <c r="BG195" i="13"/>
  <c r="BG196" i="13"/>
  <c r="BG197" i="13"/>
  <c r="BG198" i="13"/>
  <c r="BG199" i="13"/>
  <c r="BG200" i="13"/>
  <c r="BG201" i="13"/>
  <c r="BG202" i="13"/>
  <c r="BG203" i="13"/>
  <c r="BG204" i="13"/>
  <c r="BG205" i="13"/>
  <c r="BG206" i="13"/>
  <c r="BG207" i="13"/>
  <c r="BG208" i="13"/>
  <c r="BG209" i="13"/>
  <c r="BG210" i="13"/>
  <c r="BG211" i="13"/>
  <c r="BG212" i="13"/>
  <c r="BG213" i="13"/>
  <c r="BG214" i="13"/>
  <c r="BG215" i="13"/>
  <c r="BG216" i="13"/>
  <c r="BG217" i="13"/>
  <c r="BG218" i="13"/>
  <c r="BG219" i="13"/>
  <c r="BG220" i="13"/>
  <c r="BG221" i="13"/>
  <c r="BG222" i="13"/>
  <c r="BG223" i="13"/>
  <c r="BG224" i="13"/>
  <c r="BG225" i="13"/>
  <c r="BG226" i="13"/>
  <c r="BG227" i="13"/>
  <c r="BG228" i="13"/>
  <c r="BG229" i="13"/>
  <c r="BG230" i="13"/>
  <c r="BG231" i="13"/>
  <c r="BG232" i="13"/>
  <c r="BG233" i="13"/>
  <c r="BG234" i="13"/>
  <c r="BG235" i="13"/>
  <c r="BG236" i="13"/>
  <c r="BG237" i="13"/>
  <c r="BG238" i="13"/>
  <c r="BG239" i="13"/>
  <c r="BG240" i="13"/>
  <c r="BG241" i="13"/>
  <c r="BG242" i="13"/>
  <c r="BG243" i="13"/>
  <c r="BG244" i="13"/>
  <c r="BG245" i="13"/>
  <c r="BG246" i="13"/>
  <c r="BG247" i="13"/>
  <c r="BG248" i="13"/>
  <c r="BG249" i="13"/>
  <c r="BG250" i="13"/>
  <c r="BG251" i="13"/>
  <c r="BG252" i="13"/>
  <c r="BG253" i="13"/>
  <c r="BG254" i="13"/>
  <c r="BG255" i="13"/>
  <c r="BG256" i="13"/>
  <c r="BG257" i="13"/>
  <c r="BG258" i="13"/>
  <c r="BG259" i="13"/>
  <c r="BG260" i="13"/>
  <c r="BG261" i="13"/>
  <c r="BG262" i="13"/>
  <c r="BG263" i="13"/>
  <c r="BG264" i="13"/>
  <c r="BG265" i="13"/>
  <c r="BG266" i="13"/>
  <c r="BG267" i="13"/>
  <c r="BG268" i="13"/>
  <c r="BG269" i="13"/>
  <c r="BG270" i="13"/>
  <c r="BG271" i="13"/>
  <c r="BG272" i="13"/>
  <c r="BG273" i="13"/>
  <c r="BG274" i="13"/>
  <c r="BG275" i="13"/>
  <c r="BG276" i="13"/>
  <c r="BG277" i="13"/>
  <c r="BG278" i="13"/>
  <c r="BG279" i="13"/>
  <c r="BG280" i="13"/>
  <c r="BG281" i="13"/>
  <c r="BG282" i="13"/>
  <c r="BG283" i="13"/>
  <c r="BG284" i="13"/>
  <c r="BG285" i="13"/>
  <c r="BG286" i="13"/>
  <c r="BG287" i="13"/>
  <c r="BG288" i="13"/>
  <c r="BG289" i="13"/>
  <c r="BG290" i="13"/>
  <c r="BG291" i="13"/>
  <c r="BG292" i="13"/>
  <c r="BG293" i="13"/>
  <c r="BG294" i="13"/>
  <c r="BG295" i="13"/>
  <c r="BG296" i="13"/>
  <c r="BG297" i="13"/>
  <c r="BG298" i="13"/>
  <c r="BG299" i="13"/>
  <c r="BG300" i="13"/>
  <c r="BF3" i="13"/>
  <c r="BF4" i="13"/>
  <c r="BF5" i="13"/>
  <c r="BF6" i="13"/>
  <c r="BF7" i="13"/>
  <c r="BF8" i="13"/>
  <c r="BF9" i="13"/>
  <c r="BF10" i="13"/>
  <c r="BF11" i="13"/>
  <c r="BF12" i="13"/>
  <c r="BF13" i="13"/>
  <c r="BF14" i="13"/>
  <c r="BF15" i="13"/>
  <c r="BF16" i="13"/>
  <c r="BF17" i="13"/>
  <c r="BF18" i="13"/>
  <c r="BF19" i="13"/>
  <c r="BF20" i="13"/>
  <c r="BF21" i="13"/>
  <c r="BF22" i="13"/>
  <c r="BF23" i="13"/>
  <c r="BF24" i="13"/>
  <c r="BF25" i="13"/>
  <c r="BF26" i="13"/>
  <c r="BF27" i="13"/>
  <c r="BF28" i="13"/>
  <c r="BF29" i="13"/>
  <c r="BF30" i="13"/>
  <c r="BF31" i="13"/>
  <c r="BF32" i="13"/>
  <c r="BF33" i="13"/>
  <c r="BF34" i="13"/>
  <c r="BF35" i="13"/>
  <c r="BF36" i="13"/>
  <c r="BF37" i="13"/>
  <c r="BF38" i="13"/>
  <c r="BF39" i="13"/>
  <c r="BF40" i="13"/>
  <c r="BF41" i="13"/>
  <c r="BF42" i="13"/>
  <c r="BF43" i="13"/>
  <c r="BF44" i="13"/>
  <c r="BF45" i="13"/>
  <c r="BF46" i="13"/>
  <c r="BF47" i="13"/>
  <c r="BF48" i="13"/>
  <c r="BF49" i="13"/>
  <c r="BF50" i="13"/>
  <c r="BF51" i="13"/>
  <c r="BF52" i="13"/>
  <c r="BF53" i="13"/>
  <c r="BF54" i="13"/>
  <c r="BF55" i="13"/>
  <c r="BF56" i="13"/>
  <c r="BF57" i="13"/>
  <c r="BF58" i="13"/>
  <c r="BF59" i="13"/>
  <c r="BF60" i="13"/>
  <c r="BF61" i="13"/>
  <c r="BF62" i="13"/>
  <c r="BF63" i="13"/>
  <c r="BF64" i="13"/>
  <c r="BF65" i="13"/>
  <c r="BF66" i="13"/>
  <c r="BF67" i="13"/>
  <c r="BF68" i="13"/>
  <c r="BF69" i="13"/>
  <c r="BF70" i="13"/>
  <c r="BF71" i="13"/>
  <c r="BF72" i="13"/>
  <c r="BF73" i="13"/>
  <c r="BF74" i="13"/>
  <c r="BF75" i="13"/>
  <c r="BF76" i="13"/>
  <c r="BF77" i="13"/>
  <c r="BF78" i="13"/>
  <c r="BF79" i="13"/>
  <c r="BF80" i="13"/>
  <c r="BF81" i="13"/>
  <c r="BF82" i="13"/>
  <c r="BF83" i="13"/>
  <c r="BF84" i="13"/>
  <c r="BF85" i="13"/>
  <c r="BF86" i="13"/>
  <c r="BF87" i="13"/>
  <c r="BF88" i="13"/>
  <c r="BF89" i="13"/>
  <c r="BF90" i="13"/>
  <c r="BF91" i="13"/>
  <c r="BF92" i="13"/>
  <c r="BF93" i="13"/>
  <c r="BF94" i="13"/>
  <c r="BF95" i="13"/>
  <c r="BF96" i="13"/>
  <c r="BF97" i="13"/>
  <c r="BF98" i="13"/>
  <c r="BF99" i="13"/>
  <c r="BF100" i="13"/>
  <c r="BF101" i="13"/>
  <c r="BF102" i="13"/>
  <c r="BF103" i="13"/>
  <c r="BF104" i="13"/>
  <c r="BF105" i="13"/>
  <c r="BF106" i="13"/>
  <c r="BF107" i="13"/>
  <c r="BF108" i="13"/>
  <c r="BF109" i="13"/>
  <c r="BF110" i="13"/>
  <c r="BF111" i="13"/>
  <c r="BF112" i="13"/>
  <c r="BF113" i="13"/>
  <c r="BF114" i="13"/>
  <c r="BF115" i="13"/>
  <c r="BF116" i="13"/>
  <c r="BF117" i="13"/>
  <c r="BF118" i="13"/>
  <c r="BF119" i="13"/>
  <c r="BF120" i="13"/>
  <c r="BF121" i="13"/>
  <c r="BF122" i="13"/>
  <c r="BF123" i="13"/>
  <c r="BF124" i="13"/>
  <c r="BF125" i="13"/>
  <c r="BF126" i="13"/>
  <c r="BF127" i="13"/>
  <c r="BF128" i="13"/>
  <c r="BF129" i="13"/>
  <c r="BF130" i="13"/>
  <c r="BF131" i="13"/>
  <c r="BF132" i="13"/>
  <c r="BF133" i="13"/>
  <c r="BF134" i="13"/>
  <c r="BF135" i="13"/>
  <c r="BF136" i="13"/>
  <c r="BF137" i="13"/>
  <c r="BF138" i="13"/>
  <c r="BF139" i="13"/>
  <c r="BF140" i="13"/>
  <c r="BF141" i="13"/>
  <c r="BF142" i="13"/>
  <c r="BF143" i="13"/>
  <c r="BF144" i="13"/>
  <c r="BF145" i="13"/>
  <c r="BF146" i="13"/>
  <c r="BF147" i="13"/>
  <c r="BF148" i="13"/>
  <c r="BF149" i="13"/>
  <c r="BF150" i="13"/>
  <c r="BF151" i="13"/>
  <c r="BF152" i="13"/>
  <c r="BF153" i="13"/>
  <c r="BF154" i="13"/>
  <c r="BF155" i="13"/>
  <c r="BF156" i="13"/>
  <c r="BF157" i="13"/>
  <c r="BF158" i="13"/>
  <c r="BF159" i="13"/>
  <c r="BF160" i="13"/>
  <c r="BF161" i="13"/>
  <c r="BF162" i="13"/>
  <c r="BF163" i="13"/>
  <c r="BF164" i="13"/>
  <c r="BF165" i="13"/>
  <c r="BF166" i="13"/>
  <c r="BF167" i="13"/>
  <c r="BF168" i="13"/>
  <c r="BF169" i="13"/>
  <c r="BF170" i="13"/>
  <c r="BF171" i="13"/>
  <c r="BF172" i="13"/>
  <c r="BF173" i="13"/>
  <c r="BF174" i="13"/>
  <c r="BF175" i="13"/>
  <c r="BF176" i="13"/>
  <c r="BF177" i="13"/>
  <c r="BF178" i="13"/>
  <c r="BF179" i="13"/>
  <c r="BF180" i="13"/>
  <c r="BF181" i="13"/>
  <c r="BF182" i="13"/>
  <c r="BF183" i="13"/>
  <c r="BF184" i="13"/>
  <c r="BF185" i="13"/>
  <c r="BF186" i="13"/>
  <c r="BF187" i="13"/>
  <c r="BF188" i="13"/>
  <c r="BF189" i="13"/>
  <c r="BF190" i="13"/>
  <c r="BF191" i="13"/>
  <c r="BF192" i="13"/>
  <c r="BF193" i="13"/>
  <c r="BF194" i="13"/>
  <c r="BF195" i="13"/>
  <c r="BF196" i="13"/>
  <c r="BF197" i="13"/>
  <c r="BF198" i="13"/>
  <c r="BF199" i="13"/>
  <c r="BF200" i="13"/>
  <c r="BF201" i="13"/>
  <c r="BF202" i="13"/>
  <c r="BF203" i="13"/>
  <c r="BF204" i="13"/>
  <c r="BF205" i="13"/>
  <c r="BF206" i="13"/>
  <c r="BF207" i="13"/>
  <c r="BF208" i="13"/>
  <c r="BF209" i="13"/>
  <c r="BF210" i="13"/>
  <c r="BF211" i="13"/>
  <c r="BF212" i="13"/>
  <c r="BF213" i="13"/>
  <c r="BF214" i="13"/>
  <c r="BF215" i="13"/>
  <c r="BF216" i="13"/>
  <c r="BF217" i="13"/>
  <c r="BF218" i="13"/>
  <c r="BF219" i="13"/>
  <c r="BF220" i="13"/>
  <c r="BF221" i="13"/>
  <c r="BF222" i="13"/>
  <c r="BF223" i="13"/>
  <c r="BF224" i="13"/>
  <c r="BF225" i="13"/>
  <c r="BF226" i="13"/>
  <c r="BF227" i="13"/>
  <c r="BF228" i="13"/>
  <c r="BF229" i="13"/>
  <c r="BF230" i="13"/>
  <c r="BF231" i="13"/>
  <c r="BF232" i="13"/>
  <c r="BF233" i="13"/>
  <c r="BF234" i="13"/>
  <c r="BF235" i="13"/>
  <c r="BF236" i="13"/>
  <c r="BF237" i="13"/>
  <c r="BF238" i="13"/>
  <c r="BF239" i="13"/>
  <c r="BF240" i="13"/>
  <c r="BF241" i="13"/>
  <c r="BF242" i="13"/>
  <c r="BF243" i="13"/>
  <c r="BF244" i="13"/>
  <c r="BF245" i="13"/>
  <c r="BF246" i="13"/>
  <c r="BF247" i="13"/>
  <c r="BF248" i="13"/>
  <c r="BF249" i="13"/>
  <c r="BF250" i="13"/>
  <c r="BF251" i="13"/>
  <c r="BF252" i="13"/>
  <c r="BF253" i="13"/>
  <c r="BF254" i="13"/>
  <c r="BF255" i="13"/>
  <c r="BF256" i="13"/>
  <c r="BF257" i="13"/>
  <c r="BF258" i="13"/>
  <c r="BF259" i="13"/>
  <c r="BF260" i="13"/>
  <c r="BF261" i="13"/>
  <c r="BF262" i="13"/>
  <c r="BF263" i="13"/>
  <c r="BF264" i="13"/>
  <c r="BF265" i="13"/>
  <c r="BF266" i="13"/>
  <c r="BF267" i="13"/>
  <c r="BF268" i="13"/>
  <c r="BF269" i="13"/>
  <c r="BF270" i="13"/>
  <c r="BF271" i="13"/>
  <c r="BF272" i="13"/>
  <c r="BF273" i="13"/>
  <c r="BF274" i="13"/>
  <c r="BF275" i="13"/>
  <c r="BF276" i="13"/>
  <c r="BF277" i="13"/>
  <c r="BF278" i="13"/>
  <c r="BF279" i="13"/>
  <c r="BF280" i="13"/>
  <c r="BF281" i="13"/>
  <c r="BF282" i="13"/>
  <c r="BF283" i="13"/>
  <c r="BF284" i="13"/>
  <c r="BF285" i="13"/>
  <c r="BF286" i="13"/>
  <c r="BF287" i="13"/>
  <c r="BF288" i="13"/>
  <c r="BF289" i="13"/>
  <c r="BF290" i="13"/>
  <c r="BF291" i="13"/>
  <c r="BF292" i="13"/>
  <c r="BF293" i="13"/>
  <c r="BF294" i="13"/>
  <c r="BF295" i="13"/>
  <c r="BF296" i="13"/>
  <c r="BF297" i="13"/>
  <c r="BF298" i="13"/>
  <c r="BF299" i="13"/>
  <c r="BF300" i="13"/>
  <c r="BE3" i="13"/>
  <c r="BE4" i="13"/>
  <c r="BE5" i="13"/>
  <c r="BE6" i="13"/>
  <c r="BE7" i="13"/>
  <c r="BE8" i="13"/>
  <c r="BE9" i="13"/>
  <c r="BE10" i="13"/>
  <c r="BE11" i="13"/>
  <c r="BE12" i="13"/>
  <c r="BE13" i="13"/>
  <c r="BE14" i="13"/>
  <c r="BE15" i="13"/>
  <c r="BE16" i="13"/>
  <c r="BE17" i="13"/>
  <c r="BE18" i="13"/>
  <c r="BE19" i="13"/>
  <c r="BE20" i="13"/>
  <c r="BE21" i="13"/>
  <c r="BE22" i="13"/>
  <c r="BE23" i="13"/>
  <c r="BE24" i="13"/>
  <c r="BE25" i="13"/>
  <c r="BE26" i="13"/>
  <c r="BE27" i="13"/>
  <c r="BE28" i="13"/>
  <c r="BE29" i="13"/>
  <c r="BE30" i="13"/>
  <c r="BE31" i="13"/>
  <c r="BE32" i="13"/>
  <c r="BE33" i="13"/>
  <c r="BE34" i="13"/>
  <c r="BE35" i="13"/>
  <c r="BE36" i="13"/>
  <c r="BE37" i="13"/>
  <c r="BE38" i="13"/>
  <c r="BE39" i="13"/>
  <c r="BE40" i="13"/>
  <c r="BE41" i="13"/>
  <c r="BE42" i="13"/>
  <c r="BE43" i="13"/>
  <c r="BE44" i="13"/>
  <c r="BE45" i="13"/>
  <c r="BE46" i="13"/>
  <c r="BE47" i="13"/>
  <c r="BE48" i="13"/>
  <c r="BE49" i="13"/>
  <c r="BE50" i="13"/>
  <c r="BE51" i="13"/>
  <c r="BE52" i="13"/>
  <c r="BE53" i="13"/>
  <c r="BE54" i="13"/>
  <c r="BE55" i="13"/>
  <c r="BE56" i="13"/>
  <c r="BE57" i="13"/>
  <c r="BE58" i="13"/>
  <c r="BE59" i="13"/>
  <c r="BE60" i="13"/>
  <c r="BE61" i="13"/>
  <c r="BE62" i="13"/>
  <c r="BE63" i="13"/>
  <c r="BE64" i="13"/>
  <c r="BE65" i="13"/>
  <c r="BE66" i="13"/>
  <c r="BE67" i="13"/>
  <c r="BE68" i="13"/>
  <c r="BE69" i="13"/>
  <c r="BE70" i="13"/>
  <c r="BE71" i="13"/>
  <c r="BE72" i="13"/>
  <c r="BE73" i="13"/>
  <c r="BE74" i="13"/>
  <c r="BE75" i="13"/>
  <c r="BE76" i="13"/>
  <c r="BE77" i="13"/>
  <c r="BE78" i="13"/>
  <c r="BE79" i="13"/>
  <c r="BE80" i="13"/>
  <c r="BE81" i="13"/>
  <c r="BE82" i="13"/>
  <c r="BE83" i="13"/>
  <c r="BE84" i="13"/>
  <c r="BE85" i="13"/>
  <c r="BE86" i="13"/>
  <c r="BE87" i="13"/>
  <c r="BE88" i="13"/>
  <c r="BE89" i="13"/>
  <c r="BE90" i="13"/>
  <c r="BE91" i="13"/>
  <c r="BE92" i="13"/>
  <c r="BE93" i="13"/>
  <c r="BE94" i="13"/>
  <c r="BE95" i="13"/>
  <c r="BE96" i="13"/>
  <c r="BE97" i="13"/>
  <c r="BE98" i="13"/>
  <c r="BE99" i="13"/>
  <c r="BE100" i="13"/>
  <c r="BE101" i="13"/>
  <c r="BE102" i="13"/>
  <c r="BE103" i="13"/>
  <c r="BE104" i="13"/>
  <c r="BE105" i="13"/>
  <c r="BE106" i="13"/>
  <c r="BE107" i="13"/>
  <c r="BE108" i="13"/>
  <c r="BE109" i="13"/>
  <c r="BE110" i="13"/>
  <c r="BE111" i="13"/>
  <c r="BE112" i="13"/>
  <c r="BE113" i="13"/>
  <c r="BE114" i="13"/>
  <c r="BE115" i="13"/>
  <c r="BE116" i="13"/>
  <c r="BE117" i="13"/>
  <c r="BE118" i="13"/>
  <c r="BE119" i="13"/>
  <c r="BE120" i="13"/>
  <c r="BE121" i="13"/>
  <c r="BE122" i="13"/>
  <c r="BE123" i="13"/>
  <c r="BE124" i="13"/>
  <c r="BE125" i="13"/>
  <c r="BE126" i="13"/>
  <c r="BE127" i="13"/>
  <c r="BE128" i="13"/>
  <c r="BE129" i="13"/>
  <c r="BE130" i="13"/>
  <c r="BE131" i="13"/>
  <c r="BE132" i="13"/>
  <c r="BE133" i="13"/>
  <c r="BE134" i="13"/>
  <c r="BE135" i="13"/>
  <c r="BE136" i="13"/>
  <c r="BE137" i="13"/>
  <c r="BE138" i="13"/>
  <c r="BE139" i="13"/>
  <c r="BE140" i="13"/>
  <c r="BE141" i="13"/>
  <c r="BE142" i="13"/>
  <c r="BE143" i="13"/>
  <c r="BE144" i="13"/>
  <c r="BE145" i="13"/>
  <c r="BE146" i="13"/>
  <c r="BE147" i="13"/>
  <c r="BE148" i="13"/>
  <c r="BE149" i="13"/>
  <c r="BE150" i="13"/>
  <c r="BE151" i="13"/>
  <c r="BE152" i="13"/>
  <c r="BE153" i="13"/>
  <c r="BE154" i="13"/>
  <c r="BE155" i="13"/>
  <c r="BE156" i="13"/>
  <c r="BE157" i="13"/>
  <c r="BE158" i="13"/>
  <c r="BE159" i="13"/>
  <c r="BE160" i="13"/>
  <c r="BE161" i="13"/>
  <c r="BE162" i="13"/>
  <c r="BE163" i="13"/>
  <c r="BE164" i="13"/>
  <c r="BE165" i="13"/>
  <c r="BE166" i="13"/>
  <c r="BE167" i="13"/>
  <c r="BE168" i="13"/>
  <c r="BE169" i="13"/>
  <c r="BE170" i="13"/>
  <c r="BE171" i="13"/>
  <c r="BE172" i="13"/>
  <c r="BE173" i="13"/>
  <c r="BE174" i="13"/>
  <c r="BE175" i="13"/>
  <c r="BE176" i="13"/>
  <c r="BE177" i="13"/>
  <c r="BE178" i="13"/>
  <c r="BE179" i="13"/>
  <c r="BE180" i="13"/>
  <c r="BE181" i="13"/>
  <c r="BE182" i="13"/>
  <c r="BE183" i="13"/>
  <c r="BE184" i="13"/>
  <c r="BE185" i="13"/>
  <c r="BE186" i="13"/>
  <c r="BE187" i="13"/>
  <c r="BE188" i="13"/>
  <c r="BE189" i="13"/>
  <c r="BE190" i="13"/>
  <c r="BE191" i="13"/>
  <c r="BE192" i="13"/>
  <c r="BE193" i="13"/>
  <c r="BE194" i="13"/>
  <c r="BE195" i="13"/>
  <c r="BE196" i="13"/>
  <c r="BE197" i="13"/>
  <c r="BE198" i="13"/>
  <c r="BE199" i="13"/>
  <c r="BE200" i="13"/>
  <c r="BE201" i="13"/>
  <c r="BE202" i="13"/>
  <c r="BE203" i="13"/>
  <c r="BE204" i="13"/>
  <c r="BE205" i="13"/>
  <c r="BE206" i="13"/>
  <c r="BE207" i="13"/>
  <c r="BE208" i="13"/>
  <c r="BE209" i="13"/>
  <c r="BE210" i="13"/>
  <c r="BE211" i="13"/>
  <c r="BE212" i="13"/>
  <c r="BE213" i="13"/>
  <c r="BE214" i="13"/>
  <c r="BE215" i="13"/>
  <c r="BE216" i="13"/>
  <c r="BE217" i="13"/>
  <c r="BE218" i="13"/>
  <c r="BE219" i="13"/>
  <c r="BE220" i="13"/>
  <c r="BE221" i="13"/>
  <c r="BE222" i="13"/>
  <c r="BE223" i="13"/>
  <c r="BE224" i="13"/>
  <c r="BE225" i="13"/>
  <c r="BE226" i="13"/>
  <c r="BE227" i="13"/>
  <c r="BE228" i="13"/>
  <c r="BE229" i="13"/>
  <c r="BE230" i="13"/>
  <c r="BE231" i="13"/>
  <c r="BE232" i="13"/>
  <c r="BE233" i="13"/>
  <c r="BE234" i="13"/>
  <c r="BE235" i="13"/>
  <c r="BE236" i="13"/>
  <c r="BE237" i="13"/>
  <c r="BE238" i="13"/>
  <c r="BE239" i="13"/>
  <c r="BE240" i="13"/>
  <c r="BE241" i="13"/>
  <c r="BE242" i="13"/>
  <c r="BE243" i="13"/>
  <c r="BE244" i="13"/>
  <c r="BE245" i="13"/>
  <c r="BE246" i="13"/>
  <c r="BE247" i="13"/>
  <c r="BE248" i="13"/>
  <c r="BE249" i="13"/>
  <c r="BE250" i="13"/>
  <c r="BE251" i="13"/>
  <c r="BE252" i="13"/>
  <c r="BE253" i="13"/>
  <c r="BE254" i="13"/>
  <c r="BE255" i="13"/>
  <c r="BE256" i="13"/>
  <c r="BE257" i="13"/>
  <c r="BE258" i="13"/>
  <c r="BE259" i="13"/>
  <c r="BE260" i="13"/>
  <c r="BE261" i="13"/>
  <c r="BE262" i="13"/>
  <c r="BE263" i="13"/>
  <c r="BE264" i="13"/>
  <c r="BE265" i="13"/>
  <c r="BE266" i="13"/>
  <c r="BE267" i="13"/>
  <c r="BE268" i="13"/>
  <c r="BE269" i="13"/>
  <c r="BE270" i="13"/>
  <c r="BE271" i="13"/>
  <c r="BE272" i="13"/>
  <c r="BE273" i="13"/>
  <c r="BE274" i="13"/>
  <c r="BE275" i="13"/>
  <c r="BE276" i="13"/>
  <c r="BE277" i="13"/>
  <c r="BE278" i="13"/>
  <c r="BE279" i="13"/>
  <c r="BE280" i="13"/>
  <c r="BE281" i="13"/>
  <c r="BE282" i="13"/>
  <c r="BE283" i="13"/>
  <c r="BE284" i="13"/>
  <c r="BE285" i="13"/>
  <c r="BE286" i="13"/>
  <c r="BE287" i="13"/>
  <c r="BE288" i="13"/>
  <c r="BE289" i="13"/>
  <c r="BE290" i="13"/>
  <c r="BE291" i="13"/>
  <c r="BE292" i="13"/>
  <c r="BE293" i="13"/>
  <c r="BE294" i="13"/>
  <c r="BE295" i="13"/>
  <c r="BE296" i="13"/>
  <c r="BE297" i="13"/>
  <c r="BE298" i="13"/>
  <c r="BE299" i="13"/>
  <c r="BE300" i="13"/>
  <c r="BD3" i="13"/>
  <c r="BD4" i="13"/>
  <c r="BD5" i="13"/>
  <c r="BD6" i="13"/>
  <c r="BD7" i="13"/>
  <c r="BD8" i="13"/>
  <c r="BD9" i="13"/>
  <c r="BD10" i="13"/>
  <c r="BD11" i="13"/>
  <c r="BD12" i="13"/>
  <c r="BD13" i="13"/>
  <c r="BD14" i="13"/>
  <c r="BD15" i="13"/>
  <c r="BD16" i="13"/>
  <c r="BD17" i="13"/>
  <c r="BD18" i="13"/>
  <c r="BD19" i="13"/>
  <c r="BD20" i="13"/>
  <c r="BD21" i="13"/>
  <c r="BD22" i="13"/>
  <c r="BD23" i="13"/>
  <c r="BD24" i="13"/>
  <c r="BD25" i="13"/>
  <c r="BD26" i="13"/>
  <c r="BD27" i="13"/>
  <c r="BD28" i="13"/>
  <c r="BD29" i="13"/>
  <c r="BD30" i="13"/>
  <c r="BD31" i="13"/>
  <c r="BD32" i="13"/>
  <c r="BD33" i="13"/>
  <c r="BD34" i="13"/>
  <c r="BD35" i="13"/>
  <c r="BD36" i="13"/>
  <c r="BD37" i="13"/>
  <c r="BD38" i="13"/>
  <c r="BD39" i="13"/>
  <c r="BD40" i="13"/>
  <c r="BD41" i="13"/>
  <c r="BD42" i="13"/>
  <c r="BD43" i="13"/>
  <c r="BD44" i="13"/>
  <c r="BD45" i="13"/>
  <c r="BD46" i="13"/>
  <c r="BD47" i="13"/>
  <c r="BD48" i="13"/>
  <c r="BD49" i="13"/>
  <c r="BD50" i="13"/>
  <c r="BD51" i="13"/>
  <c r="BD52" i="13"/>
  <c r="BD53" i="13"/>
  <c r="BD54" i="13"/>
  <c r="BD55" i="13"/>
  <c r="BD56" i="13"/>
  <c r="BD57" i="13"/>
  <c r="BD58" i="13"/>
  <c r="BD59" i="13"/>
  <c r="BD60" i="13"/>
  <c r="BD61" i="13"/>
  <c r="BD62" i="13"/>
  <c r="BD63" i="13"/>
  <c r="BD64" i="13"/>
  <c r="BD65" i="13"/>
  <c r="BD66" i="13"/>
  <c r="BD67" i="13"/>
  <c r="BD68" i="13"/>
  <c r="BD69" i="13"/>
  <c r="BD70" i="13"/>
  <c r="BD71" i="13"/>
  <c r="BD72" i="13"/>
  <c r="BD73" i="13"/>
  <c r="BD74" i="13"/>
  <c r="BD75" i="13"/>
  <c r="BD76" i="13"/>
  <c r="BD77" i="13"/>
  <c r="BD78" i="13"/>
  <c r="BD79" i="13"/>
  <c r="BD80" i="13"/>
  <c r="BD81" i="13"/>
  <c r="BD82" i="13"/>
  <c r="BD83" i="13"/>
  <c r="BD84" i="13"/>
  <c r="BD85" i="13"/>
  <c r="BD86" i="13"/>
  <c r="BD87" i="13"/>
  <c r="BD88" i="13"/>
  <c r="BD89" i="13"/>
  <c r="BD90" i="13"/>
  <c r="BD91" i="13"/>
  <c r="BD92" i="13"/>
  <c r="BD93" i="13"/>
  <c r="BD94" i="13"/>
  <c r="BD95" i="13"/>
  <c r="BD96" i="13"/>
  <c r="BD97" i="13"/>
  <c r="BD98" i="13"/>
  <c r="BD99" i="13"/>
  <c r="BD100" i="13"/>
  <c r="BD101" i="13"/>
  <c r="BD102" i="13"/>
  <c r="BD103" i="13"/>
  <c r="BD104" i="13"/>
  <c r="BD105" i="13"/>
  <c r="BD106" i="13"/>
  <c r="BD107" i="13"/>
  <c r="BD108" i="13"/>
  <c r="BD109" i="13"/>
  <c r="BD110" i="13"/>
  <c r="BD111" i="13"/>
  <c r="BD112" i="13"/>
  <c r="BD113" i="13"/>
  <c r="BD114" i="13"/>
  <c r="BD115" i="13"/>
  <c r="BD116" i="13"/>
  <c r="BD117" i="13"/>
  <c r="BD118" i="13"/>
  <c r="BD119" i="13"/>
  <c r="BD120" i="13"/>
  <c r="BD121" i="13"/>
  <c r="BD122" i="13"/>
  <c r="BD123" i="13"/>
  <c r="BD124" i="13"/>
  <c r="BD125" i="13"/>
  <c r="BD126" i="13"/>
  <c r="BD127" i="13"/>
  <c r="BD128" i="13"/>
  <c r="BD129" i="13"/>
  <c r="BD130" i="13"/>
  <c r="BD131" i="13"/>
  <c r="BD132" i="13"/>
  <c r="BD133" i="13"/>
  <c r="BD134" i="13"/>
  <c r="BD135" i="13"/>
  <c r="BD136" i="13"/>
  <c r="BD137" i="13"/>
  <c r="BD138" i="13"/>
  <c r="BD139" i="13"/>
  <c r="BD140" i="13"/>
  <c r="BD141" i="13"/>
  <c r="BD142" i="13"/>
  <c r="BD143" i="13"/>
  <c r="BD144" i="13"/>
  <c r="BD145" i="13"/>
  <c r="BD146" i="13"/>
  <c r="BD147" i="13"/>
  <c r="BD148" i="13"/>
  <c r="BD149" i="13"/>
  <c r="BD150" i="13"/>
  <c r="BD151" i="13"/>
  <c r="BD152" i="13"/>
  <c r="BD153" i="13"/>
  <c r="BD154" i="13"/>
  <c r="BD155" i="13"/>
  <c r="BD156" i="13"/>
  <c r="BD157" i="13"/>
  <c r="BD158" i="13"/>
  <c r="BD159" i="13"/>
  <c r="BD160" i="13"/>
  <c r="BD161" i="13"/>
  <c r="BD162" i="13"/>
  <c r="BD163" i="13"/>
  <c r="BD164" i="13"/>
  <c r="BD165" i="13"/>
  <c r="BD166" i="13"/>
  <c r="BD167" i="13"/>
  <c r="BD168" i="13"/>
  <c r="BD169" i="13"/>
  <c r="BD170" i="13"/>
  <c r="BD171" i="13"/>
  <c r="BD172" i="13"/>
  <c r="BD173" i="13"/>
  <c r="BD174" i="13"/>
  <c r="BD175" i="13"/>
  <c r="BD176" i="13"/>
  <c r="BD177" i="13"/>
  <c r="BD178" i="13"/>
  <c r="BD179" i="13"/>
  <c r="BD180" i="13"/>
  <c r="BD181" i="13"/>
  <c r="BD182" i="13"/>
  <c r="BD183" i="13"/>
  <c r="BD184" i="13"/>
  <c r="BD185" i="13"/>
  <c r="BD186" i="13"/>
  <c r="BD187" i="13"/>
  <c r="BD188" i="13"/>
  <c r="BD189" i="13"/>
  <c r="BD190" i="13"/>
  <c r="BD191" i="13"/>
  <c r="BD192" i="13"/>
  <c r="BD193" i="13"/>
  <c r="BD194" i="13"/>
  <c r="BD195" i="13"/>
  <c r="BD196" i="13"/>
  <c r="BD197" i="13"/>
  <c r="BD198" i="13"/>
  <c r="BD199" i="13"/>
  <c r="BD200" i="13"/>
  <c r="BD201" i="13"/>
  <c r="BD202" i="13"/>
  <c r="BD203" i="13"/>
  <c r="BD204" i="13"/>
  <c r="BD205" i="13"/>
  <c r="BD206" i="13"/>
  <c r="BD207" i="13"/>
  <c r="BD208" i="13"/>
  <c r="BD209" i="13"/>
  <c r="BD210" i="13"/>
  <c r="BD211" i="13"/>
  <c r="BD212" i="13"/>
  <c r="BD213" i="13"/>
  <c r="BD214" i="13"/>
  <c r="BD215" i="13"/>
  <c r="BD216" i="13"/>
  <c r="BD217" i="13"/>
  <c r="BD218" i="13"/>
  <c r="BD219" i="13"/>
  <c r="BD220" i="13"/>
  <c r="BD221" i="13"/>
  <c r="BD222" i="13"/>
  <c r="BD223" i="13"/>
  <c r="BD224" i="13"/>
  <c r="BD225" i="13"/>
  <c r="BD226" i="13"/>
  <c r="BD227" i="13"/>
  <c r="BD228" i="13"/>
  <c r="BD229" i="13"/>
  <c r="BD230" i="13"/>
  <c r="BD231" i="13"/>
  <c r="BD232" i="13"/>
  <c r="BD233" i="13"/>
  <c r="BD234" i="13"/>
  <c r="BD235" i="13"/>
  <c r="BD236" i="13"/>
  <c r="BD237" i="13"/>
  <c r="BD238" i="13"/>
  <c r="BD239" i="13"/>
  <c r="BD240" i="13"/>
  <c r="BD241" i="13"/>
  <c r="BD242" i="13"/>
  <c r="BD243" i="13"/>
  <c r="BD244" i="13"/>
  <c r="BD245" i="13"/>
  <c r="BD246" i="13"/>
  <c r="BD247" i="13"/>
  <c r="BD248" i="13"/>
  <c r="BD249" i="13"/>
  <c r="BD250" i="13"/>
  <c r="BD251" i="13"/>
  <c r="BD252" i="13"/>
  <c r="BD253" i="13"/>
  <c r="BD254" i="13"/>
  <c r="BD255" i="13"/>
  <c r="BD256" i="13"/>
  <c r="BD257" i="13"/>
  <c r="BD258" i="13"/>
  <c r="BD259" i="13"/>
  <c r="BD260" i="13"/>
  <c r="BD261" i="13"/>
  <c r="BD262" i="13"/>
  <c r="BD263" i="13"/>
  <c r="BD264" i="13"/>
  <c r="BD265" i="13"/>
  <c r="BD266" i="13"/>
  <c r="BD267" i="13"/>
  <c r="BD268" i="13"/>
  <c r="BD269" i="13"/>
  <c r="BD270" i="13"/>
  <c r="BD271" i="13"/>
  <c r="BD272" i="13"/>
  <c r="BD273" i="13"/>
  <c r="BD274" i="13"/>
  <c r="BD275" i="13"/>
  <c r="BD276" i="13"/>
  <c r="BD277" i="13"/>
  <c r="BD278" i="13"/>
  <c r="BD279" i="13"/>
  <c r="BD280" i="13"/>
  <c r="BD281" i="13"/>
  <c r="BD282" i="13"/>
  <c r="BD283" i="13"/>
  <c r="BD284" i="13"/>
  <c r="BD285" i="13"/>
  <c r="BD286" i="13"/>
  <c r="BD287" i="13"/>
  <c r="BD288" i="13"/>
  <c r="BD289" i="13"/>
  <c r="BD290" i="13"/>
  <c r="BD291" i="13"/>
  <c r="BD292" i="13"/>
  <c r="BD293" i="13"/>
  <c r="BD294" i="13"/>
  <c r="BD295" i="13"/>
  <c r="BD296" i="13"/>
  <c r="BD297" i="13"/>
  <c r="BD298" i="13"/>
  <c r="BD299" i="13"/>
  <c r="BD300" i="13"/>
  <c r="BC3" i="13"/>
  <c r="BC4" i="13"/>
  <c r="BC5" i="13"/>
  <c r="BC6" i="13"/>
  <c r="BC7" i="13"/>
  <c r="BC8" i="13"/>
  <c r="BC9" i="13"/>
  <c r="BC10" i="13"/>
  <c r="BC11" i="13"/>
  <c r="BC12" i="13"/>
  <c r="BC13" i="13"/>
  <c r="BC14" i="13"/>
  <c r="BC15" i="13"/>
  <c r="BC16" i="13"/>
  <c r="BC17" i="13"/>
  <c r="BC18" i="13"/>
  <c r="BC19" i="13"/>
  <c r="BC20" i="13"/>
  <c r="BC21" i="13"/>
  <c r="BC22" i="13"/>
  <c r="BC23" i="13"/>
  <c r="BC24" i="13"/>
  <c r="BC25" i="13"/>
  <c r="BC26" i="13"/>
  <c r="BC27" i="13"/>
  <c r="BC28" i="13"/>
  <c r="BC29" i="13"/>
  <c r="BC30" i="13"/>
  <c r="BC31" i="13"/>
  <c r="BC32" i="13"/>
  <c r="BC33" i="13"/>
  <c r="BC34" i="13"/>
  <c r="BC35" i="13"/>
  <c r="BC36" i="13"/>
  <c r="BC37" i="13"/>
  <c r="BC38" i="13"/>
  <c r="BC39" i="13"/>
  <c r="BC40" i="13"/>
  <c r="BC41" i="13"/>
  <c r="BC42" i="13"/>
  <c r="BC43" i="13"/>
  <c r="BC44" i="13"/>
  <c r="BC45" i="13"/>
  <c r="BC46" i="13"/>
  <c r="BC47" i="13"/>
  <c r="BC48" i="13"/>
  <c r="BC49" i="13"/>
  <c r="BC50" i="13"/>
  <c r="BC51" i="13"/>
  <c r="BC52" i="13"/>
  <c r="BC53" i="13"/>
  <c r="BC54" i="13"/>
  <c r="BC55" i="13"/>
  <c r="BC56" i="13"/>
  <c r="BC57" i="13"/>
  <c r="BC58" i="13"/>
  <c r="BC59" i="13"/>
  <c r="BC60" i="13"/>
  <c r="BC61" i="13"/>
  <c r="BC62" i="13"/>
  <c r="BC63" i="13"/>
  <c r="BC64" i="13"/>
  <c r="BC65" i="13"/>
  <c r="BC66" i="13"/>
  <c r="BC67" i="13"/>
  <c r="BC68" i="13"/>
  <c r="BC69" i="13"/>
  <c r="BC70" i="13"/>
  <c r="BC71" i="13"/>
  <c r="BC72" i="13"/>
  <c r="BC73" i="13"/>
  <c r="BC74" i="13"/>
  <c r="BC75" i="13"/>
  <c r="BC76" i="13"/>
  <c r="BC77" i="13"/>
  <c r="BC78" i="13"/>
  <c r="BC79" i="13"/>
  <c r="BC80" i="13"/>
  <c r="BC81" i="13"/>
  <c r="BC82" i="13"/>
  <c r="BC83" i="13"/>
  <c r="BC84" i="13"/>
  <c r="BC85" i="13"/>
  <c r="BC86" i="13"/>
  <c r="BC87" i="13"/>
  <c r="BC88" i="13"/>
  <c r="BC89" i="13"/>
  <c r="BC90" i="13"/>
  <c r="BC91" i="13"/>
  <c r="BC92" i="13"/>
  <c r="BC93" i="13"/>
  <c r="BC94" i="13"/>
  <c r="BC95" i="13"/>
  <c r="BC96" i="13"/>
  <c r="BC97" i="13"/>
  <c r="BC98" i="13"/>
  <c r="BC99" i="13"/>
  <c r="BC100" i="13"/>
  <c r="BC101" i="13"/>
  <c r="BC102" i="13"/>
  <c r="BC103" i="13"/>
  <c r="BC104" i="13"/>
  <c r="BC105" i="13"/>
  <c r="BC106" i="13"/>
  <c r="BC107" i="13"/>
  <c r="BC108" i="13"/>
  <c r="BC109" i="13"/>
  <c r="BC110" i="13"/>
  <c r="BC111" i="13"/>
  <c r="BC112" i="13"/>
  <c r="BC113" i="13"/>
  <c r="BC114" i="13"/>
  <c r="BC115" i="13"/>
  <c r="BC116" i="13"/>
  <c r="BC117" i="13"/>
  <c r="BC118" i="13"/>
  <c r="BC119" i="13"/>
  <c r="BC120" i="13"/>
  <c r="BC121" i="13"/>
  <c r="BC122" i="13"/>
  <c r="BC123" i="13"/>
  <c r="BC124" i="13"/>
  <c r="BC125" i="13"/>
  <c r="BC126" i="13"/>
  <c r="BC127" i="13"/>
  <c r="BC128" i="13"/>
  <c r="BC129" i="13"/>
  <c r="BC130" i="13"/>
  <c r="BC131" i="13"/>
  <c r="BC132" i="13"/>
  <c r="BC133" i="13"/>
  <c r="BC134" i="13"/>
  <c r="BC135" i="13"/>
  <c r="BC136" i="13"/>
  <c r="BC137" i="13"/>
  <c r="BC138" i="13"/>
  <c r="BC139" i="13"/>
  <c r="BC140" i="13"/>
  <c r="BC141" i="13"/>
  <c r="BC142" i="13"/>
  <c r="BC143" i="13"/>
  <c r="BC144" i="13"/>
  <c r="BC145" i="13"/>
  <c r="BC146" i="13"/>
  <c r="BC147" i="13"/>
  <c r="BC148" i="13"/>
  <c r="BC149" i="13"/>
  <c r="BC150" i="13"/>
  <c r="BC151" i="13"/>
  <c r="BC152" i="13"/>
  <c r="BC153" i="13"/>
  <c r="BC154" i="13"/>
  <c r="BC155" i="13"/>
  <c r="BC156" i="13"/>
  <c r="BC157" i="13"/>
  <c r="BC158" i="13"/>
  <c r="BC159" i="13"/>
  <c r="BC160" i="13"/>
  <c r="BC161" i="13"/>
  <c r="BC162" i="13"/>
  <c r="BC163" i="13"/>
  <c r="BC164" i="13"/>
  <c r="BC165" i="13"/>
  <c r="BC166" i="13"/>
  <c r="BC167" i="13"/>
  <c r="BC168" i="13"/>
  <c r="BC169" i="13"/>
  <c r="BC170" i="13"/>
  <c r="BC171" i="13"/>
  <c r="BC172" i="13"/>
  <c r="BC173" i="13"/>
  <c r="BC174" i="13"/>
  <c r="BC175" i="13"/>
  <c r="BC176" i="13"/>
  <c r="BC177" i="13"/>
  <c r="BC178" i="13"/>
  <c r="BC179" i="13"/>
  <c r="BC180" i="13"/>
  <c r="BC181" i="13"/>
  <c r="BC182" i="13"/>
  <c r="BC183" i="13"/>
  <c r="BC184" i="13"/>
  <c r="BC185" i="13"/>
  <c r="BC186" i="13"/>
  <c r="BC187" i="13"/>
  <c r="BC188" i="13"/>
  <c r="BC189" i="13"/>
  <c r="BC190" i="13"/>
  <c r="BC191" i="13"/>
  <c r="BC192" i="13"/>
  <c r="BC193" i="13"/>
  <c r="BC194" i="13"/>
  <c r="BC195" i="13"/>
  <c r="BC196" i="13"/>
  <c r="BC197" i="13"/>
  <c r="BC198" i="13"/>
  <c r="BC199" i="13"/>
  <c r="BC200" i="13"/>
  <c r="BC201" i="13"/>
  <c r="BC202" i="13"/>
  <c r="BC203" i="13"/>
  <c r="BC204" i="13"/>
  <c r="BC205" i="13"/>
  <c r="BC206" i="13"/>
  <c r="BC207" i="13"/>
  <c r="BC208" i="13"/>
  <c r="BC209" i="13"/>
  <c r="BC210" i="13"/>
  <c r="BC211" i="13"/>
  <c r="BC212" i="13"/>
  <c r="BC213" i="13"/>
  <c r="BC214" i="13"/>
  <c r="BC215" i="13"/>
  <c r="BC216" i="13"/>
  <c r="BC217" i="13"/>
  <c r="BC218" i="13"/>
  <c r="BC219" i="13"/>
  <c r="BC220" i="13"/>
  <c r="BC221" i="13"/>
  <c r="BC222" i="13"/>
  <c r="BC223" i="13"/>
  <c r="BC224" i="13"/>
  <c r="BC225" i="13"/>
  <c r="BC226" i="13"/>
  <c r="BC227" i="13"/>
  <c r="BC228" i="13"/>
  <c r="BC229" i="13"/>
  <c r="BC230" i="13"/>
  <c r="BC231" i="13"/>
  <c r="BC232" i="13"/>
  <c r="BC233" i="13"/>
  <c r="BC234" i="13"/>
  <c r="BC235" i="13"/>
  <c r="BC236" i="13"/>
  <c r="BC237" i="13"/>
  <c r="BC238" i="13"/>
  <c r="BC239" i="13"/>
  <c r="BC240" i="13"/>
  <c r="BC241" i="13"/>
  <c r="BC242" i="13"/>
  <c r="BC243" i="13"/>
  <c r="BC244" i="13"/>
  <c r="BC245" i="13"/>
  <c r="BC246" i="13"/>
  <c r="BC247" i="13"/>
  <c r="BC248" i="13"/>
  <c r="BC249" i="13"/>
  <c r="BC250" i="13"/>
  <c r="BC251" i="13"/>
  <c r="BC252" i="13"/>
  <c r="BC253" i="13"/>
  <c r="BC254" i="13"/>
  <c r="BC255" i="13"/>
  <c r="BC256" i="13"/>
  <c r="BC257" i="13"/>
  <c r="BC258" i="13"/>
  <c r="BC259" i="13"/>
  <c r="BC260" i="13"/>
  <c r="BC261" i="13"/>
  <c r="BC262" i="13"/>
  <c r="BC263" i="13"/>
  <c r="BC264" i="13"/>
  <c r="BC265" i="13"/>
  <c r="BC266" i="13"/>
  <c r="BC267" i="13"/>
  <c r="BC268" i="13"/>
  <c r="BC269" i="13"/>
  <c r="BC270" i="13"/>
  <c r="BC271" i="13"/>
  <c r="BC272" i="13"/>
  <c r="BC273" i="13"/>
  <c r="BC274" i="13"/>
  <c r="BC275" i="13"/>
  <c r="BC276" i="13"/>
  <c r="BC277" i="13"/>
  <c r="BC278" i="13"/>
  <c r="BC279" i="13"/>
  <c r="BC280" i="13"/>
  <c r="BC281" i="13"/>
  <c r="BC282" i="13"/>
  <c r="BC283" i="13"/>
  <c r="BC284" i="13"/>
  <c r="BC285" i="13"/>
  <c r="BC286" i="13"/>
  <c r="BC287" i="13"/>
  <c r="BC288" i="13"/>
  <c r="BC289" i="13"/>
  <c r="BC290" i="13"/>
  <c r="BC291" i="13"/>
  <c r="BC292" i="13"/>
  <c r="BC293" i="13"/>
  <c r="BC294" i="13"/>
  <c r="BC295" i="13"/>
  <c r="BC296" i="13"/>
  <c r="BC297" i="13"/>
  <c r="BC298" i="13"/>
  <c r="BC299" i="13"/>
  <c r="BC300" i="13"/>
  <c r="BB3" i="13"/>
  <c r="BB4" i="13"/>
  <c r="BB5" i="13"/>
  <c r="BB6" i="13"/>
  <c r="BB7" i="13"/>
  <c r="BB8" i="13"/>
  <c r="BB9" i="13"/>
  <c r="BB10" i="13"/>
  <c r="BB11" i="13"/>
  <c r="BB12" i="13"/>
  <c r="BB13" i="13"/>
  <c r="BB14" i="13"/>
  <c r="BB15" i="13"/>
  <c r="BB16" i="13"/>
  <c r="BB17" i="13"/>
  <c r="BB18" i="13"/>
  <c r="BB19" i="13"/>
  <c r="BB20" i="13"/>
  <c r="BB21" i="13"/>
  <c r="BB22" i="13"/>
  <c r="BB23" i="13"/>
  <c r="BB24" i="13"/>
  <c r="BB25" i="13"/>
  <c r="BB26" i="13"/>
  <c r="BB27" i="13"/>
  <c r="BB28" i="13"/>
  <c r="BB29" i="13"/>
  <c r="BB30" i="13"/>
  <c r="BB31" i="13"/>
  <c r="BB32" i="13"/>
  <c r="BB33" i="13"/>
  <c r="BB34" i="13"/>
  <c r="BB35" i="13"/>
  <c r="BB36" i="13"/>
  <c r="BB37" i="13"/>
  <c r="BB38" i="13"/>
  <c r="BB39" i="13"/>
  <c r="BB40" i="13"/>
  <c r="BB41" i="13"/>
  <c r="BB42" i="13"/>
  <c r="BB43" i="13"/>
  <c r="BB44" i="13"/>
  <c r="BB45" i="13"/>
  <c r="BB46" i="13"/>
  <c r="BB47" i="13"/>
  <c r="BB48" i="13"/>
  <c r="BB49" i="13"/>
  <c r="BB50" i="13"/>
  <c r="BB51" i="13"/>
  <c r="BB52" i="13"/>
  <c r="BB53" i="13"/>
  <c r="BB54" i="13"/>
  <c r="BB55" i="13"/>
  <c r="BB56" i="13"/>
  <c r="BB57" i="13"/>
  <c r="BB58" i="13"/>
  <c r="BB59" i="13"/>
  <c r="BB60" i="13"/>
  <c r="BB61" i="13"/>
  <c r="BB62" i="13"/>
  <c r="BB63" i="13"/>
  <c r="BB64" i="13"/>
  <c r="BB65" i="13"/>
  <c r="BB66" i="13"/>
  <c r="BB67" i="13"/>
  <c r="BB68" i="13"/>
  <c r="BB69" i="13"/>
  <c r="BB70" i="13"/>
  <c r="BB71" i="13"/>
  <c r="BB72" i="13"/>
  <c r="BB73" i="13"/>
  <c r="BB74" i="13"/>
  <c r="BB75" i="13"/>
  <c r="BB76" i="13"/>
  <c r="BB77" i="13"/>
  <c r="BB78" i="13"/>
  <c r="BB79" i="13"/>
  <c r="BB80" i="13"/>
  <c r="BB81" i="13"/>
  <c r="BB82" i="13"/>
  <c r="BB83" i="13"/>
  <c r="BB84" i="13"/>
  <c r="BB85" i="13"/>
  <c r="BB86" i="13"/>
  <c r="BB87" i="13"/>
  <c r="BB88" i="13"/>
  <c r="BB89" i="13"/>
  <c r="BB90" i="13"/>
  <c r="BB91" i="13"/>
  <c r="BB92" i="13"/>
  <c r="BB93" i="13"/>
  <c r="BB94" i="13"/>
  <c r="BB95" i="13"/>
  <c r="BB96" i="13"/>
  <c r="BB97" i="13"/>
  <c r="BB98" i="13"/>
  <c r="BB99" i="13"/>
  <c r="BB100" i="13"/>
  <c r="BB101" i="13"/>
  <c r="BB102" i="13"/>
  <c r="BB103" i="13"/>
  <c r="BB104" i="13"/>
  <c r="BB105" i="13"/>
  <c r="BB106" i="13"/>
  <c r="BB107" i="13"/>
  <c r="BB108" i="13"/>
  <c r="BB109" i="13"/>
  <c r="BB110" i="13"/>
  <c r="BB111" i="13"/>
  <c r="BB112" i="13"/>
  <c r="BB113" i="13"/>
  <c r="BB114" i="13"/>
  <c r="BB115" i="13"/>
  <c r="BB116" i="13"/>
  <c r="BB117" i="13"/>
  <c r="BB118" i="13"/>
  <c r="BB119" i="13"/>
  <c r="BB120" i="13"/>
  <c r="BB121" i="13"/>
  <c r="BB122" i="13"/>
  <c r="BB123" i="13"/>
  <c r="BB124" i="13"/>
  <c r="BB125" i="13"/>
  <c r="BB126" i="13"/>
  <c r="BB127" i="13"/>
  <c r="BB128" i="13"/>
  <c r="BB129" i="13"/>
  <c r="BB130" i="13"/>
  <c r="BB131" i="13"/>
  <c r="BB132" i="13"/>
  <c r="BB133" i="13"/>
  <c r="BB134" i="13"/>
  <c r="BB135" i="13"/>
  <c r="BB136" i="13"/>
  <c r="BB137" i="13"/>
  <c r="BB138" i="13"/>
  <c r="BB139" i="13"/>
  <c r="BB140" i="13"/>
  <c r="BB141" i="13"/>
  <c r="BB142" i="13"/>
  <c r="BB143" i="13"/>
  <c r="BB144" i="13"/>
  <c r="BB145" i="13"/>
  <c r="BB146" i="13"/>
  <c r="BB147" i="13"/>
  <c r="BB148" i="13"/>
  <c r="BB149" i="13"/>
  <c r="BB150" i="13"/>
  <c r="BB151" i="13"/>
  <c r="BB152" i="13"/>
  <c r="BB153" i="13"/>
  <c r="BB154" i="13"/>
  <c r="BB155" i="13"/>
  <c r="BB156" i="13"/>
  <c r="BB157" i="13"/>
  <c r="BB158" i="13"/>
  <c r="BB159" i="13"/>
  <c r="BB160" i="13"/>
  <c r="BB161" i="13"/>
  <c r="BB162" i="13"/>
  <c r="BB163" i="13"/>
  <c r="BB164" i="13"/>
  <c r="BB165" i="13"/>
  <c r="BB166" i="13"/>
  <c r="BB167" i="13"/>
  <c r="BB168" i="13"/>
  <c r="BB169" i="13"/>
  <c r="BB170" i="13"/>
  <c r="BB171" i="13"/>
  <c r="BB172" i="13"/>
  <c r="BB173" i="13"/>
  <c r="BB174" i="13"/>
  <c r="BB175" i="13"/>
  <c r="BB176" i="13"/>
  <c r="BB177" i="13"/>
  <c r="BB178" i="13"/>
  <c r="BB179" i="13"/>
  <c r="BB180" i="13"/>
  <c r="BB181" i="13"/>
  <c r="BB182" i="13"/>
  <c r="BB183" i="13"/>
  <c r="BB184" i="13"/>
  <c r="BB185" i="13"/>
  <c r="BB186" i="13"/>
  <c r="BB187" i="13"/>
  <c r="BB188" i="13"/>
  <c r="BB189" i="13"/>
  <c r="BB190" i="13"/>
  <c r="BB191" i="13"/>
  <c r="BB192" i="13"/>
  <c r="BB193" i="13"/>
  <c r="BB194" i="13"/>
  <c r="BB195" i="13"/>
  <c r="BB196" i="13"/>
  <c r="BB197" i="13"/>
  <c r="BB198" i="13"/>
  <c r="BB199" i="13"/>
  <c r="BB200" i="13"/>
  <c r="BB201" i="13"/>
  <c r="BB202" i="13"/>
  <c r="BB203" i="13"/>
  <c r="BB204" i="13"/>
  <c r="BB205" i="13"/>
  <c r="BB206" i="13"/>
  <c r="BB207" i="13"/>
  <c r="BB208" i="13"/>
  <c r="BB209" i="13"/>
  <c r="BB210" i="13"/>
  <c r="BB211" i="13"/>
  <c r="BB212" i="13"/>
  <c r="BB213" i="13"/>
  <c r="BB214" i="13"/>
  <c r="BB215" i="13"/>
  <c r="BB216" i="13"/>
  <c r="BB217" i="13"/>
  <c r="BB218" i="13"/>
  <c r="BB219" i="13"/>
  <c r="BB220" i="13"/>
  <c r="BB221" i="13"/>
  <c r="BB222" i="13"/>
  <c r="BB223" i="13"/>
  <c r="BB224" i="13"/>
  <c r="BB225" i="13"/>
  <c r="BB226" i="13"/>
  <c r="BB227" i="13"/>
  <c r="BB228" i="13"/>
  <c r="BB229" i="13"/>
  <c r="BB230" i="13"/>
  <c r="BB231" i="13"/>
  <c r="BB232" i="13"/>
  <c r="BB233" i="13"/>
  <c r="BB234" i="13"/>
  <c r="BB235" i="13"/>
  <c r="BB236" i="13"/>
  <c r="BB237" i="13"/>
  <c r="BB238" i="13"/>
  <c r="BB239" i="13"/>
  <c r="BB240" i="13"/>
  <c r="BB241" i="13"/>
  <c r="BB242" i="13"/>
  <c r="BB243" i="13"/>
  <c r="BB244" i="13"/>
  <c r="BB245" i="13"/>
  <c r="BB246" i="13"/>
  <c r="BB247" i="13"/>
  <c r="BB248" i="13"/>
  <c r="BB249" i="13"/>
  <c r="BB250" i="13"/>
  <c r="BB251" i="13"/>
  <c r="BB252" i="13"/>
  <c r="BB253" i="13"/>
  <c r="BB254" i="13"/>
  <c r="BB255" i="13"/>
  <c r="BB256" i="13"/>
  <c r="BB257" i="13"/>
  <c r="BB258" i="13"/>
  <c r="BB259" i="13"/>
  <c r="BB260" i="13"/>
  <c r="BB261" i="13"/>
  <c r="BB262" i="13"/>
  <c r="BB263" i="13"/>
  <c r="BB264" i="13"/>
  <c r="BB265" i="13"/>
  <c r="BB266" i="13"/>
  <c r="BB267" i="13"/>
  <c r="BB268" i="13"/>
  <c r="BB269" i="13"/>
  <c r="BB270" i="13"/>
  <c r="BB271" i="13"/>
  <c r="BB272" i="13"/>
  <c r="BB273" i="13"/>
  <c r="BB274" i="13"/>
  <c r="BB275" i="13"/>
  <c r="BB276" i="13"/>
  <c r="BB277" i="13"/>
  <c r="BB278" i="13"/>
  <c r="BB279" i="13"/>
  <c r="BB280" i="13"/>
  <c r="BB281" i="13"/>
  <c r="BB282" i="13"/>
  <c r="BB283" i="13"/>
  <c r="BB284" i="13"/>
  <c r="BB285" i="13"/>
  <c r="BB286" i="13"/>
  <c r="BB287" i="13"/>
  <c r="BB288" i="13"/>
  <c r="BB289" i="13"/>
  <c r="BB290" i="13"/>
  <c r="BB291" i="13"/>
  <c r="BB292" i="13"/>
  <c r="BB293" i="13"/>
  <c r="BB294" i="13"/>
  <c r="BB295" i="13"/>
  <c r="BB296" i="13"/>
  <c r="BB297" i="13"/>
  <c r="BB298" i="13"/>
  <c r="BB299" i="13"/>
  <c r="BB300" i="13"/>
  <c r="BA3" i="13"/>
  <c r="BA4" i="13"/>
  <c r="BA5" i="13"/>
  <c r="BA6" i="13"/>
  <c r="BA7" i="13"/>
  <c r="BA8" i="13"/>
  <c r="BA9" i="13"/>
  <c r="BA10" i="13"/>
  <c r="BA11" i="13"/>
  <c r="BA12" i="13"/>
  <c r="BA13" i="13"/>
  <c r="BA14" i="13"/>
  <c r="BA15" i="13"/>
  <c r="BA16" i="13"/>
  <c r="BA17" i="13"/>
  <c r="BA18" i="13"/>
  <c r="BA19" i="13"/>
  <c r="BA20" i="13"/>
  <c r="BA21" i="13"/>
  <c r="BA22" i="13"/>
  <c r="BA23" i="13"/>
  <c r="BA24" i="13"/>
  <c r="BA25" i="13"/>
  <c r="BA26" i="13"/>
  <c r="BA27" i="13"/>
  <c r="BA28" i="13"/>
  <c r="BA29" i="13"/>
  <c r="BA30" i="13"/>
  <c r="BA31" i="13"/>
  <c r="BA32" i="13"/>
  <c r="BA33" i="13"/>
  <c r="BA34" i="13"/>
  <c r="BA35" i="13"/>
  <c r="BA36" i="13"/>
  <c r="BA37" i="13"/>
  <c r="BA38" i="13"/>
  <c r="BA39" i="13"/>
  <c r="BA40" i="13"/>
  <c r="BA41" i="13"/>
  <c r="BA42" i="13"/>
  <c r="BA43" i="13"/>
  <c r="BA44" i="13"/>
  <c r="BA45" i="13"/>
  <c r="BA46" i="13"/>
  <c r="BA47" i="13"/>
  <c r="BA48" i="13"/>
  <c r="BA49" i="13"/>
  <c r="BA50" i="13"/>
  <c r="BA51" i="13"/>
  <c r="BA52" i="13"/>
  <c r="BA53" i="13"/>
  <c r="BA54" i="13"/>
  <c r="BA55" i="13"/>
  <c r="BA56" i="13"/>
  <c r="BA57" i="13"/>
  <c r="BA58" i="13"/>
  <c r="BA59" i="13"/>
  <c r="BA60" i="13"/>
  <c r="BA61" i="13"/>
  <c r="BA62" i="13"/>
  <c r="BA63" i="13"/>
  <c r="BA64" i="13"/>
  <c r="BA65" i="13"/>
  <c r="BA66" i="13"/>
  <c r="BA67" i="13"/>
  <c r="BA68" i="13"/>
  <c r="BA69" i="13"/>
  <c r="BA70" i="13"/>
  <c r="BA71" i="13"/>
  <c r="BA72" i="13"/>
  <c r="BA73" i="13"/>
  <c r="BA74" i="13"/>
  <c r="BA75" i="13"/>
  <c r="BA76" i="13"/>
  <c r="BA77" i="13"/>
  <c r="BA78" i="13"/>
  <c r="BA79" i="13"/>
  <c r="BA80" i="13"/>
  <c r="BA81" i="13"/>
  <c r="BA82" i="13"/>
  <c r="BA83" i="13"/>
  <c r="BA84" i="13"/>
  <c r="BA85" i="13"/>
  <c r="BA86" i="13"/>
  <c r="BA87" i="13"/>
  <c r="BA88" i="13"/>
  <c r="BA89" i="13"/>
  <c r="BA90" i="13"/>
  <c r="BA91" i="13"/>
  <c r="BA92" i="13"/>
  <c r="BA93" i="13"/>
  <c r="BA94" i="13"/>
  <c r="BA95" i="13"/>
  <c r="BA96" i="13"/>
  <c r="BA97" i="13"/>
  <c r="BA98" i="13"/>
  <c r="BA99" i="13"/>
  <c r="BA100" i="13"/>
  <c r="BA101" i="13"/>
  <c r="BA102" i="13"/>
  <c r="BA103" i="13"/>
  <c r="BA104" i="13"/>
  <c r="BA105" i="13"/>
  <c r="BA106" i="13"/>
  <c r="BA107" i="13"/>
  <c r="BA108" i="13"/>
  <c r="BA109" i="13"/>
  <c r="BA110" i="13"/>
  <c r="BA111" i="13"/>
  <c r="BA112" i="13"/>
  <c r="BA113" i="13"/>
  <c r="BA114" i="13"/>
  <c r="BA115" i="13"/>
  <c r="BA116" i="13"/>
  <c r="BA117" i="13"/>
  <c r="BA118" i="13"/>
  <c r="BA119" i="13"/>
  <c r="BA120" i="13"/>
  <c r="BA121" i="13"/>
  <c r="BA122" i="13"/>
  <c r="BA123" i="13"/>
  <c r="BA124" i="13"/>
  <c r="BA125" i="13"/>
  <c r="BA126" i="13"/>
  <c r="BA127" i="13"/>
  <c r="BA128" i="13"/>
  <c r="BA129" i="13"/>
  <c r="BA130" i="13"/>
  <c r="BA131" i="13"/>
  <c r="BA132" i="13"/>
  <c r="BA133" i="13"/>
  <c r="BA134" i="13"/>
  <c r="BA135" i="13"/>
  <c r="BA136" i="13"/>
  <c r="BA137" i="13"/>
  <c r="BA138" i="13"/>
  <c r="BA139" i="13"/>
  <c r="BA140" i="13"/>
  <c r="BA141" i="13"/>
  <c r="BA142" i="13"/>
  <c r="BA143" i="13"/>
  <c r="BA144" i="13"/>
  <c r="BA145" i="13"/>
  <c r="BA146" i="13"/>
  <c r="BA147" i="13"/>
  <c r="BA148" i="13"/>
  <c r="BA149" i="13"/>
  <c r="BA150" i="13"/>
  <c r="BA151" i="13"/>
  <c r="BA152" i="13"/>
  <c r="BA153" i="13"/>
  <c r="BA154" i="13"/>
  <c r="BA155" i="13"/>
  <c r="BA156" i="13"/>
  <c r="BA157" i="13"/>
  <c r="BA158" i="13"/>
  <c r="BA159" i="13"/>
  <c r="BA160" i="13"/>
  <c r="BA161" i="13"/>
  <c r="BA162" i="13"/>
  <c r="BA163" i="13"/>
  <c r="BA164" i="13"/>
  <c r="BA165" i="13"/>
  <c r="BA166" i="13"/>
  <c r="BA167" i="13"/>
  <c r="BA168" i="13"/>
  <c r="BA169" i="13"/>
  <c r="BA170" i="13"/>
  <c r="BA171" i="13"/>
  <c r="BA172" i="13"/>
  <c r="BA173" i="13"/>
  <c r="BA174" i="13"/>
  <c r="BA175" i="13"/>
  <c r="BA176" i="13"/>
  <c r="BA177" i="13"/>
  <c r="BA178" i="13"/>
  <c r="BA179" i="13"/>
  <c r="BA180" i="13"/>
  <c r="BA181" i="13"/>
  <c r="BA182" i="13"/>
  <c r="BA183" i="13"/>
  <c r="BA184" i="13"/>
  <c r="BA185" i="13"/>
  <c r="BA186" i="13"/>
  <c r="BA187" i="13"/>
  <c r="BA188" i="13"/>
  <c r="BA189" i="13"/>
  <c r="BA190" i="13"/>
  <c r="BA191" i="13"/>
  <c r="BA192" i="13"/>
  <c r="BA193" i="13"/>
  <c r="BA194" i="13"/>
  <c r="BA195" i="13"/>
  <c r="BA196" i="13"/>
  <c r="BA197" i="13"/>
  <c r="BA198" i="13"/>
  <c r="BA199" i="13"/>
  <c r="BA200" i="13"/>
  <c r="BA201" i="13"/>
  <c r="BA202" i="13"/>
  <c r="BA203" i="13"/>
  <c r="BA204" i="13"/>
  <c r="BA205" i="13"/>
  <c r="BA206" i="13"/>
  <c r="BA207" i="13"/>
  <c r="BA208" i="13"/>
  <c r="BA209" i="13"/>
  <c r="BA210" i="13"/>
  <c r="BA211" i="13"/>
  <c r="BA212" i="13"/>
  <c r="BA213" i="13"/>
  <c r="BA214" i="13"/>
  <c r="BA215" i="13"/>
  <c r="BA216" i="13"/>
  <c r="BA217" i="13"/>
  <c r="BA218" i="13"/>
  <c r="BA219" i="13"/>
  <c r="BA220" i="13"/>
  <c r="BA221" i="13"/>
  <c r="BA222" i="13"/>
  <c r="BA223" i="13"/>
  <c r="BA224" i="13"/>
  <c r="BA225" i="13"/>
  <c r="BA226" i="13"/>
  <c r="BA227" i="13"/>
  <c r="BA228" i="13"/>
  <c r="BA229" i="13"/>
  <c r="BA230" i="13"/>
  <c r="BA231" i="13"/>
  <c r="BA232" i="13"/>
  <c r="BA233" i="13"/>
  <c r="BA234" i="13"/>
  <c r="BA235" i="13"/>
  <c r="BA236" i="13"/>
  <c r="BA237" i="13"/>
  <c r="BA238" i="13"/>
  <c r="BA239" i="13"/>
  <c r="BA240" i="13"/>
  <c r="BA241" i="13"/>
  <c r="BA242" i="13"/>
  <c r="BA243" i="13"/>
  <c r="BA244" i="13"/>
  <c r="BA245" i="13"/>
  <c r="BA246" i="13"/>
  <c r="BA247" i="13"/>
  <c r="BA248" i="13"/>
  <c r="BA249" i="13"/>
  <c r="BA250" i="13"/>
  <c r="BA251" i="13"/>
  <c r="BA252" i="13"/>
  <c r="BA253" i="13"/>
  <c r="BA254" i="13"/>
  <c r="BA255" i="13"/>
  <c r="BA256" i="13"/>
  <c r="BA257" i="13"/>
  <c r="BA258" i="13"/>
  <c r="BA259" i="13"/>
  <c r="BA260" i="13"/>
  <c r="BA261" i="13"/>
  <c r="BA262" i="13"/>
  <c r="BA263" i="13"/>
  <c r="BA264" i="13"/>
  <c r="BA265" i="13"/>
  <c r="BA266" i="13"/>
  <c r="BA267" i="13"/>
  <c r="BA268" i="13"/>
  <c r="BA269" i="13"/>
  <c r="BA270" i="13"/>
  <c r="BA271" i="13"/>
  <c r="BA272" i="13"/>
  <c r="BA273" i="13"/>
  <c r="BA274" i="13"/>
  <c r="BA275" i="13"/>
  <c r="BA276" i="13"/>
  <c r="BA277" i="13"/>
  <c r="BA278" i="13"/>
  <c r="BA279" i="13"/>
  <c r="BA280" i="13"/>
  <c r="BA281" i="13"/>
  <c r="BA282" i="13"/>
  <c r="BA283" i="13"/>
  <c r="BA284" i="13"/>
  <c r="BA285" i="13"/>
  <c r="BA286" i="13"/>
  <c r="BA287" i="13"/>
  <c r="BA288" i="13"/>
  <c r="BA289" i="13"/>
  <c r="BA290" i="13"/>
  <c r="BA291" i="13"/>
  <c r="BA292" i="13"/>
  <c r="BA293" i="13"/>
  <c r="BA294" i="13"/>
  <c r="BA295" i="13"/>
  <c r="BA296" i="13"/>
  <c r="BA297" i="13"/>
  <c r="BA298" i="13"/>
  <c r="BA299" i="13"/>
  <c r="BA300" i="13"/>
  <c r="AU30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" i="13"/>
  <c r="AU4" i="13"/>
  <c r="AU5" i="13"/>
  <c r="AU6" i="13"/>
  <c r="AU7" i="13"/>
  <c r="AU8" i="13"/>
  <c r="AU9" i="13"/>
  <c r="AU10" i="13"/>
  <c r="AU11" i="13"/>
  <c r="AU12" i="13"/>
  <c r="AR14" i="13"/>
  <c r="AR15" i="13"/>
  <c r="AR16" i="13"/>
  <c r="AR17" i="13"/>
  <c r="AR18" i="13"/>
  <c r="AR19" i="13"/>
  <c r="AR20" i="13"/>
  <c r="AR21" i="13"/>
  <c r="AR22" i="13"/>
  <c r="AR23" i="13"/>
  <c r="AR24" i="13"/>
  <c r="AR25" i="13"/>
  <c r="AR26" i="13"/>
  <c r="AR27" i="13"/>
  <c r="AR28" i="13"/>
  <c r="AR29" i="13"/>
  <c r="AR30" i="13"/>
  <c r="AR31" i="13"/>
  <c r="AR32" i="13"/>
  <c r="AR33" i="13"/>
  <c r="AR34" i="13"/>
  <c r="AR35" i="13"/>
  <c r="AR36" i="13"/>
  <c r="AR37" i="13"/>
  <c r="AR38" i="13"/>
  <c r="AR39" i="13"/>
  <c r="AR40" i="13"/>
  <c r="AR41" i="13"/>
  <c r="AR42" i="13"/>
  <c r="AR43" i="13"/>
  <c r="AR44" i="13"/>
  <c r="AR45" i="13"/>
  <c r="AR46" i="13"/>
  <c r="AR47" i="13"/>
  <c r="AR48" i="13"/>
  <c r="AR49" i="13"/>
  <c r="AR50" i="13"/>
  <c r="AR51" i="13"/>
  <c r="AR52" i="13"/>
  <c r="AR53" i="13"/>
  <c r="AR54" i="13"/>
  <c r="AR55" i="13"/>
  <c r="AR56" i="13"/>
  <c r="AR57" i="13"/>
  <c r="AR58" i="13"/>
  <c r="AR59" i="13"/>
  <c r="AR60" i="13"/>
  <c r="AR61" i="13"/>
  <c r="AR62" i="13"/>
  <c r="AR63" i="13"/>
  <c r="AR64" i="13"/>
  <c r="AR65" i="13"/>
  <c r="AR66" i="13"/>
  <c r="AR67" i="13"/>
  <c r="AR68" i="13"/>
  <c r="AR69" i="13"/>
  <c r="AR70" i="13"/>
  <c r="AR71" i="13"/>
  <c r="AR72" i="13"/>
  <c r="AR73" i="13"/>
  <c r="AR74" i="13"/>
  <c r="AR75" i="13"/>
  <c r="AR76" i="13"/>
  <c r="AR77" i="13"/>
  <c r="AR78" i="13"/>
  <c r="AR79" i="13"/>
  <c r="AR80" i="13"/>
  <c r="AR81" i="13"/>
  <c r="AR82" i="13"/>
  <c r="AR83" i="13"/>
  <c r="AR84" i="13"/>
  <c r="AR85" i="13"/>
  <c r="AR86" i="13"/>
  <c r="AR87" i="13"/>
  <c r="AR88" i="13"/>
  <c r="AR89" i="13"/>
  <c r="AR90" i="13"/>
  <c r="AR91" i="13"/>
  <c r="AR92" i="13"/>
  <c r="AR93" i="13"/>
  <c r="AR94" i="13"/>
  <c r="AR95" i="13"/>
  <c r="AR96" i="13"/>
  <c r="AR97" i="13"/>
  <c r="AR98" i="13"/>
  <c r="AR99" i="13"/>
  <c r="AR100" i="13"/>
  <c r="AR101" i="13"/>
  <c r="AR102" i="13"/>
  <c r="AR103" i="13"/>
  <c r="AR104" i="13"/>
  <c r="AR105" i="13"/>
  <c r="AR106" i="13"/>
  <c r="AR107" i="13"/>
  <c r="AR108" i="13"/>
  <c r="AR109" i="13"/>
  <c r="AR110" i="13"/>
  <c r="AR111" i="13"/>
  <c r="AR112" i="13"/>
  <c r="AR113" i="13"/>
  <c r="AR114" i="13"/>
  <c r="AR115" i="13"/>
  <c r="AR116" i="13"/>
  <c r="AR117" i="13"/>
  <c r="AR118" i="13"/>
  <c r="AR119" i="13"/>
  <c r="AR120" i="13"/>
  <c r="AR121" i="13"/>
  <c r="AR122" i="13"/>
  <c r="AR123" i="13"/>
  <c r="AR124" i="13"/>
  <c r="AR125" i="13"/>
  <c r="AR126" i="13"/>
  <c r="AR127" i="13"/>
  <c r="AR128" i="13"/>
  <c r="AR129" i="13"/>
  <c r="AR130" i="13"/>
  <c r="AR131" i="13"/>
  <c r="AR132" i="13"/>
  <c r="AR133" i="13"/>
  <c r="AR134" i="13"/>
  <c r="AR135" i="13"/>
  <c r="AR136" i="13"/>
  <c r="AR137" i="13"/>
  <c r="AR138" i="13"/>
  <c r="AR139" i="13"/>
  <c r="AR140" i="13"/>
  <c r="AR141" i="13"/>
  <c r="AR142" i="13"/>
  <c r="AR143" i="13"/>
  <c r="AR144" i="13"/>
  <c r="AR145" i="13"/>
  <c r="AR146" i="13"/>
  <c r="AR147" i="13"/>
  <c r="AR148" i="13"/>
  <c r="AR149" i="13"/>
  <c r="AR150" i="13"/>
  <c r="AR151" i="13"/>
  <c r="AR152" i="13"/>
  <c r="AR153" i="13"/>
  <c r="AR154" i="13"/>
  <c r="AR155" i="13"/>
  <c r="AR156" i="13"/>
  <c r="AR157" i="13"/>
  <c r="AR158" i="13"/>
  <c r="AR159" i="13"/>
  <c r="AR160" i="13"/>
  <c r="AR161" i="13"/>
  <c r="AR162" i="13"/>
  <c r="AR163" i="13"/>
  <c r="AR164" i="13"/>
  <c r="AR165" i="13"/>
  <c r="AR166" i="13"/>
  <c r="AR167" i="13"/>
  <c r="AR168" i="13"/>
  <c r="AR169" i="13"/>
  <c r="AR170" i="13"/>
  <c r="AR171" i="13"/>
  <c r="AR172" i="13"/>
  <c r="AR173" i="13"/>
  <c r="AR174" i="13"/>
  <c r="AR175" i="13"/>
  <c r="AR176" i="13"/>
  <c r="AR177" i="13"/>
  <c r="AR178" i="13"/>
  <c r="AR179" i="13"/>
  <c r="AR180" i="13"/>
  <c r="AR181" i="13"/>
  <c r="AR182" i="13"/>
  <c r="AR183" i="13"/>
  <c r="AR184" i="13"/>
  <c r="AR3" i="13"/>
  <c r="AR4" i="13"/>
  <c r="AR5" i="13"/>
  <c r="AR6" i="13"/>
  <c r="AR7" i="13"/>
  <c r="AR8" i="13"/>
  <c r="AR9" i="13"/>
  <c r="AR10" i="13"/>
  <c r="AR11" i="13"/>
  <c r="AR12" i="13"/>
  <c r="AR13" i="13"/>
  <c r="AQ3" i="13"/>
  <c r="AQ4" i="13"/>
  <c r="AQ5" i="13"/>
  <c r="AQ6" i="13"/>
  <c r="AQ7" i="13"/>
  <c r="AQ8" i="13"/>
  <c r="AQ9" i="13"/>
  <c r="AQ10" i="13"/>
  <c r="AQ11" i="13"/>
  <c r="AQ12" i="13"/>
  <c r="AQ13" i="13"/>
  <c r="AQ14" i="13"/>
  <c r="AQ15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Q60" i="13"/>
  <c r="AQ61" i="13"/>
  <c r="AQ62" i="13"/>
  <c r="AQ63" i="13"/>
  <c r="AQ64" i="13"/>
  <c r="AQ65" i="13"/>
  <c r="AQ66" i="13"/>
  <c r="AQ67" i="13"/>
  <c r="AQ68" i="13"/>
  <c r="AQ69" i="13"/>
  <c r="AQ70" i="13"/>
  <c r="AQ71" i="13"/>
  <c r="AQ72" i="13"/>
  <c r="AQ73" i="13"/>
  <c r="AQ74" i="13"/>
  <c r="AQ75" i="13"/>
  <c r="AQ76" i="13"/>
  <c r="AQ77" i="13"/>
  <c r="AQ78" i="13"/>
  <c r="AQ79" i="13"/>
  <c r="AQ80" i="13"/>
  <c r="AQ81" i="13"/>
  <c r="AQ82" i="13"/>
  <c r="AQ83" i="13"/>
  <c r="AQ84" i="13"/>
  <c r="AQ85" i="13"/>
  <c r="AQ86" i="13"/>
  <c r="AQ87" i="13"/>
  <c r="AQ88" i="13"/>
  <c r="AQ89" i="13"/>
  <c r="AQ90" i="13"/>
  <c r="AQ91" i="13"/>
  <c r="AQ92" i="13"/>
  <c r="AQ93" i="13"/>
  <c r="AQ94" i="13"/>
  <c r="AQ95" i="13"/>
  <c r="AQ96" i="13"/>
  <c r="AQ97" i="13"/>
  <c r="AQ98" i="13"/>
  <c r="AQ99" i="13"/>
  <c r="AQ100" i="13"/>
  <c r="AQ101" i="13"/>
  <c r="AQ102" i="13"/>
  <c r="AQ103" i="13"/>
  <c r="AQ104" i="13"/>
  <c r="AQ105" i="13"/>
  <c r="AQ106" i="13"/>
  <c r="AQ107" i="13"/>
  <c r="AQ108" i="13"/>
  <c r="AQ109" i="13"/>
  <c r="AQ110" i="13"/>
  <c r="AQ111" i="13"/>
  <c r="AQ112" i="13"/>
  <c r="AQ113" i="13"/>
  <c r="AQ114" i="13"/>
  <c r="AQ115" i="13"/>
  <c r="AQ116" i="13"/>
  <c r="AQ117" i="13"/>
  <c r="AQ118" i="13"/>
  <c r="AQ119" i="13"/>
  <c r="AQ120" i="13"/>
  <c r="AQ121" i="13"/>
  <c r="AQ122" i="13"/>
  <c r="AQ123" i="13"/>
  <c r="AQ124" i="13"/>
  <c r="AQ125" i="13"/>
  <c r="AQ126" i="13"/>
  <c r="AQ127" i="13"/>
  <c r="AQ128" i="13"/>
  <c r="AQ129" i="13"/>
  <c r="AQ130" i="13"/>
  <c r="AQ131" i="13"/>
  <c r="AQ132" i="13"/>
  <c r="AQ133" i="13"/>
  <c r="AQ134" i="13"/>
  <c r="AQ135" i="13"/>
  <c r="AQ136" i="13"/>
  <c r="AQ137" i="13"/>
  <c r="AQ138" i="13"/>
  <c r="AQ139" i="13"/>
  <c r="AQ140" i="13"/>
  <c r="AQ141" i="13"/>
  <c r="AQ142" i="13"/>
  <c r="AQ143" i="13"/>
  <c r="AQ144" i="13"/>
  <c r="AQ145" i="13"/>
  <c r="AQ146" i="13"/>
  <c r="AQ147" i="13"/>
  <c r="AQ148" i="13"/>
  <c r="AQ149" i="13"/>
  <c r="AQ150" i="13"/>
  <c r="AQ151" i="13"/>
  <c r="AQ152" i="13"/>
  <c r="AQ153" i="13"/>
  <c r="AQ154" i="13"/>
  <c r="AQ155" i="13"/>
  <c r="AQ156" i="13"/>
  <c r="AQ157" i="13"/>
  <c r="AQ158" i="13"/>
  <c r="AQ159" i="13"/>
  <c r="AQ160" i="13"/>
  <c r="AQ161" i="13"/>
  <c r="AQ162" i="13"/>
  <c r="AQ163" i="13"/>
  <c r="AQ164" i="13"/>
  <c r="AQ165" i="13"/>
  <c r="AQ166" i="13"/>
  <c r="AQ167" i="13"/>
  <c r="AQ168" i="13"/>
  <c r="AQ169" i="13"/>
  <c r="AQ170" i="13"/>
  <c r="AQ171" i="13"/>
  <c r="AQ172" i="13"/>
  <c r="AQ173" i="13"/>
  <c r="AQ174" i="13"/>
  <c r="AQ175" i="13"/>
  <c r="AQ176" i="13"/>
  <c r="AQ177" i="13"/>
  <c r="AQ178" i="13"/>
  <c r="AQ179" i="13"/>
  <c r="AQ180" i="13"/>
  <c r="AQ181" i="13"/>
  <c r="AQ182" i="13"/>
  <c r="AQ183" i="13"/>
  <c r="AQ184" i="13"/>
  <c r="AQ185" i="13"/>
  <c r="AQ186" i="13"/>
  <c r="AQ187" i="13"/>
  <c r="AQ188" i="13"/>
  <c r="AQ189" i="13"/>
  <c r="AQ190" i="13"/>
  <c r="AQ191" i="13"/>
  <c r="AQ192" i="13"/>
  <c r="AQ193" i="13"/>
  <c r="AQ194" i="13"/>
  <c r="AQ195" i="13"/>
  <c r="AQ196" i="13"/>
  <c r="AQ197" i="13"/>
  <c r="AQ198" i="13"/>
  <c r="AQ199" i="13"/>
  <c r="AQ200" i="13"/>
  <c r="AQ201" i="13"/>
  <c r="AQ202" i="13"/>
  <c r="AQ203" i="13"/>
  <c r="AQ204" i="13"/>
  <c r="AQ205" i="13"/>
  <c r="AQ206" i="13"/>
  <c r="AQ207" i="13"/>
  <c r="AQ208" i="13"/>
  <c r="AQ209" i="13"/>
  <c r="AQ210" i="13"/>
  <c r="AQ211" i="13"/>
  <c r="AQ212" i="13"/>
  <c r="AQ213" i="13"/>
  <c r="AQ214" i="13"/>
  <c r="AQ215" i="13"/>
  <c r="AQ216" i="13"/>
  <c r="AQ217" i="13"/>
  <c r="AQ218" i="13"/>
  <c r="AQ219" i="13"/>
  <c r="AQ220" i="13"/>
  <c r="AQ221" i="13"/>
  <c r="AQ222" i="13"/>
  <c r="AQ223" i="13"/>
  <c r="AQ224" i="13"/>
  <c r="AQ225" i="13"/>
  <c r="AQ226" i="13"/>
  <c r="AQ227" i="13"/>
  <c r="AQ228" i="13"/>
  <c r="AQ229" i="13"/>
  <c r="AQ230" i="13"/>
  <c r="AQ231" i="13"/>
  <c r="AQ232" i="13"/>
  <c r="AQ233" i="13"/>
  <c r="AQ234" i="13"/>
  <c r="AQ235" i="13"/>
  <c r="AQ236" i="13"/>
  <c r="AQ237" i="13"/>
  <c r="AQ238" i="13"/>
  <c r="AQ239" i="13"/>
  <c r="AQ240" i="13"/>
  <c r="AQ241" i="13"/>
  <c r="AQ242" i="13"/>
  <c r="AQ243" i="13"/>
  <c r="AQ244" i="13"/>
  <c r="AQ245" i="13"/>
  <c r="AQ246" i="13"/>
  <c r="AQ247" i="13"/>
  <c r="AQ248" i="13"/>
  <c r="AQ249" i="13"/>
  <c r="AQ250" i="13"/>
  <c r="AQ251" i="13"/>
  <c r="AQ252" i="13"/>
  <c r="AQ253" i="13"/>
  <c r="AQ254" i="13"/>
  <c r="AQ255" i="13"/>
  <c r="AQ256" i="13"/>
  <c r="AQ257" i="13"/>
  <c r="AQ258" i="13"/>
  <c r="AQ259" i="13"/>
  <c r="AQ260" i="13"/>
  <c r="AQ261" i="13"/>
  <c r="AQ262" i="13"/>
  <c r="AQ263" i="13"/>
  <c r="AQ264" i="13"/>
  <c r="AQ265" i="13"/>
  <c r="AQ266" i="13"/>
  <c r="AQ267" i="13"/>
  <c r="AQ268" i="13"/>
  <c r="AQ269" i="13"/>
  <c r="AQ270" i="13"/>
  <c r="AQ271" i="13"/>
  <c r="AQ272" i="13"/>
  <c r="AQ273" i="13"/>
  <c r="AQ274" i="13"/>
  <c r="AQ275" i="13"/>
  <c r="AQ276" i="13"/>
  <c r="AQ277" i="13"/>
  <c r="AQ278" i="13"/>
  <c r="AQ279" i="13"/>
  <c r="AQ280" i="13"/>
  <c r="AQ281" i="13"/>
  <c r="AQ282" i="13"/>
  <c r="AQ283" i="13"/>
  <c r="AQ284" i="13"/>
  <c r="AQ285" i="13"/>
  <c r="AQ286" i="13"/>
  <c r="AQ287" i="13"/>
  <c r="AQ288" i="13"/>
  <c r="AQ289" i="13"/>
  <c r="AQ290" i="13"/>
  <c r="AQ291" i="13"/>
  <c r="AQ292" i="13"/>
  <c r="AQ293" i="13"/>
  <c r="AQ294" i="13"/>
  <c r="AQ295" i="13"/>
  <c r="AQ296" i="13"/>
  <c r="AQ297" i="13"/>
  <c r="AQ298" i="13"/>
  <c r="AQ299" i="13"/>
  <c r="AQ300" i="13"/>
  <c r="R2" i="13"/>
  <c r="I2" i="11"/>
  <c r="X253" i="14" l="1"/>
  <c r="Y253" i="14" s="1"/>
  <c r="X272" i="14"/>
  <c r="Y272" i="14" s="1"/>
  <c r="X108" i="14"/>
  <c r="Y108" i="14" s="1"/>
  <c r="X10" i="14"/>
  <c r="Y10" i="14" s="1"/>
  <c r="AH10" i="14" s="1"/>
  <c r="X141" i="14"/>
  <c r="Y141" i="14" s="1"/>
  <c r="X300" i="14"/>
  <c r="Y300" i="14" s="1"/>
  <c r="AH300" i="14" s="1"/>
  <c r="X161" i="14"/>
  <c r="Y161" i="14" s="1"/>
  <c r="X44" i="14"/>
  <c r="Y44" i="14" s="1"/>
  <c r="X167" i="14"/>
  <c r="Y167" i="14" s="1"/>
  <c r="AH167" i="14" s="1"/>
  <c r="X200" i="14"/>
  <c r="Y200" i="14" s="1"/>
  <c r="X247" i="14"/>
  <c r="Y247" i="14" s="1"/>
  <c r="X273" i="14"/>
  <c r="Y273" i="14" s="1"/>
  <c r="X32" i="14"/>
  <c r="Y32" i="14" s="1"/>
  <c r="AH32" i="14" s="1"/>
  <c r="X48" i="14"/>
  <c r="Y48" i="14" s="1"/>
  <c r="X260" i="14"/>
  <c r="Y260" i="14" s="1"/>
  <c r="X236" i="14"/>
  <c r="Y236" i="14" s="1"/>
  <c r="AH236" i="14" s="1"/>
  <c r="X88" i="14"/>
  <c r="Y88" i="14" s="1"/>
  <c r="AH88" i="14" s="1"/>
  <c r="X106" i="14"/>
  <c r="Y106" i="14" s="1"/>
  <c r="AH106" i="14" s="1"/>
  <c r="X153" i="14"/>
  <c r="Y153" i="14" s="1"/>
  <c r="X226" i="14"/>
  <c r="Y226" i="14" s="1"/>
  <c r="AH226" i="14" s="1"/>
  <c r="X196" i="14"/>
  <c r="Y196" i="14" s="1"/>
  <c r="X35" i="14"/>
  <c r="Y35" i="14" s="1"/>
  <c r="X150" i="14"/>
  <c r="Y150" i="14" s="1"/>
  <c r="AH150" i="14" s="1"/>
  <c r="X277" i="14"/>
  <c r="Y277" i="14" s="1"/>
  <c r="X289" i="14"/>
  <c r="Y289" i="14" s="1"/>
  <c r="X70" i="14"/>
  <c r="Y70" i="14" s="1"/>
  <c r="X291" i="14"/>
  <c r="Y291" i="14" s="1"/>
  <c r="X214" i="14"/>
  <c r="Y214" i="14" s="1"/>
  <c r="AH214" i="14" s="1"/>
  <c r="X275" i="14"/>
  <c r="Y275" i="14" s="1"/>
  <c r="X105" i="14"/>
  <c r="Y105" i="14" s="1"/>
  <c r="AH105" i="14" s="1"/>
  <c r="X137" i="14"/>
  <c r="Y137" i="14" s="1"/>
  <c r="X219" i="14"/>
  <c r="Y219" i="14" s="1"/>
  <c r="X75" i="14"/>
  <c r="Y75" i="14" s="1"/>
  <c r="X152" i="14"/>
  <c r="Y152" i="14" s="1"/>
  <c r="T97" i="14"/>
  <c r="X97" i="14" s="1"/>
  <c r="Y97" i="14" s="1"/>
  <c r="AE97" i="14"/>
  <c r="Q14" i="14"/>
  <c r="U14" i="14" s="1"/>
  <c r="Q294" i="14"/>
  <c r="U294" i="14" s="1"/>
  <c r="AF294" i="14" s="1"/>
  <c r="AH211" i="14"/>
  <c r="AH190" i="14"/>
  <c r="AE74" i="14"/>
  <c r="T74" i="14"/>
  <c r="X74" i="14" s="1"/>
  <c r="Y74" i="14" s="1"/>
  <c r="Q165" i="14"/>
  <c r="U165" i="14" s="1"/>
  <c r="AF165" i="14" s="1"/>
  <c r="AE135" i="14"/>
  <c r="T135" i="14"/>
  <c r="X135" i="14" s="1"/>
  <c r="Y135" i="14" s="1"/>
  <c r="AE101" i="14"/>
  <c r="T101" i="14"/>
  <c r="X101" i="14" s="1"/>
  <c r="Y101" i="14" s="1"/>
  <c r="AE44" i="14"/>
  <c r="AE61" i="14"/>
  <c r="T61" i="14"/>
  <c r="X61" i="14" s="1"/>
  <c r="Y61" i="14" s="1"/>
  <c r="T85" i="14"/>
  <c r="X85" i="14" s="1"/>
  <c r="Y85" i="14" s="1"/>
  <c r="AE85" i="14"/>
  <c r="AE151" i="14"/>
  <c r="T151" i="14"/>
  <c r="X151" i="14" s="1"/>
  <c r="Y151" i="14" s="1"/>
  <c r="T144" i="14"/>
  <c r="X144" i="14" s="1"/>
  <c r="Y144" i="14" s="1"/>
  <c r="AE144" i="14"/>
  <c r="T270" i="14"/>
  <c r="X270" i="14" s="1"/>
  <c r="Y270" i="14" s="1"/>
  <c r="AE270" i="14"/>
  <c r="Q176" i="14"/>
  <c r="U176" i="14" s="1"/>
  <c r="AF176" i="14" s="1"/>
  <c r="T112" i="14"/>
  <c r="X112" i="14" s="1"/>
  <c r="Y112" i="14" s="1"/>
  <c r="Q263" i="14"/>
  <c r="U263" i="14" s="1"/>
  <c r="AF263" i="14" s="1"/>
  <c r="X111" i="14"/>
  <c r="Y111" i="14" s="1"/>
  <c r="T249" i="14"/>
  <c r="X249" i="14" s="1"/>
  <c r="Y249" i="14" s="1"/>
  <c r="AE249" i="14"/>
  <c r="AE155" i="14"/>
  <c r="T155" i="14"/>
  <c r="X155" i="14" s="1"/>
  <c r="Y155" i="14" s="1"/>
  <c r="AE84" i="14"/>
  <c r="T84" i="14"/>
  <c r="X84" i="14" s="1"/>
  <c r="Y84" i="14" s="1"/>
  <c r="T138" i="14"/>
  <c r="X138" i="14" s="1"/>
  <c r="Y138" i="14" s="1"/>
  <c r="AE138" i="14"/>
  <c r="T3" i="14"/>
  <c r="X3" i="14" s="1"/>
  <c r="Y3" i="14" s="1"/>
  <c r="AE3" i="14"/>
  <c r="X255" i="14"/>
  <c r="Y255" i="14" s="1"/>
  <c r="T33" i="14"/>
  <c r="X33" i="14" s="1"/>
  <c r="Y33" i="14" s="1"/>
  <c r="T171" i="14"/>
  <c r="X171" i="14" s="1"/>
  <c r="Y171" i="14" s="1"/>
  <c r="AE171" i="14"/>
  <c r="AE212" i="14"/>
  <c r="T212" i="14"/>
  <c r="Q216" i="14"/>
  <c r="U216" i="14" s="1"/>
  <c r="T261" i="14"/>
  <c r="X261" i="14" s="1"/>
  <c r="Y261" i="14" s="1"/>
  <c r="T238" i="14"/>
  <c r="X238" i="14" s="1"/>
  <c r="Y238" i="14" s="1"/>
  <c r="AH220" i="14"/>
  <c r="AE175" i="14"/>
  <c r="T175" i="14"/>
  <c r="X175" i="14" s="1"/>
  <c r="Y175" i="14" s="1"/>
  <c r="AE297" i="14"/>
  <c r="T297" i="14"/>
  <c r="X297" i="14" s="1"/>
  <c r="Y297" i="14" s="1"/>
  <c r="T232" i="14"/>
  <c r="X232" i="14" s="1"/>
  <c r="Y232" i="14" s="1"/>
  <c r="AE232" i="14"/>
  <c r="X217" i="14"/>
  <c r="Y217" i="14" s="1"/>
  <c r="X287" i="14"/>
  <c r="Y287" i="14" s="1"/>
  <c r="T166" i="14"/>
  <c r="X166" i="14" s="1"/>
  <c r="Y166" i="14" s="1"/>
  <c r="AE166" i="14"/>
  <c r="Q114" i="14"/>
  <c r="U114" i="14" s="1"/>
  <c r="AH42" i="14"/>
  <c r="AE195" i="14"/>
  <c r="T195" i="14"/>
  <c r="X195" i="14" s="1"/>
  <c r="Y195" i="14" s="1"/>
  <c r="AE65" i="14"/>
  <c r="T65" i="14"/>
  <c r="X65" i="14" s="1"/>
  <c r="Y65" i="14" s="1"/>
  <c r="Q134" i="14"/>
  <c r="U134" i="14" s="1"/>
  <c r="AF134" i="14" s="1"/>
  <c r="X51" i="14"/>
  <c r="Y51" i="14" s="1"/>
  <c r="Q56" i="14"/>
  <c r="U56" i="14" s="1"/>
  <c r="AF56" i="14" s="1"/>
  <c r="T45" i="14"/>
  <c r="X45" i="14" s="1"/>
  <c r="Y45" i="14" s="1"/>
  <c r="Q111" i="14"/>
  <c r="U111" i="14" s="1"/>
  <c r="AF111" i="14" s="1"/>
  <c r="T55" i="14"/>
  <c r="X55" i="14" s="1"/>
  <c r="Y55" i="14" s="1"/>
  <c r="AE55" i="14"/>
  <c r="AE37" i="14"/>
  <c r="T37" i="14"/>
  <c r="X37" i="14" s="1"/>
  <c r="Y37" i="14" s="1"/>
  <c r="Q262" i="14"/>
  <c r="U262" i="14" s="1"/>
  <c r="AF262" i="14" s="1"/>
  <c r="AE104" i="14"/>
  <c r="T104" i="14"/>
  <c r="AE62" i="14"/>
  <c r="T62" i="14"/>
  <c r="Q54" i="14"/>
  <c r="U54" i="14" s="1"/>
  <c r="AF54" i="14" s="1"/>
  <c r="T179" i="14"/>
  <c r="X179" i="14" s="1"/>
  <c r="Y179" i="14" s="1"/>
  <c r="AE179" i="14"/>
  <c r="AE128" i="14"/>
  <c r="T128" i="14"/>
  <c r="X128" i="14" s="1"/>
  <c r="Y128" i="14" s="1"/>
  <c r="Q248" i="14"/>
  <c r="U248" i="14" s="1"/>
  <c r="AF248" i="14" s="1"/>
  <c r="Q224" i="14"/>
  <c r="U224" i="14" s="1"/>
  <c r="AF224" i="14" s="1"/>
  <c r="AE89" i="14"/>
  <c r="T89" i="14"/>
  <c r="X89" i="14" s="1"/>
  <c r="Y89" i="14" s="1"/>
  <c r="AE218" i="14"/>
  <c r="T218" i="14"/>
  <c r="Q117" i="14"/>
  <c r="U117" i="14" s="1"/>
  <c r="AF117" i="14" s="1"/>
  <c r="AE107" i="14"/>
  <c r="T107" i="14"/>
  <c r="X107" i="14" s="1"/>
  <c r="Y107" i="14" s="1"/>
  <c r="X57" i="14"/>
  <c r="Y57" i="14" s="1"/>
  <c r="AE241" i="14"/>
  <c r="T241" i="14"/>
  <c r="X241" i="14" s="1"/>
  <c r="Y241" i="14" s="1"/>
  <c r="X142" i="14"/>
  <c r="Y142" i="14" s="1"/>
  <c r="AE70" i="14"/>
  <c r="AE157" i="14"/>
  <c r="T157" i="14"/>
  <c r="X157" i="14" s="1"/>
  <c r="Y157" i="14" s="1"/>
  <c r="T228" i="14"/>
  <c r="X228" i="14" s="1"/>
  <c r="Y228" i="14" s="1"/>
  <c r="AE228" i="14"/>
  <c r="Q50" i="14"/>
  <c r="U50" i="14" s="1"/>
  <c r="AF50" i="14" s="1"/>
  <c r="X209" i="14"/>
  <c r="Y209" i="14" s="1"/>
  <c r="X223" i="14"/>
  <c r="Y223" i="14" s="1"/>
  <c r="T237" i="14"/>
  <c r="X237" i="14" s="1"/>
  <c r="Y237" i="14" s="1"/>
  <c r="Q252" i="14"/>
  <c r="U252" i="14" s="1"/>
  <c r="AF252" i="14" s="1"/>
  <c r="T169" i="14"/>
  <c r="X169" i="14" s="1"/>
  <c r="Y169" i="14" s="1"/>
  <c r="AE169" i="14"/>
  <c r="X240" i="14"/>
  <c r="Y240" i="14" s="1"/>
  <c r="AH172" i="14"/>
  <c r="AE235" i="14"/>
  <c r="T235" i="14"/>
  <c r="X235" i="14" s="1"/>
  <c r="Y235" i="14" s="1"/>
  <c r="Q98" i="14"/>
  <c r="U98" i="14" s="1"/>
  <c r="AF98" i="14" s="1"/>
  <c r="T69" i="14"/>
  <c r="X69" i="14" s="1"/>
  <c r="Y69" i="14" s="1"/>
  <c r="AE69" i="14"/>
  <c r="Q187" i="14"/>
  <c r="U187" i="14" s="1"/>
  <c r="AE136" i="14"/>
  <c r="T136" i="14"/>
  <c r="X136" i="14" s="1"/>
  <c r="Y136" i="14" s="1"/>
  <c r="T181" i="14"/>
  <c r="X181" i="14" s="1"/>
  <c r="Y181" i="14" s="1"/>
  <c r="AE181" i="14"/>
  <c r="T36" i="14"/>
  <c r="X36" i="14" s="1"/>
  <c r="Y36" i="14" s="1"/>
  <c r="AE36" i="14"/>
  <c r="AE194" i="14"/>
  <c r="T194" i="14"/>
  <c r="X194" i="14" s="1"/>
  <c r="Y194" i="14" s="1"/>
  <c r="AH162" i="14"/>
  <c r="AH87" i="14"/>
  <c r="X116" i="14"/>
  <c r="Y116" i="14" s="1"/>
  <c r="Q51" i="14"/>
  <c r="U51" i="14" s="1"/>
  <c r="AF51" i="14" s="1"/>
  <c r="AE35" i="14"/>
  <c r="Q126" i="14"/>
  <c r="U126" i="14" s="1"/>
  <c r="Q91" i="14"/>
  <c r="U91" i="14" s="1"/>
  <c r="AF91" i="14" s="1"/>
  <c r="Q212" i="14"/>
  <c r="U212" i="14" s="1"/>
  <c r="AF212" i="14" s="1"/>
  <c r="Q231" i="14"/>
  <c r="U231" i="14" s="1"/>
  <c r="Q178" i="14"/>
  <c r="U178" i="14" s="1"/>
  <c r="AF178" i="14" s="1"/>
  <c r="AE225" i="14"/>
  <c r="T225" i="14"/>
  <c r="X225" i="14" s="1"/>
  <c r="Y225" i="14" s="1"/>
  <c r="AE38" i="14"/>
  <c r="T38" i="14"/>
  <c r="X38" i="14" s="1"/>
  <c r="Y38" i="14" s="1"/>
  <c r="T25" i="14"/>
  <c r="X25" i="14" s="1"/>
  <c r="Y25" i="14" s="1"/>
  <c r="AE25" i="14"/>
  <c r="X140" i="14"/>
  <c r="Y140" i="14" s="1"/>
  <c r="T49" i="14"/>
  <c r="X49" i="14" s="1"/>
  <c r="Y49" i="14" s="1"/>
  <c r="AE49" i="14"/>
  <c r="T203" i="14"/>
  <c r="AE203" i="14"/>
  <c r="Q208" i="14"/>
  <c r="U208" i="14" s="1"/>
  <c r="AF208" i="14" s="1"/>
  <c r="Q140" i="14"/>
  <c r="U140" i="14" s="1"/>
  <c r="AF140" i="14" s="1"/>
  <c r="AH123" i="14"/>
  <c r="T204" i="14"/>
  <c r="X204" i="14" s="1"/>
  <c r="Y204" i="14" s="1"/>
  <c r="AE204" i="14"/>
  <c r="T229" i="14"/>
  <c r="X229" i="14" s="1"/>
  <c r="Y229" i="14" s="1"/>
  <c r="AE229" i="14"/>
  <c r="AH188" i="14"/>
  <c r="Q147" i="14"/>
  <c r="U147" i="14" s="1"/>
  <c r="AF147" i="14" s="1"/>
  <c r="Q280" i="14"/>
  <c r="U280" i="14" s="1"/>
  <c r="AF280" i="14" s="1"/>
  <c r="X274" i="14"/>
  <c r="Y274" i="14" s="1"/>
  <c r="AE168" i="14"/>
  <c r="T168" i="14"/>
  <c r="X168" i="14" s="1"/>
  <c r="Y168" i="14" s="1"/>
  <c r="T134" i="14"/>
  <c r="AE134" i="14"/>
  <c r="Q268" i="14"/>
  <c r="U268" i="14" s="1"/>
  <c r="T192" i="14"/>
  <c r="X192" i="14" s="1"/>
  <c r="Y192" i="14" s="1"/>
  <c r="AE192" i="14"/>
  <c r="AE153" i="14"/>
  <c r="T47" i="14"/>
  <c r="X47" i="14" s="1"/>
  <c r="Y47" i="14" s="1"/>
  <c r="AE47" i="14"/>
  <c r="AE198" i="14"/>
  <c r="T198" i="14"/>
  <c r="X198" i="14" s="1"/>
  <c r="Y198" i="14" s="1"/>
  <c r="T124" i="14"/>
  <c r="X124" i="14" s="1"/>
  <c r="Y124" i="14" s="1"/>
  <c r="AE124" i="14"/>
  <c r="X224" i="14"/>
  <c r="Y224" i="14" s="1"/>
  <c r="T205" i="14"/>
  <c r="X205" i="14" s="1"/>
  <c r="Y205" i="14" s="1"/>
  <c r="AE205" i="14"/>
  <c r="AE108" i="14"/>
  <c r="X294" i="14"/>
  <c r="Y294" i="14" s="1"/>
  <c r="AE258" i="14"/>
  <c r="T258" i="14"/>
  <c r="X258" i="14" s="1"/>
  <c r="Y258" i="14" s="1"/>
  <c r="X191" i="14"/>
  <c r="Y191" i="14" s="1"/>
  <c r="T193" i="14"/>
  <c r="AE193" i="14"/>
  <c r="AE298" i="14"/>
  <c r="T298" i="14"/>
  <c r="X298" i="14" s="1"/>
  <c r="Y298" i="14" s="1"/>
  <c r="T113" i="14"/>
  <c r="X113" i="14" s="1"/>
  <c r="Y113" i="14" s="1"/>
  <c r="AE113" i="14"/>
  <c r="Q30" i="14"/>
  <c r="U30" i="14" s="1"/>
  <c r="AF30" i="14" s="1"/>
  <c r="X199" i="14"/>
  <c r="Y199" i="14" s="1"/>
  <c r="Q8" i="14"/>
  <c r="U8" i="14" s="1"/>
  <c r="AF8" i="14" s="1"/>
  <c r="X21" i="14"/>
  <c r="Y21" i="14" s="1"/>
  <c r="Q62" i="14"/>
  <c r="U62" i="14" s="1"/>
  <c r="AF62" i="14" s="1"/>
  <c r="AE117" i="14"/>
  <c r="T117" i="14"/>
  <c r="X117" i="14" s="1"/>
  <c r="Y117" i="14" s="1"/>
  <c r="Q295" i="14"/>
  <c r="U295" i="14" s="1"/>
  <c r="AF295" i="14" s="1"/>
  <c r="Q290" i="14"/>
  <c r="U290" i="14" s="1"/>
  <c r="X120" i="14"/>
  <c r="Y120" i="14" s="1"/>
  <c r="AH253" i="14"/>
  <c r="X50" i="14"/>
  <c r="Y50" i="14" s="1"/>
  <c r="Q197" i="14"/>
  <c r="U197" i="14" s="1"/>
  <c r="AF197" i="14" s="1"/>
  <c r="T72" i="14"/>
  <c r="X72" i="14" s="1"/>
  <c r="Y72" i="14" s="1"/>
  <c r="AE72" i="14"/>
  <c r="Q219" i="14"/>
  <c r="U219" i="14" s="1"/>
  <c r="AF219" i="14" s="1"/>
  <c r="Q18" i="14"/>
  <c r="U18" i="14" s="1"/>
  <c r="AF18" i="14" s="1"/>
  <c r="T288" i="14"/>
  <c r="X288" i="14" s="1"/>
  <c r="Y288" i="14" s="1"/>
  <c r="Q257" i="14"/>
  <c r="U257" i="14" s="1"/>
  <c r="AF257" i="14" s="1"/>
  <c r="AE53" i="14"/>
  <c r="T53" i="14"/>
  <c r="X53" i="14" s="1"/>
  <c r="Y53" i="14" s="1"/>
  <c r="AE23" i="14"/>
  <c r="T23" i="14"/>
  <c r="X23" i="14" s="1"/>
  <c r="Y23" i="14" s="1"/>
  <c r="Q110" i="14"/>
  <c r="U110" i="14" s="1"/>
  <c r="AF110" i="14" s="1"/>
  <c r="T245" i="14"/>
  <c r="X245" i="14" s="1"/>
  <c r="Y245" i="14" s="1"/>
  <c r="AE245" i="14"/>
  <c r="AE81" i="14"/>
  <c r="T81" i="14"/>
  <c r="X81" i="14" s="1"/>
  <c r="Y81" i="14" s="1"/>
  <c r="T31" i="14"/>
  <c r="X31" i="14" s="1"/>
  <c r="Y31" i="14" s="1"/>
  <c r="AE31" i="14"/>
  <c r="T184" i="14"/>
  <c r="X184" i="14" s="1"/>
  <c r="Y184" i="14" s="1"/>
  <c r="AE184" i="14"/>
  <c r="AE283" i="14"/>
  <c r="T283" i="14"/>
  <c r="X283" i="14" s="1"/>
  <c r="Y283" i="14" s="1"/>
  <c r="AE230" i="14"/>
  <c r="T230" i="14"/>
  <c r="X230" i="14" s="1"/>
  <c r="Y230" i="14" s="1"/>
  <c r="X248" i="14"/>
  <c r="Y248" i="14" s="1"/>
  <c r="Q68" i="14"/>
  <c r="U68" i="14" s="1"/>
  <c r="AF68" i="14" s="1"/>
  <c r="T148" i="14"/>
  <c r="X148" i="14" s="1"/>
  <c r="Y148" i="14" s="1"/>
  <c r="AE148" i="14"/>
  <c r="T118" i="14"/>
  <c r="X118" i="14" s="1"/>
  <c r="Y118" i="14" s="1"/>
  <c r="AE118" i="14"/>
  <c r="AE299" i="14"/>
  <c r="T299" i="14"/>
  <c r="X299" i="14" s="1"/>
  <c r="Y299" i="14" s="1"/>
  <c r="AE95" i="14"/>
  <c r="T95" i="14"/>
  <c r="X95" i="14" s="1"/>
  <c r="Y95" i="14" s="1"/>
  <c r="AF210" i="14"/>
  <c r="X210" i="14"/>
  <c r="Y210" i="14" s="1"/>
  <c r="Q127" i="14"/>
  <c r="U127" i="14" s="1"/>
  <c r="AF127" i="14" s="1"/>
  <c r="X68" i="14"/>
  <c r="Y68" i="14" s="1"/>
  <c r="T197" i="14"/>
  <c r="Q206" i="14"/>
  <c r="U206" i="14" s="1"/>
  <c r="AF206" i="14" s="1"/>
  <c r="AE7" i="14"/>
  <c r="T7" i="14"/>
  <c r="X7" i="14" s="1"/>
  <c r="Y7" i="14" s="1"/>
  <c r="Q202" i="14"/>
  <c r="U202" i="14" s="1"/>
  <c r="AF202" i="14" s="1"/>
  <c r="X86" i="14"/>
  <c r="Y86" i="14" s="1"/>
  <c r="AH272" i="14"/>
  <c r="X252" i="14"/>
  <c r="Y252" i="14" s="1"/>
  <c r="T163" i="14"/>
  <c r="X163" i="14" s="1"/>
  <c r="Y163" i="14" s="1"/>
  <c r="AE163" i="14"/>
  <c r="Q58" i="14"/>
  <c r="U58" i="14" s="1"/>
  <c r="AF58" i="14" s="1"/>
  <c r="AE243" i="14"/>
  <c r="T243" i="14"/>
  <c r="AE131" i="14"/>
  <c r="T131" i="14"/>
  <c r="X131" i="14" s="1"/>
  <c r="Y131" i="14" s="1"/>
  <c r="X160" i="14"/>
  <c r="Y160" i="14" s="1"/>
  <c r="T256" i="14"/>
  <c r="AE256" i="14"/>
  <c r="Q116" i="14"/>
  <c r="U116" i="14" s="1"/>
  <c r="AF116" i="14" s="1"/>
  <c r="T6" i="14"/>
  <c r="X6" i="14" s="1"/>
  <c r="Y6" i="14" s="1"/>
  <c r="AE6" i="14"/>
  <c r="Q232" i="14"/>
  <c r="U232" i="14" s="1"/>
  <c r="AF232" i="14" s="1"/>
  <c r="T183" i="14"/>
  <c r="X183" i="14" s="1"/>
  <c r="Y183" i="14" s="1"/>
  <c r="AE183" i="14"/>
  <c r="Q96" i="14"/>
  <c r="U96" i="14" s="1"/>
  <c r="AF96" i="14" s="1"/>
  <c r="Q154" i="14"/>
  <c r="U154" i="14" s="1"/>
  <c r="Q94" i="14"/>
  <c r="U94" i="14" s="1"/>
  <c r="AF94" i="14" s="1"/>
  <c r="T27" i="14"/>
  <c r="X27" i="14" s="1"/>
  <c r="Y27" i="14" s="1"/>
  <c r="AE29" i="14"/>
  <c r="T29" i="14"/>
  <c r="X29" i="14" s="1"/>
  <c r="Y29" i="14" s="1"/>
  <c r="AE226" i="14"/>
  <c r="T4" i="14"/>
  <c r="X4" i="14" s="1"/>
  <c r="Y4" i="14" s="1"/>
  <c r="X149" i="14"/>
  <c r="Y149" i="14" s="1"/>
  <c r="Q93" i="14"/>
  <c r="U93" i="14" s="1"/>
  <c r="AF93" i="14" s="1"/>
  <c r="Q47" i="14"/>
  <c r="U47" i="14" s="1"/>
  <c r="AF47" i="14" s="1"/>
  <c r="AE8" i="14"/>
  <c r="T15" i="14"/>
  <c r="X15" i="14" s="1"/>
  <c r="Y15" i="14" s="1"/>
  <c r="AE15" i="14"/>
  <c r="X284" i="14"/>
  <c r="Y284" i="14" s="1"/>
  <c r="X259" i="14"/>
  <c r="Y259" i="14" s="1"/>
  <c r="AE215" i="14"/>
  <c r="T215" i="14"/>
  <c r="X215" i="14" s="1"/>
  <c r="Y215" i="14" s="1"/>
  <c r="Q174" i="14"/>
  <c r="U174" i="14" s="1"/>
  <c r="AF174" i="14" s="1"/>
  <c r="X110" i="14"/>
  <c r="Y110" i="14" s="1"/>
  <c r="Q45" i="14"/>
  <c r="U45" i="14" s="1"/>
  <c r="AF45" i="14" s="1"/>
  <c r="AE43" i="14"/>
  <c r="T43" i="14"/>
  <c r="X43" i="14" s="1"/>
  <c r="Y43" i="14" s="1"/>
  <c r="AE17" i="14"/>
  <c r="T17" i="14"/>
  <c r="X17" i="14" s="1"/>
  <c r="Y17" i="14" s="1"/>
  <c r="Q104" i="14"/>
  <c r="U104" i="14" s="1"/>
  <c r="AF104" i="14" s="1"/>
  <c r="AE292" i="14"/>
  <c r="T292" i="14"/>
  <c r="X292" i="14" s="1"/>
  <c r="Y292" i="14" s="1"/>
  <c r="X234" i="14"/>
  <c r="Y234" i="14" s="1"/>
  <c r="AE115" i="14"/>
  <c r="T115" i="14"/>
  <c r="X115" i="14" s="1"/>
  <c r="Y115" i="14" s="1"/>
  <c r="X98" i="14"/>
  <c r="Y98" i="14" s="1"/>
  <c r="X174" i="14"/>
  <c r="Y174" i="14" s="1"/>
  <c r="X176" i="14"/>
  <c r="Y176" i="14" s="1"/>
  <c r="AH67" i="14"/>
  <c r="T46" i="14"/>
  <c r="X46" i="14" s="1"/>
  <c r="Y46" i="14" s="1"/>
  <c r="AE46" i="14"/>
  <c r="X271" i="14"/>
  <c r="Y271" i="14" s="1"/>
  <c r="X54" i="14"/>
  <c r="Y54" i="14" s="1"/>
  <c r="X265" i="14"/>
  <c r="Y265" i="14" s="1"/>
  <c r="X279" i="14"/>
  <c r="Y279" i="14" s="1"/>
  <c r="AE125" i="14"/>
  <c r="T125" i="14"/>
  <c r="X125" i="14" s="1"/>
  <c r="Y125" i="14" s="1"/>
  <c r="X178" i="14"/>
  <c r="Y178" i="14" s="1"/>
  <c r="AE71" i="14"/>
  <c r="T71" i="14"/>
  <c r="X71" i="14" s="1"/>
  <c r="Y71" i="14" s="1"/>
  <c r="Q223" i="14"/>
  <c r="U223" i="14" s="1"/>
  <c r="AF223" i="14" s="1"/>
  <c r="AE234" i="14"/>
  <c r="T77" i="14"/>
  <c r="X77" i="14" s="1"/>
  <c r="Y77" i="14" s="1"/>
  <c r="AE77" i="14"/>
  <c r="Q218" i="14"/>
  <c r="U218" i="14" s="1"/>
  <c r="AF218" i="14" s="1"/>
  <c r="AE141" i="14"/>
  <c r="AH141" i="14" s="1"/>
  <c r="AH28" i="14"/>
  <c r="AE63" i="14"/>
  <c r="T63" i="14"/>
  <c r="X63" i="14" s="1"/>
  <c r="Y63" i="14" s="1"/>
  <c r="X189" i="14"/>
  <c r="Y189" i="14" s="1"/>
  <c r="AE277" i="14"/>
  <c r="T278" i="14"/>
  <c r="X278" i="14" s="1"/>
  <c r="Y278" i="14" s="1"/>
  <c r="AE185" i="14"/>
  <c r="T185" i="14"/>
  <c r="X185" i="14" s="1"/>
  <c r="Y185" i="14" s="1"/>
  <c r="T242" i="14"/>
  <c r="X242" i="14" s="1"/>
  <c r="Y242" i="14" s="1"/>
  <c r="AE242" i="14"/>
  <c r="T221" i="14"/>
  <c r="X221" i="14" s="1"/>
  <c r="Y221" i="14" s="1"/>
  <c r="AE221" i="14"/>
  <c r="AE119" i="14"/>
  <c r="T119" i="14"/>
  <c r="X119" i="14" s="1"/>
  <c r="Y119" i="14" s="1"/>
  <c r="Q203" i="14"/>
  <c r="U203" i="14" s="1"/>
  <c r="AF203" i="14" s="1"/>
  <c r="T79" i="14"/>
  <c r="X79" i="14" s="1"/>
  <c r="Y79" i="14" s="1"/>
  <c r="AE79" i="14"/>
  <c r="AE83" i="14"/>
  <c r="T83" i="14"/>
  <c r="X83" i="14" s="1"/>
  <c r="Y83" i="14" s="1"/>
  <c r="X257" i="14"/>
  <c r="Y257" i="14" s="1"/>
  <c r="Q155" i="14"/>
  <c r="U155" i="14" s="1"/>
  <c r="AF155" i="14" s="1"/>
  <c r="X129" i="14"/>
  <c r="Y129" i="14" s="1"/>
  <c r="AH80" i="14"/>
  <c r="T39" i="14"/>
  <c r="X39" i="14" s="1"/>
  <c r="Y39" i="14" s="1"/>
  <c r="AE19" i="14"/>
  <c r="T19" i="14"/>
  <c r="X19" i="14" s="1"/>
  <c r="Y19" i="14" s="1"/>
  <c r="X76" i="14"/>
  <c r="Y76" i="14" s="1"/>
  <c r="X103" i="14"/>
  <c r="Y103" i="14" s="1"/>
  <c r="X254" i="14"/>
  <c r="Y254" i="14" s="1"/>
  <c r="X102" i="14"/>
  <c r="Y102" i="14" s="1"/>
  <c r="T296" i="14"/>
  <c r="X296" i="14" s="1"/>
  <c r="Y296" i="14" s="1"/>
  <c r="AE253" i="14"/>
  <c r="X143" i="14"/>
  <c r="Y143" i="14" s="1"/>
  <c r="T201" i="14"/>
  <c r="X201" i="14" s="1"/>
  <c r="Y201" i="14" s="1"/>
  <c r="T64" i="14"/>
  <c r="X64" i="14" s="1"/>
  <c r="Y64" i="14" s="1"/>
  <c r="AE64" i="14"/>
  <c r="X9" i="14"/>
  <c r="Y9" i="14" s="1"/>
  <c r="Q33" i="14"/>
  <c r="U33" i="14" s="1"/>
  <c r="AF33" i="14" s="1"/>
  <c r="AE161" i="14"/>
  <c r="AH161" i="14" s="1"/>
  <c r="T246" i="14"/>
  <c r="X246" i="14" s="1"/>
  <c r="Y246" i="14" s="1"/>
  <c r="Q173" i="14"/>
  <c r="U173" i="14" s="1"/>
  <c r="AF173" i="14" s="1"/>
  <c r="AE269" i="14"/>
  <c r="T269" i="14"/>
  <c r="X269" i="14" s="1"/>
  <c r="Y269" i="14" s="1"/>
  <c r="AE207" i="14"/>
  <c r="T207" i="14"/>
  <c r="X207" i="14" s="1"/>
  <c r="Y207" i="14" s="1"/>
  <c r="X100" i="14"/>
  <c r="Y100" i="14" s="1"/>
  <c r="AH16" i="14"/>
  <c r="X26" i="14"/>
  <c r="Y26" i="14" s="1"/>
  <c r="Q282" i="14"/>
  <c r="U282" i="14" s="1"/>
  <c r="AF282" i="14" s="1"/>
  <c r="T282" i="14"/>
  <c r="X282" i="14" s="1"/>
  <c r="Y282" i="14" s="1"/>
  <c r="Q193" i="14"/>
  <c r="U193" i="14" s="1"/>
  <c r="AF193" i="14" s="1"/>
  <c r="Q274" i="14"/>
  <c r="U274" i="14" s="1"/>
  <c r="AF274" i="14" s="1"/>
  <c r="X295" i="14"/>
  <c r="Y295" i="14" s="1"/>
  <c r="T227" i="14"/>
  <c r="X227" i="14" s="1"/>
  <c r="Y227" i="14" s="1"/>
  <c r="AE227" i="14"/>
  <c r="AE133" i="14"/>
  <c r="T133" i="14"/>
  <c r="X133" i="14" s="1"/>
  <c r="Y133" i="14" s="1"/>
  <c r="X78" i="14"/>
  <c r="Y78" i="14" s="1"/>
  <c r="AE109" i="14"/>
  <c r="T109" i="14"/>
  <c r="X109" i="14" s="1"/>
  <c r="Y109" i="14" s="1"/>
  <c r="T264" i="14"/>
  <c r="X264" i="14" s="1"/>
  <c r="Y264" i="14" s="1"/>
  <c r="AE264" i="14"/>
  <c r="T170" i="14"/>
  <c r="X170" i="14" s="1"/>
  <c r="Y170" i="14" s="1"/>
  <c r="AE223" i="14"/>
  <c r="Q78" i="14"/>
  <c r="U78" i="14" s="1"/>
  <c r="AF78" i="14" s="1"/>
  <c r="T164" i="14"/>
  <c r="X164" i="14" s="1"/>
  <c r="Y164" i="14" s="1"/>
  <c r="Q112" i="14"/>
  <c r="U112" i="14" s="1"/>
  <c r="AF112" i="14" s="1"/>
  <c r="X52" i="14"/>
  <c r="Y52" i="14" s="1"/>
  <c r="Q256" i="14"/>
  <c r="U256" i="14" s="1"/>
  <c r="AF256" i="14" s="1"/>
  <c r="X165" i="14"/>
  <c r="Y165" i="14" s="1"/>
  <c r="X293" i="14"/>
  <c r="Y293" i="14" s="1"/>
  <c r="T73" i="14"/>
  <c r="X73" i="14" s="1"/>
  <c r="Y73" i="14" s="1"/>
  <c r="Q100" i="14"/>
  <c r="U100" i="14" s="1"/>
  <c r="AF100" i="14" s="1"/>
  <c r="AE40" i="14"/>
  <c r="X18" i="14"/>
  <c r="Y18" i="14" s="1"/>
  <c r="AH13" i="14"/>
  <c r="Q23" i="14"/>
  <c r="U23" i="14" s="1"/>
  <c r="AF23" i="14" s="1"/>
  <c r="Q132" i="14"/>
  <c r="U132" i="14" s="1"/>
  <c r="AF132" i="14" s="1"/>
  <c r="X122" i="14"/>
  <c r="Y122" i="14" s="1"/>
  <c r="X202" i="14"/>
  <c r="Y202" i="14" s="1"/>
  <c r="T139" i="14"/>
  <c r="X139" i="14" s="1"/>
  <c r="Y139" i="14" s="1"/>
  <c r="AE139" i="14"/>
  <c r="AE286" i="14"/>
  <c r="T286" i="14"/>
  <c r="X286" i="14" s="1"/>
  <c r="Y286" i="14" s="1"/>
  <c r="AE233" i="14"/>
  <c r="T233" i="14"/>
  <c r="X233" i="14" s="1"/>
  <c r="Y233" i="14" s="1"/>
  <c r="AE156" i="14"/>
  <c r="AH156" i="14" s="1"/>
  <c r="X60" i="14"/>
  <c r="Y60" i="14" s="1"/>
  <c r="X132" i="14"/>
  <c r="Y132" i="14" s="1"/>
  <c r="AE182" i="14"/>
  <c r="T92" i="14"/>
  <c r="X92" i="14" s="1"/>
  <c r="Y92" i="14" s="1"/>
  <c r="AE76" i="14"/>
  <c r="Q244" i="14"/>
  <c r="U244" i="14" s="1"/>
  <c r="AF244" i="14" s="1"/>
  <c r="AE59" i="14"/>
  <c r="T130" i="14"/>
  <c r="X130" i="14" s="1"/>
  <c r="Y130" i="14" s="1"/>
  <c r="T5" i="14"/>
  <c r="X5" i="14" s="1"/>
  <c r="Y5" i="14" s="1"/>
  <c r="AE5" i="14"/>
  <c r="T2" i="14"/>
  <c r="X2" i="14" s="1"/>
  <c r="Y2" i="14" s="1"/>
  <c r="AE2" i="14"/>
  <c r="Q24" i="14"/>
  <c r="U24" i="14" s="1"/>
  <c r="AF24" i="14" s="1"/>
  <c r="AE231" i="14"/>
  <c r="X11" i="14"/>
  <c r="Y11" i="14" s="1"/>
  <c r="X94" i="14"/>
  <c r="Y94" i="14" s="1"/>
  <c r="Q179" i="14"/>
  <c r="U179" i="14" s="1"/>
  <c r="AF179" i="14" s="1"/>
  <c r="X34" i="14"/>
  <c r="Y34" i="14" s="1"/>
  <c r="X266" i="14"/>
  <c r="Y266" i="14" s="1"/>
  <c r="AE177" i="14"/>
  <c r="T177" i="14"/>
  <c r="X177" i="14" s="1"/>
  <c r="Y177" i="14" s="1"/>
  <c r="AE160" i="14"/>
  <c r="T239" i="14"/>
  <c r="X239" i="14" s="1"/>
  <c r="Y239" i="14" s="1"/>
  <c r="AE239" i="14"/>
  <c r="X146" i="14"/>
  <c r="Y146" i="14" s="1"/>
  <c r="AE213" i="14"/>
  <c r="T213" i="14"/>
  <c r="X213" i="14" s="1"/>
  <c r="Y213" i="14" s="1"/>
  <c r="Q40" i="14"/>
  <c r="U40" i="14" s="1"/>
  <c r="AF40" i="14" s="1"/>
  <c r="X59" i="14"/>
  <c r="Y59" i="14" s="1"/>
  <c r="X182" i="14"/>
  <c r="Y182" i="14" s="1"/>
  <c r="X66" i="14"/>
  <c r="Y66" i="14" s="1"/>
  <c r="X82" i="14"/>
  <c r="Y82" i="14" s="1"/>
  <c r="AE99" i="14"/>
  <c r="T99" i="14"/>
  <c r="X99" i="14" s="1"/>
  <c r="Y99" i="14" s="1"/>
  <c r="Q243" i="14"/>
  <c r="U243" i="14" s="1"/>
  <c r="AF243" i="14" s="1"/>
  <c r="Q75" i="14"/>
  <c r="U75" i="14" s="1"/>
  <c r="AF75" i="14" s="1"/>
  <c r="Q135" i="14"/>
  <c r="U135" i="14" s="1"/>
  <c r="AF135" i="14" s="1"/>
  <c r="Q41" i="14"/>
  <c r="U41" i="14" s="1"/>
  <c r="AF41" i="14" s="1"/>
  <c r="AE291" i="14"/>
  <c r="T145" i="14"/>
  <c r="X145" i="14" s="1"/>
  <c r="Y145" i="14" s="1"/>
  <c r="AE145" i="14"/>
  <c r="T186" i="14"/>
  <c r="X186" i="14" s="1"/>
  <c r="Y186" i="14" s="1"/>
  <c r="AE186" i="14"/>
  <c r="X281" i="14"/>
  <c r="Y281" i="14" s="1"/>
  <c r="X222" i="14"/>
  <c r="Y222" i="14" s="1"/>
  <c r="AE250" i="14"/>
  <c r="T250" i="14"/>
  <c r="X250" i="14" s="1"/>
  <c r="Y250" i="14" s="1"/>
  <c r="Q129" i="14"/>
  <c r="U129" i="14" s="1"/>
  <c r="AF129" i="14" s="1"/>
  <c r="X267" i="14"/>
  <c r="Y267" i="14" s="1"/>
  <c r="T276" i="14"/>
  <c r="X276" i="14" s="1"/>
  <c r="Y276" i="14" s="1"/>
  <c r="AE276" i="14"/>
  <c r="AE180" i="14"/>
  <c r="T180" i="14"/>
  <c r="X180" i="14" s="1"/>
  <c r="Y180" i="14" s="1"/>
  <c r="T285" i="14"/>
  <c r="X285" i="14" s="1"/>
  <c r="Y285" i="14" s="1"/>
  <c r="AE285" i="14"/>
  <c r="AE103" i="14"/>
  <c r="AH20" i="14"/>
  <c r="X12" i="14"/>
  <c r="Y12" i="14" s="1"/>
  <c r="Q189" i="14"/>
  <c r="U189" i="14" s="1"/>
  <c r="AF189" i="14" s="1"/>
  <c r="X121" i="14"/>
  <c r="Y121" i="14" s="1"/>
  <c r="Q159" i="14"/>
  <c r="U159" i="14" s="1"/>
  <c r="X90" i="14"/>
  <c r="Y90" i="14" s="1"/>
  <c r="AE91" i="14"/>
  <c r="T91" i="14"/>
  <c r="Q120" i="14"/>
  <c r="U120" i="14" s="1"/>
  <c r="AF120" i="14" s="1"/>
  <c r="Q255" i="14"/>
  <c r="U255" i="14" s="1"/>
  <c r="AF255" i="14" s="1"/>
  <c r="Q158" i="14"/>
  <c r="U158" i="14" s="1"/>
  <c r="T251" i="14"/>
  <c r="X251" i="14" s="1"/>
  <c r="Y251" i="14" s="1"/>
  <c r="AE251" i="14"/>
  <c r="Q73" i="14"/>
  <c r="U73" i="14" s="1"/>
  <c r="AF73" i="14" s="1"/>
  <c r="Q160" i="14"/>
  <c r="U160" i="14" s="1"/>
  <c r="AF160" i="14" s="1"/>
  <c r="AE127" i="14"/>
  <c r="Q22" i="14"/>
  <c r="U22" i="14" s="1"/>
  <c r="AF22" i="14" s="1"/>
  <c r="AB300" i="13"/>
  <c r="AC300" i="13" s="1"/>
  <c r="AG300" i="13" s="1"/>
  <c r="S300" i="13"/>
  <c r="R300" i="13"/>
  <c r="V300" i="13" s="1"/>
  <c r="O300" i="13"/>
  <c r="J300" i="13"/>
  <c r="G300" i="13"/>
  <c r="M300" i="13" s="1"/>
  <c r="W300" i="13" s="1"/>
  <c r="AB299" i="13"/>
  <c r="AC299" i="13" s="1"/>
  <c r="AG299" i="13" s="1"/>
  <c r="S299" i="13"/>
  <c r="R299" i="13"/>
  <c r="V299" i="13" s="1"/>
  <c r="O299" i="13"/>
  <c r="J299" i="13"/>
  <c r="G299" i="13"/>
  <c r="AD299" i="13" s="1"/>
  <c r="AB298" i="13"/>
  <c r="AC298" i="13" s="1"/>
  <c r="AG298" i="13" s="1"/>
  <c r="S298" i="13"/>
  <c r="R298" i="13"/>
  <c r="V298" i="13" s="1"/>
  <c r="O298" i="13"/>
  <c r="J298" i="13"/>
  <c r="G298" i="13"/>
  <c r="M298" i="13" s="1"/>
  <c r="W298" i="13" s="1"/>
  <c r="AB297" i="13"/>
  <c r="AC297" i="13" s="1"/>
  <c r="AG297" i="13" s="1"/>
  <c r="S297" i="13"/>
  <c r="R297" i="13"/>
  <c r="V297" i="13" s="1"/>
  <c r="O297" i="13"/>
  <c r="J297" i="13"/>
  <c r="G297" i="13"/>
  <c r="AD297" i="13" s="1"/>
  <c r="AB296" i="13"/>
  <c r="AC296" i="13" s="1"/>
  <c r="AG296" i="13" s="1"/>
  <c r="S296" i="13"/>
  <c r="R296" i="13"/>
  <c r="V296" i="13" s="1"/>
  <c r="O296" i="13"/>
  <c r="J296" i="13"/>
  <c r="G296" i="13"/>
  <c r="M296" i="13" s="1"/>
  <c r="W296" i="13" s="1"/>
  <c r="AB295" i="13"/>
  <c r="AC295" i="13" s="1"/>
  <c r="AG295" i="13" s="1"/>
  <c r="S295" i="13"/>
  <c r="R295" i="13"/>
  <c r="V295" i="13" s="1"/>
  <c r="O295" i="13"/>
  <c r="J295" i="13"/>
  <c r="G295" i="13"/>
  <c r="AB294" i="13"/>
  <c r="AC294" i="13" s="1"/>
  <c r="AG294" i="13" s="1"/>
  <c r="S294" i="13"/>
  <c r="R294" i="13"/>
  <c r="V294" i="13" s="1"/>
  <c r="O294" i="13"/>
  <c r="J294" i="13"/>
  <c r="G294" i="13"/>
  <c r="M294" i="13" s="1"/>
  <c r="W294" i="13" s="1"/>
  <c r="AB293" i="13"/>
  <c r="AC293" i="13" s="1"/>
  <c r="AG293" i="13" s="1"/>
  <c r="S293" i="13"/>
  <c r="R293" i="13"/>
  <c r="V293" i="13" s="1"/>
  <c r="O293" i="13"/>
  <c r="J293" i="13"/>
  <c r="G293" i="13"/>
  <c r="AD293" i="13" s="1"/>
  <c r="AB292" i="13"/>
  <c r="AC292" i="13" s="1"/>
  <c r="AG292" i="13" s="1"/>
  <c r="S292" i="13"/>
  <c r="R292" i="13"/>
  <c r="V292" i="13" s="1"/>
  <c r="O292" i="13"/>
  <c r="J292" i="13"/>
  <c r="G292" i="13"/>
  <c r="M292" i="13" s="1"/>
  <c r="W292" i="13" s="1"/>
  <c r="AB291" i="13"/>
  <c r="AC291" i="13" s="1"/>
  <c r="AG291" i="13" s="1"/>
  <c r="S291" i="13"/>
  <c r="R291" i="13"/>
  <c r="V291" i="13" s="1"/>
  <c r="O291" i="13"/>
  <c r="J291" i="13"/>
  <c r="G291" i="13"/>
  <c r="AD291" i="13" s="1"/>
  <c r="AB290" i="13"/>
  <c r="AC290" i="13" s="1"/>
  <c r="AG290" i="13" s="1"/>
  <c r="S290" i="13"/>
  <c r="R290" i="13"/>
  <c r="V290" i="13" s="1"/>
  <c r="O290" i="13"/>
  <c r="J290" i="13"/>
  <c r="G290" i="13"/>
  <c r="M290" i="13" s="1"/>
  <c r="W290" i="13" s="1"/>
  <c r="AB289" i="13"/>
  <c r="AC289" i="13" s="1"/>
  <c r="AG289" i="13" s="1"/>
  <c r="S289" i="13"/>
  <c r="R289" i="13"/>
  <c r="V289" i="13" s="1"/>
  <c r="O289" i="13"/>
  <c r="P289" i="13" s="1"/>
  <c r="J289" i="13"/>
  <c r="G289" i="13"/>
  <c r="AD289" i="13" s="1"/>
  <c r="AB288" i="13"/>
  <c r="AC288" i="13" s="1"/>
  <c r="AG288" i="13" s="1"/>
  <c r="S288" i="13"/>
  <c r="R288" i="13"/>
  <c r="V288" i="13" s="1"/>
  <c r="O288" i="13"/>
  <c r="P288" i="13" s="1"/>
  <c r="J288" i="13"/>
  <c r="G288" i="13"/>
  <c r="AB287" i="13"/>
  <c r="AC287" i="13" s="1"/>
  <c r="AG287" i="13" s="1"/>
  <c r="S287" i="13"/>
  <c r="R287" i="13"/>
  <c r="V287" i="13" s="1"/>
  <c r="O287" i="13"/>
  <c r="P287" i="13" s="1"/>
  <c r="J287" i="13"/>
  <c r="G287" i="13"/>
  <c r="AD287" i="13" s="1"/>
  <c r="AB286" i="13"/>
  <c r="AC286" i="13" s="1"/>
  <c r="AG286" i="13" s="1"/>
  <c r="S286" i="13"/>
  <c r="R286" i="13"/>
  <c r="V286" i="13" s="1"/>
  <c r="O286" i="13"/>
  <c r="P286" i="13" s="1"/>
  <c r="J286" i="13"/>
  <c r="G286" i="13"/>
  <c r="AB285" i="13"/>
  <c r="AC285" i="13" s="1"/>
  <c r="AG285" i="13" s="1"/>
  <c r="S285" i="13"/>
  <c r="R285" i="13"/>
  <c r="V285" i="13" s="1"/>
  <c r="O285" i="13"/>
  <c r="P285" i="13" s="1"/>
  <c r="J285" i="13"/>
  <c r="G285" i="13"/>
  <c r="AD285" i="13" s="1"/>
  <c r="AB284" i="13"/>
  <c r="AC284" i="13" s="1"/>
  <c r="AG284" i="13" s="1"/>
  <c r="S284" i="13"/>
  <c r="R284" i="13"/>
  <c r="V284" i="13" s="1"/>
  <c r="O284" i="13"/>
  <c r="P284" i="13" s="1"/>
  <c r="J284" i="13"/>
  <c r="G284" i="13"/>
  <c r="M284" i="13" s="1"/>
  <c r="W284" i="13" s="1"/>
  <c r="AB283" i="13"/>
  <c r="AC283" i="13" s="1"/>
  <c r="AG283" i="13" s="1"/>
  <c r="S283" i="13"/>
  <c r="R283" i="13"/>
  <c r="V283" i="13" s="1"/>
  <c r="O283" i="13"/>
  <c r="P283" i="13" s="1"/>
  <c r="J283" i="13"/>
  <c r="G283" i="13"/>
  <c r="M283" i="13" s="1"/>
  <c r="W283" i="13" s="1"/>
  <c r="AB282" i="13"/>
  <c r="AC282" i="13" s="1"/>
  <c r="AG282" i="13" s="1"/>
  <c r="S282" i="13"/>
  <c r="R282" i="13"/>
  <c r="V282" i="13" s="1"/>
  <c r="O282" i="13"/>
  <c r="P282" i="13" s="1"/>
  <c r="J282" i="13"/>
  <c r="G282" i="13"/>
  <c r="M282" i="13" s="1"/>
  <c r="W282" i="13" s="1"/>
  <c r="AB281" i="13"/>
  <c r="AC281" i="13" s="1"/>
  <c r="AG281" i="13" s="1"/>
  <c r="S281" i="13"/>
  <c r="R281" i="13"/>
  <c r="V281" i="13" s="1"/>
  <c r="O281" i="13"/>
  <c r="P281" i="13" s="1"/>
  <c r="J281" i="13"/>
  <c r="G281" i="13"/>
  <c r="AD281" i="13" s="1"/>
  <c r="AB280" i="13"/>
  <c r="AC280" i="13" s="1"/>
  <c r="AG280" i="13" s="1"/>
  <c r="S280" i="13"/>
  <c r="R280" i="13"/>
  <c r="V280" i="13" s="1"/>
  <c r="O280" i="13"/>
  <c r="P280" i="13" s="1"/>
  <c r="J280" i="13"/>
  <c r="G280" i="13"/>
  <c r="M280" i="13" s="1"/>
  <c r="W280" i="13" s="1"/>
  <c r="AB279" i="13"/>
  <c r="AC279" i="13" s="1"/>
  <c r="AG279" i="13" s="1"/>
  <c r="S279" i="13"/>
  <c r="R279" i="13"/>
  <c r="V279" i="13" s="1"/>
  <c r="O279" i="13"/>
  <c r="J279" i="13"/>
  <c r="G279" i="13"/>
  <c r="AD279" i="13" s="1"/>
  <c r="AB278" i="13"/>
  <c r="AC278" i="13" s="1"/>
  <c r="AG278" i="13" s="1"/>
  <c r="S278" i="13"/>
  <c r="R278" i="13"/>
  <c r="V278" i="13" s="1"/>
  <c r="O278" i="13"/>
  <c r="P278" i="13" s="1"/>
  <c r="J278" i="13"/>
  <c r="G278" i="13"/>
  <c r="AB277" i="13"/>
  <c r="AC277" i="13" s="1"/>
  <c r="AG277" i="13" s="1"/>
  <c r="S277" i="13"/>
  <c r="R277" i="13"/>
  <c r="V277" i="13" s="1"/>
  <c r="O277" i="13"/>
  <c r="J277" i="13"/>
  <c r="G277" i="13"/>
  <c r="AB276" i="13"/>
  <c r="AC276" i="13" s="1"/>
  <c r="AG276" i="13" s="1"/>
  <c r="S276" i="13"/>
  <c r="R276" i="13"/>
  <c r="V276" i="13" s="1"/>
  <c r="O276" i="13"/>
  <c r="P276" i="13" s="1"/>
  <c r="J276" i="13"/>
  <c r="G276" i="13"/>
  <c r="AB275" i="13"/>
  <c r="AC275" i="13" s="1"/>
  <c r="AG275" i="13" s="1"/>
  <c r="S275" i="13"/>
  <c r="R275" i="13"/>
  <c r="V275" i="13" s="1"/>
  <c r="O275" i="13"/>
  <c r="J275" i="13"/>
  <c r="G275" i="13"/>
  <c r="AD275" i="13" s="1"/>
  <c r="AB274" i="13"/>
  <c r="AC274" i="13" s="1"/>
  <c r="AG274" i="13" s="1"/>
  <c r="S274" i="13"/>
  <c r="R274" i="13"/>
  <c r="V274" i="13" s="1"/>
  <c r="O274" i="13"/>
  <c r="P274" i="13" s="1"/>
  <c r="J274" i="13"/>
  <c r="G274" i="13"/>
  <c r="AB273" i="13"/>
  <c r="AC273" i="13" s="1"/>
  <c r="AG273" i="13" s="1"/>
  <c r="S273" i="13"/>
  <c r="R273" i="13"/>
  <c r="V273" i="13" s="1"/>
  <c r="O273" i="13"/>
  <c r="J273" i="13"/>
  <c r="G273" i="13"/>
  <c r="AB272" i="13"/>
  <c r="AC272" i="13" s="1"/>
  <c r="AG272" i="13" s="1"/>
  <c r="S272" i="13"/>
  <c r="R272" i="13"/>
  <c r="V272" i="13" s="1"/>
  <c r="O272" i="13"/>
  <c r="P272" i="13" s="1"/>
  <c r="J272" i="13"/>
  <c r="G272" i="13"/>
  <c r="AB271" i="13"/>
  <c r="AC271" i="13" s="1"/>
  <c r="AG271" i="13" s="1"/>
  <c r="S271" i="13"/>
  <c r="R271" i="13"/>
  <c r="V271" i="13" s="1"/>
  <c r="O271" i="13"/>
  <c r="J271" i="13"/>
  <c r="G271" i="13"/>
  <c r="AD271" i="13" s="1"/>
  <c r="AB270" i="13"/>
  <c r="AC270" i="13" s="1"/>
  <c r="AG270" i="13" s="1"/>
  <c r="S270" i="13"/>
  <c r="R270" i="13"/>
  <c r="V270" i="13" s="1"/>
  <c r="O270" i="13"/>
  <c r="P270" i="13" s="1"/>
  <c r="J270" i="13"/>
  <c r="G270" i="13"/>
  <c r="AB269" i="13"/>
  <c r="AC269" i="13" s="1"/>
  <c r="AG269" i="13" s="1"/>
  <c r="S269" i="13"/>
  <c r="R269" i="13"/>
  <c r="V269" i="13" s="1"/>
  <c r="O269" i="13"/>
  <c r="J269" i="13"/>
  <c r="G269" i="13"/>
  <c r="AB268" i="13"/>
  <c r="AC268" i="13" s="1"/>
  <c r="AG268" i="13" s="1"/>
  <c r="S268" i="13"/>
  <c r="R268" i="13"/>
  <c r="V268" i="13" s="1"/>
  <c r="O268" i="13"/>
  <c r="J268" i="13"/>
  <c r="G268" i="13"/>
  <c r="AB267" i="13"/>
  <c r="AC267" i="13" s="1"/>
  <c r="AG267" i="13" s="1"/>
  <c r="S267" i="13"/>
  <c r="R267" i="13"/>
  <c r="V267" i="13" s="1"/>
  <c r="O267" i="13"/>
  <c r="P267" i="13" s="1"/>
  <c r="J267" i="13"/>
  <c r="G267" i="13"/>
  <c r="M267" i="13" s="1"/>
  <c r="W267" i="13" s="1"/>
  <c r="AB266" i="13"/>
  <c r="AC266" i="13" s="1"/>
  <c r="AG266" i="13" s="1"/>
  <c r="S266" i="13"/>
  <c r="R266" i="13"/>
  <c r="V266" i="13" s="1"/>
  <c r="O266" i="13"/>
  <c r="J266" i="13"/>
  <c r="G266" i="13"/>
  <c r="AD266" i="13" s="1"/>
  <c r="AB265" i="13"/>
  <c r="AC265" i="13" s="1"/>
  <c r="AG265" i="13" s="1"/>
  <c r="S265" i="13"/>
  <c r="R265" i="13"/>
  <c r="V265" i="13" s="1"/>
  <c r="O265" i="13"/>
  <c r="P265" i="13" s="1"/>
  <c r="J265" i="13"/>
  <c r="G265" i="13"/>
  <c r="AB264" i="13"/>
  <c r="AC264" i="13" s="1"/>
  <c r="AG264" i="13" s="1"/>
  <c r="S264" i="13"/>
  <c r="R264" i="13"/>
  <c r="V264" i="13" s="1"/>
  <c r="O264" i="13"/>
  <c r="J264" i="13"/>
  <c r="G264" i="13"/>
  <c r="AD264" i="13" s="1"/>
  <c r="AB263" i="13"/>
  <c r="AC263" i="13" s="1"/>
  <c r="AG263" i="13" s="1"/>
  <c r="S263" i="13"/>
  <c r="R263" i="13"/>
  <c r="V263" i="13" s="1"/>
  <c r="O263" i="13"/>
  <c r="P263" i="13" s="1"/>
  <c r="J263" i="13"/>
  <c r="G263" i="13"/>
  <c r="AB262" i="13"/>
  <c r="AC262" i="13" s="1"/>
  <c r="AG262" i="13" s="1"/>
  <c r="S262" i="13"/>
  <c r="R262" i="13"/>
  <c r="V262" i="13" s="1"/>
  <c r="O262" i="13"/>
  <c r="J262" i="13"/>
  <c r="G262" i="13"/>
  <c r="AD262" i="13" s="1"/>
  <c r="AB261" i="13"/>
  <c r="AC261" i="13" s="1"/>
  <c r="AG261" i="13" s="1"/>
  <c r="S261" i="13"/>
  <c r="R261" i="13"/>
  <c r="V261" i="13" s="1"/>
  <c r="O261" i="13"/>
  <c r="P261" i="13" s="1"/>
  <c r="J261" i="13"/>
  <c r="G261" i="13"/>
  <c r="AB260" i="13"/>
  <c r="AC260" i="13" s="1"/>
  <c r="AG260" i="13" s="1"/>
  <c r="S260" i="13"/>
  <c r="R260" i="13"/>
  <c r="V260" i="13" s="1"/>
  <c r="O260" i="13"/>
  <c r="J260" i="13"/>
  <c r="G260" i="13"/>
  <c r="AD260" i="13" s="1"/>
  <c r="AB259" i="13"/>
  <c r="AC259" i="13" s="1"/>
  <c r="AG259" i="13" s="1"/>
  <c r="S259" i="13"/>
  <c r="R259" i="13"/>
  <c r="V259" i="13" s="1"/>
  <c r="O259" i="13"/>
  <c r="P259" i="13" s="1"/>
  <c r="J259" i="13"/>
  <c r="G259" i="13"/>
  <c r="AB258" i="13"/>
  <c r="AC258" i="13" s="1"/>
  <c r="AG258" i="13" s="1"/>
  <c r="S258" i="13"/>
  <c r="R258" i="13"/>
  <c r="V258" i="13" s="1"/>
  <c r="O258" i="13"/>
  <c r="J258" i="13"/>
  <c r="G258" i="13"/>
  <c r="AD258" i="13" s="1"/>
  <c r="AB257" i="13"/>
  <c r="AC257" i="13" s="1"/>
  <c r="AG257" i="13" s="1"/>
  <c r="S257" i="13"/>
  <c r="R257" i="13"/>
  <c r="V257" i="13" s="1"/>
  <c r="O257" i="13"/>
  <c r="P257" i="13" s="1"/>
  <c r="J257" i="13"/>
  <c r="G257" i="13"/>
  <c r="AB256" i="13"/>
  <c r="AC256" i="13" s="1"/>
  <c r="AG256" i="13" s="1"/>
  <c r="S256" i="13"/>
  <c r="R256" i="13"/>
  <c r="V256" i="13" s="1"/>
  <c r="O256" i="13"/>
  <c r="J256" i="13"/>
  <c r="G256" i="13"/>
  <c r="AB255" i="13"/>
  <c r="AC255" i="13" s="1"/>
  <c r="AG255" i="13" s="1"/>
  <c r="S255" i="13"/>
  <c r="R255" i="13"/>
  <c r="V255" i="13" s="1"/>
  <c r="O255" i="13"/>
  <c r="J255" i="13"/>
  <c r="G255" i="13"/>
  <c r="AB254" i="13"/>
  <c r="AC254" i="13" s="1"/>
  <c r="AG254" i="13" s="1"/>
  <c r="S254" i="13"/>
  <c r="R254" i="13"/>
  <c r="V254" i="13" s="1"/>
  <c r="O254" i="13"/>
  <c r="J254" i="13"/>
  <c r="G254" i="13"/>
  <c r="M254" i="13" s="1"/>
  <c r="W254" i="13" s="1"/>
  <c r="AB253" i="13"/>
  <c r="AC253" i="13" s="1"/>
  <c r="AG253" i="13" s="1"/>
  <c r="S253" i="13"/>
  <c r="R253" i="13"/>
  <c r="V253" i="13" s="1"/>
  <c r="O253" i="13"/>
  <c r="J253" i="13"/>
  <c r="G253" i="13"/>
  <c r="AD253" i="13" s="1"/>
  <c r="AB252" i="13"/>
  <c r="AC252" i="13" s="1"/>
  <c r="AG252" i="13" s="1"/>
  <c r="S252" i="13"/>
  <c r="R252" i="13"/>
  <c r="V252" i="13" s="1"/>
  <c r="O252" i="13"/>
  <c r="J252" i="13"/>
  <c r="G252" i="13"/>
  <c r="M252" i="13" s="1"/>
  <c r="W252" i="13" s="1"/>
  <c r="AB251" i="13"/>
  <c r="AC251" i="13" s="1"/>
  <c r="AG251" i="13" s="1"/>
  <c r="S251" i="13"/>
  <c r="R251" i="13"/>
  <c r="V251" i="13" s="1"/>
  <c r="O251" i="13"/>
  <c r="J251" i="13"/>
  <c r="G251" i="13"/>
  <c r="AD251" i="13" s="1"/>
  <c r="AB250" i="13"/>
  <c r="AC250" i="13" s="1"/>
  <c r="AG250" i="13" s="1"/>
  <c r="S250" i="13"/>
  <c r="R250" i="13"/>
  <c r="V250" i="13" s="1"/>
  <c r="O250" i="13"/>
  <c r="P250" i="13" s="1"/>
  <c r="J250" i="13"/>
  <c r="G250" i="13"/>
  <c r="AB249" i="13"/>
  <c r="AC249" i="13" s="1"/>
  <c r="AG249" i="13" s="1"/>
  <c r="S249" i="13"/>
  <c r="R249" i="13"/>
  <c r="V249" i="13" s="1"/>
  <c r="O249" i="13"/>
  <c r="J249" i="13"/>
  <c r="G249" i="13"/>
  <c r="AB248" i="13"/>
  <c r="AC248" i="13" s="1"/>
  <c r="AG248" i="13" s="1"/>
  <c r="S248" i="13"/>
  <c r="R248" i="13"/>
  <c r="V248" i="13" s="1"/>
  <c r="O248" i="13"/>
  <c r="J248" i="13"/>
  <c r="G248" i="13"/>
  <c r="M248" i="13" s="1"/>
  <c r="W248" i="13" s="1"/>
  <c r="AB247" i="13"/>
  <c r="AC247" i="13" s="1"/>
  <c r="AG247" i="13" s="1"/>
  <c r="S247" i="13"/>
  <c r="R247" i="13"/>
  <c r="V247" i="13" s="1"/>
  <c r="O247" i="13"/>
  <c r="J247" i="13"/>
  <c r="G247" i="13"/>
  <c r="AD247" i="13" s="1"/>
  <c r="AB246" i="13"/>
  <c r="AC246" i="13" s="1"/>
  <c r="AG246" i="13" s="1"/>
  <c r="S246" i="13"/>
  <c r="R246" i="13"/>
  <c r="V246" i="13" s="1"/>
  <c r="O246" i="13"/>
  <c r="P246" i="13" s="1"/>
  <c r="J246" i="13"/>
  <c r="G246" i="13"/>
  <c r="AD246" i="13" s="1"/>
  <c r="AB245" i="13"/>
  <c r="AC245" i="13" s="1"/>
  <c r="AG245" i="13" s="1"/>
  <c r="V245" i="13"/>
  <c r="S245" i="13"/>
  <c r="R245" i="13"/>
  <c r="O245" i="13"/>
  <c r="J245" i="13"/>
  <c r="G245" i="13"/>
  <c r="AB244" i="13"/>
  <c r="AC244" i="13" s="1"/>
  <c r="AG244" i="13" s="1"/>
  <c r="S244" i="13"/>
  <c r="R244" i="13"/>
  <c r="V244" i="13" s="1"/>
  <c r="O244" i="13"/>
  <c r="P244" i="13" s="1"/>
  <c r="J244" i="13"/>
  <c r="G244" i="13"/>
  <c r="AD244" i="13" s="1"/>
  <c r="AB243" i="13"/>
  <c r="AC243" i="13" s="1"/>
  <c r="AG243" i="13" s="1"/>
  <c r="S243" i="13"/>
  <c r="R243" i="13"/>
  <c r="V243" i="13" s="1"/>
  <c r="O243" i="13"/>
  <c r="J243" i="13"/>
  <c r="G243" i="13"/>
  <c r="AB242" i="13"/>
  <c r="AC242" i="13" s="1"/>
  <c r="AG242" i="13" s="1"/>
  <c r="S242" i="13"/>
  <c r="R242" i="13"/>
  <c r="V242" i="13" s="1"/>
  <c r="O242" i="13"/>
  <c r="P242" i="13" s="1"/>
  <c r="J242" i="13"/>
  <c r="G242" i="13"/>
  <c r="AD242" i="13" s="1"/>
  <c r="AB241" i="13"/>
  <c r="AC241" i="13" s="1"/>
  <c r="AG241" i="13" s="1"/>
  <c r="S241" i="13"/>
  <c r="R241" i="13"/>
  <c r="V241" i="13" s="1"/>
  <c r="O241" i="13"/>
  <c r="J241" i="13"/>
  <c r="G241" i="13"/>
  <c r="AB240" i="13"/>
  <c r="AC240" i="13" s="1"/>
  <c r="AG240" i="13" s="1"/>
  <c r="S240" i="13"/>
  <c r="R240" i="13"/>
  <c r="V240" i="13" s="1"/>
  <c r="O240" i="13"/>
  <c r="P240" i="13" s="1"/>
  <c r="J240" i="13"/>
  <c r="G240" i="13"/>
  <c r="AB239" i="13"/>
  <c r="AC239" i="13" s="1"/>
  <c r="AG239" i="13" s="1"/>
  <c r="S239" i="13"/>
  <c r="R239" i="13"/>
  <c r="V239" i="13" s="1"/>
  <c r="O239" i="13"/>
  <c r="J239" i="13"/>
  <c r="G239" i="13"/>
  <c r="AB238" i="13"/>
  <c r="AC238" i="13" s="1"/>
  <c r="AG238" i="13" s="1"/>
  <c r="S238" i="13"/>
  <c r="R238" i="13"/>
  <c r="V238" i="13" s="1"/>
  <c r="O238" i="13"/>
  <c r="P238" i="13" s="1"/>
  <c r="J238" i="13"/>
  <c r="G238" i="13"/>
  <c r="M238" i="13" s="1"/>
  <c r="W238" i="13" s="1"/>
  <c r="AB237" i="13"/>
  <c r="AC237" i="13" s="1"/>
  <c r="AG237" i="13" s="1"/>
  <c r="S237" i="13"/>
  <c r="R237" i="13"/>
  <c r="V237" i="13" s="1"/>
  <c r="O237" i="13"/>
  <c r="J237" i="13"/>
  <c r="G237" i="13"/>
  <c r="AB236" i="13"/>
  <c r="AC236" i="13" s="1"/>
  <c r="AG236" i="13" s="1"/>
  <c r="S236" i="13"/>
  <c r="R236" i="13"/>
  <c r="V236" i="13" s="1"/>
  <c r="O236" i="13"/>
  <c r="P236" i="13" s="1"/>
  <c r="J236" i="13"/>
  <c r="G236" i="13"/>
  <c r="M236" i="13" s="1"/>
  <c r="W236" i="13" s="1"/>
  <c r="AB235" i="13"/>
  <c r="AC235" i="13" s="1"/>
  <c r="AG235" i="13" s="1"/>
  <c r="S235" i="13"/>
  <c r="R235" i="13"/>
  <c r="V235" i="13" s="1"/>
  <c r="O235" i="13"/>
  <c r="J235" i="13"/>
  <c r="G235" i="13"/>
  <c r="AB234" i="13"/>
  <c r="AC234" i="13" s="1"/>
  <c r="AG234" i="13" s="1"/>
  <c r="S234" i="13"/>
  <c r="R234" i="13"/>
  <c r="V234" i="13" s="1"/>
  <c r="O234" i="13"/>
  <c r="P234" i="13" s="1"/>
  <c r="J234" i="13"/>
  <c r="G234" i="13"/>
  <c r="AB233" i="13"/>
  <c r="AC233" i="13" s="1"/>
  <c r="AG233" i="13" s="1"/>
  <c r="S233" i="13"/>
  <c r="R233" i="13"/>
  <c r="V233" i="13" s="1"/>
  <c r="O233" i="13"/>
  <c r="J233" i="13"/>
  <c r="G233" i="13"/>
  <c r="AB232" i="13"/>
  <c r="AC232" i="13" s="1"/>
  <c r="AG232" i="13" s="1"/>
  <c r="S232" i="13"/>
  <c r="R232" i="13"/>
  <c r="V232" i="13" s="1"/>
  <c r="O232" i="13"/>
  <c r="P232" i="13" s="1"/>
  <c r="J232" i="13"/>
  <c r="G232" i="13"/>
  <c r="AD232" i="13" s="1"/>
  <c r="AB231" i="13"/>
  <c r="AC231" i="13" s="1"/>
  <c r="AG231" i="13" s="1"/>
  <c r="S231" i="13"/>
  <c r="R231" i="13"/>
  <c r="V231" i="13" s="1"/>
  <c r="O231" i="13"/>
  <c r="J231" i="13"/>
  <c r="G231" i="13"/>
  <c r="AB230" i="13"/>
  <c r="AC230" i="13" s="1"/>
  <c r="AG230" i="13" s="1"/>
  <c r="S230" i="13"/>
  <c r="R230" i="13"/>
  <c r="V230" i="13" s="1"/>
  <c r="O230" i="13"/>
  <c r="P230" i="13" s="1"/>
  <c r="J230" i="13"/>
  <c r="G230" i="13"/>
  <c r="AD230" i="13" s="1"/>
  <c r="AB229" i="13"/>
  <c r="AC229" i="13" s="1"/>
  <c r="AG229" i="13" s="1"/>
  <c r="S229" i="13"/>
  <c r="R229" i="13"/>
  <c r="V229" i="13" s="1"/>
  <c r="O229" i="13"/>
  <c r="J229" i="13"/>
  <c r="G229" i="13"/>
  <c r="AB228" i="13"/>
  <c r="AC228" i="13" s="1"/>
  <c r="AG228" i="13" s="1"/>
  <c r="S228" i="13"/>
  <c r="R228" i="13"/>
  <c r="V228" i="13" s="1"/>
  <c r="O228" i="13"/>
  <c r="P228" i="13" s="1"/>
  <c r="J228" i="13"/>
  <c r="G228" i="13"/>
  <c r="M228" i="13" s="1"/>
  <c r="W228" i="13" s="1"/>
  <c r="AB227" i="13"/>
  <c r="AC227" i="13" s="1"/>
  <c r="AG227" i="13" s="1"/>
  <c r="S227" i="13"/>
  <c r="R227" i="13"/>
  <c r="V227" i="13" s="1"/>
  <c r="O227" i="13"/>
  <c r="J227" i="13"/>
  <c r="G227" i="13"/>
  <c r="AB226" i="13"/>
  <c r="AC226" i="13" s="1"/>
  <c r="AG226" i="13" s="1"/>
  <c r="S226" i="13"/>
  <c r="R226" i="13"/>
  <c r="V226" i="13" s="1"/>
  <c r="O226" i="13"/>
  <c r="P226" i="13" s="1"/>
  <c r="J226" i="13"/>
  <c r="G226" i="13"/>
  <c r="AB225" i="13"/>
  <c r="AC225" i="13" s="1"/>
  <c r="AG225" i="13" s="1"/>
  <c r="S225" i="13"/>
  <c r="R225" i="13"/>
  <c r="V225" i="13" s="1"/>
  <c r="O225" i="13"/>
  <c r="J225" i="13"/>
  <c r="G225" i="13"/>
  <c r="AB224" i="13"/>
  <c r="AC224" i="13" s="1"/>
  <c r="AG224" i="13" s="1"/>
  <c r="S224" i="13"/>
  <c r="R224" i="13"/>
  <c r="V224" i="13" s="1"/>
  <c r="O224" i="13"/>
  <c r="P224" i="13" s="1"/>
  <c r="J224" i="13"/>
  <c r="G224" i="13"/>
  <c r="M224" i="13" s="1"/>
  <c r="W224" i="13" s="1"/>
  <c r="AB223" i="13"/>
  <c r="AC223" i="13" s="1"/>
  <c r="AG223" i="13" s="1"/>
  <c r="S223" i="13"/>
  <c r="R223" i="13"/>
  <c r="V223" i="13" s="1"/>
  <c r="O223" i="13"/>
  <c r="J223" i="13"/>
  <c r="G223" i="13"/>
  <c r="AB222" i="13"/>
  <c r="AC222" i="13" s="1"/>
  <c r="AG222" i="13" s="1"/>
  <c r="S222" i="13"/>
  <c r="R222" i="13"/>
  <c r="V222" i="13" s="1"/>
  <c r="O222" i="13"/>
  <c r="P222" i="13" s="1"/>
  <c r="J222" i="13"/>
  <c r="G222" i="13"/>
  <c r="AD222" i="13" s="1"/>
  <c r="AB221" i="13"/>
  <c r="AC221" i="13" s="1"/>
  <c r="AG221" i="13" s="1"/>
  <c r="S221" i="13"/>
  <c r="R221" i="13"/>
  <c r="V221" i="13" s="1"/>
  <c r="O221" i="13"/>
  <c r="J221" i="13"/>
  <c r="G221" i="13"/>
  <c r="AB220" i="13"/>
  <c r="AC220" i="13" s="1"/>
  <c r="AG220" i="13" s="1"/>
  <c r="S220" i="13"/>
  <c r="R220" i="13"/>
  <c r="V220" i="13" s="1"/>
  <c r="O220" i="13"/>
  <c r="P220" i="13" s="1"/>
  <c r="J220" i="13"/>
  <c r="G220" i="13"/>
  <c r="M220" i="13" s="1"/>
  <c r="W220" i="13" s="1"/>
  <c r="AB219" i="13"/>
  <c r="AC219" i="13" s="1"/>
  <c r="AG219" i="13" s="1"/>
  <c r="S219" i="13"/>
  <c r="R219" i="13"/>
  <c r="V219" i="13" s="1"/>
  <c r="O219" i="13"/>
  <c r="J219" i="13"/>
  <c r="G219" i="13"/>
  <c r="AB218" i="13"/>
  <c r="AC218" i="13" s="1"/>
  <c r="AG218" i="13" s="1"/>
  <c r="S218" i="13"/>
  <c r="R218" i="13"/>
  <c r="V218" i="13" s="1"/>
  <c r="O218" i="13"/>
  <c r="P218" i="13" s="1"/>
  <c r="J218" i="13"/>
  <c r="G218" i="13"/>
  <c r="AD218" i="13" s="1"/>
  <c r="AB217" i="13"/>
  <c r="AC217" i="13" s="1"/>
  <c r="AG217" i="13" s="1"/>
  <c r="S217" i="13"/>
  <c r="R217" i="13"/>
  <c r="V217" i="13" s="1"/>
  <c r="O217" i="13"/>
  <c r="J217" i="13"/>
  <c r="G217" i="13"/>
  <c r="AB216" i="13"/>
  <c r="AC216" i="13" s="1"/>
  <c r="AG216" i="13" s="1"/>
  <c r="S216" i="13"/>
  <c r="R216" i="13"/>
  <c r="V216" i="13" s="1"/>
  <c r="O216" i="13"/>
  <c r="P216" i="13" s="1"/>
  <c r="J216" i="13"/>
  <c r="G216" i="13"/>
  <c r="AB215" i="13"/>
  <c r="AC215" i="13" s="1"/>
  <c r="AG215" i="13" s="1"/>
  <c r="S215" i="13"/>
  <c r="R215" i="13"/>
  <c r="V215" i="13" s="1"/>
  <c r="O215" i="13"/>
  <c r="J215" i="13"/>
  <c r="G215" i="13"/>
  <c r="AB214" i="13"/>
  <c r="AC214" i="13" s="1"/>
  <c r="AG214" i="13" s="1"/>
  <c r="S214" i="13"/>
  <c r="R214" i="13"/>
  <c r="V214" i="13" s="1"/>
  <c r="O214" i="13"/>
  <c r="P214" i="13" s="1"/>
  <c r="J214" i="13"/>
  <c r="G214" i="13"/>
  <c r="M214" i="13" s="1"/>
  <c r="W214" i="13" s="1"/>
  <c r="AB213" i="13"/>
  <c r="AC213" i="13" s="1"/>
  <c r="AG213" i="13" s="1"/>
  <c r="S213" i="13"/>
  <c r="R213" i="13"/>
  <c r="V213" i="13" s="1"/>
  <c r="O213" i="13"/>
  <c r="J213" i="13"/>
  <c r="G213" i="13"/>
  <c r="AB212" i="13"/>
  <c r="AC212" i="13" s="1"/>
  <c r="AG212" i="13" s="1"/>
  <c r="S212" i="13"/>
  <c r="R212" i="13"/>
  <c r="V212" i="13" s="1"/>
  <c r="O212" i="13"/>
  <c r="P212" i="13" s="1"/>
  <c r="J212" i="13"/>
  <c r="G212" i="13"/>
  <c r="AD212" i="13" s="1"/>
  <c r="AB211" i="13"/>
  <c r="AC211" i="13" s="1"/>
  <c r="AG211" i="13" s="1"/>
  <c r="S211" i="13"/>
  <c r="R211" i="13"/>
  <c r="V211" i="13" s="1"/>
  <c r="O211" i="13"/>
  <c r="J211" i="13"/>
  <c r="G211" i="13"/>
  <c r="AB210" i="13"/>
  <c r="AC210" i="13" s="1"/>
  <c r="AG210" i="13" s="1"/>
  <c r="S210" i="13"/>
  <c r="R210" i="13"/>
  <c r="V210" i="13" s="1"/>
  <c r="O210" i="13"/>
  <c r="J210" i="13"/>
  <c r="G210" i="13"/>
  <c r="AD210" i="13" s="1"/>
  <c r="AB209" i="13"/>
  <c r="AC209" i="13" s="1"/>
  <c r="AG209" i="13" s="1"/>
  <c r="S209" i="13"/>
  <c r="R209" i="13"/>
  <c r="V209" i="13" s="1"/>
  <c r="O209" i="13"/>
  <c r="J209" i="13"/>
  <c r="G209" i="13"/>
  <c r="AB208" i="13"/>
  <c r="AC208" i="13" s="1"/>
  <c r="AG208" i="13" s="1"/>
  <c r="S208" i="13"/>
  <c r="R208" i="13"/>
  <c r="V208" i="13" s="1"/>
  <c r="O208" i="13"/>
  <c r="J208" i="13"/>
  <c r="G208" i="13"/>
  <c r="M208" i="13" s="1"/>
  <c r="W208" i="13" s="1"/>
  <c r="AB207" i="13"/>
  <c r="AC207" i="13" s="1"/>
  <c r="AG207" i="13" s="1"/>
  <c r="S207" i="13"/>
  <c r="R207" i="13"/>
  <c r="V207" i="13" s="1"/>
  <c r="O207" i="13"/>
  <c r="J207" i="13"/>
  <c r="G207" i="13"/>
  <c r="AD207" i="13" s="1"/>
  <c r="AB206" i="13"/>
  <c r="AC206" i="13" s="1"/>
  <c r="AG206" i="13" s="1"/>
  <c r="S206" i="13"/>
  <c r="R206" i="13"/>
  <c r="V206" i="13" s="1"/>
  <c r="O206" i="13"/>
  <c r="J206" i="13"/>
  <c r="G206" i="13"/>
  <c r="M206" i="13" s="1"/>
  <c r="W206" i="13" s="1"/>
  <c r="AB205" i="13"/>
  <c r="AC205" i="13" s="1"/>
  <c r="AG205" i="13" s="1"/>
  <c r="S205" i="13"/>
  <c r="R205" i="13"/>
  <c r="V205" i="13" s="1"/>
  <c r="O205" i="13"/>
  <c r="J205" i="13"/>
  <c r="G205" i="13"/>
  <c r="AB204" i="13"/>
  <c r="AC204" i="13" s="1"/>
  <c r="AG204" i="13" s="1"/>
  <c r="S204" i="13"/>
  <c r="R204" i="13"/>
  <c r="V204" i="13" s="1"/>
  <c r="O204" i="13"/>
  <c r="J204" i="13"/>
  <c r="G204" i="13"/>
  <c r="AD204" i="13" s="1"/>
  <c r="AB203" i="13"/>
  <c r="AC203" i="13" s="1"/>
  <c r="AG203" i="13" s="1"/>
  <c r="S203" i="13"/>
  <c r="R203" i="13"/>
  <c r="V203" i="13" s="1"/>
  <c r="O203" i="13"/>
  <c r="J203" i="13"/>
  <c r="G203" i="13"/>
  <c r="AB202" i="13"/>
  <c r="AC202" i="13" s="1"/>
  <c r="AG202" i="13" s="1"/>
  <c r="S202" i="13"/>
  <c r="R202" i="13"/>
  <c r="V202" i="13" s="1"/>
  <c r="O202" i="13"/>
  <c r="J202" i="13"/>
  <c r="G202" i="13"/>
  <c r="AD202" i="13" s="1"/>
  <c r="AB201" i="13"/>
  <c r="AC201" i="13" s="1"/>
  <c r="AG201" i="13" s="1"/>
  <c r="S201" i="13"/>
  <c r="R201" i="13"/>
  <c r="V201" i="13" s="1"/>
  <c r="O201" i="13"/>
  <c r="J201" i="13"/>
  <c r="G201" i="13"/>
  <c r="AB200" i="13"/>
  <c r="AC200" i="13" s="1"/>
  <c r="AG200" i="13" s="1"/>
  <c r="S200" i="13"/>
  <c r="R200" i="13"/>
  <c r="V200" i="13" s="1"/>
  <c r="O200" i="13"/>
  <c r="J200" i="13"/>
  <c r="G200" i="13"/>
  <c r="AD200" i="13" s="1"/>
  <c r="AB199" i="13"/>
  <c r="AC199" i="13" s="1"/>
  <c r="AG199" i="13" s="1"/>
  <c r="S199" i="13"/>
  <c r="R199" i="13"/>
  <c r="V199" i="13" s="1"/>
  <c r="O199" i="13"/>
  <c r="J199" i="13"/>
  <c r="G199" i="13"/>
  <c r="AD199" i="13" s="1"/>
  <c r="AB198" i="13"/>
  <c r="AC198" i="13" s="1"/>
  <c r="AG198" i="13" s="1"/>
  <c r="S198" i="13"/>
  <c r="R198" i="13"/>
  <c r="V198" i="13" s="1"/>
  <c r="O198" i="13"/>
  <c r="J198" i="13"/>
  <c r="G198" i="13"/>
  <c r="M198" i="13" s="1"/>
  <c r="W198" i="13" s="1"/>
  <c r="AB197" i="13"/>
  <c r="AC197" i="13" s="1"/>
  <c r="AG197" i="13" s="1"/>
  <c r="S197" i="13"/>
  <c r="R197" i="13"/>
  <c r="V197" i="13" s="1"/>
  <c r="O197" i="13"/>
  <c r="J197" i="13"/>
  <c r="G197" i="13"/>
  <c r="AB196" i="13"/>
  <c r="AC196" i="13" s="1"/>
  <c r="AG196" i="13" s="1"/>
  <c r="S196" i="13"/>
  <c r="R196" i="13"/>
  <c r="V196" i="13" s="1"/>
  <c r="O196" i="13"/>
  <c r="J196" i="13"/>
  <c r="G196" i="13"/>
  <c r="AD196" i="13" s="1"/>
  <c r="AB195" i="13"/>
  <c r="AC195" i="13" s="1"/>
  <c r="AG195" i="13" s="1"/>
  <c r="S195" i="13"/>
  <c r="R195" i="13"/>
  <c r="V195" i="13" s="1"/>
  <c r="O195" i="13"/>
  <c r="J195" i="13"/>
  <c r="G195" i="13"/>
  <c r="AB194" i="13"/>
  <c r="AC194" i="13" s="1"/>
  <c r="AG194" i="13" s="1"/>
  <c r="S194" i="13"/>
  <c r="R194" i="13"/>
  <c r="V194" i="13" s="1"/>
  <c r="O194" i="13"/>
  <c r="J194" i="13"/>
  <c r="G194" i="13"/>
  <c r="AB193" i="13"/>
  <c r="AC193" i="13" s="1"/>
  <c r="AG193" i="13" s="1"/>
  <c r="S193" i="13"/>
  <c r="R193" i="13"/>
  <c r="V193" i="13" s="1"/>
  <c r="O193" i="13"/>
  <c r="J193" i="13"/>
  <c r="G193" i="13"/>
  <c r="AD193" i="13" s="1"/>
  <c r="AB192" i="13"/>
  <c r="AC192" i="13" s="1"/>
  <c r="AG192" i="13" s="1"/>
  <c r="S192" i="13"/>
  <c r="R192" i="13"/>
  <c r="V192" i="13" s="1"/>
  <c r="O192" i="13"/>
  <c r="J192" i="13"/>
  <c r="G192" i="13"/>
  <c r="AB191" i="13"/>
  <c r="AC191" i="13" s="1"/>
  <c r="AG191" i="13" s="1"/>
  <c r="S191" i="13"/>
  <c r="R191" i="13"/>
  <c r="V191" i="13" s="1"/>
  <c r="O191" i="13"/>
  <c r="J191" i="13"/>
  <c r="G191" i="13"/>
  <c r="AD191" i="13" s="1"/>
  <c r="AB190" i="13"/>
  <c r="AC190" i="13" s="1"/>
  <c r="AG190" i="13" s="1"/>
  <c r="S190" i="13"/>
  <c r="R190" i="13"/>
  <c r="V190" i="13" s="1"/>
  <c r="O190" i="13"/>
  <c r="J190" i="13"/>
  <c r="G190" i="13"/>
  <c r="AB189" i="13"/>
  <c r="AC189" i="13" s="1"/>
  <c r="AG189" i="13" s="1"/>
  <c r="S189" i="13"/>
  <c r="R189" i="13"/>
  <c r="V189" i="13" s="1"/>
  <c r="O189" i="13"/>
  <c r="J189" i="13"/>
  <c r="G189" i="13"/>
  <c r="AD189" i="13" s="1"/>
  <c r="AB188" i="13"/>
  <c r="AC188" i="13" s="1"/>
  <c r="AG188" i="13" s="1"/>
  <c r="S188" i="13"/>
  <c r="R188" i="13"/>
  <c r="V188" i="13" s="1"/>
  <c r="O188" i="13"/>
  <c r="J188" i="13"/>
  <c r="G188" i="13"/>
  <c r="AB187" i="13"/>
  <c r="AC187" i="13" s="1"/>
  <c r="AG187" i="13" s="1"/>
  <c r="S187" i="13"/>
  <c r="R187" i="13"/>
  <c r="V187" i="13" s="1"/>
  <c r="O187" i="13"/>
  <c r="J187" i="13"/>
  <c r="G187" i="13"/>
  <c r="AD187" i="13" s="1"/>
  <c r="AB186" i="13"/>
  <c r="AC186" i="13" s="1"/>
  <c r="AG186" i="13" s="1"/>
  <c r="S186" i="13"/>
  <c r="R186" i="13"/>
  <c r="V186" i="13" s="1"/>
  <c r="O186" i="13"/>
  <c r="J186" i="13"/>
  <c r="G186" i="13"/>
  <c r="AB185" i="13"/>
  <c r="AC185" i="13" s="1"/>
  <c r="AG185" i="13" s="1"/>
  <c r="S185" i="13"/>
  <c r="R185" i="13"/>
  <c r="V185" i="13" s="1"/>
  <c r="O185" i="13"/>
  <c r="J185" i="13"/>
  <c r="G185" i="13"/>
  <c r="AD185" i="13" s="1"/>
  <c r="AB184" i="13"/>
  <c r="AC184" i="13" s="1"/>
  <c r="AG184" i="13" s="1"/>
  <c r="S184" i="13"/>
  <c r="R184" i="13"/>
  <c r="V184" i="13" s="1"/>
  <c r="O184" i="13"/>
  <c r="J184" i="13"/>
  <c r="G184" i="13"/>
  <c r="AB183" i="13"/>
  <c r="AC183" i="13" s="1"/>
  <c r="AG183" i="13" s="1"/>
  <c r="S183" i="13"/>
  <c r="R183" i="13"/>
  <c r="V183" i="13" s="1"/>
  <c r="O183" i="13"/>
  <c r="J183" i="13"/>
  <c r="G183" i="13"/>
  <c r="AD183" i="13" s="1"/>
  <c r="AB182" i="13"/>
  <c r="AC182" i="13" s="1"/>
  <c r="AG182" i="13" s="1"/>
  <c r="S182" i="13"/>
  <c r="R182" i="13"/>
  <c r="V182" i="13" s="1"/>
  <c r="O182" i="13"/>
  <c r="J182" i="13"/>
  <c r="G182" i="13"/>
  <c r="AB181" i="13"/>
  <c r="AC181" i="13" s="1"/>
  <c r="AG181" i="13" s="1"/>
  <c r="S181" i="13"/>
  <c r="R181" i="13"/>
  <c r="V181" i="13" s="1"/>
  <c r="O181" i="13"/>
  <c r="J181" i="13"/>
  <c r="G181" i="13"/>
  <c r="AD181" i="13" s="1"/>
  <c r="AB180" i="13"/>
  <c r="AC180" i="13" s="1"/>
  <c r="AG180" i="13" s="1"/>
  <c r="S180" i="13"/>
  <c r="R180" i="13"/>
  <c r="V180" i="13" s="1"/>
  <c r="O180" i="13"/>
  <c r="J180" i="13"/>
  <c r="G180" i="13"/>
  <c r="AB179" i="13"/>
  <c r="AC179" i="13" s="1"/>
  <c r="AG179" i="13" s="1"/>
  <c r="S179" i="13"/>
  <c r="R179" i="13"/>
  <c r="V179" i="13" s="1"/>
  <c r="O179" i="13"/>
  <c r="J179" i="13"/>
  <c r="G179" i="13"/>
  <c r="AD179" i="13" s="1"/>
  <c r="AB178" i="13"/>
  <c r="AC178" i="13" s="1"/>
  <c r="AG178" i="13" s="1"/>
  <c r="S178" i="13"/>
  <c r="R178" i="13"/>
  <c r="V178" i="13" s="1"/>
  <c r="O178" i="13"/>
  <c r="J178" i="13"/>
  <c r="G178" i="13"/>
  <c r="AB177" i="13"/>
  <c r="AC177" i="13" s="1"/>
  <c r="AG177" i="13" s="1"/>
  <c r="S177" i="13"/>
  <c r="R177" i="13"/>
  <c r="V177" i="13" s="1"/>
  <c r="O177" i="13"/>
  <c r="J177" i="13"/>
  <c r="G177" i="13"/>
  <c r="AD177" i="13" s="1"/>
  <c r="AB176" i="13"/>
  <c r="AC176" i="13" s="1"/>
  <c r="AG176" i="13" s="1"/>
  <c r="S176" i="13"/>
  <c r="R176" i="13"/>
  <c r="V176" i="13" s="1"/>
  <c r="O176" i="13"/>
  <c r="J176" i="13"/>
  <c r="G176" i="13"/>
  <c r="AB175" i="13"/>
  <c r="AC175" i="13" s="1"/>
  <c r="AG175" i="13" s="1"/>
  <c r="S175" i="13"/>
  <c r="R175" i="13"/>
  <c r="V175" i="13" s="1"/>
  <c r="O175" i="13"/>
  <c r="J175" i="13"/>
  <c r="G175" i="13"/>
  <c r="AD175" i="13" s="1"/>
  <c r="AB174" i="13"/>
  <c r="AC174" i="13" s="1"/>
  <c r="AG174" i="13" s="1"/>
  <c r="S174" i="13"/>
  <c r="R174" i="13"/>
  <c r="V174" i="13" s="1"/>
  <c r="O174" i="13"/>
  <c r="J174" i="13"/>
  <c r="G174" i="13"/>
  <c r="AB173" i="13"/>
  <c r="AC173" i="13" s="1"/>
  <c r="AG173" i="13" s="1"/>
  <c r="S173" i="13"/>
  <c r="R173" i="13"/>
  <c r="V173" i="13" s="1"/>
  <c r="O173" i="13"/>
  <c r="J173" i="13"/>
  <c r="G173" i="13"/>
  <c r="AD173" i="13" s="1"/>
  <c r="AB172" i="13"/>
  <c r="AC172" i="13" s="1"/>
  <c r="AG172" i="13" s="1"/>
  <c r="S172" i="13"/>
  <c r="R172" i="13"/>
  <c r="V172" i="13" s="1"/>
  <c r="O172" i="13"/>
  <c r="J172" i="13"/>
  <c r="G172" i="13"/>
  <c r="AB171" i="13"/>
  <c r="AC171" i="13" s="1"/>
  <c r="AG171" i="13" s="1"/>
  <c r="S171" i="13"/>
  <c r="R171" i="13"/>
  <c r="V171" i="13" s="1"/>
  <c r="O171" i="13"/>
  <c r="J171" i="13"/>
  <c r="G171" i="13"/>
  <c r="AD171" i="13" s="1"/>
  <c r="AB170" i="13"/>
  <c r="AC170" i="13" s="1"/>
  <c r="AG170" i="13" s="1"/>
  <c r="S170" i="13"/>
  <c r="R170" i="13"/>
  <c r="V170" i="13" s="1"/>
  <c r="O170" i="13"/>
  <c r="J170" i="13"/>
  <c r="G170" i="13"/>
  <c r="AB169" i="13"/>
  <c r="AC169" i="13" s="1"/>
  <c r="AG169" i="13" s="1"/>
  <c r="S169" i="13"/>
  <c r="R169" i="13"/>
  <c r="V169" i="13" s="1"/>
  <c r="O169" i="13"/>
  <c r="J169" i="13"/>
  <c r="G169" i="13"/>
  <c r="AD169" i="13" s="1"/>
  <c r="AB168" i="13"/>
  <c r="AC168" i="13" s="1"/>
  <c r="AG168" i="13" s="1"/>
  <c r="S168" i="13"/>
  <c r="R168" i="13"/>
  <c r="V168" i="13" s="1"/>
  <c r="O168" i="13"/>
  <c r="J168" i="13"/>
  <c r="G168" i="13"/>
  <c r="AB167" i="13"/>
  <c r="AC167" i="13" s="1"/>
  <c r="AG167" i="13" s="1"/>
  <c r="S167" i="13"/>
  <c r="R167" i="13"/>
  <c r="V167" i="13" s="1"/>
  <c r="O167" i="13"/>
  <c r="J167" i="13"/>
  <c r="G167" i="13"/>
  <c r="AD167" i="13" s="1"/>
  <c r="AB166" i="13"/>
  <c r="AC166" i="13" s="1"/>
  <c r="AG166" i="13" s="1"/>
  <c r="S166" i="13"/>
  <c r="R166" i="13"/>
  <c r="V166" i="13" s="1"/>
  <c r="O166" i="13"/>
  <c r="J166" i="13"/>
  <c r="G166" i="13"/>
  <c r="AB165" i="13"/>
  <c r="AC165" i="13" s="1"/>
  <c r="AG165" i="13" s="1"/>
  <c r="S165" i="13"/>
  <c r="R165" i="13"/>
  <c r="V165" i="13" s="1"/>
  <c r="O165" i="13"/>
  <c r="J165" i="13"/>
  <c r="G165" i="13"/>
  <c r="M165" i="13" s="1"/>
  <c r="W165" i="13" s="1"/>
  <c r="AB164" i="13"/>
  <c r="AC164" i="13" s="1"/>
  <c r="AG164" i="13" s="1"/>
  <c r="S164" i="13"/>
  <c r="R164" i="13"/>
  <c r="V164" i="13" s="1"/>
  <c r="O164" i="13"/>
  <c r="J164" i="13"/>
  <c r="G164" i="13"/>
  <c r="AB163" i="13"/>
  <c r="AC163" i="13" s="1"/>
  <c r="AG163" i="13" s="1"/>
  <c r="S163" i="13"/>
  <c r="R163" i="13"/>
  <c r="V163" i="13" s="1"/>
  <c r="O163" i="13"/>
  <c r="J163" i="13"/>
  <c r="G163" i="13"/>
  <c r="M163" i="13" s="1"/>
  <c r="W163" i="13" s="1"/>
  <c r="AB162" i="13"/>
  <c r="AC162" i="13" s="1"/>
  <c r="AG162" i="13" s="1"/>
  <c r="S162" i="13"/>
  <c r="R162" i="13"/>
  <c r="V162" i="13" s="1"/>
  <c r="O162" i="13"/>
  <c r="J162" i="13"/>
  <c r="G162" i="13"/>
  <c r="AB161" i="13"/>
  <c r="AC161" i="13" s="1"/>
  <c r="AG161" i="13" s="1"/>
  <c r="S161" i="13"/>
  <c r="R161" i="13"/>
  <c r="V161" i="13" s="1"/>
  <c r="O161" i="13"/>
  <c r="J161" i="13"/>
  <c r="G161" i="13"/>
  <c r="M161" i="13" s="1"/>
  <c r="W161" i="13" s="1"/>
  <c r="AB160" i="13"/>
  <c r="AC160" i="13" s="1"/>
  <c r="AG160" i="13" s="1"/>
  <c r="S160" i="13"/>
  <c r="R160" i="13"/>
  <c r="V160" i="13" s="1"/>
  <c r="O160" i="13"/>
  <c r="J160" i="13"/>
  <c r="G160" i="13"/>
  <c r="AB159" i="13"/>
  <c r="AC159" i="13" s="1"/>
  <c r="AG159" i="13" s="1"/>
  <c r="S159" i="13"/>
  <c r="R159" i="13"/>
  <c r="V159" i="13" s="1"/>
  <c r="O159" i="13"/>
  <c r="J159" i="13"/>
  <c r="G159" i="13"/>
  <c r="M159" i="13" s="1"/>
  <c r="W159" i="13" s="1"/>
  <c r="AB158" i="13"/>
  <c r="AC158" i="13" s="1"/>
  <c r="AG158" i="13" s="1"/>
  <c r="S158" i="13"/>
  <c r="R158" i="13"/>
  <c r="V158" i="13" s="1"/>
  <c r="O158" i="13"/>
  <c r="J158" i="13"/>
  <c r="G158" i="13"/>
  <c r="AB157" i="13"/>
  <c r="AC157" i="13" s="1"/>
  <c r="AG157" i="13" s="1"/>
  <c r="S157" i="13"/>
  <c r="R157" i="13"/>
  <c r="V157" i="13" s="1"/>
  <c r="O157" i="13"/>
  <c r="J157" i="13"/>
  <c r="G157" i="13"/>
  <c r="M157" i="13" s="1"/>
  <c r="W157" i="13" s="1"/>
  <c r="AB156" i="13"/>
  <c r="AC156" i="13" s="1"/>
  <c r="AG156" i="13" s="1"/>
  <c r="S156" i="13"/>
  <c r="R156" i="13"/>
  <c r="V156" i="13" s="1"/>
  <c r="O156" i="13"/>
  <c r="J156" i="13"/>
  <c r="G156" i="13"/>
  <c r="AB155" i="13"/>
  <c r="AC155" i="13" s="1"/>
  <c r="AG155" i="13" s="1"/>
  <c r="S155" i="13"/>
  <c r="R155" i="13"/>
  <c r="V155" i="13" s="1"/>
  <c r="O155" i="13"/>
  <c r="J155" i="13"/>
  <c r="G155" i="13"/>
  <c r="M155" i="13" s="1"/>
  <c r="W155" i="13" s="1"/>
  <c r="AB154" i="13"/>
  <c r="AC154" i="13" s="1"/>
  <c r="AG154" i="13" s="1"/>
  <c r="S154" i="13"/>
  <c r="R154" i="13"/>
  <c r="V154" i="13" s="1"/>
  <c r="O154" i="13"/>
  <c r="J154" i="13"/>
  <c r="G154" i="13"/>
  <c r="AB153" i="13"/>
  <c r="AC153" i="13" s="1"/>
  <c r="AG153" i="13" s="1"/>
  <c r="S153" i="13"/>
  <c r="R153" i="13"/>
  <c r="V153" i="13" s="1"/>
  <c r="O153" i="13"/>
  <c r="J153" i="13"/>
  <c r="G153" i="13"/>
  <c r="AD153" i="13" s="1"/>
  <c r="AB152" i="13"/>
  <c r="AC152" i="13" s="1"/>
  <c r="AG152" i="13" s="1"/>
  <c r="S152" i="13"/>
  <c r="R152" i="13"/>
  <c r="V152" i="13" s="1"/>
  <c r="O152" i="13"/>
  <c r="J152" i="13"/>
  <c r="G152" i="13"/>
  <c r="AB151" i="13"/>
  <c r="AC151" i="13" s="1"/>
  <c r="AG151" i="13" s="1"/>
  <c r="S151" i="13"/>
  <c r="R151" i="13"/>
  <c r="V151" i="13" s="1"/>
  <c r="O151" i="13"/>
  <c r="J151" i="13"/>
  <c r="G151" i="13"/>
  <c r="AD151" i="13" s="1"/>
  <c r="AB150" i="13"/>
  <c r="AC150" i="13" s="1"/>
  <c r="AG150" i="13" s="1"/>
  <c r="S150" i="13"/>
  <c r="R150" i="13"/>
  <c r="V150" i="13" s="1"/>
  <c r="O150" i="13"/>
  <c r="J150" i="13"/>
  <c r="G150" i="13"/>
  <c r="AB149" i="13"/>
  <c r="AC149" i="13" s="1"/>
  <c r="AG149" i="13" s="1"/>
  <c r="S149" i="13"/>
  <c r="R149" i="13"/>
  <c r="V149" i="13" s="1"/>
  <c r="O149" i="13"/>
  <c r="J149" i="13"/>
  <c r="G149" i="13"/>
  <c r="AD149" i="13" s="1"/>
  <c r="AB148" i="13"/>
  <c r="AC148" i="13" s="1"/>
  <c r="AG148" i="13" s="1"/>
  <c r="S148" i="13"/>
  <c r="R148" i="13"/>
  <c r="V148" i="13" s="1"/>
  <c r="O148" i="13"/>
  <c r="J148" i="13"/>
  <c r="G148" i="13"/>
  <c r="AB147" i="13"/>
  <c r="AC147" i="13" s="1"/>
  <c r="AG147" i="13" s="1"/>
  <c r="S147" i="13"/>
  <c r="R147" i="13"/>
  <c r="V147" i="13" s="1"/>
  <c r="O147" i="13"/>
  <c r="J147" i="13"/>
  <c r="G147" i="13"/>
  <c r="AD147" i="13" s="1"/>
  <c r="AB146" i="13"/>
  <c r="AC146" i="13" s="1"/>
  <c r="AG146" i="13" s="1"/>
  <c r="S146" i="13"/>
  <c r="R146" i="13"/>
  <c r="V146" i="13" s="1"/>
  <c r="O146" i="13"/>
  <c r="J146" i="13"/>
  <c r="G146" i="13"/>
  <c r="AB145" i="13"/>
  <c r="AC145" i="13" s="1"/>
  <c r="AG145" i="13" s="1"/>
  <c r="S145" i="13"/>
  <c r="R145" i="13"/>
  <c r="V145" i="13" s="1"/>
  <c r="O145" i="13"/>
  <c r="J145" i="13"/>
  <c r="G145" i="13"/>
  <c r="AD145" i="13" s="1"/>
  <c r="AB144" i="13"/>
  <c r="AC144" i="13" s="1"/>
  <c r="AG144" i="13" s="1"/>
  <c r="S144" i="13"/>
  <c r="R144" i="13"/>
  <c r="V144" i="13" s="1"/>
  <c r="O144" i="13"/>
  <c r="P144" i="13" s="1"/>
  <c r="J144" i="13"/>
  <c r="G144" i="13"/>
  <c r="AB143" i="13"/>
  <c r="AC143" i="13" s="1"/>
  <c r="AG143" i="13" s="1"/>
  <c r="S143" i="13"/>
  <c r="R143" i="13"/>
  <c r="V143" i="13" s="1"/>
  <c r="O143" i="13"/>
  <c r="P143" i="13" s="1"/>
  <c r="J143" i="13"/>
  <c r="G143" i="13"/>
  <c r="AB142" i="13"/>
  <c r="AC142" i="13" s="1"/>
  <c r="AG142" i="13" s="1"/>
  <c r="S142" i="13"/>
  <c r="R142" i="13"/>
  <c r="V142" i="13" s="1"/>
  <c r="O142" i="13"/>
  <c r="J142" i="13"/>
  <c r="G142" i="13"/>
  <c r="M142" i="13" s="1"/>
  <c r="W142" i="13" s="1"/>
  <c r="AB141" i="13"/>
  <c r="AC141" i="13" s="1"/>
  <c r="AG141" i="13" s="1"/>
  <c r="S141" i="13"/>
  <c r="R141" i="13"/>
  <c r="V141" i="13" s="1"/>
  <c r="O141" i="13"/>
  <c r="P141" i="13" s="1"/>
  <c r="J141" i="13"/>
  <c r="G141" i="13"/>
  <c r="AB140" i="13"/>
  <c r="AC140" i="13" s="1"/>
  <c r="AG140" i="13" s="1"/>
  <c r="S140" i="13"/>
  <c r="R140" i="13"/>
  <c r="V140" i="13" s="1"/>
  <c r="O140" i="13"/>
  <c r="P140" i="13" s="1"/>
  <c r="J140" i="13"/>
  <c r="G140" i="13"/>
  <c r="AB139" i="13"/>
  <c r="AC139" i="13" s="1"/>
  <c r="AG139" i="13" s="1"/>
  <c r="S139" i="13"/>
  <c r="R139" i="13"/>
  <c r="V139" i="13" s="1"/>
  <c r="O139" i="13"/>
  <c r="P139" i="13" s="1"/>
  <c r="J139" i="13"/>
  <c r="G139" i="13"/>
  <c r="AB138" i="13"/>
  <c r="AC138" i="13" s="1"/>
  <c r="AG138" i="13" s="1"/>
  <c r="S138" i="13"/>
  <c r="R138" i="13"/>
  <c r="V138" i="13" s="1"/>
  <c r="O138" i="13"/>
  <c r="J138" i="13"/>
  <c r="G138" i="13"/>
  <c r="M138" i="13" s="1"/>
  <c r="W138" i="13" s="1"/>
  <c r="AB137" i="13"/>
  <c r="AC137" i="13" s="1"/>
  <c r="AG137" i="13" s="1"/>
  <c r="S137" i="13"/>
  <c r="R137" i="13"/>
  <c r="V137" i="13" s="1"/>
  <c r="O137" i="13"/>
  <c r="P137" i="13" s="1"/>
  <c r="J137" i="13"/>
  <c r="G137" i="13"/>
  <c r="AB136" i="13"/>
  <c r="AC136" i="13" s="1"/>
  <c r="AG136" i="13" s="1"/>
  <c r="S136" i="13"/>
  <c r="R136" i="13"/>
  <c r="V136" i="13" s="1"/>
  <c r="O136" i="13"/>
  <c r="P136" i="13" s="1"/>
  <c r="J136" i="13"/>
  <c r="G136" i="13"/>
  <c r="AB135" i="13"/>
  <c r="AC135" i="13" s="1"/>
  <c r="AG135" i="13" s="1"/>
  <c r="S135" i="13"/>
  <c r="R135" i="13"/>
  <c r="V135" i="13" s="1"/>
  <c r="O135" i="13"/>
  <c r="P135" i="13" s="1"/>
  <c r="J135" i="13"/>
  <c r="G135" i="13"/>
  <c r="AB134" i="13"/>
  <c r="AC134" i="13" s="1"/>
  <c r="AG134" i="13" s="1"/>
  <c r="S134" i="13"/>
  <c r="R134" i="13"/>
  <c r="V134" i="13" s="1"/>
  <c r="O134" i="13"/>
  <c r="J134" i="13"/>
  <c r="G134" i="13"/>
  <c r="M134" i="13" s="1"/>
  <c r="W134" i="13" s="1"/>
  <c r="AB133" i="13"/>
  <c r="AC133" i="13" s="1"/>
  <c r="AG133" i="13" s="1"/>
  <c r="S133" i="13"/>
  <c r="R133" i="13"/>
  <c r="V133" i="13" s="1"/>
  <c r="O133" i="13"/>
  <c r="P133" i="13" s="1"/>
  <c r="J133" i="13"/>
  <c r="G133" i="13"/>
  <c r="AB132" i="13"/>
  <c r="AC132" i="13" s="1"/>
  <c r="AG132" i="13" s="1"/>
  <c r="S132" i="13"/>
  <c r="R132" i="13"/>
  <c r="V132" i="13" s="1"/>
  <c r="O132" i="13"/>
  <c r="P132" i="13" s="1"/>
  <c r="J132" i="13"/>
  <c r="G132" i="13"/>
  <c r="AB131" i="13"/>
  <c r="AC131" i="13" s="1"/>
  <c r="AG131" i="13" s="1"/>
  <c r="S131" i="13"/>
  <c r="R131" i="13"/>
  <c r="V131" i="13" s="1"/>
  <c r="O131" i="13"/>
  <c r="P131" i="13" s="1"/>
  <c r="J131" i="13"/>
  <c r="G131" i="13"/>
  <c r="AB130" i="13"/>
  <c r="AC130" i="13" s="1"/>
  <c r="AG130" i="13" s="1"/>
  <c r="S130" i="13"/>
  <c r="R130" i="13"/>
  <c r="V130" i="13" s="1"/>
  <c r="O130" i="13"/>
  <c r="P130" i="13" s="1"/>
  <c r="J130" i="13"/>
  <c r="G130" i="13"/>
  <c r="M130" i="13" s="1"/>
  <c r="W130" i="13" s="1"/>
  <c r="AB129" i="13"/>
  <c r="AC129" i="13" s="1"/>
  <c r="AG129" i="13" s="1"/>
  <c r="S129" i="13"/>
  <c r="R129" i="13"/>
  <c r="V129" i="13" s="1"/>
  <c r="O129" i="13"/>
  <c r="P129" i="13" s="1"/>
  <c r="J129" i="13"/>
  <c r="G129" i="13"/>
  <c r="AB128" i="13"/>
  <c r="AC128" i="13" s="1"/>
  <c r="AG128" i="13" s="1"/>
  <c r="S128" i="13"/>
  <c r="R128" i="13"/>
  <c r="V128" i="13" s="1"/>
  <c r="O128" i="13"/>
  <c r="J128" i="13"/>
  <c r="G128" i="13"/>
  <c r="AB127" i="13"/>
  <c r="AC127" i="13" s="1"/>
  <c r="AG127" i="13" s="1"/>
  <c r="S127" i="13"/>
  <c r="R127" i="13"/>
  <c r="V127" i="13" s="1"/>
  <c r="O127" i="13"/>
  <c r="P127" i="13" s="1"/>
  <c r="J127" i="13"/>
  <c r="G127" i="13"/>
  <c r="AB126" i="13"/>
  <c r="AC126" i="13" s="1"/>
  <c r="AG126" i="13" s="1"/>
  <c r="S126" i="13"/>
  <c r="R126" i="13"/>
  <c r="V126" i="13" s="1"/>
  <c r="O126" i="13"/>
  <c r="P126" i="13" s="1"/>
  <c r="J126" i="13"/>
  <c r="G126" i="13"/>
  <c r="AB125" i="13"/>
  <c r="AC125" i="13" s="1"/>
  <c r="AG125" i="13" s="1"/>
  <c r="S125" i="13"/>
  <c r="R125" i="13"/>
  <c r="V125" i="13" s="1"/>
  <c r="O125" i="13"/>
  <c r="P125" i="13" s="1"/>
  <c r="J125" i="13"/>
  <c r="G125" i="13"/>
  <c r="M125" i="13" s="1"/>
  <c r="W125" i="13" s="1"/>
  <c r="AB124" i="13"/>
  <c r="AC124" i="13" s="1"/>
  <c r="AG124" i="13" s="1"/>
  <c r="S124" i="13"/>
  <c r="R124" i="13"/>
  <c r="V124" i="13" s="1"/>
  <c r="O124" i="13"/>
  <c r="J124" i="13"/>
  <c r="G124" i="13"/>
  <c r="AB123" i="13"/>
  <c r="AC123" i="13" s="1"/>
  <c r="AG123" i="13" s="1"/>
  <c r="S123" i="13"/>
  <c r="R123" i="13"/>
  <c r="V123" i="13" s="1"/>
  <c r="O123" i="13"/>
  <c r="P123" i="13" s="1"/>
  <c r="J123" i="13"/>
  <c r="G123" i="13"/>
  <c r="AD123" i="13" s="1"/>
  <c r="AB122" i="13"/>
  <c r="AC122" i="13" s="1"/>
  <c r="AG122" i="13" s="1"/>
  <c r="S122" i="13"/>
  <c r="R122" i="13"/>
  <c r="V122" i="13" s="1"/>
  <c r="O122" i="13"/>
  <c r="P122" i="13" s="1"/>
  <c r="J122" i="13"/>
  <c r="G122" i="13"/>
  <c r="AB121" i="13"/>
  <c r="AC121" i="13" s="1"/>
  <c r="AG121" i="13" s="1"/>
  <c r="S121" i="13"/>
  <c r="R121" i="13"/>
  <c r="V121" i="13" s="1"/>
  <c r="O121" i="13"/>
  <c r="P121" i="13" s="1"/>
  <c r="J121" i="13"/>
  <c r="G121" i="13"/>
  <c r="AD121" i="13" s="1"/>
  <c r="AB120" i="13"/>
  <c r="AC120" i="13" s="1"/>
  <c r="AG120" i="13" s="1"/>
  <c r="S120" i="13"/>
  <c r="R120" i="13"/>
  <c r="V120" i="13" s="1"/>
  <c r="O120" i="13"/>
  <c r="J120" i="13"/>
  <c r="G120" i="13"/>
  <c r="AB119" i="13"/>
  <c r="AC119" i="13" s="1"/>
  <c r="AG119" i="13" s="1"/>
  <c r="S119" i="13"/>
  <c r="R119" i="13"/>
  <c r="V119" i="13" s="1"/>
  <c r="O119" i="13"/>
  <c r="P119" i="13" s="1"/>
  <c r="J119" i="13"/>
  <c r="G119" i="13"/>
  <c r="AD119" i="13" s="1"/>
  <c r="AB118" i="13"/>
  <c r="AC118" i="13" s="1"/>
  <c r="AG118" i="13" s="1"/>
  <c r="S118" i="13"/>
  <c r="R118" i="13"/>
  <c r="V118" i="13" s="1"/>
  <c r="O118" i="13"/>
  <c r="P118" i="13" s="1"/>
  <c r="J118" i="13"/>
  <c r="G118" i="13"/>
  <c r="AB117" i="13"/>
  <c r="AC117" i="13" s="1"/>
  <c r="AG117" i="13" s="1"/>
  <c r="S117" i="13"/>
  <c r="R117" i="13"/>
  <c r="V117" i="13" s="1"/>
  <c r="O117" i="13"/>
  <c r="P117" i="13" s="1"/>
  <c r="J117" i="13"/>
  <c r="G117" i="13"/>
  <c r="AD117" i="13" s="1"/>
  <c r="AB116" i="13"/>
  <c r="AC116" i="13" s="1"/>
  <c r="AG116" i="13" s="1"/>
  <c r="S116" i="13"/>
  <c r="R116" i="13"/>
  <c r="V116" i="13" s="1"/>
  <c r="O116" i="13"/>
  <c r="J116" i="13"/>
  <c r="G116" i="13"/>
  <c r="AB115" i="13"/>
  <c r="AC115" i="13" s="1"/>
  <c r="AG115" i="13" s="1"/>
  <c r="S115" i="13"/>
  <c r="R115" i="13"/>
  <c r="V115" i="13" s="1"/>
  <c r="O115" i="13"/>
  <c r="P115" i="13" s="1"/>
  <c r="J115" i="13"/>
  <c r="G115" i="13"/>
  <c r="AB114" i="13"/>
  <c r="AC114" i="13" s="1"/>
  <c r="AG114" i="13" s="1"/>
  <c r="S114" i="13"/>
  <c r="R114" i="13"/>
  <c r="V114" i="13" s="1"/>
  <c r="O114" i="13"/>
  <c r="P114" i="13" s="1"/>
  <c r="J114" i="13"/>
  <c r="G114" i="13"/>
  <c r="AD114" i="13" s="1"/>
  <c r="AB113" i="13"/>
  <c r="AC113" i="13" s="1"/>
  <c r="AG113" i="13" s="1"/>
  <c r="S113" i="13"/>
  <c r="R113" i="13"/>
  <c r="V113" i="13" s="1"/>
  <c r="O113" i="13"/>
  <c r="J113" i="13"/>
  <c r="G113" i="13"/>
  <c r="M113" i="13" s="1"/>
  <c r="W113" i="13" s="1"/>
  <c r="AB112" i="13"/>
  <c r="AC112" i="13" s="1"/>
  <c r="AG112" i="13" s="1"/>
  <c r="S112" i="13"/>
  <c r="R112" i="13"/>
  <c r="V112" i="13" s="1"/>
  <c r="O112" i="13"/>
  <c r="P112" i="13" s="1"/>
  <c r="J112" i="13"/>
  <c r="G112" i="13"/>
  <c r="AD112" i="13" s="1"/>
  <c r="AB111" i="13"/>
  <c r="AC111" i="13" s="1"/>
  <c r="AG111" i="13" s="1"/>
  <c r="S111" i="13"/>
  <c r="R111" i="13"/>
  <c r="V111" i="13" s="1"/>
  <c r="O111" i="13"/>
  <c r="J111" i="13"/>
  <c r="G111" i="13"/>
  <c r="M111" i="13" s="1"/>
  <c r="W111" i="13" s="1"/>
  <c r="AB110" i="13"/>
  <c r="AC110" i="13" s="1"/>
  <c r="AG110" i="13" s="1"/>
  <c r="S110" i="13"/>
  <c r="R110" i="13"/>
  <c r="V110" i="13" s="1"/>
  <c r="O110" i="13"/>
  <c r="P110" i="13" s="1"/>
  <c r="J110" i="13"/>
  <c r="G110" i="13"/>
  <c r="AD110" i="13" s="1"/>
  <c r="AB109" i="13"/>
  <c r="AC109" i="13" s="1"/>
  <c r="AG109" i="13" s="1"/>
  <c r="S109" i="13"/>
  <c r="R109" i="13"/>
  <c r="V109" i="13" s="1"/>
  <c r="O109" i="13"/>
  <c r="P109" i="13" s="1"/>
  <c r="J109" i="13"/>
  <c r="G109" i="13"/>
  <c r="M109" i="13" s="1"/>
  <c r="W109" i="13" s="1"/>
  <c r="AB108" i="13"/>
  <c r="AC108" i="13" s="1"/>
  <c r="AG108" i="13" s="1"/>
  <c r="S108" i="13"/>
  <c r="R108" i="13"/>
  <c r="V108" i="13" s="1"/>
  <c r="O108" i="13"/>
  <c r="P108" i="13" s="1"/>
  <c r="J108" i="13"/>
  <c r="G108" i="13"/>
  <c r="AD108" i="13" s="1"/>
  <c r="AB107" i="13"/>
  <c r="AC107" i="13" s="1"/>
  <c r="AG107" i="13" s="1"/>
  <c r="S107" i="13"/>
  <c r="R107" i="13"/>
  <c r="V107" i="13" s="1"/>
  <c r="O107" i="13"/>
  <c r="J107" i="13"/>
  <c r="G107" i="13"/>
  <c r="M107" i="13" s="1"/>
  <c r="W107" i="13" s="1"/>
  <c r="AB106" i="13"/>
  <c r="AC106" i="13" s="1"/>
  <c r="AG106" i="13" s="1"/>
  <c r="S106" i="13"/>
  <c r="R106" i="13"/>
  <c r="V106" i="13" s="1"/>
  <c r="O106" i="13"/>
  <c r="P106" i="13" s="1"/>
  <c r="J106" i="13"/>
  <c r="G106" i="13"/>
  <c r="AD106" i="13" s="1"/>
  <c r="AB105" i="13"/>
  <c r="AC105" i="13" s="1"/>
  <c r="AG105" i="13" s="1"/>
  <c r="S105" i="13"/>
  <c r="R105" i="13"/>
  <c r="V105" i="13" s="1"/>
  <c r="O105" i="13"/>
  <c r="P105" i="13" s="1"/>
  <c r="J105" i="13"/>
  <c r="G105" i="13"/>
  <c r="M105" i="13" s="1"/>
  <c r="W105" i="13" s="1"/>
  <c r="AB104" i="13"/>
  <c r="AC104" i="13" s="1"/>
  <c r="AG104" i="13" s="1"/>
  <c r="S104" i="13"/>
  <c r="R104" i="13"/>
  <c r="V104" i="13" s="1"/>
  <c r="O104" i="13"/>
  <c r="P104" i="13" s="1"/>
  <c r="J104" i="13"/>
  <c r="G104" i="13"/>
  <c r="AD104" i="13" s="1"/>
  <c r="AB103" i="13"/>
  <c r="AC103" i="13" s="1"/>
  <c r="AG103" i="13" s="1"/>
  <c r="S103" i="13"/>
  <c r="R103" i="13"/>
  <c r="V103" i="13" s="1"/>
  <c r="O103" i="13"/>
  <c r="P103" i="13" s="1"/>
  <c r="J103" i="13"/>
  <c r="G103" i="13"/>
  <c r="M103" i="13" s="1"/>
  <c r="W103" i="13" s="1"/>
  <c r="AB102" i="13"/>
  <c r="AC102" i="13" s="1"/>
  <c r="AG102" i="13" s="1"/>
  <c r="S102" i="13"/>
  <c r="R102" i="13"/>
  <c r="V102" i="13" s="1"/>
  <c r="O102" i="13"/>
  <c r="P102" i="13" s="1"/>
  <c r="J102" i="13"/>
  <c r="G102" i="13"/>
  <c r="AD102" i="13" s="1"/>
  <c r="AB101" i="13"/>
  <c r="AC101" i="13" s="1"/>
  <c r="AG101" i="13" s="1"/>
  <c r="S101" i="13"/>
  <c r="R101" i="13"/>
  <c r="V101" i="13" s="1"/>
  <c r="O101" i="13"/>
  <c r="P101" i="13" s="1"/>
  <c r="J101" i="13"/>
  <c r="G101" i="13"/>
  <c r="M101" i="13" s="1"/>
  <c r="W101" i="13" s="1"/>
  <c r="AB100" i="13"/>
  <c r="AC100" i="13" s="1"/>
  <c r="AG100" i="13" s="1"/>
  <c r="S100" i="13"/>
  <c r="R100" i="13"/>
  <c r="V100" i="13" s="1"/>
  <c r="O100" i="13"/>
  <c r="P100" i="13" s="1"/>
  <c r="J100" i="13"/>
  <c r="G100" i="13"/>
  <c r="AD100" i="13" s="1"/>
  <c r="AB99" i="13"/>
  <c r="AC99" i="13" s="1"/>
  <c r="AG99" i="13" s="1"/>
  <c r="S99" i="13"/>
  <c r="R99" i="13"/>
  <c r="V99" i="13" s="1"/>
  <c r="O99" i="13"/>
  <c r="J99" i="13"/>
  <c r="G99" i="13"/>
  <c r="M99" i="13" s="1"/>
  <c r="W99" i="13" s="1"/>
  <c r="AB98" i="13"/>
  <c r="AC98" i="13" s="1"/>
  <c r="AG98" i="13" s="1"/>
  <c r="S98" i="13"/>
  <c r="R98" i="13"/>
  <c r="V98" i="13" s="1"/>
  <c r="O98" i="13"/>
  <c r="P98" i="13" s="1"/>
  <c r="J98" i="13"/>
  <c r="G98" i="13"/>
  <c r="AD98" i="13" s="1"/>
  <c r="AB97" i="13"/>
  <c r="AC97" i="13" s="1"/>
  <c r="AG97" i="13" s="1"/>
  <c r="S97" i="13"/>
  <c r="R97" i="13"/>
  <c r="V97" i="13" s="1"/>
  <c r="O97" i="13"/>
  <c r="P97" i="13" s="1"/>
  <c r="J97" i="13"/>
  <c r="G97" i="13"/>
  <c r="M97" i="13" s="1"/>
  <c r="W97" i="13" s="1"/>
  <c r="AB96" i="13"/>
  <c r="AC96" i="13" s="1"/>
  <c r="AG96" i="13" s="1"/>
  <c r="S96" i="13"/>
  <c r="R96" i="13"/>
  <c r="V96" i="13" s="1"/>
  <c r="O96" i="13"/>
  <c r="P96" i="13" s="1"/>
  <c r="J96" i="13"/>
  <c r="G96" i="13"/>
  <c r="AD96" i="13" s="1"/>
  <c r="AB95" i="13"/>
  <c r="AC95" i="13" s="1"/>
  <c r="AG95" i="13" s="1"/>
  <c r="S95" i="13"/>
  <c r="R95" i="13"/>
  <c r="V95" i="13" s="1"/>
  <c r="O95" i="13"/>
  <c r="J95" i="13"/>
  <c r="G95" i="13"/>
  <c r="M95" i="13" s="1"/>
  <c r="W95" i="13" s="1"/>
  <c r="AB94" i="13"/>
  <c r="AC94" i="13" s="1"/>
  <c r="AG94" i="13" s="1"/>
  <c r="S94" i="13"/>
  <c r="R94" i="13"/>
  <c r="V94" i="13" s="1"/>
  <c r="O94" i="13"/>
  <c r="P94" i="13" s="1"/>
  <c r="J94" i="13"/>
  <c r="G94" i="13"/>
  <c r="AD94" i="13" s="1"/>
  <c r="AB93" i="13"/>
  <c r="AC93" i="13" s="1"/>
  <c r="AG93" i="13" s="1"/>
  <c r="S93" i="13"/>
  <c r="R93" i="13"/>
  <c r="V93" i="13" s="1"/>
  <c r="O93" i="13"/>
  <c r="P93" i="13" s="1"/>
  <c r="J93" i="13"/>
  <c r="G93" i="13"/>
  <c r="M93" i="13" s="1"/>
  <c r="W93" i="13" s="1"/>
  <c r="AB92" i="13"/>
  <c r="AC92" i="13" s="1"/>
  <c r="AG92" i="13" s="1"/>
  <c r="S92" i="13"/>
  <c r="R92" i="13"/>
  <c r="V92" i="13" s="1"/>
  <c r="O92" i="13"/>
  <c r="P92" i="13" s="1"/>
  <c r="J92" i="13"/>
  <c r="G92" i="13"/>
  <c r="AD92" i="13" s="1"/>
  <c r="AB91" i="13"/>
  <c r="AC91" i="13" s="1"/>
  <c r="AG91" i="13" s="1"/>
  <c r="S91" i="13"/>
  <c r="R91" i="13"/>
  <c r="V91" i="13" s="1"/>
  <c r="O91" i="13"/>
  <c r="J91" i="13"/>
  <c r="G91" i="13"/>
  <c r="M91" i="13" s="1"/>
  <c r="W91" i="13" s="1"/>
  <c r="AB90" i="13"/>
  <c r="AC90" i="13" s="1"/>
  <c r="AG90" i="13" s="1"/>
  <c r="S90" i="13"/>
  <c r="R90" i="13"/>
  <c r="V90" i="13" s="1"/>
  <c r="O90" i="13"/>
  <c r="P90" i="13" s="1"/>
  <c r="J90" i="13"/>
  <c r="G90" i="13"/>
  <c r="AD90" i="13" s="1"/>
  <c r="AB89" i="13"/>
  <c r="AC89" i="13" s="1"/>
  <c r="AG89" i="13" s="1"/>
  <c r="S89" i="13"/>
  <c r="R89" i="13"/>
  <c r="V89" i="13" s="1"/>
  <c r="O89" i="13"/>
  <c r="P89" i="13" s="1"/>
  <c r="J89" i="13"/>
  <c r="G89" i="13"/>
  <c r="M89" i="13" s="1"/>
  <c r="W89" i="13" s="1"/>
  <c r="AB88" i="13"/>
  <c r="AC88" i="13" s="1"/>
  <c r="AG88" i="13" s="1"/>
  <c r="S88" i="13"/>
  <c r="R88" i="13"/>
  <c r="V88" i="13" s="1"/>
  <c r="O88" i="13"/>
  <c r="P88" i="13" s="1"/>
  <c r="J88" i="13"/>
  <c r="G88" i="13"/>
  <c r="AD88" i="13" s="1"/>
  <c r="AB87" i="13"/>
  <c r="AC87" i="13" s="1"/>
  <c r="AG87" i="13" s="1"/>
  <c r="S87" i="13"/>
  <c r="R87" i="13"/>
  <c r="V87" i="13" s="1"/>
  <c r="O87" i="13"/>
  <c r="P87" i="13" s="1"/>
  <c r="J87" i="13"/>
  <c r="G87" i="13"/>
  <c r="M87" i="13" s="1"/>
  <c r="W87" i="13" s="1"/>
  <c r="AB86" i="13"/>
  <c r="AC86" i="13" s="1"/>
  <c r="AG86" i="13" s="1"/>
  <c r="S86" i="13"/>
  <c r="R86" i="13"/>
  <c r="V86" i="13" s="1"/>
  <c r="O86" i="13"/>
  <c r="P86" i="13" s="1"/>
  <c r="J86" i="13"/>
  <c r="G86" i="13"/>
  <c r="AD86" i="13" s="1"/>
  <c r="AB85" i="13"/>
  <c r="AC85" i="13" s="1"/>
  <c r="AG85" i="13" s="1"/>
  <c r="S85" i="13"/>
  <c r="R85" i="13"/>
  <c r="V85" i="13" s="1"/>
  <c r="O85" i="13"/>
  <c r="P85" i="13" s="1"/>
  <c r="J85" i="13"/>
  <c r="G85" i="13"/>
  <c r="M85" i="13" s="1"/>
  <c r="W85" i="13" s="1"/>
  <c r="AB84" i="13"/>
  <c r="AC84" i="13" s="1"/>
  <c r="AG84" i="13" s="1"/>
  <c r="S84" i="13"/>
  <c r="R84" i="13"/>
  <c r="V84" i="13" s="1"/>
  <c r="O84" i="13"/>
  <c r="P84" i="13" s="1"/>
  <c r="J84" i="13"/>
  <c r="G84" i="13"/>
  <c r="AD84" i="13" s="1"/>
  <c r="AB83" i="13"/>
  <c r="AC83" i="13" s="1"/>
  <c r="AG83" i="13" s="1"/>
  <c r="S83" i="13"/>
  <c r="R83" i="13"/>
  <c r="V83" i="13" s="1"/>
  <c r="O83" i="13"/>
  <c r="J83" i="13"/>
  <c r="G83" i="13"/>
  <c r="M83" i="13" s="1"/>
  <c r="W83" i="13" s="1"/>
  <c r="AB82" i="13"/>
  <c r="AC82" i="13" s="1"/>
  <c r="AG82" i="13" s="1"/>
  <c r="S82" i="13"/>
  <c r="R82" i="13"/>
  <c r="V82" i="13" s="1"/>
  <c r="O82" i="13"/>
  <c r="P82" i="13" s="1"/>
  <c r="J82" i="13"/>
  <c r="G82" i="13"/>
  <c r="AD82" i="13" s="1"/>
  <c r="AB81" i="13"/>
  <c r="AC81" i="13" s="1"/>
  <c r="AG81" i="13" s="1"/>
  <c r="S81" i="13"/>
  <c r="R81" i="13"/>
  <c r="V81" i="13" s="1"/>
  <c r="O81" i="13"/>
  <c r="P81" i="13" s="1"/>
  <c r="J81" i="13"/>
  <c r="G81" i="13"/>
  <c r="M81" i="13" s="1"/>
  <c r="W81" i="13" s="1"/>
  <c r="AB80" i="13"/>
  <c r="AC80" i="13" s="1"/>
  <c r="AG80" i="13" s="1"/>
  <c r="S80" i="13"/>
  <c r="R80" i="13"/>
  <c r="V80" i="13" s="1"/>
  <c r="O80" i="13"/>
  <c r="P80" i="13" s="1"/>
  <c r="J80" i="13"/>
  <c r="G80" i="13"/>
  <c r="AD80" i="13" s="1"/>
  <c r="AB79" i="13"/>
  <c r="AC79" i="13" s="1"/>
  <c r="AG79" i="13" s="1"/>
  <c r="S79" i="13"/>
  <c r="R79" i="13"/>
  <c r="V79" i="13" s="1"/>
  <c r="O79" i="13"/>
  <c r="P79" i="13" s="1"/>
  <c r="J79" i="13"/>
  <c r="G79" i="13"/>
  <c r="M79" i="13" s="1"/>
  <c r="W79" i="13" s="1"/>
  <c r="AB78" i="13"/>
  <c r="AC78" i="13" s="1"/>
  <c r="AG78" i="13" s="1"/>
  <c r="S78" i="13"/>
  <c r="R78" i="13"/>
  <c r="V78" i="13" s="1"/>
  <c r="O78" i="13"/>
  <c r="P78" i="13" s="1"/>
  <c r="J78" i="13"/>
  <c r="G78" i="13"/>
  <c r="AD78" i="13" s="1"/>
  <c r="AB77" i="13"/>
  <c r="AC77" i="13" s="1"/>
  <c r="AG77" i="13" s="1"/>
  <c r="S77" i="13"/>
  <c r="R77" i="13"/>
  <c r="V77" i="13" s="1"/>
  <c r="O77" i="13"/>
  <c r="P77" i="13" s="1"/>
  <c r="J77" i="13"/>
  <c r="G77" i="13"/>
  <c r="M77" i="13" s="1"/>
  <c r="W77" i="13" s="1"/>
  <c r="AB76" i="13"/>
  <c r="AC76" i="13" s="1"/>
  <c r="AG76" i="13" s="1"/>
  <c r="S76" i="13"/>
  <c r="R76" i="13"/>
  <c r="V76" i="13" s="1"/>
  <c r="O76" i="13"/>
  <c r="P76" i="13" s="1"/>
  <c r="J76" i="13"/>
  <c r="G76" i="13"/>
  <c r="AD76" i="13" s="1"/>
  <c r="AB75" i="13"/>
  <c r="AC75" i="13" s="1"/>
  <c r="AG75" i="13" s="1"/>
  <c r="S75" i="13"/>
  <c r="R75" i="13"/>
  <c r="V75" i="13" s="1"/>
  <c r="O75" i="13"/>
  <c r="J75" i="13"/>
  <c r="G75" i="13"/>
  <c r="M75" i="13" s="1"/>
  <c r="W75" i="13" s="1"/>
  <c r="AB74" i="13"/>
  <c r="AC74" i="13" s="1"/>
  <c r="AG74" i="13" s="1"/>
  <c r="S74" i="13"/>
  <c r="R74" i="13"/>
  <c r="V74" i="13" s="1"/>
  <c r="O74" i="13"/>
  <c r="P74" i="13" s="1"/>
  <c r="J74" i="13"/>
  <c r="G74" i="13"/>
  <c r="AD74" i="13" s="1"/>
  <c r="AB73" i="13"/>
  <c r="AC73" i="13" s="1"/>
  <c r="AG73" i="13" s="1"/>
  <c r="S73" i="13"/>
  <c r="R73" i="13"/>
  <c r="V73" i="13" s="1"/>
  <c r="O73" i="13"/>
  <c r="P73" i="13" s="1"/>
  <c r="J73" i="13"/>
  <c r="G73" i="13"/>
  <c r="M73" i="13" s="1"/>
  <c r="W73" i="13" s="1"/>
  <c r="AB72" i="13"/>
  <c r="AC72" i="13" s="1"/>
  <c r="AG72" i="13" s="1"/>
  <c r="S72" i="13"/>
  <c r="R72" i="13"/>
  <c r="V72" i="13" s="1"/>
  <c r="O72" i="13"/>
  <c r="P72" i="13" s="1"/>
  <c r="J72" i="13"/>
  <c r="G72" i="13"/>
  <c r="AD72" i="13" s="1"/>
  <c r="AB71" i="13"/>
  <c r="AC71" i="13" s="1"/>
  <c r="AG71" i="13" s="1"/>
  <c r="S71" i="13"/>
  <c r="R71" i="13"/>
  <c r="V71" i="13" s="1"/>
  <c r="O71" i="13"/>
  <c r="J71" i="13"/>
  <c r="G71" i="13"/>
  <c r="M71" i="13" s="1"/>
  <c r="W71" i="13" s="1"/>
  <c r="AB70" i="13"/>
  <c r="AC70" i="13" s="1"/>
  <c r="AG70" i="13" s="1"/>
  <c r="S70" i="13"/>
  <c r="R70" i="13"/>
  <c r="V70" i="13" s="1"/>
  <c r="O70" i="13"/>
  <c r="P70" i="13" s="1"/>
  <c r="J70" i="13"/>
  <c r="G70" i="13"/>
  <c r="AD70" i="13" s="1"/>
  <c r="AB69" i="13"/>
  <c r="AC69" i="13" s="1"/>
  <c r="AG69" i="13" s="1"/>
  <c r="S69" i="13"/>
  <c r="R69" i="13"/>
  <c r="V69" i="13" s="1"/>
  <c r="O69" i="13"/>
  <c r="P69" i="13" s="1"/>
  <c r="J69" i="13"/>
  <c r="G69" i="13"/>
  <c r="M69" i="13" s="1"/>
  <c r="W69" i="13" s="1"/>
  <c r="AB68" i="13"/>
  <c r="AC68" i="13" s="1"/>
  <c r="AG68" i="13" s="1"/>
  <c r="S68" i="13"/>
  <c r="R68" i="13"/>
  <c r="V68" i="13" s="1"/>
  <c r="O68" i="13"/>
  <c r="P68" i="13" s="1"/>
  <c r="J68" i="13"/>
  <c r="G68" i="13"/>
  <c r="AD68" i="13" s="1"/>
  <c r="AB67" i="13"/>
  <c r="AC67" i="13" s="1"/>
  <c r="AG67" i="13" s="1"/>
  <c r="S67" i="13"/>
  <c r="R67" i="13"/>
  <c r="V67" i="13" s="1"/>
  <c r="O67" i="13"/>
  <c r="J67" i="13"/>
  <c r="G67" i="13"/>
  <c r="M67" i="13" s="1"/>
  <c r="W67" i="13" s="1"/>
  <c r="AB66" i="13"/>
  <c r="AC66" i="13" s="1"/>
  <c r="AG66" i="13" s="1"/>
  <c r="S66" i="13"/>
  <c r="R66" i="13"/>
  <c r="V66" i="13" s="1"/>
  <c r="O66" i="13"/>
  <c r="P66" i="13" s="1"/>
  <c r="J66" i="13"/>
  <c r="G66" i="13"/>
  <c r="AD66" i="13" s="1"/>
  <c r="AB65" i="13"/>
  <c r="AC65" i="13" s="1"/>
  <c r="AG65" i="13" s="1"/>
  <c r="S65" i="13"/>
  <c r="R65" i="13"/>
  <c r="V65" i="13" s="1"/>
  <c r="O65" i="13"/>
  <c r="P65" i="13" s="1"/>
  <c r="J65" i="13"/>
  <c r="G65" i="13"/>
  <c r="M65" i="13" s="1"/>
  <c r="W65" i="13" s="1"/>
  <c r="AB64" i="13"/>
  <c r="AC64" i="13" s="1"/>
  <c r="AG64" i="13" s="1"/>
  <c r="S64" i="13"/>
  <c r="R64" i="13"/>
  <c r="V64" i="13" s="1"/>
  <c r="O64" i="13"/>
  <c r="P64" i="13" s="1"/>
  <c r="J64" i="13"/>
  <c r="G64" i="13"/>
  <c r="AD64" i="13" s="1"/>
  <c r="AB63" i="13"/>
  <c r="AC63" i="13" s="1"/>
  <c r="AG63" i="13" s="1"/>
  <c r="S63" i="13"/>
  <c r="R63" i="13"/>
  <c r="V63" i="13" s="1"/>
  <c r="O63" i="13"/>
  <c r="J63" i="13"/>
  <c r="G63" i="13"/>
  <c r="M63" i="13" s="1"/>
  <c r="W63" i="13" s="1"/>
  <c r="AB62" i="13"/>
  <c r="AC62" i="13" s="1"/>
  <c r="AG62" i="13" s="1"/>
  <c r="S62" i="13"/>
  <c r="R62" i="13"/>
  <c r="V62" i="13" s="1"/>
  <c r="O62" i="13"/>
  <c r="P62" i="13" s="1"/>
  <c r="J62" i="13"/>
  <c r="G62" i="13"/>
  <c r="AD62" i="13" s="1"/>
  <c r="AB61" i="13"/>
  <c r="AC61" i="13" s="1"/>
  <c r="AG61" i="13" s="1"/>
  <c r="S61" i="13"/>
  <c r="R61" i="13"/>
  <c r="V61" i="13" s="1"/>
  <c r="O61" i="13"/>
  <c r="P61" i="13" s="1"/>
  <c r="J61" i="13"/>
  <c r="G61" i="13"/>
  <c r="M61" i="13" s="1"/>
  <c r="W61" i="13" s="1"/>
  <c r="AB60" i="13"/>
  <c r="AC60" i="13" s="1"/>
  <c r="AG60" i="13" s="1"/>
  <c r="S60" i="13"/>
  <c r="R60" i="13"/>
  <c r="V60" i="13" s="1"/>
  <c r="O60" i="13"/>
  <c r="P60" i="13" s="1"/>
  <c r="J60" i="13"/>
  <c r="G60" i="13"/>
  <c r="AD60" i="13" s="1"/>
  <c r="AB59" i="13"/>
  <c r="AC59" i="13" s="1"/>
  <c r="AG59" i="13" s="1"/>
  <c r="S59" i="13"/>
  <c r="R59" i="13"/>
  <c r="V59" i="13" s="1"/>
  <c r="O59" i="13"/>
  <c r="J59" i="13"/>
  <c r="G59" i="13"/>
  <c r="M59" i="13" s="1"/>
  <c r="W59" i="13" s="1"/>
  <c r="AB58" i="13"/>
  <c r="AC58" i="13" s="1"/>
  <c r="AG58" i="13" s="1"/>
  <c r="S58" i="13"/>
  <c r="R58" i="13"/>
  <c r="V58" i="13" s="1"/>
  <c r="O58" i="13"/>
  <c r="P58" i="13" s="1"/>
  <c r="J58" i="13"/>
  <c r="G58" i="13"/>
  <c r="AD58" i="13" s="1"/>
  <c r="AB57" i="13"/>
  <c r="AC57" i="13" s="1"/>
  <c r="AG57" i="13" s="1"/>
  <c r="S57" i="13"/>
  <c r="R57" i="13"/>
  <c r="V57" i="13" s="1"/>
  <c r="O57" i="13"/>
  <c r="P57" i="13" s="1"/>
  <c r="J57" i="13"/>
  <c r="G57" i="13"/>
  <c r="M57" i="13" s="1"/>
  <c r="W57" i="13" s="1"/>
  <c r="AB56" i="13"/>
  <c r="AC56" i="13" s="1"/>
  <c r="AG56" i="13" s="1"/>
  <c r="S56" i="13"/>
  <c r="R56" i="13"/>
  <c r="V56" i="13" s="1"/>
  <c r="O56" i="13"/>
  <c r="P56" i="13" s="1"/>
  <c r="J56" i="13"/>
  <c r="G56" i="13"/>
  <c r="AD56" i="13" s="1"/>
  <c r="AB55" i="13"/>
  <c r="AC55" i="13" s="1"/>
  <c r="AG55" i="13" s="1"/>
  <c r="S55" i="13"/>
  <c r="R55" i="13"/>
  <c r="V55" i="13" s="1"/>
  <c r="O55" i="13"/>
  <c r="J55" i="13"/>
  <c r="G55" i="13"/>
  <c r="M55" i="13" s="1"/>
  <c r="W55" i="13" s="1"/>
  <c r="AB54" i="13"/>
  <c r="AC54" i="13" s="1"/>
  <c r="AG54" i="13" s="1"/>
  <c r="S54" i="13"/>
  <c r="R54" i="13"/>
  <c r="V54" i="13" s="1"/>
  <c r="O54" i="13"/>
  <c r="P54" i="13" s="1"/>
  <c r="J54" i="13"/>
  <c r="G54" i="13"/>
  <c r="AD54" i="13" s="1"/>
  <c r="AB53" i="13"/>
  <c r="AC53" i="13" s="1"/>
  <c r="AG53" i="13" s="1"/>
  <c r="S53" i="13"/>
  <c r="R53" i="13"/>
  <c r="V53" i="13" s="1"/>
  <c r="O53" i="13"/>
  <c r="P53" i="13" s="1"/>
  <c r="J53" i="13"/>
  <c r="G53" i="13"/>
  <c r="M53" i="13" s="1"/>
  <c r="W53" i="13" s="1"/>
  <c r="AB52" i="13"/>
  <c r="AC52" i="13" s="1"/>
  <c r="AG52" i="13" s="1"/>
  <c r="S52" i="13"/>
  <c r="R52" i="13"/>
  <c r="V52" i="13" s="1"/>
  <c r="O52" i="13"/>
  <c r="P52" i="13" s="1"/>
  <c r="J52" i="13"/>
  <c r="G52" i="13"/>
  <c r="AD52" i="13" s="1"/>
  <c r="AB51" i="13"/>
  <c r="AC51" i="13" s="1"/>
  <c r="AG51" i="13" s="1"/>
  <c r="S51" i="13"/>
  <c r="R51" i="13"/>
  <c r="V51" i="13" s="1"/>
  <c r="O51" i="13"/>
  <c r="J51" i="13"/>
  <c r="G51" i="13"/>
  <c r="M51" i="13" s="1"/>
  <c r="W51" i="13" s="1"/>
  <c r="AB50" i="13"/>
  <c r="AC50" i="13" s="1"/>
  <c r="AG50" i="13" s="1"/>
  <c r="S50" i="13"/>
  <c r="R50" i="13"/>
  <c r="V50" i="13" s="1"/>
  <c r="O50" i="13"/>
  <c r="P50" i="13" s="1"/>
  <c r="J50" i="13"/>
  <c r="G50" i="13"/>
  <c r="AD50" i="13" s="1"/>
  <c r="AB49" i="13"/>
  <c r="AC49" i="13" s="1"/>
  <c r="AG49" i="13" s="1"/>
  <c r="S49" i="13"/>
  <c r="R49" i="13"/>
  <c r="V49" i="13" s="1"/>
  <c r="O49" i="13"/>
  <c r="P49" i="13" s="1"/>
  <c r="J49" i="13"/>
  <c r="G49" i="13"/>
  <c r="M49" i="13" s="1"/>
  <c r="W49" i="13" s="1"/>
  <c r="AB48" i="13"/>
  <c r="AC48" i="13" s="1"/>
  <c r="AG48" i="13" s="1"/>
  <c r="S48" i="13"/>
  <c r="R48" i="13"/>
  <c r="V48" i="13" s="1"/>
  <c r="O48" i="13"/>
  <c r="P48" i="13" s="1"/>
  <c r="J48" i="13"/>
  <c r="G48" i="13"/>
  <c r="AD48" i="13" s="1"/>
  <c r="AB47" i="13"/>
  <c r="AC47" i="13" s="1"/>
  <c r="AG47" i="13" s="1"/>
  <c r="S47" i="13"/>
  <c r="R47" i="13"/>
  <c r="V47" i="13" s="1"/>
  <c r="O47" i="13"/>
  <c r="J47" i="13"/>
  <c r="G47" i="13"/>
  <c r="M47" i="13" s="1"/>
  <c r="W47" i="13" s="1"/>
  <c r="AB46" i="13"/>
  <c r="AC46" i="13" s="1"/>
  <c r="AG46" i="13" s="1"/>
  <c r="S46" i="13"/>
  <c r="R46" i="13"/>
  <c r="V46" i="13" s="1"/>
  <c r="O46" i="13"/>
  <c r="P46" i="13" s="1"/>
  <c r="J46" i="13"/>
  <c r="G46" i="13"/>
  <c r="AD46" i="13" s="1"/>
  <c r="AB45" i="13"/>
  <c r="AC45" i="13" s="1"/>
  <c r="AG45" i="13" s="1"/>
  <c r="S45" i="13"/>
  <c r="R45" i="13"/>
  <c r="V45" i="13" s="1"/>
  <c r="O45" i="13"/>
  <c r="P45" i="13" s="1"/>
  <c r="J45" i="13"/>
  <c r="G45" i="13"/>
  <c r="M45" i="13" s="1"/>
  <c r="W45" i="13" s="1"/>
  <c r="AB44" i="13"/>
  <c r="AC44" i="13" s="1"/>
  <c r="AG44" i="13" s="1"/>
  <c r="S44" i="13"/>
  <c r="R44" i="13"/>
  <c r="V44" i="13" s="1"/>
  <c r="O44" i="13"/>
  <c r="P44" i="13" s="1"/>
  <c r="J44" i="13"/>
  <c r="G44" i="13"/>
  <c r="AD44" i="13" s="1"/>
  <c r="AB43" i="13"/>
  <c r="AC43" i="13" s="1"/>
  <c r="AG43" i="13" s="1"/>
  <c r="S43" i="13"/>
  <c r="R43" i="13"/>
  <c r="V43" i="13" s="1"/>
  <c r="O43" i="13"/>
  <c r="P43" i="13" s="1"/>
  <c r="J43" i="13"/>
  <c r="G43" i="13"/>
  <c r="M43" i="13" s="1"/>
  <c r="W43" i="13" s="1"/>
  <c r="AB42" i="13"/>
  <c r="AC42" i="13" s="1"/>
  <c r="AG42" i="13" s="1"/>
  <c r="S42" i="13"/>
  <c r="R42" i="13"/>
  <c r="V42" i="13" s="1"/>
  <c r="O42" i="13"/>
  <c r="P42" i="13" s="1"/>
  <c r="J42" i="13"/>
  <c r="G42" i="13"/>
  <c r="AD42" i="13" s="1"/>
  <c r="AB41" i="13"/>
  <c r="AC41" i="13" s="1"/>
  <c r="AG41" i="13" s="1"/>
  <c r="S41" i="13"/>
  <c r="R41" i="13"/>
  <c r="V41" i="13" s="1"/>
  <c r="O41" i="13"/>
  <c r="P41" i="13" s="1"/>
  <c r="J41" i="13"/>
  <c r="G41" i="13"/>
  <c r="M41" i="13" s="1"/>
  <c r="W41" i="13" s="1"/>
  <c r="AB40" i="13"/>
  <c r="AC40" i="13" s="1"/>
  <c r="AG40" i="13" s="1"/>
  <c r="S40" i="13"/>
  <c r="R40" i="13"/>
  <c r="V40" i="13" s="1"/>
  <c r="O40" i="13"/>
  <c r="P40" i="13" s="1"/>
  <c r="J40" i="13"/>
  <c r="G40" i="13"/>
  <c r="AD40" i="13" s="1"/>
  <c r="AB39" i="13"/>
  <c r="AC39" i="13" s="1"/>
  <c r="AG39" i="13" s="1"/>
  <c r="S39" i="13"/>
  <c r="R39" i="13"/>
  <c r="V39" i="13" s="1"/>
  <c r="O39" i="13"/>
  <c r="P39" i="13" s="1"/>
  <c r="J39" i="13"/>
  <c r="G39" i="13"/>
  <c r="M39" i="13" s="1"/>
  <c r="W39" i="13" s="1"/>
  <c r="AB38" i="13"/>
  <c r="AC38" i="13" s="1"/>
  <c r="AG38" i="13" s="1"/>
  <c r="S38" i="13"/>
  <c r="R38" i="13"/>
  <c r="V38" i="13" s="1"/>
  <c r="O38" i="13"/>
  <c r="P38" i="13" s="1"/>
  <c r="J38" i="13"/>
  <c r="G38" i="13"/>
  <c r="AD38" i="13" s="1"/>
  <c r="AB37" i="13"/>
  <c r="AC37" i="13" s="1"/>
  <c r="AG37" i="13" s="1"/>
  <c r="S37" i="13"/>
  <c r="R37" i="13"/>
  <c r="V37" i="13" s="1"/>
  <c r="O37" i="13"/>
  <c r="P37" i="13" s="1"/>
  <c r="J37" i="13"/>
  <c r="G37" i="13"/>
  <c r="M37" i="13" s="1"/>
  <c r="W37" i="13" s="1"/>
  <c r="AB36" i="13"/>
  <c r="AC36" i="13" s="1"/>
  <c r="AG36" i="13" s="1"/>
  <c r="S36" i="13"/>
  <c r="R36" i="13"/>
  <c r="V36" i="13" s="1"/>
  <c r="O36" i="13"/>
  <c r="P36" i="13" s="1"/>
  <c r="J36" i="13"/>
  <c r="G36" i="13"/>
  <c r="AD36" i="13" s="1"/>
  <c r="AB35" i="13"/>
  <c r="AC35" i="13" s="1"/>
  <c r="AG35" i="13" s="1"/>
  <c r="S35" i="13"/>
  <c r="R35" i="13"/>
  <c r="V35" i="13" s="1"/>
  <c r="O35" i="13"/>
  <c r="P35" i="13" s="1"/>
  <c r="J35" i="13"/>
  <c r="G35" i="13"/>
  <c r="M35" i="13" s="1"/>
  <c r="W35" i="13" s="1"/>
  <c r="AB34" i="13"/>
  <c r="AC34" i="13" s="1"/>
  <c r="AG34" i="13" s="1"/>
  <c r="S34" i="13"/>
  <c r="R34" i="13"/>
  <c r="V34" i="13" s="1"/>
  <c r="O34" i="13"/>
  <c r="P34" i="13" s="1"/>
  <c r="J34" i="13"/>
  <c r="G34" i="13"/>
  <c r="AD34" i="13" s="1"/>
  <c r="AB33" i="13"/>
  <c r="AC33" i="13" s="1"/>
  <c r="AG33" i="13" s="1"/>
  <c r="S33" i="13"/>
  <c r="R33" i="13"/>
  <c r="V33" i="13" s="1"/>
  <c r="O33" i="13"/>
  <c r="P33" i="13" s="1"/>
  <c r="J33" i="13"/>
  <c r="G33" i="13"/>
  <c r="M33" i="13" s="1"/>
  <c r="W33" i="13" s="1"/>
  <c r="AB32" i="13"/>
  <c r="AC32" i="13" s="1"/>
  <c r="AG32" i="13" s="1"/>
  <c r="S32" i="13"/>
  <c r="R32" i="13"/>
  <c r="V32" i="13" s="1"/>
  <c r="O32" i="13"/>
  <c r="P32" i="13" s="1"/>
  <c r="J32" i="13"/>
  <c r="G32" i="13"/>
  <c r="AD32" i="13" s="1"/>
  <c r="AB31" i="13"/>
  <c r="AC31" i="13" s="1"/>
  <c r="AG31" i="13" s="1"/>
  <c r="S31" i="13"/>
  <c r="R31" i="13"/>
  <c r="V31" i="13" s="1"/>
  <c r="O31" i="13"/>
  <c r="J31" i="13"/>
  <c r="G31" i="13"/>
  <c r="M31" i="13" s="1"/>
  <c r="W31" i="13" s="1"/>
  <c r="AB30" i="13"/>
  <c r="AC30" i="13" s="1"/>
  <c r="AG30" i="13" s="1"/>
  <c r="S30" i="13"/>
  <c r="R30" i="13"/>
  <c r="V30" i="13" s="1"/>
  <c r="O30" i="13"/>
  <c r="P30" i="13" s="1"/>
  <c r="J30" i="13"/>
  <c r="G30" i="13"/>
  <c r="AD30" i="13" s="1"/>
  <c r="AB29" i="13"/>
  <c r="AC29" i="13" s="1"/>
  <c r="AG29" i="13" s="1"/>
  <c r="S29" i="13"/>
  <c r="R29" i="13"/>
  <c r="V29" i="13" s="1"/>
  <c r="O29" i="13"/>
  <c r="P29" i="13" s="1"/>
  <c r="J29" i="13"/>
  <c r="G29" i="13"/>
  <c r="M29" i="13" s="1"/>
  <c r="W29" i="13" s="1"/>
  <c r="AB28" i="13"/>
  <c r="AC28" i="13" s="1"/>
  <c r="AG28" i="13" s="1"/>
  <c r="S28" i="13"/>
  <c r="R28" i="13"/>
  <c r="V28" i="13" s="1"/>
  <c r="O28" i="13"/>
  <c r="P28" i="13" s="1"/>
  <c r="J28" i="13"/>
  <c r="G28" i="13"/>
  <c r="AD28" i="13" s="1"/>
  <c r="AB27" i="13"/>
  <c r="AC27" i="13" s="1"/>
  <c r="AG27" i="13" s="1"/>
  <c r="S27" i="13"/>
  <c r="R27" i="13"/>
  <c r="V27" i="13" s="1"/>
  <c r="O27" i="13"/>
  <c r="J27" i="13"/>
  <c r="G27" i="13"/>
  <c r="M27" i="13" s="1"/>
  <c r="W27" i="13" s="1"/>
  <c r="AB26" i="13"/>
  <c r="AC26" i="13" s="1"/>
  <c r="AG26" i="13" s="1"/>
  <c r="S26" i="13"/>
  <c r="R26" i="13"/>
  <c r="V26" i="13" s="1"/>
  <c r="O26" i="13"/>
  <c r="P26" i="13" s="1"/>
  <c r="J26" i="13"/>
  <c r="G26" i="13"/>
  <c r="AD26" i="13" s="1"/>
  <c r="AB25" i="13"/>
  <c r="AC25" i="13" s="1"/>
  <c r="AG25" i="13" s="1"/>
  <c r="S25" i="13"/>
  <c r="R25" i="13"/>
  <c r="V25" i="13" s="1"/>
  <c r="O25" i="13"/>
  <c r="P25" i="13" s="1"/>
  <c r="J25" i="13"/>
  <c r="G25" i="13"/>
  <c r="M25" i="13" s="1"/>
  <c r="W25" i="13" s="1"/>
  <c r="AB24" i="13"/>
  <c r="AC24" i="13" s="1"/>
  <c r="AG24" i="13" s="1"/>
  <c r="S24" i="13"/>
  <c r="R24" i="13"/>
  <c r="V24" i="13" s="1"/>
  <c r="O24" i="13"/>
  <c r="P24" i="13" s="1"/>
  <c r="J24" i="13"/>
  <c r="G24" i="13"/>
  <c r="AD24" i="13" s="1"/>
  <c r="AB23" i="13"/>
  <c r="AC23" i="13" s="1"/>
  <c r="AG23" i="13" s="1"/>
  <c r="S23" i="13"/>
  <c r="R23" i="13"/>
  <c r="V23" i="13" s="1"/>
  <c r="O23" i="13"/>
  <c r="P23" i="13" s="1"/>
  <c r="J23" i="13"/>
  <c r="G23" i="13"/>
  <c r="M23" i="13" s="1"/>
  <c r="W23" i="13" s="1"/>
  <c r="AB22" i="13"/>
  <c r="AC22" i="13" s="1"/>
  <c r="AG22" i="13" s="1"/>
  <c r="S22" i="13"/>
  <c r="R22" i="13"/>
  <c r="V22" i="13" s="1"/>
  <c r="O22" i="13"/>
  <c r="P22" i="13" s="1"/>
  <c r="J22" i="13"/>
  <c r="G22" i="13"/>
  <c r="AD22" i="13" s="1"/>
  <c r="AB21" i="13"/>
  <c r="AC21" i="13" s="1"/>
  <c r="AG21" i="13" s="1"/>
  <c r="S21" i="13"/>
  <c r="R21" i="13"/>
  <c r="V21" i="13" s="1"/>
  <c r="O21" i="13"/>
  <c r="P21" i="13" s="1"/>
  <c r="J21" i="13"/>
  <c r="G21" i="13"/>
  <c r="M21" i="13" s="1"/>
  <c r="W21" i="13" s="1"/>
  <c r="AB20" i="13"/>
  <c r="AC20" i="13" s="1"/>
  <c r="AG20" i="13" s="1"/>
  <c r="S20" i="13"/>
  <c r="R20" i="13"/>
  <c r="V20" i="13" s="1"/>
  <c r="O20" i="13"/>
  <c r="P20" i="13" s="1"/>
  <c r="J20" i="13"/>
  <c r="G20" i="13"/>
  <c r="AD20" i="13" s="1"/>
  <c r="AB19" i="13"/>
  <c r="AC19" i="13" s="1"/>
  <c r="AG19" i="13" s="1"/>
  <c r="S19" i="13"/>
  <c r="R19" i="13"/>
  <c r="V19" i="13" s="1"/>
  <c r="O19" i="13"/>
  <c r="J19" i="13"/>
  <c r="G19" i="13"/>
  <c r="M19" i="13" s="1"/>
  <c r="W19" i="13" s="1"/>
  <c r="AB18" i="13"/>
  <c r="AC18" i="13" s="1"/>
  <c r="AG18" i="13" s="1"/>
  <c r="S18" i="13"/>
  <c r="R18" i="13"/>
  <c r="V18" i="13" s="1"/>
  <c r="O18" i="13"/>
  <c r="P18" i="13" s="1"/>
  <c r="J18" i="13"/>
  <c r="G18" i="13"/>
  <c r="AD18" i="13" s="1"/>
  <c r="AB17" i="13"/>
  <c r="AC17" i="13" s="1"/>
  <c r="AG17" i="13" s="1"/>
  <c r="S17" i="13"/>
  <c r="R17" i="13"/>
  <c r="V17" i="13" s="1"/>
  <c r="O17" i="13"/>
  <c r="P17" i="13" s="1"/>
  <c r="J17" i="13"/>
  <c r="G17" i="13"/>
  <c r="M17" i="13" s="1"/>
  <c r="W17" i="13" s="1"/>
  <c r="AB16" i="13"/>
  <c r="AC16" i="13" s="1"/>
  <c r="AG16" i="13" s="1"/>
  <c r="S16" i="13"/>
  <c r="R16" i="13"/>
  <c r="V16" i="13" s="1"/>
  <c r="O16" i="13"/>
  <c r="P16" i="13" s="1"/>
  <c r="J16" i="13"/>
  <c r="G16" i="13"/>
  <c r="AD16" i="13" s="1"/>
  <c r="AB15" i="13"/>
  <c r="AC15" i="13" s="1"/>
  <c r="AG15" i="13" s="1"/>
  <c r="S15" i="13"/>
  <c r="R15" i="13"/>
  <c r="V15" i="13" s="1"/>
  <c r="O15" i="13"/>
  <c r="P15" i="13" s="1"/>
  <c r="J15" i="13"/>
  <c r="G15" i="13"/>
  <c r="M15" i="13" s="1"/>
  <c r="W15" i="13" s="1"/>
  <c r="AB14" i="13"/>
  <c r="AC14" i="13" s="1"/>
  <c r="AG14" i="13" s="1"/>
  <c r="S14" i="13"/>
  <c r="R14" i="13"/>
  <c r="V14" i="13" s="1"/>
  <c r="O14" i="13"/>
  <c r="P14" i="13" s="1"/>
  <c r="J14" i="13"/>
  <c r="G14" i="13"/>
  <c r="AD14" i="13" s="1"/>
  <c r="AB13" i="13"/>
  <c r="AC13" i="13" s="1"/>
  <c r="AG13" i="13" s="1"/>
  <c r="S13" i="13"/>
  <c r="R13" i="13"/>
  <c r="V13" i="13" s="1"/>
  <c r="O13" i="13"/>
  <c r="P13" i="13" s="1"/>
  <c r="J13" i="13"/>
  <c r="G13" i="13"/>
  <c r="M13" i="13" s="1"/>
  <c r="W13" i="13" s="1"/>
  <c r="AB12" i="13"/>
  <c r="AC12" i="13" s="1"/>
  <c r="AG12" i="13" s="1"/>
  <c r="S12" i="13"/>
  <c r="R12" i="13"/>
  <c r="V12" i="13" s="1"/>
  <c r="O12" i="13"/>
  <c r="P12" i="13" s="1"/>
  <c r="J12" i="13"/>
  <c r="G12" i="13"/>
  <c r="AD12" i="13" s="1"/>
  <c r="AB11" i="13"/>
  <c r="AC11" i="13" s="1"/>
  <c r="AG11" i="13" s="1"/>
  <c r="S11" i="13"/>
  <c r="R11" i="13"/>
  <c r="V11" i="13" s="1"/>
  <c r="O11" i="13"/>
  <c r="P11" i="13" s="1"/>
  <c r="J11" i="13"/>
  <c r="G11" i="13"/>
  <c r="M11" i="13" s="1"/>
  <c r="W11" i="13" s="1"/>
  <c r="AB10" i="13"/>
  <c r="AC10" i="13" s="1"/>
  <c r="AG10" i="13" s="1"/>
  <c r="S10" i="13"/>
  <c r="R10" i="13"/>
  <c r="V10" i="13" s="1"/>
  <c r="O10" i="13"/>
  <c r="P10" i="13" s="1"/>
  <c r="J10" i="13"/>
  <c r="G10" i="13"/>
  <c r="AD10" i="13" s="1"/>
  <c r="AB9" i="13"/>
  <c r="AC9" i="13" s="1"/>
  <c r="AG9" i="13" s="1"/>
  <c r="S9" i="13"/>
  <c r="R9" i="13"/>
  <c r="V9" i="13" s="1"/>
  <c r="O9" i="13"/>
  <c r="P9" i="13" s="1"/>
  <c r="J9" i="13"/>
  <c r="G9" i="13"/>
  <c r="M9" i="13" s="1"/>
  <c r="W9" i="13" s="1"/>
  <c r="AB8" i="13"/>
  <c r="AC8" i="13" s="1"/>
  <c r="AG8" i="13" s="1"/>
  <c r="S8" i="13"/>
  <c r="R8" i="13"/>
  <c r="V8" i="13" s="1"/>
  <c r="O8" i="13"/>
  <c r="P8" i="13" s="1"/>
  <c r="J8" i="13"/>
  <c r="G8" i="13"/>
  <c r="AD8" i="13" s="1"/>
  <c r="AB7" i="13"/>
  <c r="AC7" i="13" s="1"/>
  <c r="AG7" i="13" s="1"/>
  <c r="S7" i="13"/>
  <c r="R7" i="13"/>
  <c r="V7" i="13" s="1"/>
  <c r="O7" i="13"/>
  <c r="J7" i="13"/>
  <c r="G7" i="13"/>
  <c r="M7" i="13" s="1"/>
  <c r="W7" i="13" s="1"/>
  <c r="AB6" i="13"/>
  <c r="AC6" i="13" s="1"/>
  <c r="AG6" i="13" s="1"/>
  <c r="S6" i="13"/>
  <c r="R6" i="13"/>
  <c r="V6" i="13" s="1"/>
  <c r="O6" i="13"/>
  <c r="P6" i="13" s="1"/>
  <c r="J6" i="13"/>
  <c r="G6" i="13"/>
  <c r="AD6" i="13" s="1"/>
  <c r="AB5" i="13"/>
  <c r="AC5" i="13" s="1"/>
  <c r="AG5" i="13" s="1"/>
  <c r="S5" i="13"/>
  <c r="R5" i="13"/>
  <c r="V5" i="13" s="1"/>
  <c r="O5" i="13"/>
  <c r="P5" i="13" s="1"/>
  <c r="J5" i="13"/>
  <c r="G5" i="13"/>
  <c r="M5" i="13" s="1"/>
  <c r="W5" i="13" s="1"/>
  <c r="AB4" i="13"/>
  <c r="AC4" i="13" s="1"/>
  <c r="AG4" i="13" s="1"/>
  <c r="S4" i="13"/>
  <c r="R4" i="13"/>
  <c r="V4" i="13" s="1"/>
  <c r="O4" i="13"/>
  <c r="P4" i="13" s="1"/>
  <c r="J4" i="13"/>
  <c r="G4" i="13"/>
  <c r="AD4" i="13" s="1"/>
  <c r="AB3" i="13"/>
  <c r="AC3" i="13" s="1"/>
  <c r="AG3" i="13" s="1"/>
  <c r="S3" i="13"/>
  <c r="R3" i="13"/>
  <c r="V3" i="13" s="1"/>
  <c r="O3" i="13"/>
  <c r="J3" i="13"/>
  <c r="G3" i="13"/>
  <c r="M3" i="13" s="1"/>
  <c r="W3" i="13" s="1"/>
  <c r="AB2" i="13"/>
  <c r="AC2" i="13" s="1"/>
  <c r="AG2" i="13" s="1"/>
  <c r="V2" i="13"/>
  <c r="S2" i="13"/>
  <c r="O2" i="13"/>
  <c r="P2" i="13" s="1"/>
  <c r="J2" i="13"/>
  <c r="G2" i="13"/>
  <c r="AD2" i="13" s="1"/>
  <c r="AC135" i="12"/>
  <c r="AG135" i="12" s="1"/>
  <c r="AC182" i="12"/>
  <c r="AG182" i="12" s="1"/>
  <c r="AB3" i="12"/>
  <c r="AC3" i="12" s="1"/>
  <c r="AG3" i="12" s="1"/>
  <c r="AB4" i="12"/>
  <c r="AC4" i="12" s="1"/>
  <c r="AG4" i="12" s="1"/>
  <c r="AB5" i="12"/>
  <c r="AC5" i="12" s="1"/>
  <c r="AG5" i="12" s="1"/>
  <c r="AB6" i="12"/>
  <c r="AC6" i="12" s="1"/>
  <c r="AG6" i="12" s="1"/>
  <c r="AB7" i="12"/>
  <c r="AC7" i="12" s="1"/>
  <c r="AG7" i="12" s="1"/>
  <c r="AB8" i="12"/>
  <c r="AC8" i="12" s="1"/>
  <c r="AG8" i="12" s="1"/>
  <c r="AB9" i="12"/>
  <c r="AC9" i="12" s="1"/>
  <c r="AG9" i="12" s="1"/>
  <c r="AB10" i="12"/>
  <c r="AC10" i="12" s="1"/>
  <c r="AG10" i="12" s="1"/>
  <c r="AB11" i="12"/>
  <c r="AC11" i="12" s="1"/>
  <c r="AG11" i="12" s="1"/>
  <c r="AB12" i="12"/>
  <c r="AC12" i="12" s="1"/>
  <c r="AG12" i="12" s="1"/>
  <c r="AB13" i="12"/>
  <c r="AC13" i="12" s="1"/>
  <c r="AG13" i="12" s="1"/>
  <c r="AB14" i="12"/>
  <c r="AC14" i="12" s="1"/>
  <c r="AG14" i="12" s="1"/>
  <c r="AB15" i="12"/>
  <c r="AC15" i="12" s="1"/>
  <c r="AG15" i="12" s="1"/>
  <c r="AB16" i="12"/>
  <c r="AC16" i="12" s="1"/>
  <c r="AG16" i="12" s="1"/>
  <c r="AB17" i="12"/>
  <c r="AC17" i="12" s="1"/>
  <c r="AG17" i="12" s="1"/>
  <c r="AB18" i="12"/>
  <c r="AC18" i="12" s="1"/>
  <c r="AG18" i="12" s="1"/>
  <c r="AB19" i="12"/>
  <c r="AC19" i="12" s="1"/>
  <c r="AG19" i="12" s="1"/>
  <c r="AB20" i="12"/>
  <c r="AC20" i="12" s="1"/>
  <c r="AG20" i="12" s="1"/>
  <c r="AB21" i="12"/>
  <c r="AC21" i="12" s="1"/>
  <c r="AG21" i="12" s="1"/>
  <c r="AB22" i="12"/>
  <c r="AC22" i="12" s="1"/>
  <c r="AG22" i="12" s="1"/>
  <c r="AB23" i="12"/>
  <c r="AC23" i="12" s="1"/>
  <c r="AG23" i="12" s="1"/>
  <c r="AB24" i="12"/>
  <c r="AC24" i="12" s="1"/>
  <c r="AG24" i="12" s="1"/>
  <c r="AB25" i="12"/>
  <c r="AC25" i="12" s="1"/>
  <c r="AG25" i="12" s="1"/>
  <c r="AB26" i="12"/>
  <c r="AC26" i="12" s="1"/>
  <c r="AG26" i="12" s="1"/>
  <c r="AB27" i="12"/>
  <c r="AC27" i="12" s="1"/>
  <c r="AG27" i="12" s="1"/>
  <c r="AB28" i="12"/>
  <c r="AC28" i="12" s="1"/>
  <c r="AG28" i="12" s="1"/>
  <c r="AB29" i="12"/>
  <c r="AC29" i="12" s="1"/>
  <c r="AG29" i="12" s="1"/>
  <c r="AB30" i="12"/>
  <c r="AC30" i="12" s="1"/>
  <c r="AG30" i="12" s="1"/>
  <c r="AB31" i="12"/>
  <c r="AC31" i="12" s="1"/>
  <c r="AG31" i="12" s="1"/>
  <c r="AB32" i="12"/>
  <c r="AC32" i="12" s="1"/>
  <c r="AG32" i="12" s="1"/>
  <c r="AB33" i="12"/>
  <c r="AC33" i="12" s="1"/>
  <c r="AG33" i="12" s="1"/>
  <c r="AB34" i="12"/>
  <c r="AC34" i="12" s="1"/>
  <c r="AG34" i="12" s="1"/>
  <c r="AB35" i="12"/>
  <c r="AC35" i="12" s="1"/>
  <c r="AG35" i="12" s="1"/>
  <c r="AB36" i="12"/>
  <c r="AC36" i="12" s="1"/>
  <c r="AG36" i="12" s="1"/>
  <c r="AB37" i="12"/>
  <c r="AC37" i="12" s="1"/>
  <c r="AG37" i="12" s="1"/>
  <c r="AB38" i="12"/>
  <c r="AC38" i="12" s="1"/>
  <c r="AG38" i="12" s="1"/>
  <c r="AB39" i="12"/>
  <c r="AC39" i="12" s="1"/>
  <c r="AG39" i="12" s="1"/>
  <c r="AB40" i="12"/>
  <c r="AC40" i="12" s="1"/>
  <c r="AG40" i="12" s="1"/>
  <c r="AB41" i="12"/>
  <c r="AC41" i="12" s="1"/>
  <c r="AG41" i="12" s="1"/>
  <c r="AB42" i="12"/>
  <c r="AC42" i="12" s="1"/>
  <c r="AG42" i="12" s="1"/>
  <c r="AB43" i="12"/>
  <c r="AC43" i="12" s="1"/>
  <c r="AG43" i="12" s="1"/>
  <c r="AB44" i="12"/>
  <c r="AC44" i="12" s="1"/>
  <c r="AG44" i="12" s="1"/>
  <c r="AB45" i="12"/>
  <c r="AC45" i="12" s="1"/>
  <c r="AG45" i="12" s="1"/>
  <c r="AB46" i="12"/>
  <c r="AC46" i="12" s="1"/>
  <c r="AG46" i="12" s="1"/>
  <c r="AB47" i="12"/>
  <c r="AC47" i="12" s="1"/>
  <c r="AG47" i="12" s="1"/>
  <c r="AB48" i="12"/>
  <c r="AC48" i="12" s="1"/>
  <c r="AG48" i="12" s="1"/>
  <c r="AB49" i="12"/>
  <c r="AC49" i="12" s="1"/>
  <c r="AG49" i="12" s="1"/>
  <c r="AB50" i="12"/>
  <c r="AC50" i="12" s="1"/>
  <c r="AG50" i="12" s="1"/>
  <c r="AB51" i="12"/>
  <c r="AC51" i="12" s="1"/>
  <c r="AG51" i="12" s="1"/>
  <c r="AB52" i="12"/>
  <c r="AC52" i="12" s="1"/>
  <c r="AG52" i="12" s="1"/>
  <c r="AB53" i="12"/>
  <c r="AC53" i="12" s="1"/>
  <c r="AG53" i="12" s="1"/>
  <c r="AB54" i="12"/>
  <c r="AC54" i="12" s="1"/>
  <c r="AG54" i="12" s="1"/>
  <c r="AB55" i="12"/>
  <c r="AC55" i="12" s="1"/>
  <c r="AG55" i="12" s="1"/>
  <c r="AB56" i="12"/>
  <c r="AC56" i="12" s="1"/>
  <c r="AG56" i="12" s="1"/>
  <c r="AB57" i="12"/>
  <c r="AC57" i="12" s="1"/>
  <c r="AG57" i="12" s="1"/>
  <c r="AB58" i="12"/>
  <c r="AC58" i="12" s="1"/>
  <c r="AG58" i="12" s="1"/>
  <c r="AB59" i="12"/>
  <c r="AC59" i="12" s="1"/>
  <c r="AG59" i="12" s="1"/>
  <c r="AB60" i="12"/>
  <c r="AC60" i="12" s="1"/>
  <c r="AG60" i="12" s="1"/>
  <c r="AB61" i="12"/>
  <c r="AC61" i="12" s="1"/>
  <c r="AG61" i="12" s="1"/>
  <c r="AB62" i="12"/>
  <c r="AC62" i="12" s="1"/>
  <c r="AG62" i="12" s="1"/>
  <c r="AB63" i="12"/>
  <c r="AC63" i="12" s="1"/>
  <c r="AG63" i="12" s="1"/>
  <c r="AB64" i="12"/>
  <c r="AC64" i="12" s="1"/>
  <c r="AG64" i="12" s="1"/>
  <c r="AB65" i="12"/>
  <c r="AC65" i="12" s="1"/>
  <c r="AG65" i="12" s="1"/>
  <c r="AB66" i="12"/>
  <c r="AC66" i="12" s="1"/>
  <c r="AG66" i="12" s="1"/>
  <c r="AB67" i="12"/>
  <c r="AC67" i="12" s="1"/>
  <c r="AG67" i="12" s="1"/>
  <c r="AB68" i="12"/>
  <c r="AC68" i="12" s="1"/>
  <c r="AG68" i="12" s="1"/>
  <c r="AB69" i="12"/>
  <c r="AC69" i="12" s="1"/>
  <c r="AG69" i="12" s="1"/>
  <c r="AB70" i="12"/>
  <c r="AC70" i="12" s="1"/>
  <c r="AG70" i="12" s="1"/>
  <c r="AB71" i="12"/>
  <c r="AC71" i="12" s="1"/>
  <c r="AG71" i="12" s="1"/>
  <c r="AB72" i="12"/>
  <c r="AC72" i="12" s="1"/>
  <c r="AG72" i="12" s="1"/>
  <c r="AB73" i="12"/>
  <c r="AC73" i="12" s="1"/>
  <c r="AG73" i="12" s="1"/>
  <c r="AB74" i="12"/>
  <c r="AC74" i="12" s="1"/>
  <c r="AG74" i="12" s="1"/>
  <c r="AB75" i="12"/>
  <c r="AC75" i="12" s="1"/>
  <c r="AG75" i="12" s="1"/>
  <c r="AB76" i="12"/>
  <c r="AC76" i="12" s="1"/>
  <c r="AG76" i="12" s="1"/>
  <c r="AB77" i="12"/>
  <c r="AC77" i="12" s="1"/>
  <c r="AG77" i="12" s="1"/>
  <c r="AB78" i="12"/>
  <c r="AC78" i="12" s="1"/>
  <c r="AG78" i="12" s="1"/>
  <c r="AB79" i="12"/>
  <c r="AC79" i="12" s="1"/>
  <c r="AG79" i="12" s="1"/>
  <c r="AB80" i="12"/>
  <c r="AC80" i="12" s="1"/>
  <c r="AG80" i="12" s="1"/>
  <c r="AB81" i="12"/>
  <c r="AC81" i="12" s="1"/>
  <c r="AG81" i="12" s="1"/>
  <c r="AB82" i="12"/>
  <c r="AC82" i="12" s="1"/>
  <c r="AG82" i="12" s="1"/>
  <c r="AB83" i="12"/>
  <c r="AC83" i="12" s="1"/>
  <c r="AG83" i="12" s="1"/>
  <c r="AB84" i="12"/>
  <c r="AC84" i="12" s="1"/>
  <c r="AG84" i="12" s="1"/>
  <c r="AB85" i="12"/>
  <c r="AC85" i="12" s="1"/>
  <c r="AG85" i="12" s="1"/>
  <c r="AB86" i="12"/>
  <c r="AC86" i="12" s="1"/>
  <c r="AG86" i="12" s="1"/>
  <c r="AB87" i="12"/>
  <c r="AC87" i="12" s="1"/>
  <c r="AG87" i="12" s="1"/>
  <c r="AB88" i="12"/>
  <c r="AC88" i="12" s="1"/>
  <c r="AG88" i="12" s="1"/>
  <c r="AB89" i="12"/>
  <c r="AC89" i="12" s="1"/>
  <c r="AG89" i="12" s="1"/>
  <c r="AB90" i="12"/>
  <c r="AC90" i="12" s="1"/>
  <c r="AG90" i="12" s="1"/>
  <c r="AB91" i="12"/>
  <c r="AC91" i="12" s="1"/>
  <c r="AG91" i="12" s="1"/>
  <c r="AB92" i="12"/>
  <c r="AC92" i="12" s="1"/>
  <c r="AG92" i="12" s="1"/>
  <c r="AB93" i="12"/>
  <c r="AC93" i="12" s="1"/>
  <c r="AG93" i="12" s="1"/>
  <c r="AB94" i="12"/>
  <c r="AC94" i="12" s="1"/>
  <c r="AG94" i="12" s="1"/>
  <c r="AB95" i="12"/>
  <c r="AC95" i="12" s="1"/>
  <c r="AG95" i="12" s="1"/>
  <c r="AB96" i="12"/>
  <c r="AC96" i="12" s="1"/>
  <c r="AG96" i="12" s="1"/>
  <c r="AB97" i="12"/>
  <c r="AC97" i="12" s="1"/>
  <c r="AG97" i="12" s="1"/>
  <c r="AB98" i="12"/>
  <c r="AC98" i="12" s="1"/>
  <c r="AG98" i="12" s="1"/>
  <c r="AB99" i="12"/>
  <c r="AC99" i="12" s="1"/>
  <c r="AG99" i="12" s="1"/>
  <c r="AB100" i="12"/>
  <c r="AC100" i="12" s="1"/>
  <c r="AG100" i="12" s="1"/>
  <c r="AB101" i="12"/>
  <c r="AC101" i="12" s="1"/>
  <c r="AG101" i="12" s="1"/>
  <c r="AB102" i="12"/>
  <c r="AC102" i="12" s="1"/>
  <c r="AG102" i="12" s="1"/>
  <c r="AB103" i="12"/>
  <c r="AC103" i="12" s="1"/>
  <c r="AG103" i="12" s="1"/>
  <c r="AB104" i="12"/>
  <c r="AC104" i="12" s="1"/>
  <c r="AG104" i="12" s="1"/>
  <c r="AB105" i="12"/>
  <c r="AC105" i="12" s="1"/>
  <c r="AG105" i="12" s="1"/>
  <c r="AB106" i="12"/>
  <c r="AC106" i="12" s="1"/>
  <c r="AG106" i="12" s="1"/>
  <c r="AB107" i="12"/>
  <c r="AC107" i="12" s="1"/>
  <c r="AG107" i="12" s="1"/>
  <c r="AB108" i="12"/>
  <c r="AC108" i="12" s="1"/>
  <c r="AG108" i="12" s="1"/>
  <c r="AB109" i="12"/>
  <c r="AC109" i="12" s="1"/>
  <c r="AG109" i="12" s="1"/>
  <c r="AB110" i="12"/>
  <c r="AC110" i="12" s="1"/>
  <c r="AG110" i="12" s="1"/>
  <c r="AB111" i="12"/>
  <c r="AC111" i="12" s="1"/>
  <c r="AG111" i="12" s="1"/>
  <c r="AB112" i="12"/>
  <c r="AC112" i="12" s="1"/>
  <c r="AG112" i="12" s="1"/>
  <c r="AB113" i="12"/>
  <c r="AC113" i="12" s="1"/>
  <c r="AG113" i="12" s="1"/>
  <c r="AB114" i="12"/>
  <c r="AC114" i="12" s="1"/>
  <c r="AG114" i="12" s="1"/>
  <c r="AB115" i="12"/>
  <c r="AC115" i="12" s="1"/>
  <c r="AG115" i="12" s="1"/>
  <c r="AB116" i="12"/>
  <c r="AC116" i="12" s="1"/>
  <c r="AG116" i="12" s="1"/>
  <c r="AB117" i="12"/>
  <c r="AC117" i="12" s="1"/>
  <c r="AG117" i="12" s="1"/>
  <c r="AB118" i="12"/>
  <c r="AC118" i="12" s="1"/>
  <c r="AG118" i="12" s="1"/>
  <c r="AB119" i="12"/>
  <c r="AC119" i="12" s="1"/>
  <c r="AG119" i="12" s="1"/>
  <c r="AB120" i="12"/>
  <c r="AC120" i="12" s="1"/>
  <c r="AG120" i="12" s="1"/>
  <c r="AB121" i="12"/>
  <c r="AC121" i="12" s="1"/>
  <c r="AG121" i="12" s="1"/>
  <c r="AB122" i="12"/>
  <c r="AC122" i="12" s="1"/>
  <c r="AG122" i="12" s="1"/>
  <c r="AB123" i="12"/>
  <c r="AC123" i="12" s="1"/>
  <c r="AG123" i="12" s="1"/>
  <c r="AB124" i="12"/>
  <c r="AC124" i="12" s="1"/>
  <c r="AG124" i="12" s="1"/>
  <c r="AB125" i="12"/>
  <c r="AC125" i="12" s="1"/>
  <c r="AG125" i="12" s="1"/>
  <c r="AB126" i="12"/>
  <c r="AC126" i="12" s="1"/>
  <c r="AG126" i="12" s="1"/>
  <c r="AB127" i="12"/>
  <c r="AC127" i="12" s="1"/>
  <c r="AG127" i="12" s="1"/>
  <c r="AB128" i="12"/>
  <c r="AC128" i="12" s="1"/>
  <c r="AG128" i="12" s="1"/>
  <c r="AB129" i="12"/>
  <c r="AC129" i="12" s="1"/>
  <c r="AG129" i="12" s="1"/>
  <c r="AB130" i="12"/>
  <c r="AC130" i="12" s="1"/>
  <c r="AG130" i="12" s="1"/>
  <c r="AB131" i="12"/>
  <c r="AC131" i="12" s="1"/>
  <c r="AG131" i="12" s="1"/>
  <c r="AB132" i="12"/>
  <c r="AC132" i="12" s="1"/>
  <c r="AG132" i="12" s="1"/>
  <c r="AB133" i="12"/>
  <c r="AC133" i="12" s="1"/>
  <c r="AG133" i="12" s="1"/>
  <c r="AB134" i="12"/>
  <c r="AC134" i="12" s="1"/>
  <c r="AG134" i="12" s="1"/>
  <c r="AB135" i="12"/>
  <c r="AB136" i="12"/>
  <c r="AC136" i="12" s="1"/>
  <c r="AG136" i="12" s="1"/>
  <c r="AB137" i="12"/>
  <c r="AC137" i="12" s="1"/>
  <c r="AG137" i="12" s="1"/>
  <c r="AB138" i="12"/>
  <c r="AC138" i="12" s="1"/>
  <c r="AG138" i="12" s="1"/>
  <c r="AB139" i="12"/>
  <c r="AC139" i="12" s="1"/>
  <c r="AG139" i="12" s="1"/>
  <c r="AB140" i="12"/>
  <c r="AC140" i="12" s="1"/>
  <c r="AG140" i="12" s="1"/>
  <c r="AB141" i="12"/>
  <c r="AC141" i="12" s="1"/>
  <c r="AG141" i="12" s="1"/>
  <c r="AB142" i="12"/>
  <c r="AC142" i="12" s="1"/>
  <c r="AG142" i="12" s="1"/>
  <c r="AB143" i="12"/>
  <c r="AC143" i="12" s="1"/>
  <c r="AG143" i="12" s="1"/>
  <c r="AB144" i="12"/>
  <c r="AC144" i="12" s="1"/>
  <c r="AG144" i="12" s="1"/>
  <c r="AB145" i="12"/>
  <c r="AC145" i="12" s="1"/>
  <c r="AG145" i="12" s="1"/>
  <c r="AB146" i="12"/>
  <c r="AC146" i="12" s="1"/>
  <c r="AG146" i="12" s="1"/>
  <c r="AB147" i="12"/>
  <c r="AC147" i="12" s="1"/>
  <c r="AG147" i="12" s="1"/>
  <c r="AB148" i="12"/>
  <c r="AC148" i="12" s="1"/>
  <c r="AG148" i="12" s="1"/>
  <c r="AB149" i="12"/>
  <c r="AC149" i="12" s="1"/>
  <c r="AG149" i="12" s="1"/>
  <c r="AB150" i="12"/>
  <c r="AC150" i="12" s="1"/>
  <c r="AG150" i="12" s="1"/>
  <c r="AB151" i="12"/>
  <c r="AC151" i="12" s="1"/>
  <c r="AG151" i="12" s="1"/>
  <c r="AB152" i="12"/>
  <c r="AC152" i="12" s="1"/>
  <c r="AG152" i="12" s="1"/>
  <c r="AB153" i="12"/>
  <c r="AC153" i="12" s="1"/>
  <c r="AG153" i="12" s="1"/>
  <c r="AB154" i="12"/>
  <c r="AC154" i="12" s="1"/>
  <c r="AG154" i="12" s="1"/>
  <c r="AB155" i="12"/>
  <c r="AC155" i="12" s="1"/>
  <c r="AG155" i="12" s="1"/>
  <c r="AB156" i="12"/>
  <c r="AC156" i="12" s="1"/>
  <c r="AG156" i="12" s="1"/>
  <c r="AB157" i="12"/>
  <c r="AC157" i="12" s="1"/>
  <c r="AG157" i="12" s="1"/>
  <c r="AB158" i="12"/>
  <c r="AC158" i="12" s="1"/>
  <c r="AG158" i="12" s="1"/>
  <c r="AB159" i="12"/>
  <c r="AC159" i="12" s="1"/>
  <c r="AG159" i="12" s="1"/>
  <c r="AB160" i="12"/>
  <c r="AC160" i="12" s="1"/>
  <c r="AG160" i="12" s="1"/>
  <c r="AB161" i="12"/>
  <c r="AC161" i="12" s="1"/>
  <c r="AG161" i="12" s="1"/>
  <c r="AB162" i="12"/>
  <c r="AC162" i="12" s="1"/>
  <c r="AG162" i="12" s="1"/>
  <c r="AB163" i="12"/>
  <c r="AC163" i="12" s="1"/>
  <c r="AG163" i="12" s="1"/>
  <c r="AB164" i="12"/>
  <c r="AC164" i="12" s="1"/>
  <c r="AG164" i="12" s="1"/>
  <c r="AB165" i="12"/>
  <c r="AC165" i="12" s="1"/>
  <c r="AG165" i="12" s="1"/>
  <c r="AB166" i="12"/>
  <c r="AC166" i="12" s="1"/>
  <c r="AG166" i="12" s="1"/>
  <c r="AB167" i="12"/>
  <c r="AC167" i="12" s="1"/>
  <c r="AG167" i="12" s="1"/>
  <c r="AB168" i="12"/>
  <c r="AC168" i="12" s="1"/>
  <c r="AG168" i="12" s="1"/>
  <c r="AB169" i="12"/>
  <c r="AC169" i="12" s="1"/>
  <c r="AG169" i="12" s="1"/>
  <c r="AB170" i="12"/>
  <c r="AC170" i="12" s="1"/>
  <c r="AG170" i="12" s="1"/>
  <c r="AB171" i="12"/>
  <c r="AC171" i="12" s="1"/>
  <c r="AG171" i="12" s="1"/>
  <c r="AB172" i="12"/>
  <c r="AC172" i="12" s="1"/>
  <c r="AG172" i="12" s="1"/>
  <c r="AB173" i="12"/>
  <c r="AC173" i="12" s="1"/>
  <c r="AG173" i="12" s="1"/>
  <c r="AB174" i="12"/>
  <c r="AC174" i="12" s="1"/>
  <c r="AG174" i="12" s="1"/>
  <c r="AB175" i="12"/>
  <c r="AC175" i="12" s="1"/>
  <c r="AG175" i="12" s="1"/>
  <c r="AB176" i="12"/>
  <c r="AC176" i="12" s="1"/>
  <c r="AG176" i="12" s="1"/>
  <c r="AB177" i="12"/>
  <c r="AC177" i="12" s="1"/>
  <c r="AG177" i="12" s="1"/>
  <c r="AB178" i="12"/>
  <c r="AC178" i="12" s="1"/>
  <c r="AG178" i="12" s="1"/>
  <c r="AB179" i="12"/>
  <c r="AC179" i="12" s="1"/>
  <c r="AG179" i="12" s="1"/>
  <c r="AB180" i="12"/>
  <c r="AC180" i="12" s="1"/>
  <c r="AG180" i="12" s="1"/>
  <c r="AB181" i="12"/>
  <c r="AC181" i="12" s="1"/>
  <c r="AG181" i="12" s="1"/>
  <c r="AB182" i="12"/>
  <c r="AB183" i="12"/>
  <c r="AC183" i="12" s="1"/>
  <c r="AG183" i="12" s="1"/>
  <c r="AB184" i="12"/>
  <c r="AC184" i="12" s="1"/>
  <c r="AG184" i="12" s="1"/>
  <c r="AB185" i="12"/>
  <c r="AC185" i="12" s="1"/>
  <c r="AG185" i="12" s="1"/>
  <c r="AB186" i="12"/>
  <c r="AC186" i="12" s="1"/>
  <c r="AG186" i="12" s="1"/>
  <c r="AB187" i="12"/>
  <c r="AC187" i="12" s="1"/>
  <c r="AG187" i="12" s="1"/>
  <c r="AB188" i="12"/>
  <c r="AC188" i="12" s="1"/>
  <c r="AG188" i="12" s="1"/>
  <c r="AB189" i="12"/>
  <c r="AC189" i="12" s="1"/>
  <c r="AG189" i="12" s="1"/>
  <c r="AB190" i="12"/>
  <c r="AC190" i="12" s="1"/>
  <c r="AG190" i="12" s="1"/>
  <c r="AB191" i="12"/>
  <c r="AC191" i="12" s="1"/>
  <c r="AG191" i="12" s="1"/>
  <c r="AB192" i="12"/>
  <c r="AC192" i="12" s="1"/>
  <c r="AG192" i="12" s="1"/>
  <c r="AB193" i="12"/>
  <c r="AC193" i="12" s="1"/>
  <c r="AG193" i="12" s="1"/>
  <c r="AB194" i="12"/>
  <c r="AC194" i="12" s="1"/>
  <c r="AG194" i="12" s="1"/>
  <c r="AB195" i="12"/>
  <c r="AC195" i="12" s="1"/>
  <c r="AG195" i="12" s="1"/>
  <c r="AB196" i="12"/>
  <c r="AC196" i="12" s="1"/>
  <c r="AG196" i="12" s="1"/>
  <c r="AB197" i="12"/>
  <c r="AC197" i="12" s="1"/>
  <c r="AG197" i="12" s="1"/>
  <c r="AB198" i="12"/>
  <c r="AC198" i="12" s="1"/>
  <c r="AG198" i="12" s="1"/>
  <c r="AB199" i="12"/>
  <c r="AC199" i="12" s="1"/>
  <c r="AG199" i="12" s="1"/>
  <c r="AB200" i="12"/>
  <c r="AC200" i="12" s="1"/>
  <c r="AG200" i="12" s="1"/>
  <c r="AB201" i="12"/>
  <c r="AC201" i="12" s="1"/>
  <c r="AG201" i="12" s="1"/>
  <c r="AB202" i="12"/>
  <c r="AC202" i="12" s="1"/>
  <c r="AG202" i="12" s="1"/>
  <c r="AB203" i="12"/>
  <c r="AC203" i="12" s="1"/>
  <c r="AG203" i="12" s="1"/>
  <c r="AB204" i="12"/>
  <c r="AC204" i="12" s="1"/>
  <c r="AG204" i="12" s="1"/>
  <c r="AB205" i="12"/>
  <c r="AC205" i="12" s="1"/>
  <c r="AG205" i="12" s="1"/>
  <c r="AB206" i="12"/>
  <c r="AC206" i="12" s="1"/>
  <c r="AG206" i="12" s="1"/>
  <c r="AB207" i="12"/>
  <c r="AC207" i="12" s="1"/>
  <c r="AG207" i="12" s="1"/>
  <c r="AB208" i="12"/>
  <c r="AC208" i="12" s="1"/>
  <c r="AG208" i="12" s="1"/>
  <c r="AB209" i="12"/>
  <c r="AC209" i="12" s="1"/>
  <c r="AG209" i="12" s="1"/>
  <c r="AB210" i="12"/>
  <c r="AC210" i="12" s="1"/>
  <c r="AG210" i="12" s="1"/>
  <c r="AB211" i="12"/>
  <c r="AC211" i="12" s="1"/>
  <c r="AG211" i="12" s="1"/>
  <c r="AB212" i="12"/>
  <c r="AC212" i="12" s="1"/>
  <c r="AG212" i="12" s="1"/>
  <c r="AB213" i="12"/>
  <c r="AC213" i="12" s="1"/>
  <c r="AG213" i="12" s="1"/>
  <c r="AB214" i="12"/>
  <c r="AC214" i="12" s="1"/>
  <c r="AG214" i="12" s="1"/>
  <c r="AB215" i="12"/>
  <c r="AC215" i="12" s="1"/>
  <c r="AG215" i="12" s="1"/>
  <c r="AB216" i="12"/>
  <c r="AC216" i="12" s="1"/>
  <c r="AG216" i="12" s="1"/>
  <c r="AB217" i="12"/>
  <c r="AC217" i="12" s="1"/>
  <c r="AG217" i="12" s="1"/>
  <c r="AB218" i="12"/>
  <c r="AC218" i="12" s="1"/>
  <c r="AG218" i="12" s="1"/>
  <c r="AB219" i="12"/>
  <c r="AC219" i="12" s="1"/>
  <c r="AG219" i="12" s="1"/>
  <c r="AB220" i="12"/>
  <c r="AC220" i="12" s="1"/>
  <c r="AG220" i="12" s="1"/>
  <c r="AB221" i="12"/>
  <c r="AC221" i="12" s="1"/>
  <c r="AG221" i="12" s="1"/>
  <c r="AB222" i="12"/>
  <c r="AC222" i="12" s="1"/>
  <c r="AG222" i="12" s="1"/>
  <c r="AB223" i="12"/>
  <c r="AC223" i="12" s="1"/>
  <c r="AG223" i="12" s="1"/>
  <c r="AB224" i="12"/>
  <c r="AC224" i="12" s="1"/>
  <c r="AG224" i="12" s="1"/>
  <c r="AB225" i="12"/>
  <c r="AC225" i="12" s="1"/>
  <c r="AG225" i="12" s="1"/>
  <c r="AB226" i="12"/>
  <c r="AC226" i="12" s="1"/>
  <c r="AG226" i="12" s="1"/>
  <c r="AB227" i="12"/>
  <c r="AC227" i="12" s="1"/>
  <c r="AG227" i="12" s="1"/>
  <c r="AB228" i="12"/>
  <c r="AC228" i="12" s="1"/>
  <c r="AG228" i="12" s="1"/>
  <c r="AB229" i="12"/>
  <c r="AC229" i="12" s="1"/>
  <c r="AG229" i="12" s="1"/>
  <c r="AB230" i="12"/>
  <c r="AC230" i="12" s="1"/>
  <c r="AG230" i="12" s="1"/>
  <c r="AB231" i="12"/>
  <c r="AC231" i="12" s="1"/>
  <c r="AG231" i="12" s="1"/>
  <c r="AB232" i="12"/>
  <c r="AC232" i="12" s="1"/>
  <c r="AG232" i="12" s="1"/>
  <c r="AB233" i="12"/>
  <c r="AC233" i="12" s="1"/>
  <c r="AG233" i="12" s="1"/>
  <c r="AB234" i="12"/>
  <c r="AC234" i="12" s="1"/>
  <c r="AG234" i="12" s="1"/>
  <c r="AB235" i="12"/>
  <c r="AC235" i="12" s="1"/>
  <c r="AG235" i="12" s="1"/>
  <c r="AB236" i="12"/>
  <c r="AC236" i="12" s="1"/>
  <c r="AG236" i="12" s="1"/>
  <c r="AB237" i="12"/>
  <c r="AC237" i="12" s="1"/>
  <c r="AG237" i="12" s="1"/>
  <c r="AB238" i="12"/>
  <c r="AC238" i="12" s="1"/>
  <c r="AG238" i="12" s="1"/>
  <c r="AB239" i="12"/>
  <c r="AC239" i="12" s="1"/>
  <c r="AG239" i="12" s="1"/>
  <c r="AB240" i="12"/>
  <c r="AC240" i="12" s="1"/>
  <c r="AG240" i="12" s="1"/>
  <c r="AB241" i="12"/>
  <c r="AC241" i="12" s="1"/>
  <c r="AG241" i="12" s="1"/>
  <c r="AB242" i="12"/>
  <c r="AC242" i="12" s="1"/>
  <c r="AG242" i="12" s="1"/>
  <c r="AB243" i="12"/>
  <c r="AC243" i="12" s="1"/>
  <c r="AG243" i="12" s="1"/>
  <c r="AB244" i="12"/>
  <c r="AC244" i="12" s="1"/>
  <c r="AG244" i="12" s="1"/>
  <c r="AB245" i="12"/>
  <c r="AC245" i="12" s="1"/>
  <c r="AG245" i="12" s="1"/>
  <c r="AB246" i="12"/>
  <c r="AC246" i="12" s="1"/>
  <c r="AG246" i="12" s="1"/>
  <c r="AB247" i="12"/>
  <c r="AC247" i="12" s="1"/>
  <c r="AG247" i="12" s="1"/>
  <c r="AB248" i="12"/>
  <c r="AC248" i="12" s="1"/>
  <c r="AG248" i="12" s="1"/>
  <c r="AB249" i="12"/>
  <c r="AC249" i="12" s="1"/>
  <c r="AG249" i="12" s="1"/>
  <c r="AB250" i="12"/>
  <c r="AC250" i="12" s="1"/>
  <c r="AG250" i="12" s="1"/>
  <c r="AB251" i="12"/>
  <c r="AC251" i="12" s="1"/>
  <c r="AG251" i="12" s="1"/>
  <c r="AB252" i="12"/>
  <c r="AC252" i="12" s="1"/>
  <c r="AG252" i="12" s="1"/>
  <c r="AB253" i="12"/>
  <c r="AC253" i="12" s="1"/>
  <c r="AG253" i="12" s="1"/>
  <c r="AB254" i="12"/>
  <c r="AC254" i="12" s="1"/>
  <c r="AG254" i="12" s="1"/>
  <c r="AB255" i="12"/>
  <c r="AC255" i="12" s="1"/>
  <c r="AG255" i="12" s="1"/>
  <c r="AB256" i="12"/>
  <c r="AC256" i="12" s="1"/>
  <c r="AG256" i="12" s="1"/>
  <c r="AB257" i="12"/>
  <c r="AC257" i="12" s="1"/>
  <c r="AG257" i="12" s="1"/>
  <c r="AB258" i="12"/>
  <c r="AC258" i="12" s="1"/>
  <c r="AG258" i="12" s="1"/>
  <c r="AB259" i="12"/>
  <c r="AC259" i="12" s="1"/>
  <c r="AG259" i="12" s="1"/>
  <c r="AB260" i="12"/>
  <c r="AC260" i="12" s="1"/>
  <c r="AG260" i="12" s="1"/>
  <c r="AB261" i="12"/>
  <c r="AC261" i="12" s="1"/>
  <c r="AG261" i="12" s="1"/>
  <c r="AB262" i="12"/>
  <c r="AC262" i="12" s="1"/>
  <c r="AG262" i="12" s="1"/>
  <c r="AB263" i="12"/>
  <c r="AC263" i="12" s="1"/>
  <c r="AG263" i="12" s="1"/>
  <c r="AB264" i="12"/>
  <c r="AC264" i="12" s="1"/>
  <c r="AG264" i="12" s="1"/>
  <c r="AB265" i="12"/>
  <c r="AC265" i="12" s="1"/>
  <c r="AG265" i="12" s="1"/>
  <c r="AB266" i="12"/>
  <c r="AC266" i="12" s="1"/>
  <c r="AG266" i="12" s="1"/>
  <c r="AB267" i="12"/>
  <c r="AC267" i="12" s="1"/>
  <c r="AG267" i="12" s="1"/>
  <c r="AB268" i="12"/>
  <c r="AC268" i="12" s="1"/>
  <c r="AG268" i="12" s="1"/>
  <c r="AB269" i="12"/>
  <c r="AC269" i="12" s="1"/>
  <c r="AG269" i="12" s="1"/>
  <c r="AB270" i="12"/>
  <c r="AC270" i="12" s="1"/>
  <c r="AG270" i="12" s="1"/>
  <c r="AB271" i="12"/>
  <c r="AC271" i="12" s="1"/>
  <c r="AG271" i="12" s="1"/>
  <c r="AB272" i="12"/>
  <c r="AC272" i="12" s="1"/>
  <c r="AG272" i="12" s="1"/>
  <c r="AB273" i="12"/>
  <c r="AC273" i="12" s="1"/>
  <c r="AG273" i="12" s="1"/>
  <c r="AB274" i="12"/>
  <c r="AC274" i="12" s="1"/>
  <c r="AG274" i="12" s="1"/>
  <c r="AB275" i="12"/>
  <c r="AC275" i="12" s="1"/>
  <c r="AG275" i="12" s="1"/>
  <c r="AB276" i="12"/>
  <c r="AC276" i="12" s="1"/>
  <c r="AG276" i="12" s="1"/>
  <c r="AB277" i="12"/>
  <c r="AC277" i="12" s="1"/>
  <c r="AG277" i="12" s="1"/>
  <c r="AB278" i="12"/>
  <c r="AC278" i="12" s="1"/>
  <c r="AG278" i="12" s="1"/>
  <c r="AB279" i="12"/>
  <c r="AC279" i="12" s="1"/>
  <c r="AG279" i="12" s="1"/>
  <c r="AB280" i="12"/>
  <c r="AC280" i="12" s="1"/>
  <c r="AG280" i="12" s="1"/>
  <c r="AB281" i="12"/>
  <c r="AC281" i="12" s="1"/>
  <c r="AG281" i="12" s="1"/>
  <c r="AB282" i="12"/>
  <c r="AC282" i="12" s="1"/>
  <c r="AG282" i="12" s="1"/>
  <c r="AB283" i="12"/>
  <c r="AC283" i="12" s="1"/>
  <c r="AG283" i="12" s="1"/>
  <c r="AB284" i="12"/>
  <c r="AC284" i="12" s="1"/>
  <c r="AG284" i="12" s="1"/>
  <c r="AB285" i="12"/>
  <c r="AC285" i="12" s="1"/>
  <c r="AG285" i="12" s="1"/>
  <c r="AB286" i="12"/>
  <c r="AC286" i="12" s="1"/>
  <c r="AG286" i="12" s="1"/>
  <c r="AB287" i="12"/>
  <c r="AC287" i="12" s="1"/>
  <c r="AG287" i="12" s="1"/>
  <c r="AB288" i="12"/>
  <c r="AC288" i="12" s="1"/>
  <c r="AG288" i="12" s="1"/>
  <c r="AB289" i="12"/>
  <c r="AC289" i="12" s="1"/>
  <c r="AG289" i="12" s="1"/>
  <c r="AB290" i="12"/>
  <c r="AC290" i="12" s="1"/>
  <c r="AG290" i="12" s="1"/>
  <c r="AB291" i="12"/>
  <c r="AC291" i="12" s="1"/>
  <c r="AG291" i="12" s="1"/>
  <c r="AB292" i="12"/>
  <c r="AC292" i="12" s="1"/>
  <c r="AG292" i="12" s="1"/>
  <c r="AB293" i="12"/>
  <c r="AC293" i="12" s="1"/>
  <c r="AG293" i="12" s="1"/>
  <c r="AB294" i="12"/>
  <c r="AC294" i="12" s="1"/>
  <c r="AG294" i="12" s="1"/>
  <c r="AB295" i="12"/>
  <c r="AC295" i="12" s="1"/>
  <c r="AG295" i="12" s="1"/>
  <c r="AB296" i="12"/>
  <c r="AC296" i="12" s="1"/>
  <c r="AG296" i="12" s="1"/>
  <c r="AB297" i="12"/>
  <c r="AC297" i="12" s="1"/>
  <c r="AG297" i="12" s="1"/>
  <c r="AB298" i="12"/>
  <c r="AC298" i="12" s="1"/>
  <c r="AG298" i="12" s="1"/>
  <c r="AB299" i="12"/>
  <c r="AC299" i="12" s="1"/>
  <c r="AG299" i="12" s="1"/>
  <c r="AB300" i="12"/>
  <c r="AC300" i="12" s="1"/>
  <c r="AG300" i="12" s="1"/>
  <c r="AB2" i="12"/>
  <c r="AC2" i="12" s="1"/>
  <c r="AG2" i="12" s="1"/>
  <c r="S300" i="12"/>
  <c r="R300" i="12"/>
  <c r="V300" i="12" s="1"/>
  <c r="P300" i="12"/>
  <c r="O300" i="12"/>
  <c r="J300" i="12"/>
  <c r="G300" i="12"/>
  <c r="M300" i="12" s="1"/>
  <c r="W300" i="12" s="1"/>
  <c r="S299" i="12"/>
  <c r="R299" i="12"/>
  <c r="V299" i="12" s="1"/>
  <c r="O299" i="12"/>
  <c r="J299" i="12"/>
  <c r="G299" i="12"/>
  <c r="M299" i="12" s="1"/>
  <c r="W299" i="12" s="1"/>
  <c r="S298" i="12"/>
  <c r="R298" i="12"/>
  <c r="V298" i="12" s="1"/>
  <c r="P298" i="12"/>
  <c r="O298" i="12"/>
  <c r="J298" i="12"/>
  <c r="G298" i="12"/>
  <c r="M298" i="12" s="1"/>
  <c r="W298" i="12" s="1"/>
  <c r="S297" i="12"/>
  <c r="R297" i="12"/>
  <c r="V297" i="12" s="1"/>
  <c r="O297" i="12"/>
  <c r="J297" i="12"/>
  <c r="G297" i="12"/>
  <c r="M297" i="12" s="1"/>
  <c r="W297" i="12" s="1"/>
  <c r="S296" i="12"/>
  <c r="R296" i="12"/>
  <c r="V296" i="12" s="1"/>
  <c r="O296" i="12"/>
  <c r="J296" i="12"/>
  <c r="G296" i="12"/>
  <c r="M296" i="12" s="1"/>
  <c r="W296" i="12" s="1"/>
  <c r="S295" i="12"/>
  <c r="R295" i="12"/>
  <c r="V295" i="12" s="1"/>
  <c r="O295" i="12"/>
  <c r="J295" i="12"/>
  <c r="G295" i="12"/>
  <c r="M295" i="12" s="1"/>
  <c r="W295" i="12" s="1"/>
  <c r="S294" i="12"/>
  <c r="R294" i="12"/>
  <c r="V294" i="12" s="1"/>
  <c r="P294" i="12"/>
  <c r="O294" i="12"/>
  <c r="J294" i="12"/>
  <c r="G294" i="12"/>
  <c r="M294" i="12" s="1"/>
  <c r="W294" i="12" s="1"/>
  <c r="S293" i="12"/>
  <c r="R293" i="12"/>
  <c r="V293" i="12" s="1"/>
  <c r="O293" i="12"/>
  <c r="J293" i="12"/>
  <c r="G293" i="12"/>
  <c r="M293" i="12" s="1"/>
  <c r="W293" i="12" s="1"/>
  <c r="S292" i="12"/>
  <c r="R292" i="12"/>
  <c r="V292" i="12" s="1"/>
  <c r="O292" i="12"/>
  <c r="J292" i="12"/>
  <c r="G292" i="12"/>
  <c r="M292" i="12" s="1"/>
  <c r="W292" i="12" s="1"/>
  <c r="S291" i="12"/>
  <c r="R291" i="12"/>
  <c r="V291" i="12" s="1"/>
  <c r="O291" i="12"/>
  <c r="J291" i="12"/>
  <c r="G291" i="12"/>
  <c r="M291" i="12" s="1"/>
  <c r="W291" i="12" s="1"/>
  <c r="S290" i="12"/>
  <c r="R290" i="12"/>
  <c r="V290" i="12" s="1"/>
  <c r="P290" i="12"/>
  <c r="O290" i="12"/>
  <c r="J290" i="12"/>
  <c r="G290" i="12"/>
  <c r="M290" i="12" s="1"/>
  <c r="W290" i="12" s="1"/>
  <c r="S289" i="12"/>
  <c r="R289" i="12"/>
  <c r="V289" i="12" s="1"/>
  <c r="O289" i="12"/>
  <c r="J289" i="12"/>
  <c r="G289" i="12"/>
  <c r="M289" i="12" s="1"/>
  <c r="W289" i="12" s="1"/>
  <c r="S288" i="12"/>
  <c r="R288" i="12"/>
  <c r="V288" i="12" s="1"/>
  <c r="O288" i="12"/>
  <c r="J288" i="12"/>
  <c r="G288" i="12"/>
  <c r="M288" i="12" s="1"/>
  <c r="W288" i="12" s="1"/>
  <c r="S287" i="12"/>
  <c r="R287" i="12"/>
  <c r="V287" i="12" s="1"/>
  <c r="O287" i="12"/>
  <c r="J287" i="12"/>
  <c r="G287" i="12"/>
  <c r="M287" i="12" s="1"/>
  <c r="W287" i="12" s="1"/>
  <c r="S286" i="12"/>
  <c r="R286" i="12"/>
  <c r="V286" i="12" s="1"/>
  <c r="P286" i="12"/>
  <c r="O286" i="12"/>
  <c r="J286" i="12"/>
  <c r="G286" i="12"/>
  <c r="M286" i="12" s="1"/>
  <c r="W286" i="12" s="1"/>
  <c r="S285" i="12"/>
  <c r="R285" i="12"/>
  <c r="V285" i="12" s="1"/>
  <c r="O285" i="12"/>
  <c r="J285" i="12"/>
  <c r="G285" i="12"/>
  <c r="M285" i="12" s="1"/>
  <c r="W285" i="12" s="1"/>
  <c r="S284" i="12"/>
  <c r="R284" i="12"/>
  <c r="V284" i="12" s="1"/>
  <c r="O284" i="12"/>
  <c r="J284" i="12"/>
  <c r="G284" i="12"/>
  <c r="M284" i="12" s="1"/>
  <c r="W284" i="12" s="1"/>
  <c r="S283" i="12"/>
  <c r="R283" i="12"/>
  <c r="V283" i="12" s="1"/>
  <c r="O283" i="12"/>
  <c r="J283" i="12"/>
  <c r="G283" i="12"/>
  <c r="M283" i="12" s="1"/>
  <c r="W283" i="12" s="1"/>
  <c r="S282" i="12"/>
  <c r="R282" i="12"/>
  <c r="V282" i="12" s="1"/>
  <c r="P282" i="12"/>
  <c r="O282" i="12"/>
  <c r="J282" i="12"/>
  <c r="G282" i="12"/>
  <c r="M282" i="12" s="1"/>
  <c r="W282" i="12" s="1"/>
  <c r="S281" i="12"/>
  <c r="R281" i="12"/>
  <c r="V281" i="12" s="1"/>
  <c r="O281" i="12"/>
  <c r="J281" i="12"/>
  <c r="G281" i="12"/>
  <c r="M281" i="12" s="1"/>
  <c r="W281" i="12" s="1"/>
  <c r="S280" i="12"/>
  <c r="R280" i="12"/>
  <c r="V280" i="12" s="1"/>
  <c r="O280" i="12"/>
  <c r="J280" i="12"/>
  <c r="G280" i="12"/>
  <c r="M280" i="12" s="1"/>
  <c r="W280" i="12" s="1"/>
  <c r="S279" i="12"/>
  <c r="R279" i="12"/>
  <c r="V279" i="12" s="1"/>
  <c r="O279" i="12"/>
  <c r="J279" i="12"/>
  <c r="G279" i="12"/>
  <c r="M279" i="12" s="1"/>
  <c r="W279" i="12" s="1"/>
  <c r="S278" i="12"/>
  <c r="R278" i="12"/>
  <c r="V278" i="12" s="1"/>
  <c r="P278" i="12"/>
  <c r="O278" i="12"/>
  <c r="J278" i="12"/>
  <c r="G278" i="12"/>
  <c r="M278" i="12" s="1"/>
  <c r="W278" i="12" s="1"/>
  <c r="S277" i="12"/>
  <c r="R277" i="12"/>
  <c r="V277" i="12" s="1"/>
  <c r="O277" i="12"/>
  <c r="J277" i="12"/>
  <c r="G277" i="12"/>
  <c r="M277" i="12" s="1"/>
  <c r="W277" i="12" s="1"/>
  <c r="S276" i="12"/>
  <c r="R276" i="12"/>
  <c r="V276" i="12" s="1"/>
  <c r="O276" i="12"/>
  <c r="J276" i="12"/>
  <c r="G276" i="12"/>
  <c r="M276" i="12" s="1"/>
  <c r="W276" i="12" s="1"/>
  <c r="S275" i="12"/>
  <c r="R275" i="12"/>
  <c r="V275" i="12" s="1"/>
  <c r="O275" i="12"/>
  <c r="J275" i="12"/>
  <c r="G275" i="12"/>
  <c r="M275" i="12" s="1"/>
  <c r="W275" i="12" s="1"/>
  <c r="S274" i="12"/>
  <c r="R274" i="12"/>
  <c r="V274" i="12" s="1"/>
  <c r="P274" i="12"/>
  <c r="O274" i="12"/>
  <c r="J274" i="12"/>
  <c r="G274" i="12"/>
  <c r="M274" i="12" s="1"/>
  <c r="W274" i="12" s="1"/>
  <c r="S273" i="12"/>
  <c r="R273" i="12"/>
  <c r="V273" i="12" s="1"/>
  <c r="O273" i="12"/>
  <c r="J273" i="12"/>
  <c r="G273" i="12"/>
  <c r="M273" i="12" s="1"/>
  <c r="W273" i="12" s="1"/>
  <c r="S272" i="12"/>
  <c r="R272" i="12"/>
  <c r="V272" i="12" s="1"/>
  <c r="O272" i="12"/>
  <c r="J272" i="12"/>
  <c r="G272" i="12"/>
  <c r="M272" i="12" s="1"/>
  <c r="W272" i="12" s="1"/>
  <c r="S271" i="12"/>
  <c r="R271" i="12"/>
  <c r="V271" i="12" s="1"/>
  <c r="O271" i="12"/>
  <c r="J271" i="12"/>
  <c r="G271" i="12"/>
  <c r="M271" i="12" s="1"/>
  <c r="W271" i="12" s="1"/>
  <c r="S270" i="12"/>
  <c r="R270" i="12"/>
  <c r="V270" i="12" s="1"/>
  <c r="P270" i="12"/>
  <c r="O270" i="12"/>
  <c r="J270" i="12"/>
  <c r="G270" i="12"/>
  <c r="M270" i="12" s="1"/>
  <c r="W270" i="12" s="1"/>
  <c r="S269" i="12"/>
  <c r="R269" i="12"/>
  <c r="V269" i="12" s="1"/>
  <c r="O269" i="12"/>
  <c r="J269" i="12"/>
  <c r="G269" i="12"/>
  <c r="M269" i="12" s="1"/>
  <c r="W269" i="12" s="1"/>
  <c r="S268" i="12"/>
  <c r="R268" i="12"/>
  <c r="V268" i="12" s="1"/>
  <c r="O268" i="12"/>
  <c r="J268" i="12"/>
  <c r="G268" i="12"/>
  <c r="M268" i="12" s="1"/>
  <c r="W268" i="12" s="1"/>
  <c r="S267" i="12"/>
  <c r="R267" i="12"/>
  <c r="V267" i="12" s="1"/>
  <c r="O267" i="12"/>
  <c r="J267" i="12"/>
  <c r="G267" i="12"/>
  <c r="M267" i="12" s="1"/>
  <c r="W267" i="12" s="1"/>
  <c r="S266" i="12"/>
  <c r="R266" i="12"/>
  <c r="V266" i="12" s="1"/>
  <c r="P266" i="12"/>
  <c r="O266" i="12"/>
  <c r="J266" i="12"/>
  <c r="G266" i="12"/>
  <c r="M266" i="12" s="1"/>
  <c r="W266" i="12" s="1"/>
  <c r="S265" i="12"/>
  <c r="R265" i="12"/>
  <c r="V265" i="12" s="1"/>
  <c r="O265" i="12"/>
  <c r="J265" i="12"/>
  <c r="G265" i="12"/>
  <c r="M265" i="12" s="1"/>
  <c r="W265" i="12" s="1"/>
  <c r="S264" i="12"/>
  <c r="R264" i="12"/>
  <c r="V264" i="12" s="1"/>
  <c r="O264" i="12"/>
  <c r="J264" i="12"/>
  <c r="G264" i="12"/>
  <c r="M264" i="12" s="1"/>
  <c r="W264" i="12" s="1"/>
  <c r="S263" i="12"/>
  <c r="R263" i="12"/>
  <c r="V263" i="12" s="1"/>
  <c r="O263" i="12"/>
  <c r="J263" i="12"/>
  <c r="G263" i="12"/>
  <c r="M263" i="12" s="1"/>
  <c r="W263" i="12" s="1"/>
  <c r="S262" i="12"/>
  <c r="R262" i="12"/>
  <c r="V262" i="12" s="1"/>
  <c r="O262" i="12"/>
  <c r="P262" i="12" s="1"/>
  <c r="J262" i="12"/>
  <c r="G262" i="12"/>
  <c r="M262" i="12" s="1"/>
  <c r="W262" i="12" s="1"/>
  <c r="S261" i="12"/>
  <c r="R261" i="12"/>
  <c r="V261" i="12" s="1"/>
  <c r="P261" i="12"/>
  <c r="Q261" i="12" s="1"/>
  <c r="U261" i="12" s="1"/>
  <c r="AF261" i="12" s="1"/>
  <c r="O261" i="12"/>
  <c r="J261" i="12"/>
  <c r="G261" i="12"/>
  <c r="M261" i="12" s="1"/>
  <c r="W261" i="12" s="1"/>
  <c r="V260" i="12"/>
  <c r="S260" i="12"/>
  <c r="R260" i="12"/>
  <c r="O260" i="12"/>
  <c r="J260" i="12"/>
  <c r="G260" i="12"/>
  <c r="M260" i="12" s="1"/>
  <c r="W260" i="12" s="1"/>
  <c r="V259" i="12"/>
  <c r="S259" i="12"/>
  <c r="R259" i="12"/>
  <c r="O259" i="12"/>
  <c r="J259" i="12"/>
  <c r="G259" i="12"/>
  <c r="M259" i="12" s="1"/>
  <c r="W259" i="12" s="1"/>
  <c r="S258" i="12"/>
  <c r="R258" i="12"/>
  <c r="V258" i="12" s="1"/>
  <c r="O258" i="12"/>
  <c r="P258" i="12" s="1"/>
  <c r="J258" i="12"/>
  <c r="Q258" i="12" s="1"/>
  <c r="U258" i="12" s="1"/>
  <c r="AF258" i="12" s="1"/>
  <c r="G258" i="12"/>
  <c r="M258" i="12" s="1"/>
  <c r="W258" i="12" s="1"/>
  <c r="S257" i="12"/>
  <c r="R257" i="12"/>
  <c r="V257" i="12" s="1"/>
  <c r="O257" i="12"/>
  <c r="J257" i="12"/>
  <c r="G257" i="12"/>
  <c r="M257" i="12" s="1"/>
  <c r="W257" i="12" s="1"/>
  <c r="S256" i="12"/>
  <c r="R256" i="12"/>
  <c r="V256" i="12" s="1"/>
  <c r="O256" i="12"/>
  <c r="J256" i="12"/>
  <c r="G256" i="12"/>
  <c r="M256" i="12" s="1"/>
  <c r="W256" i="12" s="1"/>
  <c r="V255" i="12"/>
  <c r="S255" i="12"/>
  <c r="R255" i="12"/>
  <c r="O255" i="12"/>
  <c r="J255" i="12"/>
  <c r="G255" i="12"/>
  <c r="M255" i="12" s="1"/>
  <c r="W255" i="12" s="1"/>
  <c r="S254" i="12"/>
  <c r="R254" i="12"/>
  <c r="V254" i="12" s="1"/>
  <c r="O254" i="12"/>
  <c r="J254" i="12"/>
  <c r="G254" i="12"/>
  <c r="M254" i="12" s="1"/>
  <c r="W254" i="12" s="1"/>
  <c r="S253" i="12"/>
  <c r="R253" i="12"/>
  <c r="V253" i="12" s="1"/>
  <c r="P253" i="12"/>
  <c r="O253" i="12"/>
  <c r="J253" i="12"/>
  <c r="G253" i="12"/>
  <c r="M253" i="12" s="1"/>
  <c r="W253" i="12" s="1"/>
  <c r="S252" i="12"/>
  <c r="R252" i="12"/>
  <c r="V252" i="12" s="1"/>
  <c r="O252" i="12"/>
  <c r="J252" i="12"/>
  <c r="G252" i="12"/>
  <c r="M252" i="12" s="1"/>
  <c r="W252" i="12" s="1"/>
  <c r="S251" i="12"/>
  <c r="R251" i="12"/>
  <c r="V251" i="12" s="1"/>
  <c r="O251" i="12"/>
  <c r="J251" i="12"/>
  <c r="G251" i="12"/>
  <c r="M251" i="12" s="1"/>
  <c r="W251" i="12" s="1"/>
  <c r="S250" i="12"/>
  <c r="R250" i="12"/>
  <c r="V250" i="12" s="1"/>
  <c r="O250" i="12"/>
  <c r="J250" i="12"/>
  <c r="G250" i="12"/>
  <c r="M250" i="12" s="1"/>
  <c r="W250" i="12" s="1"/>
  <c r="S249" i="12"/>
  <c r="R249" i="12"/>
  <c r="V249" i="12" s="1"/>
  <c r="O249" i="12"/>
  <c r="P249" i="12" s="1"/>
  <c r="J249" i="12"/>
  <c r="G249" i="12"/>
  <c r="M249" i="12" s="1"/>
  <c r="W249" i="12" s="1"/>
  <c r="S248" i="12"/>
  <c r="R248" i="12"/>
  <c r="V248" i="12" s="1"/>
  <c r="O248" i="12"/>
  <c r="J248" i="12"/>
  <c r="G248" i="12"/>
  <c r="M248" i="12" s="1"/>
  <c r="W248" i="12" s="1"/>
  <c r="S247" i="12"/>
  <c r="R247" i="12"/>
  <c r="V247" i="12" s="1"/>
  <c r="O247" i="12"/>
  <c r="J247" i="12"/>
  <c r="G247" i="12"/>
  <c r="M247" i="12" s="1"/>
  <c r="W247" i="12" s="1"/>
  <c r="S246" i="12"/>
  <c r="R246" i="12"/>
  <c r="V246" i="12" s="1"/>
  <c r="Q246" i="12"/>
  <c r="U246" i="12" s="1"/>
  <c r="AF246" i="12" s="1"/>
  <c r="P246" i="12"/>
  <c r="O246" i="12"/>
  <c r="J246" i="12"/>
  <c r="G246" i="12"/>
  <c r="M246" i="12" s="1"/>
  <c r="W246" i="12" s="1"/>
  <c r="S245" i="12"/>
  <c r="R245" i="12"/>
  <c r="V245" i="12" s="1"/>
  <c r="O245" i="12"/>
  <c r="J245" i="12"/>
  <c r="G245" i="12"/>
  <c r="M245" i="12" s="1"/>
  <c r="W245" i="12" s="1"/>
  <c r="S244" i="12"/>
  <c r="R244" i="12"/>
  <c r="V244" i="12" s="1"/>
  <c r="O244" i="12"/>
  <c r="J244" i="12"/>
  <c r="G244" i="12"/>
  <c r="M244" i="12" s="1"/>
  <c r="W244" i="12" s="1"/>
  <c r="V243" i="12"/>
  <c r="S243" i="12"/>
  <c r="R243" i="12"/>
  <c r="O243" i="12"/>
  <c r="J243" i="12"/>
  <c r="G243" i="12"/>
  <c r="M243" i="12" s="1"/>
  <c r="W243" i="12" s="1"/>
  <c r="S242" i="12"/>
  <c r="R242" i="12"/>
  <c r="V242" i="12" s="1"/>
  <c r="P242" i="12"/>
  <c r="Q242" i="12" s="1"/>
  <c r="U242" i="12" s="1"/>
  <c r="AF242" i="12" s="1"/>
  <c r="O242" i="12"/>
  <c r="J242" i="12"/>
  <c r="G242" i="12"/>
  <c r="M242" i="12" s="1"/>
  <c r="W242" i="12" s="1"/>
  <c r="S241" i="12"/>
  <c r="R241" i="12"/>
  <c r="V241" i="12" s="1"/>
  <c r="O241" i="12"/>
  <c r="J241" i="12"/>
  <c r="G241" i="12"/>
  <c r="M241" i="12" s="1"/>
  <c r="W241" i="12" s="1"/>
  <c r="S240" i="12"/>
  <c r="R240" i="12"/>
  <c r="V240" i="12" s="1"/>
  <c r="O240" i="12"/>
  <c r="J240" i="12"/>
  <c r="G240" i="12"/>
  <c r="M240" i="12" s="1"/>
  <c r="W240" i="12" s="1"/>
  <c r="V239" i="12"/>
  <c r="S239" i="12"/>
  <c r="R239" i="12"/>
  <c r="O239" i="12"/>
  <c r="J239" i="12"/>
  <c r="G239" i="12"/>
  <c r="M239" i="12" s="1"/>
  <c r="W239" i="12" s="1"/>
  <c r="S238" i="12"/>
  <c r="R238" i="12"/>
  <c r="V238" i="12" s="1"/>
  <c r="P238" i="12"/>
  <c r="Q238" i="12" s="1"/>
  <c r="U238" i="12" s="1"/>
  <c r="AF238" i="12" s="1"/>
  <c r="O238" i="12"/>
  <c r="J238" i="12"/>
  <c r="G238" i="12"/>
  <c r="M238" i="12" s="1"/>
  <c r="W238" i="12" s="1"/>
  <c r="S237" i="12"/>
  <c r="R237" i="12"/>
  <c r="V237" i="12" s="1"/>
  <c r="O237" i="12"/>
  <c r="J237" i="12"/>
  <c r="G237" i="12"/>
  <c r="M237" i="12" s="1"/>
  <c r="W237" i="12" s="1"/>
  <c r="S236" i="12"/>
  <c r="R236" i="12"/>
  <c r="V236" i="12" s="1"/>
  <c r="O236" i="12"/>
  <c r="J236" i="12"/>
  <c r="G236" i="12"/>
  <c r="M236" i="12" s="1"/>
  <c r="W236" i="12" s="1"/>
  <c r="S235" i="12"/>
  <c r="R235" i="12"/>
  <c r="V235" i="12" s="1"/>
  <c r="O235" i="12"/>
  <c r="J235" i="12"/>
  <c r="G235" i="12"/>
  <c r="M235" i="12" s="1"/>
  <c r="W235" i="12" s="1"/>
  <c r="S234" i="12"/>
  <c r="R234" i="12"/>
  <c r="V234" i="12" s="1"/>
  <c r="P234" i="12"/>
  <c r="Q234" i="12" s="1"/>
  <c r="U234" i="12" s="1"/>
  <c r="AF234" i="12" s="1"/>
  <c r="O234" i="12"/>
  <c r="J234" i="12"/>
  <c r="G234" i="12"/>
  <c r="M234" i="12" s="1"/>
  <c r="W234" i="12" s="1"/>
  <c r="S233" i="12"/>
  <c r="R233" i="12"/>
  <c r="V233" i="12" s="1"/>
  <c r="O233" i="12"/>
  <c r="P233" i="12" s="1"/>
  <c r="J233" i="12"/>
  <c r="G233" i="12"/>
  <c r="M233" i="12" s="1"/>
  <c r="W233" i="12" s="1"/>
  <c r="S232" i="12"/>
  <c r="R232" i="12"/>
  <c r="V232" i="12" s="1"/>
  <c r="O232" i="12"/>
  <c r="J232" i="12"/>
  <c r="G232" i="12"/>
  <c r="M232" i="12" s="1"/>
  <c r="W232" i="12" s="1"/>
  <c r="S231" i="12"/>
  <c r="R231" i="12"/>
  <c r="V231" i="12" s="1"/>
  <c r="O231" i="12"/>
  <c r="J231" i="12"/>
  <c r="G231" i="12"/>
  <c r="M231" i="12" s="1"/>
  <c r="W231" i="12" s="1"/>
  <c r="S230" i="12"/>
  <c r="R230" i="12"/>
  <c r="V230" i="12" s="1"/>
  <c r="O230" i="12"/>
  <c r="J230" i="12"/>
  <c r="G230" i="12"/>
  <c r="M230" i="12" s="1"/>
  <c r="W230" i="12" s="1"/>
  <c r="S229" i="12"/>
  <c r="R229" i="12"/>
  <c r="V229" i="12" s="1"/>
  <c r="O229" i="12"/>
  <c r="J229" i="12"/>
  <c r="G229" i="12"/>
  <c r="M229" i="12" s="1"/>
  <c r="W229" i="12" s="1"/>
  <c r="S228" i="12"/>
  <c r="R228" i="12"/>
  <c r="V228" i="12" s="1"/>
  <c r="O228" i="12"/>
  <c r="J228" i="12"/>
  <c r="G228" i="12"/>
  <c r="M228" i="12" s="1"/>
  <c r="W228" i="12" s="1"/>
  <c r="S227" i="12"/>
  <c r="R227" i="12"/>
  <c r="V227" i="12" s="1"/>
  <c r="O227" i="12"/>
  <c r="J227" i="12"/>
  <c r="G227" i="12"/>
  <c r="M227" i="12" s="1"/>
  <c r="W227" i="12" s="1"/>
  <c r="S226" i="12"/>
  <c r="R226" i="12"/>
  <c r="V226" i="12" s="1"/>
  <c r="O226" i="12"/>
  <c r="J226" i="12"/>
  <c r="G226" i="12"/>
  <c r="M226" i="12" s="1"/>
  <c r="W226" i="12" s="1"/>
  <c r="S225" i="12"/>
  <c r="R225" i="12"/>
  <c r="V225" i="12" s="1"/>
  <c r="O225" i="12"/>
  <c r="J225" i="12"/>
  <c r="G225" i="12"/>
  <c r="M225" i="12" s="1"/>
  <c r="W225" i="12" s="1"/>
  <c r="S224" i="12"/>
  <c r="R224" i="12"/>
  <c r="V224" i="12" s="1"/>
  <c r="O224" i="12"/>
  <c r="J224" i="12"/>
  <c r="G224" i="12"/>
  <c r="M224" i="12" s="1"/>
  <c r="W224" i="12" s="1"/>
  <c r="S223" i="12"/>
  <c r="R223" i="12"/>
  <c r="V223" i="12" s="1"/>
  <c r="O223" i="12"/>
  <c r="J223" i="12"/>
  <c r="G223" i="12"/>
  <c r="M223" i="12" s="1"/>
  <c r="W223" i="12" s="1"/>
  <c r="S222" i="12"/>
  <c r="R222" i="12"/>
  <c r="V222" i="12" s="1"/>
  <c r="O222" i="12"/>
  <c r="J222" i="12"/>
  <c r="G222" i="12"/>
  <c r="M222" i="12" s="1"/>
  <c r="W222" i="12" s="1"/>
  <c r="S221" i="12"/>
  <c r="R221" i="12"/>
  <c r="V221" i="12" s="1"/>
  <c r="O221" i="12"/>
  <c r="J221" i="12"/>
  <c r="G221" i="12"/>
  <c r="M221" i="12" s="1"/>
  <c r="W221" i="12" s="1"/>
  <c r="S220" i="12"/>
  <c r="R220" i="12"/>
  <c r="V220" i="12" s="1"/>
  <c r="O220" i="12"/>
  <c r="J220" i="12"/>
  <c r="G220" i="12"/>
  <c r="M220" i="12" s="1"/>
  <c r="W220" i="12" s="1"/>
  <c r="V219" i="12"/>
  <c r="S219" i="12"/>
  <c r="R219" i="12"/>
  <c r="O219" i="12"/>
  <c r="J219" i="12"/>
  <c r="G219" i="12"/>
  <c r="M219" i="12" s="1"/>
  <c r="W219" i="12" s="1"/>
  <c r="S218" i="12"/>
  <c r="R218" i="12"/>
  <c r="V218" i="12" s="1"/>
  <c r="O218" i="12"/>
  <c r="J218" i="12"/>
  <c r="G218" i="12"/>
  <c r="M218" i="12" s="1"/>
  <c r="W218" i="12" s="1"/>
  <c r="S217" i="12"/>
  <c r="R217" i="12"/>
  <c r="V217" i="12" s="1"/>
  <c r="O217" i="12"/>
  <c r="J217" i="12"/>
  <c r="G217" i="12"/>
  <c r="M217" i="12" s="1"/>
  <c r="W217" i="12" s="1"/>
  <c r="S216" i="12"/>
  <c r="R216" i="12"/>
  <c r="V216" i="12" s="1"/>
  <c r="O216" i="12"/>
  <c r="J216" i="12"/>
  <c r="G216" i="12"/>
  <c r="M216" i="12" s="1"/>
  <c r="W216" i="12" s="1"/>
  <c r="V215" i="12"/>
  <c r="S215" i="12"/>
  <c r="R215" i="12"/>
  <c r="O215" i="12"/>
  <c r="J215" i="12"/>
  <c r="G215" i="12"/>
  <c r="M215" i="12" s="1"/>
  <c r="W215" i="12" s="1"/>
  <c r="S214" i="12"/>
  <c r="R214" i="12"/>
  <c r="V214" i="12" s="1"/>
  <c r="O214" i="12"/>
  <c r="P214" i="12" s="1"/>
  <c r="Q214" i="12" s="1"/>
  <c r="U214" i="12" s="1"/>
  <c r="AF214" i="12" s="1"/>
  <c r="J214" i="12"/>
  <c r="G214" i="12"/>
  <c r="M214" i="12" s="1"/>
  <c r="W214" i="12" s="1"/>
  <c r="S213" i="12"/>
  <c r="R213" i="12"/>
  <c r="V213" i="12" s="1"/>
  <c r="O213" i="12"/>
  <c r="J213" i="12"/>
  <c r="G213" i="12"/>
  <c r="M213" i="12" s="1"/>
  <c r="W213" i="12" s="1"/>
  <c r="S212" i="12"/>
  <c r="R212" i="12"/>
  <c r="V212" i="12" s="1"/>
  <c r="O212" i="12"/>
  <c r="J212" i="12"/>
  <c r="G212" i="12"/>
  <c r="M212" i="12" s="1"/>
  <c r="W212" i="12" s="1"/>
  <c r="V211" i="12"/>
  <c r="S211" i="12"/>
  <c r="R211" i="12"/>
  <c r="O211" i="12"/>
  <c r="N211" i="12"/>
  <c r="J211" i="12"/>
  <c r="G211" i="12"/>
  <c r="M211" i="12" s="1"/>
  <c r="W211" i="12" s="1"/>
  <c r="S210" i="12"/>
  <c r="R210" i="12"/>
  <c r="V210" i="12" s="1"/>
  <c r="O210" i="12"/>
  <c r="J210" i="12"/>
  <c r="G210" i="12"/>
  <c r="M210" i="12" s="1"/>
  <c r="W210" i="12" s="1"/>
  <c r="S209" i="12"/>
  <c r="R209" i="12"/>
  <c r="V209" i="12" s="1"/>
  <c r="O209" i="12"/>
  <c r="J209" i="12"/>
  <c r="G209" i="12"/>
  <c r="M209" i="12" s="1"/>
  <c r="W209" i="12" s="1"/>
  <c r="S208" i="12"/>
  <c r="R208" i="12"/>
  <c r="V208" i="12" s="1"/>
  <c r="O208" i="12"/>
  <c r="J208" i="12"/>
  <c r="G208" i="12"/>
  <c r="M208" i="12" s="1"/>
  <c r="W208" i="12" s="1"/>
  <c r="V207" i="12"/>
  <c r="S207" i="12"/>
  <c r="R207" i="12"/>
  <c r="O207" i="12"/>
  <c r="J207" i="12"/>
  <c r="G207" i="12"/>
  <c r="M207" i="12" s="1"/>
  <c r="W207" i="12" s="1"/>
  <c r="S206" i="12"/>
  <c r="R206" i="12"/>
  <c r="V206" i="12" s="1"/>
  <c r="O206" i="12"/>
  <c r="J206" i="12"/>
  <c r="G206" i="12"/>
  <c r="M206" i="12" s="1"/>
  <c r="W206" i="12" s="1"/>
  <c r="S205" i="12"/>
  <c r="R205" i="12"/>
  <c r="V205" i="12" s="1"/>
  <c r="P205" i="12"/>
  <c r="O205" i="12"/>
  <c r="J205" i="12"/>
  <c r="G205" i="12"/>
  <c r="M205" i="12" s="1"/>
  <c r="W205" i="12" s="1"/>
  <c r="S204" i="12"/>
  <c r="R204" i="12"/>
  <c r="V204" i="12" s="1"/>
  <c r="O204" i="12"/>
  <c r="J204" i="12"/>
  <c r="G204" i="12"/>
  <c r="M204" i="12" s="1"/>
  <c r="W204" i="12" s="1"/>
  <c r="S203" i="12"/>
  <c r="R203" i="12"/>
  <c r="V203" i="12" s="1"/>
  <c r="O203" i="12"/>
  <c r="J203" i="12"/>
  <c r="G203" i="12"/>
  <c r="M203" i="12" s="1"/>
  <c r="W203" i="12" s="1"/>
  <c r="S202" i="12"/>
  <c r="R202" i="12"/>
  <c r="V202" i="12" s="1"/>
  <c r="P202" i="12"/>
  <c r="O202" i="12"/>
  <c r="J202" i="12"/>
  <c r="G202" i="12"/>
  <c r="M202" i="12" s="1"/>
  <c r="W202" i="12" s="1"/>
  <c r="S201" i="12"/>
  <c r="R201" i="12"/>
  <c r="V201" i="12" s="1"/>
  <c r="O201" i="12"/>
  <c r="J201" i="12"/>
  <c r="G201" i="12"/>
  <c r="M201" i="12" s="1"/>
  <c r="W201" i="12" s="1"/>
  <c r="S200" i="12"/>
  <c r="R200" i="12"/>
  <c r="V200" i="12" s="1"/>
  <c r="Q200" i="12"/>
  <c r="U200" i="12" s="1"/>
  <c r="AF200" i="12" s="1"/>
  <c r="P200" i="12"/>
  <c r="O200" i="12"/>
  <c r="J200" i="12"/>
  <c r="G200" i="12"/>
  <c r="M200" i="12" s="1"/>
  <c r="W200" i="12" s="1"/>
  <c r="S199" i="12"/>
  <c r="R199" i="12"/>
  <c r="V199" i="12" s="1"/>
  <c r="Q199" i="12"/>
  <c r="U199" i="12" s="1"/>
  <c r="AF199" i="12" s="1"/>
  <c r="P199" i="12"/>
  <c r="O199" i="12"/>
  <c r="J199" i="12"/>
  <c r="G199" i="12"/>
  <c r="M199" i="12" s="1"/>
  <c r="W199" i="12" s="1"/>
  <c r="S198" i="12"/>
  <c r="R198" i="12"/>
  <c r="V198" i="12" s="1"/>
  <c r="O198" i="12"/>
  <c r="J198" i="12"/>
  <c r="G198" i="12"/>
  <c r="M198" i="12" s="1"/>
  <c r="W198" i="12" s="1"/>
  <c r="S197" i="12"/>
  <c r="R197" i="12"/>
  <c r="V197" i="12" s="1"/>
  <c r="O197" i="12"/>
  <c r="J197" i="12"/>
  <c r="G197" i="12"/>
  <c r="M197" i="12" s="1"/>
  <c r="W197" i="12" s="1"/>
  <c r="S196" i="12"/>
  <c r="R196" i="12"/>
  <c r="V196" i="12" s="1"/>
  <c r="O196" i="12"/>
  <c r="P196" i="12" s="1"/>
  <c r="J196" i="12"/>
  <c r="G196" i="12"/>
  <c r="M196" i="12" s="1"/>
  <c r="W196" i="12" s="1"/>
  <c r="S195" i="12"/>
  <c r="R195" i="12"/>
  <c r="V195" i="12" s="1"/>
  <c r="O195" i="12"/>
  <c r="J195" i="12"/>
  <c r="G195" i="12"/>
  <c r="M195" i="12" s="1"/>
  <c r="W195" i="12" s="1"/>
  <c r="S194" i="12"/>
  <c r="R194" i="12"/>
  <c r="V194" i="12" s="1"/>
  <c r="O194" i="12"/>
  <c r="P194" i="12" s="1"/>
  <c r="J194" i="12"/>
  <c r="G194" i="12"/>
  <c r="M194" i="12" s="1"/>
  <c r="W194" i="12" s="1"/>
  <c r="S193" i="12"/>
  <c r="R193" i="12"/>
  <c r="V193" i="12" s="1"/>
  <c r="O193" i="12"/>
  <c r="J193" i="12"/>
  <c r="G193" i="12"/>
  <c r="M193" i="12" s="1"/>
  <c r="W193" i="12" s="1"/>
  <c r="V192" i="12"/>
  <c r="S192" i="12"/>
  <c r="R192" i="12"/>
  <c r="P192" i="12"/>
  <c r="Q192" i="12" s="1"/>
  <c r="U192" i="12" s="1"/>
  <c r="AF192" i="12" s="1"/>
  <c r="O192" i="12"/>
  <c r="J192" i="12"/>
  <c r="G192" i="12"/>
  <c r="M192" i="12" s="1"/>
  <c r="W192" i="12" s="1"/>
  <c r="S191" i="12"/>
  <c r="R191" i="12"/>
  <c r="V191" i="12" s="1"/>
  <c r="P191" i="12"/>
  <c r="Q191" i="12" s="1"/>
  <c r="U191" i="12" s="1"/>
  <c r="AF191" i="12" s="1"/>
  <c r="O191" i="12"/>
  <c r="J191" i="12"/>
  <c r="G191" i="12"/>
  <c r="M191" i="12" s="1"/>
  <c r="W191" i="12" s="1"/>
  <c r="S190" i="12"/>
  <c r="R190" i="12"/>
  <c r="V190" i="12" s="1"/>
  <c r="O190" i="12"/>
  <c r="J190" i="12"/>
  <c r="G190" i="12"/>
  <c r="M190" i="12" s="1"/>
  <c r="W190" i="12" s="1"/>
  <c r="S189" i="12"/>
  <c r="R189" i="12"/>
  <c r="V189" i="12" s="1"/>
  <c r="O189" i="12"/>
  <c r="J189" i="12"/>
  <c r="G189" i="12"/>
  <c r="M189" i="12" s="1"/>
  <c r="W189" i="12" s="1"/>
  <c r="S188" i="12"/>
  <c r="R188" i="12"/>
  <c r="V188" i="12" s="1"/>
  <c r="P188" i="12"/>
  <c r="O188" i="12"/>
  <c r="J188" i="12"/>
  <c r="G188" i="12"/>
  <c r="M188" i="12" s="1"/>
  <c r="W188" i="12" s="1"/>
  <c r="S187" i="12"/>
  <c r="R187" i="12"/>
  <c r="V187" i="12" s="1"/>
  <c r="O187" i="12"/>
  <c r="J187" i="12"/>
  <c r="G187" i="12"/>
  <c r="M187" i="12" s="1"/>
  <c r="W187" i="12" s="1"/>
  <c r="S186" i="12"/>
  <c r="R186" i="12"/>
  <c r="V186" i="12" s="1"/>
  <c r="P186" i="12"/>
  <c r="O186" i="12"/>
  <c r="J186" i="12"/>
  <c r="Q186" i="12" s="1"/>
  <c r="U186" i="12" s="1"/>
  <c r="AF186" i="12" s="1"/>
  <c r="G186" i="12"/>
  <c r="M186" i="12" s="1"/>
  <c r="W186" i="12" s="1"/>
  <c r="S185" i="12"/>
  <c r="R185" i="12"/>
  <c r="V185" i="12" s="1"/>
  <c r="O185" i="12"/>
  <c r="J185" i="12"/>
  <c r="G185" i="12"/>
  <c r="M185" i="12" s="1"/>
  <c r="W185" i="12" s="1"/>
  <c r="S184" i="12"/>
  <c r="R184" i="12"/>
  <c r="V184" i="12" s="1"/>
  <c r="O184" i="12"/>
  <c r="J184" i="12"/>
  <c r="G184" i="12"/>
  <c r="M184" i="12" s="1"/>
  <c r="W184" i="12" s="1"/>
  <c r="S183" i="12"/>
  <c r="R183" i="12"/>
  <c r="V183" i="12" s="1"/>
  <c r="O183" i="12"/>
  <c r="J183" i="12"/>
  <c r="G183" i="12"/>
  <c r="M183" i="12" s="1"/>
  <c r="W183" i="12" s="1"/>
  <c r="S182" i="12"/>
  <c r="R182" i="12"/>
  <c r="V182" i="12" s="1"/>
  <c r="P182" i="12"/>
  <c r="O182" i="12"/>
  <c r="J182" i="12"/>
  <c r="G182" i="12"/>
  <c r="M182" i="12" s="1"/>
  <c r="W182" i="12" s="1"/>
  <c r="S181" i="12"/>
  <c r="R181" i="12"/>
  <c r="V181" i="12" s="1"/>
  <c r="O181" i="12"/>
  <c r="J181" i="12"/>
  <c r="G181" i="12"/>
  <c r="M181" i="12" s="1"/>
  <c r="W181" i="12" s="1"/>
  <c r="S180" i="12"/>
  <c r="R180" i="12"/>
  <c r="V180" i="12" s="1"/>
  <c r="P180" i="12"/>
  <c r="Q180" i="12" s="1"/>
  <c r="U180" i="12" s="1"/>
  <c r="AF180" i="12" s="1"/>
  <c r="O180" i="12"/>
  <c r="J180" i="12"/>
  <c r="G180" i="12"/>
  <c r="M180" i="12" s="1"/>
  <c r="W180" i="12" s="1"/>
  <c r="S179" i="12"/>
  <c r="R179" i="12"/>
  <c r="V179" i="12" s="1"/>
  <c r="O179" i="12"/>
  <c r="P179" i="12" s="1"/>
  <c r="J179" i="12"/>
  <c r="G179" i="12"/>
  <c r="M179" i="12" s="1"/>
  <c r="W179" i="12" s="1"/>
  <c r="S178" i="12"/>
  <c r="R178" i="12"/>
  <c r="V178" i="12" s="1"/>
  <c r="P178" i="12"/>
  <c r="O178" i="12"/>
  <c r="J178" i="12"/>
  <c r="G178" i="12"/>
  <c r="M178" i="12" s="1"/>
  <c r="W178" i="12" s="1"/>
  <c r="S177" i="12"/>
  <c r="R177" i="12"/>
  <c r="V177" i="12" s="1"/>
  <c r="O177" i="12"/>
  <c r="J177" i="12"/>
  <c r="G177" i="12"/>
  <c r="M177" i="12" s="1"/>
  <c r="W177" i="12" s="1"/>
  <c r="S176" i="12"/>
  <c r="R176" i="12"/>
  <c r="V176" i="12" s="1"/>
  <c r="O176" i="12"/>
  <c r="J176" i="12"/>
  <c r="G176" i="12"/>
  <c r="M176" i="12" s="1"/>
  <c r="W176" i="12" s="1"/>
  <c r="S175" i="12"/>
  <c r="R175" i="12"/>
  <c r="V175" i="12" s="1"/>
  <c r="O175" i="12"/>
  <c r="J175" i="12"/>
  <c r="G175" i="12"/>
  <c r="M175" i="12" s="1"/>
  <c r="W175" i="12" s="1"/>
  <c r="S174" i="12"/>
  <c r="R174" i="12"/>
  <c r="V174" i="12" s="1"/>
  <c r="O174" i="12"/>
  <c r="J174" i="12"/>
  <c r="G174" i="12"/>
  <c r="M174" i="12" s="1"/>
  <c r="W174" i="12" s="1"/>
  <c r="S173" i="12"/>
  <c r="R173" i="12"/>
  <c r="V173" i="12" s="1"/>
  <c r="O173" i="12"/>
  <c r="J173" i="12"/>
  <c r="G173" i="12"/>
  <c r="M173" i="12" s="1"/>
  <c r="W173" i="12" s="1"/>
  <c r="S172" i="12"/>
  <c r="R172" i="12"/>
  <c r="V172" i="12" s="1"/>
  <c r="O172" i="12"/>
  <c r="J172" i="12"/>
  <c r="G172" i="12"/>
  <c r="M172" i="12" s="1"/>
  <c r="W172" i="12" s="1"/>
  <c r="S171" i="12"/>
  <c r="R171" i="12"/>
  <c r="V171" i="12" s="1"/>
  <c r="O171" i="12"/>
  <c r="J171" i="12"/>
  <c r="G171" i="12"/>
  <c r="M171" i="12" s="1"/>
  <c r="W171" i="12" s="1"/>
  <c r="S170" i="12"/>
  <c r="R170" i="12"/>
  <c r="V170" i="12" s="1"/>
  <c r="O170" i="12"/>
  <c r="J170" i="12"/>
  <c r="G170" i="12"/>
  <c r="M170" i="12" s="1"/>
  <c r="W170" i="12" s="1"/>
  <c r="S169" i="12"/>
  <c r="R169" i="12"/>
  <c r="V169" i="12" s="1"/>
  <c r="O169" i="12"/>
  <c r="J169" i="12"/>
  <c r="G169" i="12"/>
  <c r="M169" i="12" s="1"/>
  <c r="W169" i="12" s="1"/>
  <c r="S168" i="12"/>
  <c r="R168" i="12"/>
  <c r="V168" i="12" s="1"/>
  <c r="P168" i="12"/>
  <c r="O168" i="12"/>
  <c r="J168" i="12"/>
  <c r="G168" i="12"/>
  <c r="M168" i="12" s="1"/>
  <c r="W168" i="12" s="1"/>
  <c r="S167" i="12"/>
  <c r="R167" i="12"/>
  <c r="V167" i="12" s="1"/>
  <c r="O167" i="12"/>
  <c r="J167" i="12"/>
  <c r="G167" i="12"/>
  <c r="M167" i="12" s="1"/>
  <c r="W167" i="12" s="1"/>
  <c r="S166" i="12"/>
  <c r="R166" i="12"/>
  <c r="V166" i="12" s="1"/>
  <c r="P166" i="12"/>
  <c r="O166" i="12"/>
  <c r="J166" i="12"/>
  <c r="G166" i="12"/>
  <c r="M166" i="12" s="1"/>
  <c r="W166" i="12" s="1"/>
  <c r="S165" i="12"/>
  <c r="R165" i="12"/>
  <c r="V165" i="12" s="1"/>
  <c r="O165" i="12"/>
  <c r="J165" i="12"/>
  <c r="G165" i="12"/>
  <c r="M165" i="12" s="1"/>
  <c r="W165" i="12" s="1"/>
  <c r="S164" i="12"/>
  <c r="R164" i="12"/>
  <c r="V164" i="12" s="1"/>
  <c r="O164" i="12"/>
  <c r="J164" i="12"/>
  <c r="G164" i="12"/>
  <c r="M164" i="12" s="1"/>
  <c r="W164" i="12" s="1"/>
  <c r="S163" i="12"/>
  <c r="R163" i="12"/>
  <c r="V163" i="12" s="1"/>
  <c r="P163" i="12"/>
  <c r="O163" i="12"/>
  <c r="J163" i="12"/>
  <c r="G163" i="12"/>
  <c r="M163" i="12" s="1"/>
  <c r="W163" i="12" s="1"/>
  <c r="S162" i="12"/>
  <c r="R162" i="12"/>
  <c r="V162" i="12" s="1"/>
  <c r="O162" i="12"/>
  <c r="J162" i="12"/>
  <c r="G162" i="12"/>
  <c r="M162" i="12" s="1"/>
  <c r="W162" i="12" s="1"/>
  <c r="S161" i="12"/>
  <c r="R161" i="12"/>
  <c r="V161" i="12" s="1"/>
  <c r="O161" i="12"/>
  <c r="J161" i="12"/>
  <c r="G161" i="12"/>
  <c r="M161" i="12" s="1"/>
  <c r="W161" i="12" s="1"/>
  <c r="V160" i="12"/>
  <c r="S160" i="12"/>
  <c r="R160" i="12"/>
  <c r="P160" i="12"/>
  <c r="O160" i="12"/>
  <c r="J160" i="12"/>
  <c r="G160" i="12"/>
  <c r="M160" i="12" s="1"/>
  <c r="W160" i="12" s="1"/>
  <c r="S159" i="12"/>
  <c r="R159" i="12"/>
  <c r="V159" i="12" s="1"/>
  <c r="P159" i="12"/>
  <c r="O159" i="12"/>
  <c r="J159" i="12"/>
  <c r="G159" i="12"/>
  <c r="M159" i="12" s="1"/>
  <c r="W159" i="12" s="1"/>
  <c r="S158" i="12"/>
  <c r="R158" i="12"/>
  <c r="V158" i="12" s="1"/>
  <c r="O158" i="12"/>
  <c r="J158" i="12"/>
  <c r="G158" i="12"/>
  <c r="M158" i="12" s="1"/>
  <c r="W158" i="12" s="1"/>
  <c r="V157" i="12"/>
  <c r="S157" i="12"/>
  <c r="R157" i="12"/>
  <c r="O157" i="12"/>
  <c r="J157" i="12"/>
  <c r="G157" i="12"/>
  <c r="M157" i="12" s="1"/>
  <c r="W157" i="12" s="1"/>
  <c r="S156" i="12"/>
  <c r="R156" i="12"/>
  <c r="V156" i="12" s="1"/>
  <c r="P156" i="12"/>
  <c r="O156" i="12"/>
  <c r="J156" i="12"/>
  <c r="G156" i="12"/>
  <c r="M156" i="12" s="1"/>
  <c r="W156" i="12" s="1"/>
  <c r="S155" i="12"/>
  <c r="R155" i="12"/>
  <c r="V155" i="12" s="1"/>
  <c r="O155" i="12"/>
  <c r="J155" i="12"/>
  <c r="G155" i="12"/>
  <c r="M155" i="12" s="1"/>
  <c r="W155" i="12" s="1"/>
  <c r="S154" i="12"/>
  <c r="R154" i="12"/>
  <c r="V154" i="12" s="1"/>
  <c r="O154" i="12"/>
  <c r="P154" i="12" s="1"/>
  <c r="J154" i="12"/>
  <c r="G154" i="12"/>
  <c r="M154" i="12" s="1"/>
  <c r="W154" i="12" s="1"/>
  <c r="S153" i="12"/>
  <c r="R153" i="12"/>
  <c r="V153" i="12" s="1"/>
  <c r="O153" i="12"/>
  <c r="J153" i="12"/>
  <c r="G153" i="12"/>
  <c r="M153" i="12" s="1"/>
  <c r="W153" i="12" s="1"/>
  <c r="S152" i="12"/>
  <c r="R152" i="12"/>
  <c r="V152" i="12" s="1"/>
  <c r="P152" i="12"/>
  <c r="O152" i="12"/>
  <c r="J152" i="12"/>
  <c r="Q152" i="12" s="1"/>
  <c r="U152" i="12" s="1"/>
  <c r="AF152" i="12" s="1"/>
  <c r="G152" i="12"/>
  <c r="M152" i="12" s="1"/>
  <c r="W152" i="12" s="1"/>
  <c r="S151" i="12"/>
  <c r="R151" i="12"/>
  <c r="V151" i="12" s="1"/>
  <c r="P151" i="12"/>
  <c r="Q151" i="12" s="1"/>
  <c r="U151" i="12" s="1"/>
  <c r="AF151" i="12" s="1"/>
  <c r="O151" i="12"/>
  <c r="J151" i="12"/>
  <c r="G151" i="12"/>
  <c r="M151" i="12" s="1"/>
  <c r="W151" i="12" s="1"/>
  <c r="V150" i="12"/>
  <c r="S150" i="12"/>
  <c r="R150" i="12"/>
  <c r="O150" i="12"/>
  <c r="J150" i="12"/>
  <c r="G150" i="12"/>
  <c r="M150" i="12" s="1"/>
  <c r="W150" i="12" s="1"/>
  <c r="S149" i="12"/>
  <c r="R149" i="12"/>
  <c r="V149" i="12" s="1"/>
  <c r="P149" i="12"/>
  <c r="O149" i="12"/>
  <c r="J149" i="12"/>
  <c r="G149" i="12"/>
  <c r="M149" i="12" s="1"/>
  <c r="W149" i="12" s="1"/>
  <c r="S148" i="12"/>
  <c r="R148" i="12"/>
  <c r="V148" i="12" s="1"/>
  <c r="O148" i="12"/>
  <c r="J148" i="12"/>
  <c r="G148" i="12"/>
  <c r="M148" i="12" s="1"/>
  <c r="W148" i="12" s="1"/>
  <c r="V147" i="12"/>
  <c r="S147" i="12"/>
  <c r="R147" i="12"/>
  <c r="O147" i="12"/>
  <c r="J147" i="12"/>
  <c r="G147" i="12"/>
  <c r="M147" i="12" s="1"/>
  <c r="W147" i="12" s="1"/>
  <c r="S146" i="12"/>
  <c r="R146" i="12"/>
  <c r="V146" i="12" s="1"/>
  <c r="O146" i="12"/>
  <c r="J146" i="12"/>
  <c r="G146" i="12"/>
  <c r="M146" i="12" s="1"/>
  <c r="W146" i="12" s="1"/>
  <c r="S145" i="12"/>
  <c r="R145" i="12"/>
  <c r="V145" i="12" s="1"/>
  <c r="O145" i="12"/>
  <c r="J145" i="12"/>
  <c r="G145" i="12"/>
  <c r="M145" i="12" s="1"/>
  <c r="W145" i="12" s="1"/>
  <c r="S144" i="12"/>
  <c r="R144" i="12"/>
  <c r="V144" i="12" s="1"/>
  <c r="O144" i="12"/>
  <c r="J144" i="12"/>
  <c r="G144" i="12"/>
  <c r="M144" i="12" s="1"/>
  <c r="W144" i="12" s="1"/>
  <c r="V143" i="12"/>
  <c r="S143" i="12"/>
  <c r="R143" i="12"/>
  <c r="O143" i="12"/>
  <c r="J143" i="12"/>
  <c r="G143" i="12"/>
  <c r="M143" i="12" s="1"/>
  <c r="W143" i="12" s="1"/>
  <c r="S142" i="12"/>
  <c r="R142" i="12"/>
  <c r="V142" i="12" s="1"/>
  <c r="O142" i="12"/>
  <c r="J142" i="12"/>
  <c r="G142" i="12"/>
  <c r="M142" i="12" s="1"/>
  <c r="W142" i="12" s="1"/>
  <c r="S141" i="12"/>
  <c r="R141" i="12"/>
  <c r="V141" i="12" s="1"/>
  <c r="P141" i="12"/>
  <c r="O141" i="12"/>
  <c r="J141" i="12"/>
  <c r="G141" i="12"/>
  <c r="M141" i="12" s="1"/>
  <c r="W141" i="12" s="1"/>
  <c r="S140" i="12"/>
  <c r="R140" i="12"/>
  <c r="V140" i="12" s="1"/>
  <c r="O140" i="12"/>
  <c r="J140" i="12"/>
  <c r="G140" i="12"/>
  <c r="M140" i="12" s="1"/>
  <c r="W140" i="12" s="1"/>
  <c r="S139" i="12"/>
  <c r="R139" i="12"/>
  <c r="V139" i="12" s="1"/>
  <c r="O139" i="12"/>
  <c r="J139" i="12"/>
  <c r="G139" i="12"/>
  <c r="M139" i="12" s="1"/>
  <c r="W139" i="12" s="1"/>
  <c r="S138" i="12"/>
  <c r="R138" i="12"/>
  <c r="V138" i="12" s="1"/>
  <c r="O138" i="12"/>
  <c r="J138" i="12"/>
  <c r="G138" i="12"/>
  <c r="M138" i="12" s="1"/>
  <c r="W138" i="12" s="1"/>
  <c r="S137" i="12"/>
  <c r="R137" i="12"/>
  <c r="V137" i="12" s="1"/>
  <c r="O137" i="12"/>
  <c r="J137" i="12"/>
  <c r="G137" i="12"/>
  <c r="M137" i="12" s="1"/>
  <c r="W137" i="12" s="1"/>
  <c r="S136" i="12"/>
  <c r="R136" i="12"/>
  <c r="V136" i="12" s="1"/>
  <c r="O136" i="12"/>
  <c r="J136" i="12"/>
  <c r="G136" i="12"/>
  <c r="M136" i="12" s="1"/>
  <c r="W136" i="12" s="1"/>
  <c r="V135" i="12"/>
  <c r="S135" i="12"/>
  <c r="R135" i="12"/>
  <c r="O135" i="12"/>
  <c r="J135" i="12"/>
  <c r="G135" i="12"/>
  <c r="M135" i="12" s="1"/>
  <c r="W135" i="12" s="1"/>
  <c r="S134" i="12"/>
  <c r="R134" i="12"/>
  <c r="V134" i="12" s="1"/>
  <c r="O134" i="12"/>
  <c r="J134" i="12"/>
  <c r="G134" i="12"/>
  <c r="M134" i="12" s="1"/>
  <c r="W134" i="12" s="1"/>
  <c r="S133" i="12"/>
  <c r="R133" i="12"/>
  <c r="V133" i="12" s="1"/>
  <c r="O133" i="12"/>
  <c r="J133" i="12"/>
  <c r="G133" i="12"/>
  <c r="M133" i="12" s="1"/>
  <c r="W133" i="12" s="1"/>
  <c r="S132" i="12"/>
  <c r="R132" i="12"/>
  <c r="V132" i="12" s="1"/>
  <c r="O132" i="12"/>
  <c r="J132" i="12"/>
  <c r="G132" i="12"/>
  <c r="M132" i="12" s="1"/>
  <c r="W132" i="12" s="1"/>
  <c r="V131" i="12"/>
  <c r="S131" i="12"/>
  <c r="R131" i="12"/>
  <c r="O131" i="12"/>
  <c r="J131" i="12"/>
  <c r="G131" i="12"/>
  <c r="M131" i="12" s="1"/>
  <c r="W131" i="12" s="1"/>
  <c r="S130" i="12"/>
  <c r="R130" i="12"/>
  <c r="V130" i="12" s="1"/>
  <c r="O130" i="12"/>
  <c r="J130" i="12"/>
  <c r="G130" i="12"/>
  <c r="M130" i="12" s="1"/>
  <c r="W130" i="12" s="1"/>
  <c r="S129" i="12"/>
  <c r="R129" i="12"/>
  <c r="V129" i="12" s="1"/>
  <c r="O129" i="12"/>
  <c r="J129" i="12"/>
  <c r="G129" i="12"/>
  <c r="M129" i="12" s="1"/>
  <c r="W129" i="12" s="1"/>
  <c r="S128" i="12"/>
  <c r="R128" i="12"/>
  <c r="V128" i="12" s="1"/>
  <c r="O128" i="12"/>
  <c r="J128" i="12"/>
  <c r="G128" i="12"/>
  <c r="M128" i="12" s="1"/>
  <c r="W128" i="12" s="1"/>
  <c r="S127" i="12"/>
  <c r="R127" i="12"/>
  <c r="V127" i="12" s="1"/>
  <c r="O127" i="12"/>
  <c r="J127" i="12"/>
  <c r="G127" i="12"/>
  <c r="M127" i="12" s="1"/>
  <c r="W127" i="12" s="1"/>
  <c r="S126" i="12"/>
  <c r="R126" i="12"/>
  <c r="V126" i="12" s="1"/>
  <c r="O126" i="12"/>
  <c r="J126" i="12"/>
  <c r="G126" i="12"/>
  <c r="M126" i="12" s="1"/>
  <c r="W126" i="12" s="1"/>
  <c r="S125" i="12"/>
  <c r="R125" i="12"/>
  <c r="V125" i="12" s="1"/>
  <c r="O125" i="12"/>
  <c r="J125" i="12"/>
  <c r="G125" i="12"/>
  <c r="M125" i="12" s="1"/>
  <c r="W125" i="12" s="1"/>
  <c r="S124" i="12"/>
  <c r="R124" i="12"/>
  <c r="V124" i="12" s="1"/>
  <c r="O124" i="12"/>
  <c r="J124" i="12"/>
  <c r="G124" i="12"/>
  <c r="M124" i="12" s="1"/>
  <c r="W124" i="12" s="1"/>
  <c r="S123" i="12"/>
  <c r="R123" i="12"/>
  <c r="V123" i="12" s="1"/>
  <c r="O123" i="12"/>
  <c r="J123" i="12"/>
  <c r="G123" i="12"/>
  <c r="M123" i="12" s="1"/>
  <c r="W123" i="12" s="1"/>
  <c r="V122" i="12"/>
  <c r="S122" i="12"/>
  <c r="R122" i="12"/>
  <c r="O122" i="12"/>
  <c r="J122" i="12"/>
  <c r="G122" i="12"/>
  <c r="M122" i="12" s="1"/>
  <c r="W122" i="12" s="1"/>
  <c r="S121" i="12"/>
  <c r="R121" i="12"/>
  <c r="V121" i="12" s="1"/>
  <c r="O121" i="12"/>
  <c r="J121" i="12"/>
  <c r="G121" i="12"/>
  <c r="M121" i="12" s="1"/>
  <c r="W121" i="12" s="1"/>
  <c r="S120" i="12"/>
  <c r="R120" i="12"/>
  <c r="V120" i="12" s="1"/>
  <c r="O120" i="12"/>
  <c r="J120" i="12"/>
  <c r="G120" i="12"/>
  <c r="M120" i="12" s="1"/>
  <c r="W120" i="12" s="1"/>
  <c r="S119" i="12"/>
  <c r="R119" i="12"/>
  <c r="V119" i="12" s="1"/>
  <c r="O119" i="12"/>
  <c r="J119" i="12"/>
  <c r="G119" i="12"/>
  <c r="M119" i="12" s="1"/>
  <c r="W119" i="12" s="1"/>
  <c r="S118" i="12"/>
  <c r="R118" i="12"/>
  <c r="V118" i="12" s="1"/>
  <c r="O118" i="12"/>
  <c r="J118" i="12"/>
  <c r="G118" i="12"/>
  <c r="M118" i="12" s="1"/>
  <c r="W118" i="12" s="1"/>
  <c r="V117" i="12"/>
  <c r="S117" i="12"/>
  <c r="R117" i="12"/>
  <c r="O117" i="12"/>
  <c r="J117" i="12"/>
  <c r="G117" i="12"/>
  <c r="M117" i="12" s="1"/>
  <c r="W117" i="12" s="1"/>
  <c r="S116" i="12"/>
  <c r="R116" i="12"/>
  <c r="V116" i="12" s="1"/>
  <c r="P116" i="12"/>
  <c r="O116" i="12"/>
  <c r="J116" i="12"/>
  <c r="G116" i="12"/>
  <c r="M116" i="12" s="1"/>
  <c r="W116" i="12" s="1"/>
  <c r="V115" i="12"/>
  <c r="S115" i="12"/>
  <c r="R115" i="12"/>
  <c r="O115" i="12"/>
  <c r="J115" i="12"/>
  <c r="G115" i="12"/>
  <c r="M115" i="12" s="1"/>
  <c r="W115" i="12" s="1"/>
  <c r="S114" i="12"/>
  <c r="R114" i="12"/>
  <c r="V114" i="12" s="1"/>
  <c r="O114" i="12"/>
  <c r="J114" i="12"/>
  <c r="G114" i="12"/>
  <c r="M114" i="12" s="1"/>
  <c r="W114" i="12" s="1"/>
  <c r="S113" i="12"/>
  <c r="R113" i="12"/>
  <c r="V113" i="12" s="1"/>
  <c r="O113" i="12"/>
  <c r="J113" i="12"/>
  <c r="G113" i="12"/>
  <c r="M113" i="12" s="1"/>
  <c r="W113" i="12" s="1"/>
  <c r="S112" i="12"/>
  <c r="R112" i="12"/>
  <c r="V112" i="12" s="1"/>
  <c r="O112" i="12"/>
  <c r="J112" i="12"/>
  <c r="G112" i="12"/>
  <c r="M112" i="12" s="1"/>
  <c r="W112" i="12" s="1"/>
  <c r="S111" i="12"/>
  <c r="R111" i="12"/>
  <c r="V111" i="12" s="1"/>
  <c r="O111" i="12"/>
  <c r="J111" i="12"/>
  <c r="G111" i="12"/>
  <c r="M111" i="12" s="1"/>
  <c r="W111" i="12" s="1"/>
  <c r="S110" i="12"/>
  <c r="R110" i="12"/>
  <c r="V110" i="12" s="1"/>
  <c r="O110" i="12"/>
  <c r="J110" i="12"/>
  <c r="G110" i="12"/>
  <c r="M110" i="12" s="1"/>
  <c r="W110" i="12" s="1"/>
  <c r="V109" i="12"/>
  <c r="S109" i="12"/>
  <c r="R109" i="12"/>
  <c r="O109" i="12"/>
  <c r="J109" i="12"/>
  <c r="G109" i="12"/>
  <c r="M109" i="12" s="1"/>
  <c r="W109" i="12" s="1"/>
  <c r="S108" i="12"/>
  <c r="R108" i="12"/>
  <c r="V108" i="12" s="1"/>
  <c r="O108" i="12"/>
  <c r="J108" i="12"/>
  <c r="G108" i="12"/>
  <c r="M108" i="12" s="1"/>
  <c r="W108" i="12" s="1"/>
  <c r="S107" i="12"/>
  <c r="R107" i="12"/>
  <c r="V107" i="12" s="1"/>
  <c r="O107" i="12"/>
  <c r="J107" i="12"/>
  <c r="G107" i="12"/>
  <c r="M107" i="12" s="1"/>
  <c r="W107" i="12" s="1"/>
  <c r="V106" i="12"/>
  <c r="S106" i="12"/>
  <c r="R106" i="12"/>
  <c r="O106" i="12"/>
  <c r="J106" i="12"/>
  <c r="G106" i="12"/>
  <c r="M106" i="12" s="1"/>
  <c r="W106" i="12" s="1"/>
  <c r="S105" i="12"/>
  <c r="R105" i="12"/>
  <c r="V105" i="12" s="1"/>
  <c r="O105" i="12"/>
  <c r="J105" i="12"/>
  <c r="G105" i="12"/>
  <c r="M105" i="12" s="1"/>
  <c r="W105" i="12" s="1"/>
  <c r="S104" i="12"/>
  <c r="R104" i="12"/>
  <c r="V104" i="12" s="1"/>
  <c r="O104" i="12"/>
  <c r="J104" i="12"/>
  <c r="G104" i="12"/>
  <c r="M104" i="12" s="1"/>
  <c r="W104" i="12" s="1"/>
  <c r="S103" i="12"/>
  <c r="R103" i="12"/>
  <c r="V103" i="12" s="1"/>
  <c r="O103" i="12"/>
  <c r="J103" i="12"/>
  <c r="G103" i="12"/>
  <c r="M103" i="12" s="1"/>
  <c r="W103" i="12" s="1"/>
  <c r="S102" i="12"/>
  <c r="R102" i="12"/>
  <c r="V102" i="12" s="1"/>
  <c r="O102" i="12"/>
  <c r="J102" i="12"/>
  <c r="G102" i="12"/>
  <c r="M102" i="12" s="1"/>
  <c r="W102" i="12" s="1"/>
  <c r="S101" i="12"/>
  <c r="R101" i="12"/>
  <c r="V101" i="12" s="1"/>
  <c r="O101" i="12"/>
  <c r="J101" i="12"/>
  <c r="G101" i="12"/>
  <c r="M101" i="12" s="1"/>
  <c r="W101" i="12" s="1"/>
  <c r="S100" i="12"/>
  <c r="R100" i="12"/>
  <c r="V100" i="12" s="1"/>
  <c r="O100" i="12"/>
  <c r="J100" i="12"/>
  <c r="G100" i="12"/>
  <c r="M100" i="12" s="1"/>
  <c r="W100" i="12" s="1"/>
  <c r="V99" i="12"/>
  <c r="S99" i="12"/>
  <c r="R99" i="12"/>
  <c r="O99" i="12"/>
  <c r="J99" i="12"/>
  <c r="G99" i="12"/>
  <c r="M99" i="12" s="1"/>
  <c r="W99" i="12" s="1"/>
  <c r="S98" i="12"/>
  <c r="R98" i="12"/>
  <c r="V98" i="12" s="1"/>
  <c r="O98" i="12"/>
  <c r="J98" i="12"/>
  <c r="G98" i="12"/>
  <c r="M98" i="12" s="1"/>
  <c r="W98" i="12" s="1"/>
  <c r="S97" i="12"/>
  <c r="R97" i="12"/>
  <c r="V97" i="12" s="1"/>
  <c r="O97" i="12"/>
  <c r="J97" i="12"/>
  <c r="G97" i="12"/>
  <c r="M97" i="12" s="1"/>
  <c r="W97" i="12" s="1"/>
  <c r="S96" i="12"/>
  <c r="R96" i="12"/>
  <c r="V96" i="12" s="1"/>
  <c r="O96" i="12"/>
  <c r="J96" i="12"/>
  <c r="G96" i="12"/>
  <c r="M96" i="12" s="1"/>
  <c r="W96" i="12" s="1"/>
  <c r="S95" i="12"/>
  <c r="R95" i="12"/>
  <c r="V95" i="12" s="1"/>
  <c r="O95" i="12"/>
  <c r="J95" i="12"/>
  <c r="G95" i="12"/>
  <c r="M95" i="12" s="1"/>
  <c r="W95" i="12" s="1"/>
  <c r="S94" i="12"/>
  <c r="R94" i="12"/>
  <c r="V94" i="12" s="1"/>
  <c r="O94" i="12"/>
  <c r="J94" i="12"/>
  <c r="G94" i="12"/>
  <c r="M94" i="12" s="1"/>
  <c r="W94" i="12" s="1"/>
  <c r="S93" i="12"/>
  <c r="R93" i="12"/>
  <c r="V93" i="12" s="1"/>
  <c r="O93" i="12"/>
  <c r="J93" i="12"/>
  <c r="G93" i="12"/>
  <c r="M93" i="12" s="1"/>
  <c r="W93" i="12" s="1"/>
  <c r="S92" i="12"/>
  <c r="R92" i="12"/>
  <c r="V92" i="12" s="1"/>
  <c r="P92" i="12"/>
  <c r="Q92" i="12" s="1"/>
  <c r="U92" i="12" s="1"/>
  <c r="AF92" i="12" s="1"/>
  <c r="O92" i="12"/>
  <c r="J92" i="12"/>
  <c r="G92" i="12"/>
  <c r="M92" i="12" s="1"/>
  <c r="W92" i="12" s="1"/>
  <c r="V91" i="12"/>
  <c r="S91" i="12"/>
  <c r="R91" i="12"/>
  <c r="O91" i="12"/>
  <c r="J91" i="12"/>
  <c r="G91" i="12"/>
  <c r="M91" i="12" s="1"/>
  <c r="W91" i="12" s="1"/>
  <c r="V90" i="12"/>
  <c r="S90" i="12"/>
  <c r="R90" i="12"/>
  <c r="O90" i="12"/>
  <c r="J90" i="12"/>
  <c r="G90" i="12"/>
  <c r="M90" i="12" s="1"/>
  <c r="W90" i="12" s="1"/>
  <c r="S89" i="12"/>
  <c r="R89" i="12"/>
  <c r="V89" i="12" s="1"/>
  <c r="P89" i="12"/>
  <c r="Q89" i="12" s="1"/>
  <c r="U89" i="12" s="1"/>
  <c r="AF89" i="12" s="1"/>
  <c r="O89" i="12"/>
  <c r="J89" i="12"/>
  <c r="G89" i="12"/>
  <c r="M89" i="12" s="1"/>
  <c r="W89" i="12" s="1"/>
  <c r="S88" i="12"/>
  <c r="R88" i="12"/>
  <c r="V88" i="12" s="1"/>
  <c r="O88" i="12"/>
  <c r="J88" i="12"/>
  <c r="G88" i="12"/>
  <c r="M88" i="12" s="1"/>
  <c r="W88" i="12" s="1"/>
  <c r="S87" i="12"/>
  <c r="R87" i="12"/>
  <c r="V87" i="12" s="1"/>
  <c r="O87" i="12"/>
  <c r="N87" i="12"/>
  <c r="J87" i="12"/>
  <c r="G87" i="12"/>
  <c r="M87" i="12" s="1"/>
  <c r="W87" i="12" s="1"/>
  <c r="S86" i="12"/>
  <c r="R86" i="12"/>
  <c r="V86" i="12" s="1"/>
  <c r="O86" i="12"/>
  <c r="J86" i="12"/>
  <c r="G86" i="12"/>
  <c r="M86" i="12" s="1"/>
  <c r="W86" i="12" s="1"/>
  <c r="S85" i="12"/>
  <c r="R85" i="12"/>
  <c r="V85" i="12" s="1"/>
  <c r="O85" i="12"/>
  <c r="J85" i="12"/>
  <c r="G85" i="12"/>
  <c r="M85" i="12" s="1"/>
  <c r="W85" i="12" s="1"/>
  <c r="S84" i="12"/>
  <c r="R84" i="12"/>
  <c r="V84" i="12" s="1"/>
  <c r="P84" i="12"/>
  <c r="O84" i="12"/>
  <c r="J84" i="12"/>
  <c r="G84" i="12"/>
  <c r="M84" i="12" s="1"/>
  <c r="W84" i="12" s="1"/>
  <c r="V83" i="12"/>
  <c r="S83" i="12"/>
  <c r="R83" i="12"/>
  <c r="O83" i="12"/>
  <c r="J83" i="12"/>
  <c r="G83" i="12"/>
  <c r="M83" i="12" s="1"/>
  <c r="W83" i="12" s="1"/>
  <c r="V82" i="12"/>
  <c r="S82" i="12"/>
  <c r="R82" i="12"/>
  <c r="O82" i="12"/>
  <c r="J82" i="12"/>
  <c r="G82" i="12"/>
  <c r="M82" i="12" s="1"/>
  <c r="W82" i="12" s="1"/>
  <c r="S81" i="12"/>
  <c r="R81" i="12"/>
  <c r="V81" i="12" s="1"/>
  <c r="P81" i="12"/>
  <c r="Q81" i="12" s="1"/>
  <c r="U81" i="12" s="1"/>
  <c r="AF81" i="12" s="1"/>
  <c r="O81" i="12"/>
  <c r="J81" i="12"/>
  <c r="G81" i="12"/>
  <c r="M81" i="12" s="1"/>
  <c r="W81" i="12" s="1"/>
  <c r="S80" i="12"/>
  <c r="R80" i="12"/>
  <c r="V80" i="12" s="1"/>
  <c r="O80" i="12"/>
  <c r="J80" i="12"/>
  <c r="G80" i="12"/>
  <c r="M80" i="12" s="1"/>
  <c r="W80" i="12" s="1"/>
  <c r="S79" i="12"/>
  <c r="R79" i="12"/>
  <c r="V79" i="12" s="1"/>
  <c r="O79" i="12"/>
  <c r="J79" i="12"/>
  <c r="G79" i="12"/>
  <c r="M79" i="12" s="1"/>
  <c r="W79" i="12" s="1"/>
  <c r="S78" i="12"/>
  <c r="R78" i="12"/>
  <c r="V78" i="12" s="1"/>
  <c r="O78" i="12"/>
  <c r="J78" i="12"/>
  <c r="G78" i="12"/>
  <c r="M78" i="12" s="1"/>
  <c r="W78" i="12" s="1"/>
  <c r="S77" i="12"/>
  <c r="R77" i="12"/>
  <c r="V77" i="12" s="1"/>
  <c r="O77" i="12"/>
  <c r="J77" i="12"/>
  <c r="G77" i="12"/>
  <c r="M77" i="12" s="1"/>
  <c r="W77" i="12" s="1"/>
  <c r="S76" i="12"/>
  <c r="R76" i="12"/>
  <c r="V76" i="12" s="1"/>
  <c r="P76" i="12"/>
  <c r="Q76" i="12" s="1"/>
  <c r="U76" i="12" s="1"/>
  <c r="AF76" i="12" s="1"/>
  <c r="O76" i="12"/>
  <c r="J76" i="12"/>
  <c r="G76" i="12"/>
  <c r="M76" i="12" s="1"/>
  <c r="W76" i="12" s="1"/>
  <c r="V75" i="12"/>
  <c r="S75" i="12"/>
  <c r="R75" i="12"/>
  <c r="O75" i="12"/>
  <c r="J75" i="12"/>
  <c r="G75" i="12"/>
  <c r="M75" i="12" s="1"/>
  <c r="W75" i="12" s="1"/>
  <c r="V74" i="12"/>
  <c r="S74" i="12"/>
  <c r="R74" i="12"/>
  <c r="O74" i="12"/>
  <c r="J74" i="12"/>
  <c r="G74" i="12"/>
  <c r="M74" i="12" s="1"/>
  <c r="W74" i="12" s="1"/>
  <c r="S73" i="12"/>
  <c r="R73" i="12"/>
  <c r="V73" i="12" s="1"/>
  <c r="P73" i="12"/>
  <c r="Q73" i="12" s="1"/>
  <c r="U73" i="12" s="1"/>
  <c r="AF73" i="12" s="1"/>
  <c r="O73" i="12"/>
  <c r="J73" i="12"/>
  <c r="G73" i="12"/>
  <c r="M73" i="12" s="1"/>
  <c r="W73" i="12" s="1"/>
  <c r="S72" i="12"/>
  <c r="R72" i="12"/>
  <c r="V72" i="12" s="1"/>
  <c r="O72" i="12"/>
  <c r="J72" i="12"/>
  <c r="G72" i="12"/>
  <c r="M72" i="12" s="1"/>
  <c r="W72" i="12" s="1"/>
  <c r="S71" i="12"/>
  <c r="R71" i="12"/>
  <c r="V71" i="12" s="1"/>
  <c r="O71" i="12"/>
  <c r="J71" i="12"/>
  <c r="G71" i="12"/>
  <c r="M71" i="12" s="1"/>
  <c r="W71" i="12" s="1"/>
  <c r="S70" i="12"/>
  <c r="R70" i="12"/>
  <c r="V70" i="12" s="1"/>
  <c r="O70" i="12"/>
  <c r="J70" i="12"/>
  <c r="G70" i="12"/>
  <c r="M70" i="12" s="1"/>
  <c r="W70" i="12" s="1"/>
  <c r="S69" i="12"/>
  <c r="R69" i="12"/>
  <c r="V69" i="12" s="1"/>
  <c r="O69" i="12"/>
  <c r="J69" i="12"/>
  <c r="G69" i="12"/>
  <c r="M69" i="12" s="1"/>
  <c r="W69" i="12" s="1"/>
  <c r="S68" i="12"/>
  <c r="R68" i="12"/>
  <c r="V68" i="12" s="1"/>
  <c r="O68" i="12"/>
  <c r="J68" i="12"/>
  <c r="G68" i="12"/>
  <c r="M68" i="12" s="1"/>
  <c r="W68" i="12" s="1"/>
  <c r="V67" i="12"/>
  <c r="S67" i="12"/>
  <c r="R67" i="12"/>
  <c r="O67" i="12"/>
  <c r="J67" i="12"/>
  <c r="G67" i="12"/>
  <c r="M67" i="12" s="1"/>
  <c r="W67" i="12" s="1"/>
  <c r="S66" i="12"/>
  <c r="R66" i="12"/>
  <c r="V66" i="12" s="1"/>
  <c r="O66" i="12"/>
  <c r="J66" i="12"/>
  <c r="G66" i="12"/>
  <c r="M66" i="12" s="1"/>
  <c r="W66" i="12" s="1"/>
  <c r="S65" i="12"/>
  <c r="R65" i="12"/>
  <c r="V65" i="12" s="1"/>
  <c r="O65" i="12"/>
  <c r="J65" i="12"/>
  <c r="G65" i="12"/>
  <c r="M65" i="12" s="1"/>
  <c r="W65" i="12" s="1"/>
  <c r="S64" i="12"/>
  <c r="R64" i="12"/>
  <c r="V64" i="12" s="1"/>
  <c r="O64" i="12"/>
  <c r="J64" i="12"/>
  <c r="G64" i="12"/>
  <c r="M64" i="12" s="1"/>
  <c r="W64" i="12" s="1"/>
  <c r="S63" i="12"/>
  <c r="R63" i="12"/>
  <c r="V63" i="12" s="1"/>
  <c r="O63" i="12"/>
  <c r="J63" i="12"/>
  <c r="G63" i="12"/>
  <c r="M63" i="12" s="1"/>
  <c r="W63" i="12" s="1"/>
  <c r="S62" i="12"/>
  <c r="R62" i="12"/>
  <c r="V62" i="12" s="1"/>
  <c r="O62" i="12"/>
  <c r="J62" i="12"/>
  <c r="G62" i="12"/>
  <c r="M62" i="12" s="1"/>
  <c r="W62" i="12" s="1"/>
  <c r="S61" i="12"/>
  <c r="R61" i="12"/>
  <c r="V61" i="12" s="1"/>
  <c r="P61" i="12"/>
  <c r="O61" i="12"/>
  <c r="J61" i="12"/>
  <c r="G61" i="12"/>
  <c r="M61" i="12" s="1"/>
  <c r="W61" i="12" s="1"/>
  <c r="S60" i="12"/>
  <c r="R60" i="12"/>
  <c r="V60" i="12" s="1"/>
  <c r="O60" i="12"/>
  <c r="J60" i="12"/>
  <c r="G60" i="12"/>
  <c r="M60" i="12" s="1"/>
  <c r="W60" i="12" s="1"/>
  <c r="S59" i="12"/>
  <c r="R59" i="12"/>
  <c r="V59" i="12" s="1"/>
  <c r="O59" i="12"/>
  <c r="J59" i="12"/>
  <c r="G59" i="12"/>
  <c r="M59" i="12" s="1"/>
  <c r="W59" i="12" s="1"/>
  <c r="S58" i="12"/>
  <c r="R58" i="12"/>
  <c r="V58" i="12" s="1"/>
  <c r="O58" i="12"/>
  <c r="J58" i="12"/>
  <c r="G58" i="12"/>
  <c r="M58" i="12" s="1"/>
  <c r="W58" i="12" s="1"/>
  <c r="S57" i="12"/>
  <c r="R57" i="12"/>
  <c r="V57" i="12" s="1"/>
  <c r="O57" i="12"/>
  <c r="J57" i="12"/>
  <c r="G57" i="12"/>
  <c r="M57" i="12" s="1"/>
  <c r="W57" i="12" s="1"/>
  <c r="S56" i="12"/>
  <c r="R56" i="12"/>
  <c r="V56" i="12" s="1"/>
  <c r="O56" i="12"/>
  <c r="J56" i="12"/>
  <c r="G56" i="12"/>
  <c r="M56" i="12" s="1"/>
  <c r="W56" i="12" s="1"/>
  <c r="S55" i="12"/>
  <c r="R55" i="12"/>
  <c r="V55" i="12" s="1"/>
  <c r="O55" i="12"/>
  <c r="J55" i="12"/>
  <c r="G55" i="12"/>
  <c r="M55" i="12" s="1"/>
  <c r="W55" i="12" s="1"/>
  <c r="S54" i="12"/>
  <c r="R54" i="12"/>
  <c r="V54" i="12" s="1"/>
  <c r="O54" i="12"/>
  <c r="J54" i="12"/>
  <c r="G54" i="12"/>
  <c r="M54" i="12" s="1"/>
  <c r="W54" i="12" s="1"/>
  <c r="S53" i="12"/>
  <c r="R53" i="12"/>
  <c r="V53" i="12" s="1"/>
  <c r="O53" i="12"/>
  <c r="J53" i="12"/>
  <c r="G53" i="12"/>
  <c r="M53" i="12" s="1"/>
  <c r="W53" i="12" s="1"/>
  <c r="S52" i="12"/>
  <c r="R52" i="12"/>
  <c r="V52" i="12" s="1"/>
  <c r="O52" i="12"/>
  <c r="J52" i="12"/>
  <c r="G52" i="12"/>
  <c r="M52" i="12" s="1"/>
  <c r="W52" i="12" s="1"/>
  <c r="S51" i="12"/>
  <c r="R51" i="12"/>
  <c r="V51" i="12" s="1"/>
  <c r="P51" i="12"/>
  <c r="O51" i="12"/>
  <c r="J51" i="12"/>
  <c r="G51" i="12"/>
  <c r="M51" i="12" s="1"/>
  <c r="W51" i="12" s="1"/>
  <c r="V50" i="12"/>
  <c r="S50" i="12"/>
  <c r="R50" i="12"/>
  <c r="O50" i="12"/>
  <c r="J50" i="12"/>
  <c r="G50" i="12"/>
  <c r="M50" i="12" s="1"/>
  <c r="W50" i="12" s="1"/>
  <c r="S49" i="12"/>
  <c r="R49" i="12"/>
  <c r="V49" i="12" s="1"/>
  <c r="O49" i="12"/>
  <c r="J49" i="12"/>
  <c r="G49" i="12"/>
  <c r="M49" i="12" s="1"/>
  <c r="W49" i="12" s="1"/>
  <c r="S48" i="12"/>
  <c r="R48" i="12"/>
  <c r="V48" i="12" s="1"/>
  <c r="O48" i="12"/>
  <c r="J48" i="12"/>
  <c r="G48" i="12"/>
  <c r="M48" i="12" s="1"/>
  <c r="W48" i="12" s="1"/>
  <c r="S47" i="12"/>
  <c r="R47" i="12"/>
  <c r="V47" i="12" s="1"/>
  <c r="O47" i="12"/>
  <c r="J47" i="12"/>
  <c r="G47" i="12"/>
  <c r="M47" i="12" s="1"/>
  <c r="W47" i="12" s="1"/>
  <c r="S46" i="12"/>
  <c r="R46" i="12"/>
  <c r="V46" i="12" s="1"/>
  <c r="O46" i="12"/>
  <c r="J46" i="12"/>
  <c r="G46" i="12"/>
  <c r="M46" i="12" s="1"/>
  <c r="W46" i="12" s="1"/>
  <c r="S45" i="12"/>
  <c r="R45" i="12"/>
  <c r="V45" i="12" s="1"/>
  <c r="O45" i="12"/>
  <c r="J45" i="12"/>
  <c r="G45" i="12"/>
  <c r="M45" i="12" s="1"/>
  <c r="W45" i="12" s="1"/>
  <c r="S44" i="12"/>
  <c r="R44" i="12"/>
  <c r="V44" i="12" s="1"/>
  <c r="P44" i="12"/>
  <c r="O44" i="12"/>
  <c r="J44" i="12"/>
  <c r="G44" i="12"/>
  <c r="M44" i="12" s="1"/>
  <c r="W44" i="12" s="1"/>
  <c r="V43" i="12"/>
  <c r="S43" i="12"/>
  <c r="R43" i="12"/>
  <c r="O43" i="12"/>
  <c r="J43" i="12"/>
  <c r="G43" i="12"/>
  <c r="M43" i="12" s="1"/>
  <c r="W43" i="12" s="1"/>
  <c r="V42" i="12"/>
  <c r="S42" i="12"/>
  <c r="R42" i="12"/>
  <c r="O42" i="12"/>
  <c r="J42" i="12"/>
  <c r="G42" i="12"/>
  <c r="M42" i="12" s="1"/>
  <c r="W42" i="12" s="1"/>
  <c r="S41" i="12"/>
  <c r="R41" i="12"/>
  <c r="V41" i="12" s="1"/>
  <c r="P41" i="12"/>
  <c r="Q41" i="12" s="1"/>
  <c r="U41" i="12" s="1"/>
  <c r="AF41" i="12" s="1"/>
  <c r="O41" i="12"/>
  <c r="J41" i="12"/>
  <c r="G41" i="12"/>
  <c r="M41" i="12" s="1"/>
  <c r="W41" i="12" s="1"/>
  <c r="S40" i="12"/>
  <c r="R40" i="12"/>
  <c r="V40" i="12" s="1"/>
  <c r="O40" i="12"/>
  <c r="J40" i="12"/>
  <c r="G40" i="12"/>
  <c r="M40" i="12" s="1"/>
  <c r="W40" i="12" s="1"/>
  <c r="S39" i="12"/>
  <c r="R39" i="12"/>
  <c r="V39" i="12" s="1"/>
  <c r="O39" i="12"/>
  <c r="J39" i="12"/>
  <c r="G39" i="12"/>
  <c r="M39" i="12" s="1"/>
  <c r="W39" i="12" s="1"/>
  <c r="S38" i="12"/>
  <c r="R38" i="12"/>
  <c r="V38" i="12" s="1"/>
  <c r="O38" i="12"/>
  <c r="J38" i="12"/>
  <c r="G38" i="12"/>
  <c r="M38" i="12" s="1"/>
  <c r="W38" i="12" s="1"/>
  <c r="S37" i="12"/>
  <c r="R37" i="12"/>
  <c r="V37" i="12" s="1"/>
  <c r="O37" i="12"/>
  <c r="J37" i="12"/>
  <c r="G37" i="12"/>
  <c r="M37" i="12" s="1"/>
  <c r="W37" i="12" s="1"/>
  <c r="S36" i="12"/>
  <c r="R36" i="12"/>
  <c r="V36" i="12" s="1"/>
  <c r="O36" i="12"/>
  <c r="J36" i="12"/>
  <c r="G36" i="12"/>
  <c r="M36" i="12" s="1"/>
  <c r="W36" i="12" s="1"/>
  <c r="V35" i="12"/>
  <c r="S35" i="12"/>
  <c r="R35" i="12"/>
  <c r="O35" i="12"/>
  <c r="P35" i="12" s="1"/>
  <c r="J35" i="12"/>
  <c r="G35" i="12"/>
  <c r="M35" i="12" s="1"/>
  <c r="W35" i="12" s="1"/>
  <c r="S34" i="12"/>
  <c r="R34" i="12"/>
  <c r="V34" i="12" s="1"/>
  <c r="O34" i="12"/>
  <c r="J34" i="12"/>
  <c r="G34" i="12"/>
  <c r="M34" i="12" s="1"/>
  <c r="W34" i="12" s="1"/>
  <c r="S33" i="12"/>
  <c r="R33" i="12"/>
  <c r="V33" i="12" s="1"/>
  <c r="O33" i="12"/>
  <c r="J33" i="12"/>
  <c r="G33" i="12"/>
  <c r="M33" i="12" s="1"/>
  <c r="W33" i="12" s="1"/>
  <c r="S32" i="12"/>
  <c r="R32" i="12"/>
  <c r="V32" i="12" s="1"/>
  <c r="O32" i="12"/>
  <c r="J32" i="12"/>
  <c r="G32" i="12"/>
  <c r="M32" i="12" s="1"/>
  <c r="W32" i="12" s="1"/>
  <c r="S31" i="12"/>
  <c r="R31" i="12"/>
  <c r="V31" i="12" s="1"/>
  <c r="O31" i="12"/>
  <c r="J31" i="12"/>
  <c r="G31" i="12"/>
  <c r="M31" i="12" s="1"/>
  <c r="W31" i="12" s="1"/>
  <c r="S30" i="12"/>
  <c r="R30" i="12"/>
  <c r="V30" i="12" s="1"/>
  <c r="O30" i="12"/>
  <c r="J30" i="12"/>
  <c r="G30" i="12"/>
  <c r="M30" i="12" s="1"/>
  <c r="W30" i="12" s="1"/>
  <c r="S29" i="12"/>
  <c r="R29" i="12"/>
  <c r="V29" i="12" s="1"/>
  <c r="P29" i="12"/>
  <c r="O29" i="12"/>
  <c r="J29" i="12"/>
  <c r="G29" i="12"/>
  <c r="M29" i="12" s="1"/>
  <c r="W29" i="12" s="1"/>
  <c r="S28" i="12"/>
  <c r="R28" i="12"/>
  <c r="V28" i="12" s="1"/>
  <c r="O28" i="12"/>
  <c r="P28" i="12" s="1"/>
  <c r="J28" i="12"/>
  <c r="G28" i="12"/>
  <c r="M28" i="12" s="1"/>
  <c r="W28" i="12" s="1"/>
  <c r="S27" i="12"/>
  <c r="R27" i="12"/>
  <c r="V27" i="12" s="1"/>
  <c r="O27" i="12"/>
  <c r="J27" i="12"/>
  <c r="G27" i="12"/>
  <c r="M27" i="12" s="1"/>
  <c r="W27" i="12" s="1"/>
  <c r="S26" i="12"/>
  <c r="R26" i="12"/>
  <c r="V26" i="12" s="1"/>
  <c r="O26" i="12"/>
  <c r="J26" i="12"/>
  <c r="G26" i="12"/>
  <c r="M26" i="12" s="1"/>
  <c r="W26" i="12" s="1"/>
  <c r="S25" i="12"/>
  <c r="R25" i="12"/>
  <c r="V25" i="12" s="1"/>
  <c r="O25" i="12"/>
  <c r="P25" i="12" s="1"/>
  <c r="J25" i="12"/>
  <c r="Q25" i="12" s="1"/>
  <c r="U25" i="12" s="1"/>
  <c r="AF25" i="12" s="1"/>
  <c r="G25" i="12"/>
  <c r="M25" i="12" s="1"/>
  <c r="W25" i="12" s="1"/>
  <c r="S24" i="12"/>
  <c r="R24" i="12"/>
  <c r="V24" i="12" s="1"/>
  <c r="O24" i="12"/>
  <c r="J24" i="12"/>
  <c r="G24" i="12"/>
  <c r="M24" i="12" s="1"/>
  <c r="W24" i="12" s="1"/>
  <c r="S23" i="12"/>
  <c r="R23" i="12"/>
  <c r="V23" i="12" s="1"/>
  <c r="O23" i="12"/>
  <c r="J23" i="12"/>
  <c r="G23" i="12"/>
  <c r="M23" i="12" s="1"/>
  <c r="W23" i="12" s="1"/>
  <c r="S22" i="12"/>
  <c r="R22" i="12"/>
  <c r="V22" i="12" s="1"/>
  <c r="O22" i="12"/>
  <c r="J22" i="12"/>
  <c r="G22" i="12"/>
  <c r="M22" i="12" s="1"/>
  <c r="W22" i="12" s="1"/>
  <c r="S21" i="12"/>
  <c r="R21" i="12"/>
  <c r="V21" i="12" s="1"/>
  <c r="O21" i="12"/>
  <c r="J21" i="12"/>
  <c r="G21" i="12"/>
  <c r="M21" i="12" s="1"/>
  <c r="W21" i="12" s="1"/>
  <c r="S20" i="12"/>
  <c r="R20" i="12"/>
  <c r="V20" i="12" s="1"/>
  <c r="O20" i="12"/>
  <c r="J20" i="12"/>
  <c r="G20" i="12"/>
  <c r="M20" i="12" s="1"/>
  <c r="W20" i="12" s="1"/>
  <c r="S19" i="12"/>
  <c r="R19" i="12"/>
  <c r="V19" i="12" s="1"/>
  <c r="P19" i="12"/>
  <c r="O19" i="12"/>
  <c r="J19" i="12"/>
  <c r="G19" i="12"/>
  <c r="M19" i="12" s="1"/>
  <c r="W19" i="12" s="1"/>
  <c r="V18" i="12"/>
  <c r="S18" i="12"/>
  <c r="R18" i="12"/>
  <c r="O18" i="12"/>
  <c r="J18" i="12"/>
  <c r="G18" i="12"/>
  <c r="M18" i="12" s="1"/>
  <c r="W18" i="12" s="1"/>
  <c r="S17" i="12"/>
  <c r="R17" i="12"/>
  <c r="V17" i="12" s="1"/>
  <c r="O17" i="12"/>
  <c r="J17" i="12"/>
  <c r="G17" i="12"/>
  <c r="M17" i="12" s="1"/>
  <c r="W17" i="12" s="1"/>
  <c r="S16" i="12"/>
  <c r="R16" i="12"/>
  <c r="V16" i="12" s="1"/>
  <c r="O16" i="12"/>
  <c r="J16" i="12"/>
  <c r="G16" i="12"/>
  <c r="M16" i="12" s="1"/>
  <c r="W16" i="12" s="1"/>
  <c r="S15" i="12"/>
  <c r="R15" i="12"/>
  <c r="V15" i="12" s="1"/>
  <c r="O15" i="12"/>
  <c r="J15" i="12"/>
  <c r="G15" i="12"/>
  <c r="M15" i="12" s="1"/>
  <c r="W15" i="12" s="1"/>
  <c r="S14" i="12"/>
  <c r="R14" i="12"/>
  <c r="V14" i="12" s="1"/>
  <c r="O14" i="12"/>
  <c r="J14" i="12"/>
  <c r="G14" i="12"/>
  <c r="M14" i="12" s="1"/>
  <c r="W14" i="12" s="1"/>
  <c r="S13" i="12"/>
  <c r="R13" i="12"/>
  <c r="V13" i="12" s="1"/>
  <c r="O13" i="12"/>
  <c r="P13" i="12" s="1"/>
  <c r="J13" i="12"/>
  <c r="G13" i="12"/>
  <c r="M13" i="12" s="1"/>
  <c r="W13" i="12" s="1"/>
  <c r="S12" i="12"/>
  <c r="R12" i="12"/>
  <c r="V12" i="12" s="1"/>
  <c r="P12" i="12"/>
  <c r="O12" i="12"/>
  <c r="J12" i="12"/>
  <c r="G12" i="12"/>
  <c r="M12" i="12" s="1"/>
  <c r="W12" i="12" s="1"/>
  <c r="V11" i="12"/>
  <c r="S11" i="12"/>
  <c r="R11" i="12"/>
  <c r="O11" i="12"/>
  <c r="J11" i="12"/>
  <c r="G11" i="12"/>
  <c r="M11" i="12" s="1"/>
  <c r="W11" i="12" s="1"/>
  <c r="V10" i="12"/>
  <c r="S10" i="12"/>
  <c r="R10" i="12"/>
  <c r="O10" i="12"/>
  <c r="J10" i="12"/>
  <c r="G10" i="12"/>
  <c r="M10" i="12" s="1"/>
  <c r="W10" i="12" s="1"/>
  <c r="S9" i="12"/>
  <c r="R9" i="12"/>
  <c r="V9" i="12" s="1"/>
  <c r="P9" i="12"/>
  <c r="Q9" i="12" s="1"/>
  <c r="U9" i="12" s="1"/>
  <c r="AF9" i="12" s="1"/>
  <c r="O9" i="12"/>
  <c r="J9" i="12"/>
  <c r="G9" i="12"/>
  <c r="M9" i="12" s="1"/>
  <c r="W9" i="12" s="1"/>
  <c r="S8" i="12"/>
  <c r="R8" i="12"/>
  <c r="V8" i="12" s="1"/>
  <c r="O8" i="12"/>
  <c r="J8" i="12"/>
  <c r="G8" i="12"/>
  <c r="M8" i="12" s="1"/>
  <c r="W8" i="12" s="1"/>
  <c r="S7" i="12"/>
  <c r="R7" i="12"/>
  <c r="V7" i="12" s="1"/>
  <c r="O7" i="12"/>
  <c r="J7" i="12"/>
  <c r="G7" i="12"/>
  <c r="M7" i="12" s="1"/>
  <c r="W7" i="12" s="1"/>
  <c r="S6" i="12"/>
  <c r="R6" i="12"/>
  <c r="V6" i="12" s="1"/>
  <c r="O6" i="12"/>
  <c r="J6" i="12"/>
  <c r="G6" i="12"/>
  <c r="M6" i="12" s="1"/>
  <c r="W6" i="12" s="1"/>
  <c r="S5" i="12"/>
  <c r="R5" i="12"/>
  <c r="V5" i="12" s="1"/>
  <c r="O5" i="12"/>
  <c r="P5" i="12" s="1"/>
  <c r="J5" i="12"/>
  <c r="Q5" i="12" s="1"/>
  <c r="U5" i="12" s="1"/>
  <c r="AF5" i="12" s="1"/>
  <c r="G5" i="12"/>
  <c r="M5" i="12" s="1"/>
  <c r="W5" i="12" s="1"/>
  <c r="S4" i="12"/>
  <c r="R4" i="12"/>
  <c r="V4" i="12" s="1"/>
  <c r="P4" i="12"/>
  <c r="O4" i="12"/>
  <c r="J4" i="12"/>
  <c r="G4" i="12"/>
  <c r="M4" i="12" s="1"/>
  <c r="W4" i="12" s="1"/>
  <c r="S3" i="12"/>
  <c r="R3" i="12"/>
  <c r="V3" i="12" s="1"/>
  <c r="O3" i="12"/>
  <c r="J3" i="12"/>
  <c r="G3" i="12"/>
  <c r="M3" i="12" s="1"/>
  <c r="W3" i="12" s="1"/>
  <c r="S2" i="12"/>
  <c r="R2" i="12"/>
  <c r="V2" i="12" s="1"/>
  <c r="O2" i="12"/>
  <c r="J2" i="12"/>
  <c r="G2" i="12"/>
  <c r="M2" i="12" s="1"/>
  <c r="W2" i="12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248" i="11"/>
  <c r="U249" i="11"/>
  <c r="U250" i="11"/>
  <c r="U251" i="11"/>
  <c r="U252" i="11"/>
  <c r="U253" i="11"/>
  <c r="U254" i="11"/>
  <c r="U255" i="11"/>
  <c r="U256" i="11"/>
  <c r="U257" i="11"/>
  <c r="U258" i="11"/>
  <c r="U259" i="11"/>
  <c r="U260" i="11"/>
  <c r="U261" i="11"/>
  <c r="U262" i="11"/>
  <c r="U263" i="11"/>
  <c r="U264" i="11"/>
  <c r="U265" i="11"/>
  <c r="U266" i="11"/>
  <c r="U267" i="11"/>
  <c r="U268" i="11"/>
  <c r="U269" i="11"/>
  <c r="U270" i="11"/>
  <c r="U271" i="11"/>
  <c r="U272" i="11"/>
  <c r="U273" i="11"/>
  <c r="U274" i="11"/>
  <c r="U275" i="11"/>
  <c r="U276" i="11"/>
  <c r="U277" i="11"/>
  <c r="U278" i="11"/>
  <c r="U279" i="11"/>
  <c r="U280" i="11"/>
  <c r="U281" i="11"/>
  <c r="U282" i="11"/>
  <c r="U283" i="11"/>
  <c r="U284" i="11"/>
  <c r="U285" i="11"/>
  <c r="U286" i="11"/>
  <c r="U287" i="11"/>
  <c r="U288" i="11"/>
  <c r="U289" i="11"/>
  <c r="U290" i="11"/>
  <c r="U291" i="11"/>
  <c r="U292" i="11"/>
  <c r="U293" i="11"/>
  <c r="U294" i="11"/>
  <c r="U295" i="11"/>
  <c r="U296" i="11"/>
  <c r="U297" i="11"/>
  <c r="U298" i="11"/>
  <c r="U299" i="11"/>
  <c r="U300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0" i="11"/>
  <c r="T41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52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6" i="11"/>
  <c r="T167" i="11"/>
  <c r="T168" i="11"/>
  <c r="T169" i="11"/>
  <c r="T170" i="11"/>
  <c r="T171" i="11"/>
  <c r="T172" i="11"/>
  <c r="T173" i="11"/>
  <c r="T174" i="11"/>
  <c r="T175" i="11"/>
  <c r="T176" i="11"/>
  <c r="T177" i="11"/>
  <c r="T178" i="11"/>
  <c r="T179" i="11"/>
  <c r="T180" i="11"/>
  <c r="T181" i="11"/>
  <c r="T182" i="11"/>
  <c r="T183" i="11"/>
  <c r="T184" i="11"/>
  <c r="T185" i="11"/>
  <c r="T186" i="11"/>
  <c r="T187" i="11"/>
  <c r="T188" i="11"/>
  <c r="T189" i="11"/>
  <c r="T190" i="11"/>
  <c r="T191" i="11"/>
  <c r="T192" i="11"/>
  <c r="T193" i="11"/>
  <c r="T194" i="11"/>
  <c r="T195" i="11"/>
  <c r="T196" i="11"/>
  <c r="T197" i="11"/>
  <c r="T198" i="11"/>
  <c r="T199" i="11"/>
  <c r="T200" i="11"/>
  <c r="T201" i="11"/>
  <c r="T202" i="11"/>
  <c r="T203" i="11"/>
  <c r="T204" i="11"/>
  <c r="T205" i="11"/>
  <c r="T206" i="11"/>
  <c r="T207" i="11"/>
  <c r="T208" i="11"/>
  <c r="T209" i="11"/>
  <c r="T210" i="11"/>
  <c r="T211" i="11"/>
  <c r="T212" i="11"/>
  <c r="T213" i="11"/>
  <c r="T214" i="11"/>
  <c r="T215" i="11"/>
  <c r="T216" i="11"/>
  <c r="T217" i="11"/>
  <c r="T218" i="11"/>
  <c r="T219" i="11"/>
  <c r="T220" i="11"/>
  <c r="T221" i="11"/>
  <c r="T222" i="11"/>
  <c r="T223" i="11"/>
  <c r="T224" i="11"/>
  <c r="T225" i="11"/>
  <c r="T226" i="11"/>
  <c r="T227" i="11"/>
  <c r="T228" i="11"/>
  <c r="T229" i="11"/>
  <c r="T230" i="11"/>
  <c r="T231" i="11"/>
  <c r="T232" i="11"/>
  <c r="T233" i="11"/>
  <c r="T234" i="11"/>
  <c r="T235" i="11"/>
  <c r="T236" i="11"/>
  <c r="T237" i="11"/>
  <c r="T238" i="11"/>
  <c r="T239" i="11"/>
  <c r="T240" i="11"/>
  <c r="T241" i="11"/>
  <c r="T242" i="11"/>
  <c r="T243" i="11"/>
  <c r="T244" i="11"/>
  <c r="T245" i="11"/>
  <c r="T246" i="11"/>
  <c r="T247" i="11"/>
  <c r="T248" i="11"/>
  <c r="T249" i="11"/>
  <c r="T250" i="11"/>
  <c r="T251" i="11"/>
  <c r="T252" i="11"/>
  <c r="T253" i="11"/>
  <c r="T254" i="11"/>
  <c r="T255" i="11"/>
  <c r="T256" i="11"/>
  <c r="T257" i="11"/>
  <c r="T258" i="11"/>
  <c r="T259" i="11"/>
  <c r="T260" i="11"/>
  <c r="T261" i="11"/>
  <c r="T262" i="11"/>
  <c r="T263" i="11"/>
  <c r="T264" i="11"/>
  <c r="T265" i="11"/>
  <c r="T266" i="11"/>
  <c r="T267" i="11"/>
  <c r="T268" i="11"/>
  <c r="T269" i="11"/>
  <c r="T270" i="11"/>
  <c r="T271" i="11"/>
  <c r="T272" i="11"/>
  <c r="T273" i="11"/>
  <c r="T274" i="11"/>
  <c r="T275" i="11"/>
  <c r="T276" i="11"/>
  <c r="T277" i="11"/>
  <c r="T278" i="11"/>
  <c r="T279" i="11"/>
  <c r="T280" i="11"/>
  <c r="T281" i="11"/>
  <c r="T282" i="11"/>
  <c r="T283" i="11"/>
  <c r="T284" i="11"/>
  <c r="T285" i="11"/>
  <c r="T286" i="11"/>
  <c r="T287" i="11"/>
  <c r="T288" i="11"/>
  <c r="T289" i="11"/>
  <c r="T290" i="11"/>
  <c r="T291" i="11"/>
  <c r="T292" i="11"/>
  <c r="T293" i="11"/>
  <c r="T294" i="11"/>
  <c r="T295" i="11"/>
  <c r="T296" i="11"/>
  <c r="T297" i="11"/>
  <c r="T298" i="11"/>
  <c r="T299" i="11"/>
  <c r="T300" i="11"/>
  <c r="U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2" i="11"/>
  <c r="T2" i="11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2" i="11"/>
  <c r="R300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R131" i="11"/>
  <c r="R132" i="11"/>
  <c r="R133" i="11"/>
  <c r="R134" i="11"/>
  <c r="R135" i="11"/>
  <c r="R136" i="11"/>
  <c r="R137" i="11"/>
  <c r="R138" i="11"/>
  <c r="R139" i="11"/>
  <c r="R140" i="11"/>
  <c r="R141" i="11"/>
  <c r="R142" i="11"/>
  <c r="R143" i="11"/>
  <c r="R144" i="11"/>
  <c r="R145" i="11"/>
  <c r="R146" i="11"/>
  <c r="R147" i="11"/>
  <c r="R148" i="11"/>
  <c r="R149" i="11"/>
  <c r="R150" i="11"/>
  <c r="R151" i="11"/>
  <c r="R152" i="11"/>
  <c r="R153" i="11"/>
  <c r="R154" i="11"/>
  <c r="R155" i="11"/>
  <c r="R156" i="11"/>
  <c r="R157" i="11"/>
  <c r="R158" i="11"/>
  <c r="R159" i="11"/>
  <c r="R160" i="11"/>
  <c r="R161" i="11"/>
  <c r="R162" i="11"/>
  <c r="R163" i="11"/>
  <c r="R164" i="11"/>
  <c r="R165" i="11"/>
  <c r="R166" i="11"/>
  <c r="R167" i="11"/>
  <c r="R168" i="11"/>
  <c r="R169" i="11"/>
  <c r="R170" i="11"/>
  <c r="R171" i="11"/>
  <c r="R172" i="11"/>
  <c r="R173" i="11"/>
  <c r="R174" i="11"/>
  <c r="R175" i="11"/>
  <c r="R176" i="11"/>
  <c r="R177" i="11"/>
  <c r="R178" i="11"/>
  <c r="R179" i="11"/>
  <c r="R180" i="11"/>
  <c r="R181" i="11"/>
  <c r="R182" i="11"/>
  <c r="R183" i="11"/>
  <c r="R184" i="11"/>
  <c r="R185" i="11"/>
  <c r="R186" i="11"/>
  <c r="R187" i="11"/>
  <c r="R188" i="11"/>
  <c r="R189" i="11"/>
  <c r="R190" i="11"/>
  <c r="R191" i="11"/>
  <c r="R192" i="11"/>
  <c r="R193" i="11"/>
  <c r="R194" i="11"/>
  <c r="R195" i="11"/>
  <c r="R196" i="11"/>
  <c r="R197" i="11"/>
  <c r="R198" i="11"/>
  <c r="R199" i="11"/>
  <c r="R200" i="11"/>
  <c r="R201" i="11"/>
  <c r="R202" i="11"/>
  <c r="R203" i="11"/>
  <c r="R204" i="11"/>
  <c r="R205" i="11"/>
  <c r="R206" i="11"/>
  <c r="R207" i="11"/>
  <c r="R208" i="11"/>
  <c r="R209" i="11"/>
  <c r="R210" i="11"/>
  <c r="R211" i="11"/>
  <c r="R212" i="11"/>
  <c r="R213" i="11"/>
  <c r="R214" i="11"/>
  <c r="R215" i="11"/>
  <c r="R216" i="11"/>
  <c r="R217" i="11"/>
  <c r="R218" i="11"/>
  <c r="R219" i="11"/>
  <c r="R220" i="11"/>
  <c r="R221" i="11"/>
  <c r="R222" i="11"/>
  <c r="R223" i="11"/>
  <c r="R224" i="11"/>
  <c r="R225" i="11"/>
  <c r="R226" i="11"/>
  <c r="R227" i="11"/>
  <c r="R228" i="11"/>
  <c r="R229" i="11"/>
  <c r="R230" i="11"/>
  <c r="R231" i="11"/>
  <c r="R232" i="11"/>
  <c r="R233" i="11"/>
  <c r="R234" i="11"/>
  <c r="R235" i="11"/>
  <c r="R236" i="11"/>
  <c r="R237" i="11"/>
  <c r="R238" i="11"/>
  <c r="R239" i="11"/>
  <c r="R240" i="11"/>
  <c r="R241" i="11"/>
  <c r="R242" i="11"/>
  <c r="R243" i="11"/>
  <c r="R244" i="11"/>
  <c r="R245" i="11"/>
  <c r="R246" i="11"/>
  <c r="R247" i="11"/>
  <c r="R248" i="11"/>
  <c r="R249" i="11"/>
  <c r="R250" i="11"/>
  <c r="R251" i="11"/>
  <c r="R252" i="11"/>
  <c r="R253" i="11"/>
  <c r="R254" i="11"/>
  <c r="R255" i="11"/>
  <c r="R256" i="11"/>
  <c r="R257" i="11"/>
  <c r="R258" i="11"/>
  <c r="R259" i="11"/>
  <c r="R260" i="11"/>
  <c r="R261" i="11"/>
  <c r="R262" i="11"/>
  <c r="R263" i="11"/>
  <c r="R264" i="11"/>
  <c r="R265" i="11"/>
  <c r="R266" i="11"/>
  <c r="R267" i="1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83" i="11"/>
  <c r="R284" i="11"/>
  <c r="R285" i="11"/>
  <c r="R286" i="11"/>
  <c r="R287" i="11"/>
  <c r="R288" i="11"/>
  <c r="R289" i="11"/>
  <c r="R290" i="11"/>
  <c r="R291" i="11"/>
  <c r="R292" i="11"/>
  <c r="R293" i="11"/>
  <c r="R294" i="11"/>
  <c r="R295" i="11"/>
  <c r="R296" i="11"/>
  <c r="R297" i="11"/>
  <c r="R298" i="11"/>
  <c r="R299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R2" i="11"/>
  <c r="Q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M268" i="11" s="1"/>
  <c r="S268" i="11" s="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M300" i="11" s="1"/>
  <c r="S300" i="11" s="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M220" i="11" s="1"/>
  <c r="S220" i="11" s="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2" i="11"/>
  <c r="M252" i="11" s="1"/>
  <c r="S252" i="11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F235" i="11"/>
  <c r="L235" i="11" s="1"/>
  <c r="V235" i="11" s="1"/>
  <c r="F24" i="11"/>
  <c r="L24" i="11" s="1"/>
  <c r="V24" i="11" s="1"/>
  <c r="F25" i="11"/>
  <c r="L25" i="11" s="1"/>
  <c r="V25" i="11" s="1"/>
  <c r="F26" i="11"/>
  <c r="L26" i="11" s="1"/>
  <c r="V26" i="11" s="1"/>
  <c r="F27" i="11"/>
  <c r="L27" i="11" s="1"/>
  <c r="V27" i="11" s="1"/>
  <c r="F28" i="11"/>
  <c r="L28" i="11" s="1"/>
  <c r="V28" i="11" s="1"/>
  <c r="F29" i="11"/>
  <c r="L29" i="11" s="1"/>
  <c r="V29" i="11" s="1"/>
  <c r="F30" i="11"/>
  <c r="L30" i="11" s="1"/>
  <c r="V30" i="11" s="1"/>
  <c r="F31" i="11"/>
  <c r="L31" i="11" s="1"/>
  <c r="V31" i="11" s="1"/>
  <c r="F32" i="11"/>
  <c r="L32" i="11" s="1"/>
  <c r="V32" i="11" s="1"/>
  <c r="F33" i="11"/>
  <c r="L33" i="11" s="1"/>
  <c r="V33" i="11" s="1"/>
  <c r="AH108" i="14" l="1"/>
  <c r="AH273" i="14"/>
  <c r="AH44" i="14"/>
  <c r="AH200" i="14"/>
  <c r="AH48" i="14"/>
  <c r="AH196" i="14"/>
  <c r="AH247" i="14"/>
  <c r="AH35" i="14"/>
  <c r="AH260" i="14"/>
  <c r="AH277" i="14"/>
  <c r="AH289" i="14"/>
  <c r="AH153" i="14"/>
  <c r="AH275" i="14"/>
  <c r="AH291" i="14"/>
  <c r="AH70" i="14"/>
  <c r="AH137" i="14"/>
  <c r="AH286" i="14"/>
  <c r="AH39" i="14"/>
  <c r="AH174" i="14"/>
  <c r="AH23" i="14"/>
  <c r="AF231" i="14"/>
  <c r="X231" i="14"/>
  <c r="Y231" i="14" s="1"/>
  <c r="X24" i="14"/>
  <c r="Y24" i="14" s="1"/>
  <c r="AF114" i="14"/>
  <c r="X114" i="14"/>
  <c r="Y114" i="14" s="1"/>
  <c r="AH12" i="14"/>
  <c r="AH145" i="14"/>
  <c r="AH257" i="14"/>
  <c r="AH63" i="14"/>
  <c r="AH53" i="14"/>
  <c r="X193" i="14"/>
  <c r="Y193" i="14" s="1"/>
  <c r="AH219" i="14"/>
  <c r="AH73" i="14"/>
  <c r="AH201" i="14"/>
  <c r="X244" i="14"/>
  <c r="Y244" i="14" s="1"/>
  <c r="AH125" i="14"/>
  <c r="AH98" i="14"/>
  <c r="AH225" i="14"/>
  <c r="AH61" i="14"/>
  <c r="AH11" i="14"/>
  <c r="AH234" i="14"/>
  <c r="AH259" i="14"/>
  <c r="AH15" i="14"/>
  <c r="AH65" i="14"/>
  <c r="AH261" i="14"/>
  <c r="AH155" i="14"/>
  <c r="X30" i="14"/>
  <c r="Y30" i="14" s="1"/>
  <c r="AH177" i="14"/>
  <c r="AH248" i="14"/>
  <c r="AH192" i="14"/>
  <c r="X208" i="14"/>
  <c r="Y208" i="14" s="1"/>
  <c r="AH240" i="14"/>
  <c r="AH223" i="14"/>
  <c r="X62" i="14"/>
  <c r="Y62" i="14" s="1"/>
  <c r="AH55" i="14"/>
  <c r="AH232" i="14"/>
  <c r="AF216" i="14"/>
  <c r="X216" i="14"/>
  <c r="Y216" i="14" s="1"/>
  <c r="AH255" i="14"/>
  <c r="X127" i="14"/>
  <c r="Y127" i="14" s="1"/>
  <c r="AH60" i="14"/>
  <c r="AH165" i="14"/>
  <c r="AH83" i="14"/>
  <c r="AH185" i="14"/>
  <c r="X173" i="14"/>
  <c r="Y173" i="14" s="1"/>
  <c r="AH71" i="14"/>
  <c r="AH110" i="14"/>
  <c r="AH6" i="14"/>
  <c r="AH230" i="14"/>
  <c r="AH267" i="14"/>
  <c r="AH92" i="14"/>
  <c r="AH295" i="14"/>
  <c r="AH199" i="14"/>
  <c r="AH5" i="14"/>
  <c r="AH207" i="14"/>
  <c r="AH79" i="14"/>
  <c r="AH119" i="14"/>
  <c r="AH43" i="14"/>
  <c r="AH29" i="14"/>
  <c r="AH148" i="14"/>
  <c r="AF290" i="14"/>
  <c r="X290" i="14"/>
  <c r="Y290" i="14" s="1"/>
  <c r="X134" i="14"/>
  <c r="Y134" i="14" s="1"/>
  <c r="AH194" i="14"/>
  <c r="AH51" i="14"/>
  <c r="AH175" i="14"/>
  <c r="AH249" i="14"/>
  <c r="AH270" i="14"/>
  <c r="AH85" i="14"/>
  <c r="AH186" i="14"/>
  <c r="AH68" i="14"/>
  <c r="AH235" i="14"/>
  <c r="AH151" i="14"/>
  <c r="AH264" i="14"/>
  <c r="AH189" i="14"/>
  <c r="AH258" i="14"/>
  <c r="AH166" i="14"/>
  <c r="AH94" i="14"/>
  <c r="AH109" i="14"/>
  <c r="AH77" i="14"/>
  <c r="AH237" i="14"/>
  <c r="AH45" i="14"/>
  <c r="AH4" i="14"/>
  <c r="X256" i="14"/>
  <c r="Y256" i="14" s="1"/>
  <c r="AH288" i="14"/>
  <c r="AH191" i="14"/>
  <c r="AH250" i="14"/>
  <c r="AH202" i="14"/>
  <c r="AH160" i="14"/>
  <c r="AH33" i="14"/>
  <c r="AH82" i="14"/>
  <c r="AH293" i="14"/>
  <c r="AH292" i="14"/>
  <c r="X41" i="14"/>
  <c r="Y41" i="14" s="1"/>
  <c r="AH224" i="14"/>
  <c r="AH274" i="14"/>
  <c r="X212" i="14"/>
  <c r="Y212" i="14" s="1"/>
  <c r="X147" i="14"/>
  <c r="Y147" i="14" s="1"/>
  <c r="AH135" i="14"/>
  <c r="AF158" i="14"/>
  <c r="X158" i="14"/>
  <c r="Y158" i="14" s="1"/>
  <c r="AH34" i="14"/>
  <c r="AH143" i="14"/>
  <c r="X58" i="14"/>
  <c r="Y58" i="14" s="1"/>
  <c r="AH72" i="14"/>
  <c r="AH140" i="14"/>
  <c r="AH2" i="14"/>
  <c r="AH131" i="14"/>
  <c r="AH294" i="14"/>
  <c r="AH124" i="14"/>
  <c r="AF268" i="14"/>
  <c r="X268" i="14"/>
  <c r="Y268" i="14" s="1"/>
  <c r="AH181" i="14"/>
  <c r="X104" i="14"/>
  <c r="Y104" i="14" s="1"/>
  <c r="AH297" i="14"/>
  <c r="AH111" i="14"/>
  <c r="AH112" i="14"/>
  <c r="X262" i="14"/>
  <c r="Y262" i="14" s="1"/>
  <c r="AH74" i="14"/>
  <c r="AH97" i="14"/>
  <c r="X22" i="14"/>
  <c r="Y22" i="14" s="1"/>
  <c r="AH146" i="14"/>
  <c r="AH18" i="14"/>
  <c r="AH246" i="14"/>
  <c r="AF154" i="14"/>
  <c r="X154" i="14"/>
  <c r="Y154" i="14" s="1"/>
  <c r="AH283" i="14"/>
  <c r="X8" i="14"/>
  <c r="Y8" i="14" s="1"/>
  <c r="AF126" i="14"/>
  <c r="X126" i="14"/>
  <c r="Y126" i="14" s="1"/>
  <c r="AH136" i="14"/>
  <c r="AH179" i="14"/>
  <c r="AH195" i="14"/>
  <c r="X91" i="14"/>
  <c r="Y91" i="14" s="1"/>
  <c r="AF159" i="14"/>
  <c r="X159" i="14"/>
  <c r="Y159" i="14" s="1"/>
  <c r="AH281" i="14"/>
  <c r="AH66" i="14"/>
  <c r="AH239" i="14"/>
  <c r="AH233" i="14"/>
  <c r="AH265" i="14"/>
  <c r="AH176" i="14"/>
  <c r="AH95" i="14"/>
  <c r="AH198" i="14"/>
  <c r="AH116" i="14"/>
  <c r="AF187" i="14"/>
  <c r="X187" i="14"/>
  <c r="Y187" i="14" s="1"/>
  <c r="AH107" i="14"/>
  <c r="AH37" i="14"/>
  <c r="AH75" i="14"/>
  <c r="AH78" i="14"/>
  <c r="AH299" i="14"/>
  <c r="AH52" i="14"/>
  <c r="AH120" i="14"/>
  <c r="AH36" i="14"/>
  <c r="AH133" i="14"/>
  <c r="AH221" i="14"/>
  <c r="AH86" i="14"/>
  <c r="AH84" i="14"/>
  <c r="AH132" i="14"/>
  <c r="AH282" i="14"/>
  <c r="AH183" i="14"/>
  <c r="AH204" i="14"/>
  <c r="X263" i="14"/>
  <c r="Y263" i="14" s="1"/>
  <c r="AH142" i="14"/>
  <c r="X56" i="14"/>
  <c r="Y56" i="14" s="1"/>
  <c r="AH100" i="14"/>
  <c r="AH46" i="14"/>
  <c r="AH118" i="14"/>
  <c r="AH245" i="14"/>
  <c r="AH50" i="14"/>
  <c r="AH117" i="14"/>
  <c r="AH47" i="14"/>
  <c r="AH25" i="14"/>
  <c r="AH90" i="14"/>
  <c r="AH59" i="14"/>
  <c r="AH122" i="14"/>
  <c r="AH229" i="14"/>
  <c r="AH121" i="14"/>
  <c r="AH130" i="14"/>
  <c r="AH64" i="14"/>
  <c r="AH102" i="14"/>
  <c r="AH284" i="14"/>
  <c r="AH149" i="14"/>
  <c r="AH184" i="14"/>
  <c r="AH298" i="14"/>
  <c r="X93" i="14"/>
  <c r="Y93" i="14" s="1"/>
  <c r="X203" i="14"/>
  <c r="Y203" i="14" s="1"/>
  <c r="AH38" i="14"/>
  <c r="AF14" i="14"/>
  <c r="X14" i="14"/>
  <c r="Y14" i="14" s="1"/>
  <c r="AH9" i="14"/>
  <c r="AH254" i="14"/>
  <c r="AH129" i="14"/>
  <c r="AH163" i="14"/>
  <c r="X40" i="14"/>
  <c r="Y40" i="14" s="1"/>
  <c r="AH168" i="14"/>
  <c r="AH49" i="14"/>
  <c r="AH169" i="14"/>
  <c r="AH209" i="14"/>
  <c r="X280" i="14"/>
  <c r="Y280" i="14" s="1"/>
  <c r="AH3" i="14"/>
  <c r="AH152" i="14"/>
  <c r="AH180" i="14"/>
  <c r="AH266" i="14"/>
  <c r="AH139" i="14"/>
  <c r="AH269" i="14"/>
  <c r="AH296" i="14"/>
  <c r="AH103" i="14"/>
  <c r="AH242" i="14"/>
  <c r="AH178" i="14"/>
  <c r="AH215" i="14"/>
  <c r="AH252" i="14"/>
  <c r="AH210" i="14"/>
  <c r="AH31" i="14"/>
  <c r="X206" i="14"/>
  <c r="Y206" i="14" s="1"/>
  <c r="AH69" i="14"/>
  <c r="X218" i="14"/>
  <c r="Y218" i="14" s="1"/>
  <c r="AH128" i="14"/>
  <c r="AH171" i="14"/>
  <c r="AH251" i="14"/>
  <c r="AH285" i="14"/>
  <c r="AH222" i="14"/>
  <c r="AH213" i="14"/>
  <c r="AH164" i="14"/>
  <c r="AH170" i="14"/>
  <c r="AH227" i="14"/>
  <c r="AH76" i="14"/>
  <c r="AH278" i="14"/>
  <c r="AH54" i="14"/>
  <c r="AH271" i="14"/>
  <c r="AH115" i="14"/>
  <c r="AH27" i="14"/>
  <c r="AH7" i="14"/>
  <c r="AH81" i="14"/>
  <c r="X96" i="14"/>
  <c r="Y96" i="14" s="1"/>
  <c r="AH21" i="14"/>
  <c r="AH228" i="14"/>
  <c r="AH241" i="14"/>
  <c r="AH287" i="14"/>
  <c r="AH138" i="14"/>
  <c r="AH276" i="14"/>
  <c r="AH99" i="14"/>
  <c r="AH182" i="14"/>
  <c r="AH26" i="14"/>
  <c r="AH19" i="14"/>
  <c r="AH279" i="14"/>
  <c r="AH17" i="14"/>
  <c r="X243" i="14"/>
  <c r="Y243" i="14" s="1"/>
  <c r="X197" i="14"/>
  <c r="Y197" i="14" s="1"/>
  <c r="AH113" i="14"/>
  <c r="AH205" i="14"/>
  <c r="AH157" i="14"/>
  <c r="AH57" i="14"/>
  <c r="AH89" i="14"/>
  <c r="AH217" i="14"/>
  <c r="AH238" i="14"/>
  <c r="AH144" i="14"/>
  <c r="AH101" i="14"/>
  <c r="Q117" i="13"/>
  <c r="U117" i="13" s="1"/>
  <c r="AF117" i="13" s="1"/>
  <c r="Q16" i="13"/>
  <c r="U16" i="13" s="1"/>
  <c r="AF16" i="13" s="1"/>
  <c r="AS7" i="13"/>
  <c r="AT7" i="13"/>
  <c r="AS13" i="13"/>
  <c r="AT13" i="13"/>
  <c r="AS16" i="13"/>
  <c r="AT16" i="13"/>
  <c r="AT131" i="13"/>
  <c r="AU131" i="13"/>
  <c r="AS131" i="13"/>
  <c r="AT135" i="13"/>
  <c r="AU135" i="13"/>
  <c r="AS135" i="13"/>
  <c r="AT139" i="13"/>
  <c r="AU139" i="13"/>
  <c r="AS139" i="13"/>
  <c r="AT143" i="13"/>
  <c r="AU143" i="13"/>
  <c r="AS143" i="13"/>
  <c r="AS149" i="13"/>
  <c r="AT149" i="13"/>
  <c r="AU149" i="13"/>
  <c r="AT155" i="13"/>
  <c r="AU155" i="13"/>
  <c r="AS155" i="13"/>
  <c r="AS161" i="13"/>
  <c r="AT161" i="13"/>
  <c r="AU161" i="13"/>
  <c r="AT167" i="13"/>
  <c r="AU167" i="13"/>
  <c r="AS167" i="13"/>
  <c r="AT171" i="13"/>
  <c r="AU171" i="13"/>
  <c r="AS171" i="13"/>
  <c r="AS177" i="13"/>
  <c r="AT177" i="13"/>
  <c r="AU177" i="13"/>
  <c r="AR185" i="13"/>
  <c r="AS185" i="13"/>
  <c r="AT185" i="13"/>
  <c r="AU185" i="13"/>
  <c r="AR189" i="13"/>
  <c r="AS189" i="13"/>
  <c r="AT189" i="13"/>
  <c r="AU189" i="13"/>
  <c r="AR197" i="13"/>
  <c r="AS197" i="13"/>
  <c r="AT197" i="13"/>
  <c r="AU197" i="13"/>
  <c r="AR201" i="13"/>
  <c r="AS201" i="13"/>
  <c r="AT201" i="13"/>
  <c r="AU201" i="13"/>
  <c r="AR205" i="13"/>
  <c r="AS205" i="13"/>
  <c r="AT205" i="13"/>
  <c r="AU205" i="13"/>
  <c r="AR207" i="13"/>
  <c r="AT207" i="13"/>
  <c r="AU207" i="13"/>
  <c r="AS207" i="13"/>
  <c r="AR209" i="13"/>
  <c r="AS209" i="13"/>
  <c r="AT209" i="13"/>
  <c r="AU209" i="13"/>
  <c r="AS22" i="13"/>
  <c r="AT22" i="13"/>
  <c r="AS26" i="13"/>
  <c r="BM26" i="13" s="1"/>
  <c r="AT26" i="13"/>
  <c r="AS30" i="13"/>
  <c r="AT30" i="13"/>
  <c r="AS40" i="13"/>
  <c r="AT40" i="13"/>
  <c r="AU40" i="13"/>
  <c r="AS50" i="13"/>
  <c r="AT50" i="13"/>
  <c r="AU50" i="13"/>
  <c r="AS54" i="13"/>
  <c r="AT54" i="13"/>
  <c r="AU54" i="13"/>
  <c r="AS58" i="13"/>
  <c r="AT58" i="13"/>
  <c r="AU58" i="13"/>
  <c r="AS60" i="13"/>
  <c r="AT60" i="13"/>
  <c r="AU60" i="13"/>
  <c r="AS64" i="13"/>
  <c r="AT64" i="13"/>
  <c r="AU64" i="13"/>
  <c r="AS70" i="13"/>
  <c r="AT70" i="13"/>
  <c r="AU70" i="13"/>
  <c r="AS74" i="13"/>
  <c r="AT74" i="13"/>
  <c r="AU74" i="13"/>
  <c r="AS78" i="13"/>
  <c r="AT78" i="13"/>
  <c r="AU78" i="13"/>
  <c r="AS82" i="13"/>
  <c r="AT82" i="13"/>
  <c r="AU82" i="13"/>
  <c r="AS86" i="13"/>
  <c r="AT86" i="13"/>
  <c r="AU86" i="13"/>
  <c r="AS90" i="13"/>
  <c r="AT90" i="13"/>
  <c r="AU90" i="13"/>
  <c r="AU96" i="13"/>
  <c r="AS96" i="13"/>
  <c r="AT96" i="13"/>
  <c r="AU100" i="13"/>
  <c r="AS100" i="13"/>
  <c r="AT100" i="13"/>
  <c r="AU104" i="13"/>
  <c r="AS104" i="13"/>
  <c r="AT104" i="13"/>
  <c r="AU108" i="13"/>
  <c r="AS108" i="13"/>
  <c r="AT108" i="13"/>
  <c r="AU112" i="13"/>
  <c r="AS112" i="13"/>
  <c r="AT112" i="13"/>
  <c r="AS114" i="13"/>
  <c r="AT114" i="13"/>
  <c r="AU114" i="13"/>
  <c r="AS118" i="13"/>
  <c r="AT118" i="13"/>
  <c r="AU118" i="13"/>
  <c r="AS122" i="13"/>
  <c r="AT122" i="13"/>
  <c r="AU122" i="13"/>
  <c r="AS5" i="13"/>
  <c r="AT5" i="13"/>
  <c r="AS9" i="13"/>
  <c r="AT9" i="13"/>
  <c r="AT123" i="13"/>
  <c r="AU123" i="13"/>
  <c r="AS123" i="13"/>
  <c r="AT127" i="13"/>
  <c r="BN127" i="13" s="1"/>
  <c r="AU127" i="13"/>
  <c r="AS127" i="13"/>
  <c r="AS133" i="13"/>
  <c r="AT133" i="13"/>
  <c r="AU133" i="13"/>
  <c r="AS137" i="13"/>
  <c r="AT137" i="13"/>
  <c r="AU137" i="13"/>
  <c r="AS141" i="13"/>
  <c r="AT141" i="13"/>
  <c r="AU141" i="13"/>
  <c r="AT147" i="13"/>
  <c r="AU147" i="13"/>
  <c r="AS147" i="13"/>
  <c r="AT151" i="13"/>
  <c r="AU151" i="13"/>
  <c r="AS151" i="13"/>
  <c r="AS165" i="13"/>
  <c r="AT165" i="13"/>
  <c r="AU165" i="13"/>
  <c r="AS169" i="13"/>
  <c r="AT169" i="13"/>
  <c r="AU169" i="13"/>
  <c r="AS173" i="13"/>
  <c r="AT173" i="13"/>
  <c r="AU173" i="13"/>
  <c r="AT175" i="13"/>
  <c r="AU175" i="13"/>
  <c r="AS175" i="13"/>
  <c r="AT179" i="13"/>
  <c r="AU179" i="13"/>
  <c r="AS179" i="13"/>
  <c r="AS181" i="13"/>
  <c r="AT181" i="13"/>
  <c r="AU181" i="13"/>
  <c r="AT183" i="13"/>
  <c r="AU183" i="13"/>
  <c r="AS183" i="13"/>
  <c r="AR187" i="13"/>
  <c r="AT187" i="13"/>
  <c r="AU187" i="13"/>
  <c r="AS187" i="13"/>
  <c r="AR195" i="13"/>
  <c r="AT195" i="13"/>
  <c r="AU195" i="13"/>
  <c r="AS195" i="13"/>
  <c r="AR199" i="13"/>
  <c r="AT199" i="13"/>
  <c r="AU199" i="13"/>
  <c r="AS199" i="13"/>
  <c r="AR217" i="13"/>
  <c r="AS217" i="13"/>
  <c r="AT217" i="13"/>
  <c r="AU217" i="13"/>
  <c r="AR227" i="13"/>
  <c r="AT227" i="13"/>
  <c r="AU227" i="13"/>
  <c r="AS227" i="13"/>
  <c r="AR233" i="13"/>
  <c r="AS233" i="13"/>
  <c r="AT233" i="13"/>
  <c r="AU233" i="13"/>
  <c r="AR237" i="13"/>
  <c r="AS237" i="13"/>
  <c r="AU237" i="13"/>
  <c r="AT237" i="13"/>
  <c r="AS18" i="13"/>
  <c r="AT18" i="13"/>
  <c r="AS24" i="13"/>
  <c r="AT24" i="13"/>
  <c r="AS28" i="13"/>
  <c r="BM28" i="13" s="1"/>
  <c r="AT28" i="13"/>
  <c r="AS32" i="13"/>
  <c r="AT32" i="13"/>
  <c r="AU32" i="13"/>
  <c r="AS38" i="13"/>
  <c r="AT38" i="13"/>
  <c r="AU38" i="13"/>
  <c r="AS42" i="13"/>
  <c r="AT42" i="13"/>
  <c r="AU42" i="13"/>
  <c r="AS48" i="13"/>
  <c r="AT48" i="13"/>
  <c r="AU48" i="13"/>
  <c r="AS52" i="13"/>
  <c r="AT52" i="13"/>
  <c r="AU52" i="13"/>
  <c r="AS56" i="13"/>
  <c r="AT56" i="13"/>
  <c r="AU56" i="13"/>
  <c r="AS62" i="13"/>
  <c r="AT62" i="13"/>
  <c r="AU62" i="13"/>
  <c r="AS66" i="13"/>
  <c r="AT66" i="13"/>
  <c r="AU66" i="13"/>
  <c r="AS72" i="13"/>
  <c r="AT72" i="13"/>
  <c r="AU72" i="13"/>
  <c r="AS76" i="13"/>
  <c r="AT76" i="13"/>
  <c r="AU76" i="13"/>
  <c r="AS80" i="13"/>
  <c r="AT80" i="13"/>
  <c r="AU80" i="13"/>
  <c r="AS84" i="13"/>
  <c r="AT84" i="13"/>
  <c r="AU84" i="13"/>
  <c r="AU88" i="13"/>
  <c r="AS88" i="13"/>
  <c r="AT88" i="13"/>
  <c r="AS94" i="13"/>
  <c r="AT94" i="13"/>
  <c r="AU94" i="13"/>
  <c r="AS98" i="13"/>
  <c r="AT98" i="13"/>
  <c r="AU98" i="13"/>
  <c r="AS102" i="13"/>
  <c r="AT102" i="13"/>
  <c r="AU102" i="13"/>
  <c r="AS106" i="13"/>
  <c r="BM106" i="13" s="1"/>
  <c r="AT106" i="13"/>
  <c r="AU106" i="13"/>
  <c r="AS110" i="13"/>
  <c r="AT110" i="13"/>
  <c r="AU110" i="13"/>
  <c r="AU116" i="13"/>
  <c r="AS116" i="13"/>
  <c r="AT116" i="13"/>
  <c r="AR247" i="13"/>
  <c r="AT247" i="13"/>
  <c r="AU247" i="13"/>
  <c r="AS247" i="13"/>
  <c r="AU259" i="13"/>
  <c r="AR259" i="13"/>
  <c r="AS259" i="13"/>
  <c r="AT259" i="13"/>
  <c r="AU261" i="13"/>
  <c r="AR261" i="13"/>
  <c r="AS261" i="13"/>
  <c r="AT261" i="13"/>
  <c r="AU275" i="13"/>
  <c r="AR275" i="13"/>
  <c r="AS275" i="13"/>
  <c r="AT275" i="13"/>
  <c r="AU277" i="13"/>
  <c r="AR277" i="13"/>
  <c r="AS277" i="13"/>
  <c r="AT277" i="13"/>
  <c r="AU293" i="13"/>
  <c r="AR293" i="13"/>
  <c r="AS293" i="13"/>
  <c r="AT293" i="13"/>
  <c r="AU297" i="13"/>
  <c r="AR297" i="13"/>
  <c r="AS297" i="13"/>
  <c r="AT297" i="13"/>
  <c r="AU299" i="13"/>
  <c r="AR299" i="13"/>
  <c r="AS299" i="13"/>
  <c r="AT299" i="13"/>
  <c r="AR2" i="13"/>
  <c r="AS2" i="13"/>
  <c r="AT2" i="13"/>
  <c r="AU2" i="13"/>
  <c r="AS4" i="13"/>
  <c r="AT4" i="13"/>
  <c r="AS6" i="13"/>
  <c r="AT6" i="13"/>
  <c r="AS8" i="13"/>
  <c r="AT8" i="13"/>
  <c r="AS10" i="13"/>
  <c r="AT10" i="13"/>
  <c r="AS12" i="13"/>
  <c r="AT12" i="13"/>
  <c r="AS14" i="13"/>
  <c r="AT14" i="13"/>
  <c r="Q22" i="13"/>
  <c r="U22" i="13" s="1"/>
  <c r="AF22" i="13" s="1"/>
  <c r="Q24" i="13"/>
  <c r="U24" i="13" s="1"/>
  <c r="AF24" i="13" s="1"/>
  <c r="Q32" i="13"/>
  <c r="U32" i="13" s="1"/>
  <c r="AF32" i="13" s="1"/>
  <c r="Q48" i="13"/>
  <c r="U48" i="13" s="1"/>
  <c r="AF48" i="13" s="1"/>
  <c r="Q80" i="13"/>
  <c r="U80" i="13" s="1"/>
  <c r="AF80" i="13" s="1"/>
  <c r="AU124" i="13"/>
  <c r="AS124" i="13"/>
  <c r="AT124" i="13"/>
  <c r="AS126" i="13"/>
  <c r="AT126" i="13"/>
  <c r="AU126" i="13"/>
  <c r="AU128" i="13"/>
  <c r="AS128" i="13"/>
  <c r="AT128" i="13"/>
  <c r="AS130" i="13"/>
  <c r="AT130" i="13"/>
  <c r="AU130" i="13"/>
  <c r="AU132" i="13"/>
  <c r="AS132" i="13"/>
  <c r="AT132" i="13"/>
  <c r="AS134" i="13"/>
  <c r="AT134" i="13"/>
  <c r="AU134" i="13"/>
  <c r="AU136" i="13"/>
  <c r="AS136" i="13"/>
  <c r="AT136" i="13"/>
  <c r="AS138" i="13"/>
  <c r="AT138" i="13"/>
  <c r="AU138" i="13"/>
  <c r="AU140" i="13"/>
  <c r="AS140" i="13"/>
  <c r="AT140" i="13"/>
  <c r="AS142" i="13"/>
  <c r="AT142" i="13"/>
  <c r="AU142" i="13"/>
  <c r="AU144" i="13"/>
  <c r="AS144" i="13"/>
  <c r="AT144" i="13"/>
  <c r="AS146" i="13"/>
  <c r="AT146" i="13"/>
  <c r="AU146" i="13"/>
  <c r="AU148" i="13"/>
  <c r="AS148" i="13"/>
  <c r="AT148" i="13"/>
  <c r="AS150" i="13"/>
  <c r="AT150" i="13"/>
  <c r="AU150" i="13"/>
  <c r="AU152" i="13"/>
  <c r="AS152" i="13"/>
  <c r="AT152" i="13"/>
  <c r="AS154" i="13"/>
  <c r="AT154" i="13"/>
  <c r="AU154" i="13"/>
  <c r="AU156" i="13"/>
  <c r="AS156" i="13"/>
  <c r="AT156" i="13"/>
  <c r="AS158" i="13"/>
  <c r="AT158" i="13"/>
  <c r="AU158" i="13"/>
  <c r="AU160" i="13"/>
  <c r="AS160" i="13"/>
  <c r="AT160" i="13"/>
  <c r="AS162" i="13"/>
  <c r="AT162" i="13"/>
  <c r="AU162" i="13"/>
  <c r="AU164" i="13"/>
  <c r="AS164" i="13"/>
  <c r="AT164" i="13"/>
  <c r="AS166" i="13"/>
  <c r="AT166" i="13"/>
  <c r="AU166" i="13"/>
  <c r="AU168" i="13"/>
  <c r="AS168" i="13"/>
  <c r="AT168" i="13"/>
  <c r="AS170" i="13"/>
  <c r="AT170" i="13"/>
  <c r="AU170" i="13"/>
  <c r="AU172" i="13"/>
  <c r="AS172" i="13"/>
  <c r="AT172" i="13"/>
  <c r="AS174" i="13"/>
  <c r="AT174" i="13"/>
  <c r="AU174" i="13"/>
  <c r="AU176" i="13"/>
  <c r="AS176" i="13"/>
  <c r="AT176" i="13"/>
  <c r="AS178" i="13"/>
  <c r="AT178" i="13"/>
  <c r="AU178" i="13"/>
  <c r="AU180" i="13"/>
  <c r="AS180" i="13"/>
  <c r="AT180" i="13"/>
  <c r="AS182" i="13"/>
  <c r="AT182" i="13"/>
  <c r="AU182" i="13"/>
  <c r="AU184" i="13"/>
  <c r="AS184" i="13"/>
  <c r="AT184" i="13"/>
  <c r="AR186" i="13"/>
  <c r="AS186" i="13"/>
  <c r="AT186" i="13"/>
  <c r="AU186" i="13"/>
  <c r="AR188" i="13"/>
  <c r="AU188" i="13"/>
  <c r="AS188" i="13"/>
  <c r="AT188" i="13"/>
  <c r="AR190" i="13"/>
  <c r="AS190" i="13"/>
  <c r="AT190" i="13"/>
  <c r="AU190" i="13"/>
  <c r="AR192" i="13"/>
  <c r="AU192" i="13"/>
  <c r="AS192" i="13"/>
  <c r="AT192" i="13"/>
  <c r="AR194" i="13"/>
  <c r="AS194" i="13"/>
  <c r="AT194" i="13"/>
  <c r="AU194" i="13"/>
  <c r="AR196" i="13"/>
  <c r="AU196" i="13"/>
  <c r="AS196" i="13"/>
  <c r="AT196" i="13"/>
  <c r="AR198" i="13"/>
  <c r="AS198" i="13"/>
  <c r="AT198" i="13"/>
  <c r="AU198" i="13"/>
  <c r="AR200" i="13"/>
  <c r="AU200" i="13"/>
  <c r="AS200" i="13"/>
  <c r="AT200" i="13"/>
  <c r="AR202" i="13"/>
  <c r="AS202" i="13"/>
  <c r="AT202" i="13"/>
  <c r="AU202" i="13"/>
  <c r="AR204" i="13"/>
  <c r="AU204" i="13"/>
  <c r="AS204" i="13"/>
  <c r="AT204" i="13"/>
  <c r="AR206" i="13"/>
  <c r="AS206" i="13"/>
  <c r="AT206" i="13"/>
  <c r="AU206" i="13"/>
  <c r="AR208" i="13"/>
  <c r="AU208" i="13"/>
  <c r="AS208" i="13"/>
  <c r="AT208" i="13"/>
  <c r="AR210" i="13"/>
  <c r="AS210" i="13"/>
  <c r="AT210" i="13"/>
  <c r="AU210" i="13"/>
  <c r="AR212" i="13"/>
  <c r="AU212" i="13"/>
  <c r="AS212" i="13"/>
  <c r="AT212" i="13"/>
  <c r="AR214" i="13"/>
  <c r="AS214" i="13"/>
  <c r="AT214" i="13"/>
  <c r="AU214" i="13"/>
  <c r="AR216" i="13"/>
  <c r="AU216" i="13"/>
  <c r="AS216" i="13"/>
  <c r="AT216" i="13"/>
  <c r="AR218" i="13"/>
  <c r="AS218" i="13"/>
  <c r="AT218" i="13"/>
  <c r="AU218" i="13"/>
  <c r="AR220" i="13"/>
  <c r="AU220" i="13"/>
  <c r="AS220" i="13"/>
  <c r="AT220" i="13"/>
  <c r="AR222" i="13"/>
  <c r="AS222" i="13"/>
  <c r="AT222" i="13"/>
  <c r="AU222" i="13"/>
  <c r="AR224" i="13"/>
  <c r="AU224" i="13"/>
  <c r="AS224" i="13"/>
  <c r="AT224" i="13"/>
  <c r="AR226" i="13"/>
  <c r="AS226" i="13"/>
  <c r="AT226" i="13"/>
  <c r="AU226" i="13"/>
  <c r="AR228" i="13"/>
  <c r="AU228" i="13"/>
  <c r="AS228" i="13"/>
  <c r="AT228" i="13"/>
  <c r="AR230" i="13"/>
  <c r="AS230" i="13"/>
  <c r="AT230" i="13"/>
  <c r="AU230" i="13"/>
  <c r="AR232" i="13"/>
  <c r="AU232" i="13"/>
  <c r="AS232" i="13"/>
  <c r="AT232" i="13"/>
  <c r="AR234" i="13"/>
  <c r="AS234" i="13"/>
  <c r="AT234" i="13"/>
  <c r="AU234" i="13"/>
  <c r="AR236" i="13"/>
  <c r="AU236" i="13"/>
  <c r="AS236" i="13"/>
  <c r="AT236" i="13"/>
  <c r="AR238" i="13"/>
  <c r="AS238" i="13"/>
  <c r="AT238" i="13"/>
  <c r="AU238" i="13"/>
  <c r="AR240" i="13"/>
  <c r="AU240" i="13"/>
  <c r="AT240" i="13"/>
  <c r="AS240" i="13"/>
  <c r="AR242" i="13"/>
  <c r="AS242" i="13"/>
  <c r="AT242" i="13"/>
  <c r="AU242" i="13"/>
  <c r="AR244" i="13"/>
  <c r="AU244" i="13"/>
  <c r="AS244" i="13"/>
  <c r="AT244" i="13"/>
  <c r="AS3" i="13"/>
  <c r="AT3" i="13"/>
  <c r="AS11" i="13"/>
  <c r="AT11" i="13"/>
  <c r="AS125" i="13"/>
  <c r="AT125" i="13"/>
  <c r="AU125" i="13"/>
  <c r="AS129" i="13"/>
  <c r="AT129" i="13"/>
  <c r="AU129" i="13"/>
  <c r="AS145" i="13"/>
  <c r="AT145" i="13"/>
  <c r="AU145" i="13"/>
  <c r="AS153" i="13"/>
  <c r="AT153" i="13"/>
  <c r="AU153" i="13"/>
  <c r="AS157" i="13"/>
  <c r="AT157" i="13"/>
  <c r="AU157" i="13"/>
  <c r="AT159" i="13"/>
  <c r="AU159" i="13"/>
  <c r="AS159" i="13"/>
  <c r="AT163" i="13"/>
  <c r="AU163" i="13"/>
  <c r="AS163" i="13"/>
  <c r="AR191" i="13"/>
  <c r="AT191" i="13"/>
  <c r="AU191" i="13"/>
  <c r="AS191" i="13"/>
  <c r="AR193" i="13"/>
  <c r="AS193" i="13"/>
  <c r="AT193" i="13"/>
  <c r="AU193" i="13"/>
  <c r="AR203" i="13"/>
  <c r="AT203" i="13"/>
  <c r="AU203" i="13"/>
  <c r="AS203" i="13"/>
  <c r="AR211" i="13"/>
  <c r="AT211" i="13"/>
  <c r="AU211" i="13"/>
  <c r="AS211" i="13"/>
  <c r="AR213" i="13"/>
  <c r="AS213" i="13"/>
  <c r="AT213" i="13"/>
  <c r="AU213" i="13"/>
  <c r="AR215" i="13"/>
  <c r="AT215" i="13"/>
  <c r="AU215" i="13"/>
  <c r="AS215" i="13"/>
  <c r="AR219" i="13"/>
  <c r="AT219" i="13"/>
  <c r="AU219" i="13"/>
  <c r="AS219" i="13"/>
  <c r="AR221" i="13"/>
  <c r="AS221" i="13"/>
  <c r="AT221" i="13"/>
  <c r="AU221" i="13"/>
  <c r="AR223" i="13"/>
  <c r="AT223" i="13"/>
  <c r="AU223" i="13"/>
  <c r="AS223" i="13"/>
  <c r="AR225" i="13"/>
  <c r="AS225" i="13"/>
  <c r="AT225" i="13"/>
  <c r="AU225" i="13"/>
  <c r="AR229" i="13"/>
  <c r="AS229" i="13"/>
  <c r="AT229" i="13"/>
  <c r="AU229" i="13"/>
  <c r="AR231" i="13"/>
  <c r="AT231" i="13"/>
  <c r="AU231" i="13"/>
  <c r="AS231" i="13"/>
  <c r="AR235" i="13"/>
  <c r="AT235" i="13"/>
  <c r="AU235" i="13"/>
  <c r="AS235" i="13"/>
  <c r="AR239" i="13"/>
  <c r="AT239" i="13"/>
  <c r="AU239" i="13"/>
  <c r="AS239" i="13"/>
  <c r="AR241" i="13"/>
  <c r="AS241" i="13"/>
  <c r="AT241" i="13"/>
  <c r="AU241" i="13"/>
  <c r="AR243" i="13"/>
  <c r="AT243" i="13"/>
  <c r="AU243" i="13"/>
  <c r="AS243" i="13"/>
  <c r="AR245" i="13"/>
  <c r="AS245" i="13"/>
  <c r="AU245" i="13"/>
  <c r="AT245" i="13"/>
  <c r="AS15" i="13"/>
  <c r="AT15" i="13"/>
  <c r="AS20" i="13"/>
  <c r="AT20" i="13"/>
  <c r="AS34" i="13"/>
  <c r="AT34" i="13"/>
  <c r="AU34" i="13"/>
  <c r="AS36" i="13"/>
  <c r="AT36" i="13"/>
  <c r="AU36" i="13"/>
  <c r="AS44" i="13"/>
  <c r="AT44" i="13"/>
  <c r="AU44" i="13"/>
  <c r="AS46" i="13"/>
  <c r="AT46" i="13"/>
  <c r="AU46" i="13"/>
  <c r="AS68" i="13"/>
  <c r="AT68" i="13"/>
  <c r="AU68" i="13"/>
  <c r="AU92" i="13"/>
  <c r="AS92" i="13"/>
  <c r="AT92" i="13"/>
  <c r="AU120" i="13"/>
  <c r="AS120" i="13"/>
  <c r="AT120" i="13"/>
  <c r="AR249" i="13"/>
  <c r="AS249" i="13"/>
  <c r="AT249" i="13"/>
  <c r="AU249" i="13"/>
  <c r="AR251" i="13"/>
  <c r="AT251" i="13"/>
  <c r="AU251" i="13"/>
  <c r="AS251" i="13"/>
  <c r="AR253" i="13"/>
  <c r="AS253" i="13"/>
  <c r="AU253" i="13"/>
  <c r="AT253" i="13"/>
  <c r="AR255" i="13"/>
  <c r="AT255" i="13"/>
  <c r="AU255" i="13"/>
  <c r="AS255" i="13"/>
  <c r="AU257" i="13"/>
  <c r="AR257" i="13"/>
  <c r="AS257" i="13"/>
  <c r="AT257" i="13"/>
  <c r="AU263" i="13"/>
  <c r="BO263" i="13" s="1"/>
  <c r="AR263" i="13"/>
  <c r="AS263" i="13"/>
  <c r="AT263" i="13"/>
  <c r="AU265" i="13"/>
  <c r="AR265" i="13"/>
  <c r="AS265" i="13"/>
  <c r="AT265" i="13"/>
  <c r="AU267" i="13"/>
  <c r="AR267" i="13"/>
  <c r="AS267" i="13"/>
  <c r="AT267" i="13"/>
  <c r="AU269" i="13"/>
  <c r="AR269" i="13"/>
  <c r="AS269" i="13"/>
  <c r="AT269" i="13"/>
  <c r="AU271" i="13"/>
  <c r="AR271" i="13"/>
  <c r="AS271" i="13"/>
  <c r="AT271" i="13"/>
  <c r="AU273" i="13"/>
  <c r="AR273" i="13"/>
  <c r="AS273" i="13"/>
  <c r="AT273" i="13"/>
  <c r="AU279" i="13"/>
  <c r="AR279" i="13"/>
  <c r="AS279" i="13"/>
  <c r="AT279" i="13"/>
  <c r="AU281" i="13"/>
  <c r="AR281" i="13"/>
  <c r="AS281" i="13"/>
  <c r="AT281" i="13"/>
  <c r="AU283" i="13"/>
  <c r="AR283" i="13"/>
  <c r="AS283" i="13"/>
  <c r="AT283" i="13"/>
  <c r="AU285" i="13"/>
  <c r="AR285" i="13"/>
  <c r="AS285" i="13"/>
  <c r="AT285" i="13"/>
  <c r="AU287" i="13"/>
  <c r="AR287" i="13"/>
  <c r="AS287" i="13"/>
  <c r="AT287" i="13"/>
  <c r="AU289" i="13"/>
  <c r="AR289" i="13"/>
  <c r="AS289" i="13"/>
  <c r="AT289" i="13"/>
  <c r="AU291" i="13"/>
  <c r="AR291" i="13"/>
  <c r="AS291" i="13"/>
  <c r="AT291" i="13"/>
  <c r="AU295" i="13"/>
  <c r="AR295" i="13"/>
  <c r="AS295" i="13"/>
  <c r="AT295" i="13"/>
  <c r="BE2" i="13"/>
  <c r="BJ2" i="13" s="1"/>
  <c r="BO2" i="13" s="1"/>
  <c r="BA2" i="13"/>
  <c r="BD2" i="13"/>
  <c r="BC2" i="13"/>
  <c r="BB2" i="13"/>
  <c r="AS17" i="13"/>
  <c r="AT17" i="13"/>
  <c r="AS19" i="13"/>
  <c r="AT19" i="13"/>
  <c r="AS21" i="13"/>
  <c r="AT21" i="13"/>
  <c r="AS23" i="13"/>
  <c r="AT23" i="13"/>
  <c r="AS25" i="13"/>
  <c r="AT25" i="13"/>
  <c r="AS27" i="13"/>
  <c r="AT27" i="13"/>
  <c r="AS29" i="13"/>
  <c r="AT29" i="13"/>
  <c r="AS31" i="13"/>
  <c r="AT31" i="13"/>
  <c r="AU31" i="13"/>
  <c r="AS33" i="13"/>
  <c r="AT33" i="13"/>
  <c r="AU33" i="13"/>
  <c r="AS35" i="13"/>
  <c r="AT35" i="13"/>
  <c r="AU35" i="13"/>
  <c r="AS37" i="13"/>
  <c r="AT37" i="13"/>
  <c r="AU37" i="13"/>
  <c r="AS39" i="13"/>
  <c r="AT39" i="13"/>
  <c r="AU39" i="13"/>
  <c r="AS41" i="13"/>
  <c r="AT41" i="13"/>
  <c r="AU41" i="13"/>
  <c r="BO41" i="13" s="1"/>
  <c r="AS43" i="13"/>
  <c r="AT43" i="13"/>
  <c r="AU43" i="13"/>
  <c r="AS45" i="13"/>
  <c r="AT45" i="13"/>
  <c r="AU45" i="13"/>
  <c r="AS47" i="13"/>
  <c r="AT47" i="13"/>
  <c r="AU47" i="13"/>
  <c r="AS49" i="13"/>
  <c r="AT49" i="13"/>
  <c r="AU49" i="13"/>
  <c r="AS51" i="13"/>
  <c r="AT51" i="13"/>
  <c r="AU51" i="13"/>
  <c r="AS53" i="13"/>
  <c r="AT53" i="13"/>
  <c r="AU53" i="13"/>
  <c r="AS55" i="13"/>
  <c r="AT55" i="13"/>
  <c r="AU55" i="13"/>
  <c r="AS57" i="13"/>
  <c r="AT57" i="13"/>
  <c r="AU57" i="13"/>
  <c r="AS59" i="13"/>
  <c r="AT59" i="13"/>
  <c r="AU59" i="13"/>
  <c r="AS61" i="13"/>
  <c r="AT61" i="13"/>
  <c r="AU61" i="13"/>
  <c r="AS63" i="13"/>
  <c r="AT63" i="13"/>
  <c r="AU63" i="13"/>
  <c r="AS65" i="13"/>
  <c r="AT65" i="13"/>
  <c r="AU65" i="13"/>
  <c r="BO65" i="13" s="1"/>
  <c r="AS67" i="13"/>
  <c r="AT67" i="13"/>
  <c r="AU67" i="13"/>
  <c r="AS69" i="13"/>
  <c r="AT69" i="13"/>
  <c r="AU69" i="13"/>
  <c r="AS71" i="13"/>
  <c r="AT71" i="13"/>
  <c r="AU71" i="13"/>
  <c r="AS73" i="13"/>
  <c r="AT73" i="13"/>
  <c r="AU73" i="13"/>
  <c r="AS75" i="13"/>
  <c r="AT75" i="13"/>
  <c r="AU75" i="13"/>
  <c r="AS77" i="13"/>
  <c r="AT77" i="13"/>
  <c r="AU77" i="13"/>
  <c r="AS79" i="13"/>
  <c r="AT79" i="13"/>
  <c r="AU79" i="13"/>
  <c r="AS81" i="13"/>
  <c r="AT81" i="13"/>
  <c r="AU81" i="13"/>
  <c r="AS83" i="13"/>
  <c r="AT83" i="13"/>
  <c r="AU83" i="13"/>
  <c r="AS85" i="13"/>
  <c r="AT85" i="13"/>
  <c r="AU85" i="13"/>
  <c r="AS87" i="13"/>
  <c r="AT87" i="13"/>
  <c r="AU87" i="13"/>
  <c r="AS89" i="13"/>
  <c r="AT89" i="13"/>
  <c r="AU89" i="13"/>
  <c r="AT91" i="13"/>
  <c r="AU91" i="13"/>
  <c r="AS91" i="13"/>
  <c r="AS93" i="13"/>
  <c r="AT93" i="13"/>
  <c r="AU93" i="13"/>
  <c r="AT95" i="13"/>
  <c r="AU95" i="13"/>
  <c r="AS95" i="13"/>
  <c r="AS97" i="13"/>
  <c r="AT97" i="13"/>
  <c r="AU97" i="13"/>
  <c r="AT99" i="13"/>
  <c r="AU99" i="13"/>
  <c r="AS99" i="13"/>
  <c r="AS101" i="13"/>
  <c r="AT101" i="13"/>
  <c r="AU101" i="13"/>
  <c r="AT103" i="13"/>
  <c r="AU103" i="13"/>
  <c r="AS103" i="13"/>
  <c r="AS105" i="13"/>
  <c r="AT105" i="13"/>
  <c r="AU105" i="13"/>
  <c r="BO105" i="13" s="1"/>
  <c r="AT107" i="13"/>
  <c r="AU107" i="13"/>
  <c r="AS107" i="13"/>
  <c r="AS109" i="13"/>
  <c r="AT109" i="13"/>
  <c r="AU109" i="13"/>
  <c r="AT111" i="13"/>
  <c r="AU111" i="13"/>
  <c r="AS111" i="13"/>
  <c r="AS113" i="13"/>
  <c r="AT113" i="13"/>
  <c r="AU113" i="13"/>
  <c r="AT115" i="13"/>
  <c r="AU115" i="13"/>
  <c r="AS115" i="13"/>
  <c r="AS117" i="13"/>
  <c r="AT117" i="13"/>
  <c r="AU117" i="13"/>
  <c r="AT119" i="13"/>
  <c r="AU119" i="13"/>
  <c r="AS119" i="13"/>
  <c r="AS121" i="13"/>
  <c r="AT121" i="13"/>
  <c r="AU121" i="13"/>
  <c r="AR246" i="13"/>
  <c r="AS246" i="13"/>
  <c r="AT246" i="13"/>
  <c r="AU246" i="13"/>
  <c r="BO246" i="13" s="1"/>
  <c r="AR248" i="13"/>
  <c r="AU248" i="13"/>
  <c r="AT248" i="13"/>
  <c r="AS248" i="13"/>
  <c r="AR250" i="13"/>
  <c r="AS250" i="13"/>
  <c r="AT250" i="13"/>
  <c r="AU250" i="13"/>
  <c r="AR252" i="13"/>
  <c r="AU252" i="13"/>
  <c r="AS252" i="13"/>
  <c r="AT252" i="13"/>
  <c r="AR254" i="13"/>
  <c r="AS254" i="13"/>
  <c r="AT254" i="13"/>
  <c r="AU254" i="13"/>
  <c r="AR256" i="13"/>
  <c r="AU256" i="13"/>
  <c r="AT256" i="13"/>
  <c r="AS256" i="13"/>
  <c r="AU258" i="13"/>
  <c r="AR258" i="13"/>
  <c r="AT258" i="13"/>
  <c r="AS258" i="13"/>
  <c r="AU260" i="13"/>
  <c r="AR260" i="13"/>
  <c r="AT260" i="13"/>
  <c r="AS260" i="13"/>
  <c r="AU262" i="13"/>
  <c r="AR262" i="13"/>
  <c r="AT262" i="13"/>
  <c r="AS262" i="13"/>
  <c r="AU264" i="13"/>
  <c r="AR264" i="13"/>
  <c r="AT264" i="13"/>
  <c r="AS264" i="13"/>
  <c r="AU266" i="13"/>
  <c r="AR266" i="13"/>
  <c r="AT266" i="13"/>
  <c r="AS266" i="13"/>
  <c r="AU268" i="13"/>
  <c r="AR268" i="13"/>
  <c r="AT268" i="13"/>
  <c r="AS268" i="13"/>
  <c r="AU270" i="13"/>
  <c r="AR270" i="13"/>
  <c r="AT270" i="13"/>
  <c r="AS270" i="13"/>
  <c r="AU272" i="13"/>
  <c r="AR272" i="13"/>
  <c r="AT272" i="13"/>
  <c r="AS272" i="13"/>
  <c r="AU274" i="13"/>
  <c r="AR274" i="13"/>
  <c r="AT274" i="13"/>
  <c r="AS274" i="13"/>
  <c r="AU276" i="13"/>
  <c r="AR276" i="13"/>
  <c r="AT276" i="13"/>
  <c r="AS276" i="13"/>
  <c r="BM276" i="13" s="1"/>
  <c r="AU278" i="13"/>
  <c r="AR278" i="13"/>
  <c r="AT278" i="13"/>
  <c r="AS278" i="13"/>
  <c r="AU280" i="13"/>
  <c r="AR280" i="13"/>
  <c r="AT280" i="13"/>
  <c r="AS280" i="13"/>
  <c r="AU282" i="13"/>
  <c r="AR282" i="13"/>
  <c r="AT282" i="13"/>
  <c r="AS282" i="13"/>
  <c r="AU284" i="13"/>
  <c r="AR284" i="13"/>
  <c r="AT284" i="13"/>
  <c r="AS284" i="13"/>
  <c r="AU286" i="13"/>
  <c r="AR286" i="13"/>
  <c r="AT286" i="13"/>
  <c r="AS286" i="13"/>
  <c r="AU288" i="13"/>
  <c r="AR288" i="13"/>
  <c r="AT288" i="13"/>
  <c r="AS288" i="13"/>
  <c r="AU290" i="13"/>
  <c r="AR290" i="13"/>
  <c r="AT290" i="13"/>
  <c r="AS290" i="13"/>
  <c r="AU292" i="13"/>
  <c r="AR292" i="13"/>
  <c r="AT292" i="13"/>
  <c r="AS292" i="13"/>
  <c r="AU294" i="13"/>
  <c r="AR294" i="13"/>
  <c r="AT294" i="13"/>
  <c r="AS294" i="13"/>
  <c r="AU296" i="13"/>
  <c r="AR296" i="13"/>
  <c r="AT296" i="13"/>
  <c r="AS296" i="13"/>
  <c r="AU298" i="13"/>
  <c r="AR298" i="13"/>
  <c r="AT298" i="13"/>
  <c r="AS298" i="13"/>
  <c r="AS300" i="13"/>
  <c r="AT300" i="13"/>
  <c r="AU300" i="13"/>
  <c r="AR300" i="13"/>
  <c r="Q141" i="13"/>
  <c r="U141" i="13" s="1"/>
  <c r="AF141" i="13" s="1"/>
  <c r="Q143" i="13"/>
  <c r="U143" i="13" s="1"/>
  <c r="AF143" i="13" s="1"/>
  <c r="Q86" i="13"/>
  <c r="U86" i="13" s="1"/>
  <c r="AF86" i="13" s="1"/>
  <c r="Q88" i="13"/>
  <c r="U88" i="13" s="1"/>
  <c r="AF88" i="13" s="1"/>
  <c r="Q96" i="13"/>
  <c r="U96" i="13" s="1"/>
  <c r="AF96" i="13" s="1"/>
  <c r="Q54" i="13"/>
  <c r="U54" i="13" s="1"/>
  <c r="AF54" i="13" s="1"/>
  <c r="Q56" i="13"/>
  <c r="U56" i="13" s="1"/>
  <c r="AF56" i="13" s="1"/>
  <c r="Q64" i="13"/>
  <c r="U64" i="13" s="1"/>
  <c r="AF64" i="13" s="1"/>
  <c r="Q259" i="13"/>
  <c r="U259" i="13" s="1"/>
  <c r="AF259" i="13" s="1"/>
  <c r="Q8" i="13"/>
  <c r="U8" i="13" s="1"/>
  <c r="AF8" i="13" s="1"/>
  <c r="Q121" i="13"/>
  <c r="U121" i="13" s="1"/>
  <c r="AF121" i="13" s="1"/>
  <c r="Q40" i="13"/>
  <c r="U40" i="13" s="1"/>
  <c r="AF40" i="13" s="1"/>
  <c r="Q72" i="13"/>
  <c r="U72" i="13" s="1"/>
  <c r="AF72" i="13" s="1"/>
  <c r="Q104" i="13"/>
  <c r="U104" i="13" s="1"/>
  <c r="AF104" i="13" s="1"/>
  <c r="Q110" i="13"/>
  <c r="U110" i="13" s="1"/>
  <c r="AF110" i="13" s="1"/>
  <c r="Q14" i="13"/>
  <c r="U14" i="13" s="1"/>
  <c r="AF14" i="13" s="1"/>
  <c r="Q6" i="13"/>
  <c r="U6" i="13" s="1"/>
  <c r="AF6" i="13" s="1"/>
  <c r="Q38" i="13"/>
  <c r="U38" i="13" s="1"/>
  <c r="AF38" i="13" s="1"/>
  <c r="Q70" i="13"/>
  <c r="U70" i="13" s="1"/>
  <c r="AF70" i="13" s="1"/>
  <c r="Q102" i="13"/>
  <c r="U102" i="13" s="1"/>
  <c r="AF102" i="13" s="1"/>
  <c r="Q112" i="13"/>
  <c r="U112" i="13" s="1"/>
  <c r="AF112" i="13" s="1"/>
  <c r="Q46" i="13"/>
  <c r="U46" i="13" s="1"/>
  <c r="AF46" i="13" s="1"/>
  <c r="Q78" i="13"/>
  <c r="U78" i="13" s="1"/>
  <c r="AF78" i="13" s="1"/>
  <c r="Q30" i="13"/>
  <c r="U30" i="13" s="1"/>
  <c r="AF30" i="13" s="1"/>
  <c r="Q62" i="13"/>
  <c r="U62" i="13" s="1"/>
  <c r="AF62" i="13" s="1"/>
  <c r="Q94" i="13"/>
  <c r="U94" i="13" s="1"/>
  <c r="AF94" i="13" s="1"/>
  <c r="Q125" i="13"/>
  <c r="U125" i="13" s="1"/>
  <c r="AF125" i="13" s="1"/>
  <c r="Q137" i="13"/>
  <c r="U137" i="13" s="1"/>
  <c r="AF137" i="13" s="1"/>
  <c r="Q278" i="13"/>
  <c r="U278" i="13" s="1"/>
  <c r="AF278" i="13" s="1"/>
  <c r="N123" i="13"/>
  <c r="T123" i="13" s="1"/>
  <c r="N285" i="13"/>
  <c r="T285" i="13" s="1"/>
  <c r="Q4" i="13"/>
  <c r="U4" i="13" s="1"/>
  <c r="AF4" i="13" s="1"/>
  <c r="Q10" i="13"/>
  <c r="U10" i="13" s="1"/>
  <c r="AF10" i="13" s="1"/>
  <c r="Q12" i="13"/>
  <c r="U12" i="13" s="1"/>
  <c r="AF12" i="13" s="1"/>
  <c r="Q18" i="13"/>
  <c r="U18" i="13" s="1"/>
  <c r="AF18" i="13" s="1"/>
  <c r="Q20" i="13"/>
  <c r="U20" i="13" s="1"/>
  <c r="AF20" i="13" s="1"/>
  <c r="Q26" i="13"/>
  <c r="U26" i="13" s="1"/>
  <c r="AF26" i="13" s="1"/>
  <c r="Q28" i="13"/>
  <c r="U28" i="13" s="1"/>
  <c r="AF28" i="13" s="1"/>
  <c r="Q34" i="13"/>
  <c r="U34" i="13" s="1"/>
  <c r="AF34" i="13" s="1"/>
  <c r="Q36" i="13"/>
  <c r="U36" i="13" s="1"/>
  <c r="AF36" i="13" s="1"/>
  <c r="Q42" i="13"/>
  <c r="U42" i="13" s="1"/>
  <c r="AF42" i="13" s="1"/>
  <c r="Q44" i="13"/>
  <c r="U44" i="13" s="1"/>
  <c r="AF44" i="13" s="1"/>
  <c r="Q50" i="13"/>
  <c r="U50" i="13" s="1"/>
  <c r="AF50" i="13" s="1"/>
  <c r="Q52" i="13"/>
  <c r="U52" i="13" s="1"/>
  <c r="AF52" i="13" s="1"/>
  <c r="Q58" i="13"/>
  <c r="U58" i="13" s="1"/>
  <c r="AF58" i="13" s="1"/>
  <c r="Q60" i="13"/>
  <c r="U60" i="13" s="1"/>
  <c r="AF60" i="13" s="1"/>
  <c r="Q66" i="13"/>
  <c r="U66" i="13" s="1"/>
  <c r="AF66" i="13" s="1"/>
  <c r="Q68" i="13"/>
  <c r="U68" i="13" s="1"/>
  <c r="AF68" i="13" s="1"/>
  <c r="Q74" i="13"/>
  <c r="U74" i="13" s="1"/>
  <c r="AF74" i="13" s="1"/>
  <c r="Q76" i="13"/>
  <c r="U76" i="13" s="1"/>
  <c r="AF76" i="13" s="1"/>
  <c r="Q82" i="13"/>
  <c r="U82" i="13" s="1"/>
  <c r="AF82" i="13" s="1"/>
  <c r="Q84" i="13"/>
  <c r="U84" i="13" s="1"/>
  <c r="AF84" i="13" s="1"/>
  <c r="Q90" i="13"/>
  <c r="U90" i="13" s="1"/>
  <c r="AF90" i="13" s="1"/>
  <c r="Q92" i="13"/>
  <c r="U92" i="13" s="1"/>
  <c r="AF92" i="13" s="1"/>
  <c r="Q98" i="13"/>
  <c r="U98" i="13" s="1"/>
  <c r="AF98" i="13" s="1"/>
  <c r="Q100" i="13"/>
  <c r="U100" i="13" s="1"/>
  <c r="AF100" i="13" s="1"/>
  <c r="Q106" i="13"/>
  <c r="U106" i="13" s="1"/>
  <c r="AF106" i="13" s="1"/>
  <c r="Q108" i="13"/>
  <c r="U108" i="13" s="1"/>
  <c r="AF108" i="13" s="1"/>
  <c r="Q131" i="13"/>
  <c r="U131" i="13" s="1"/>
  <c r="AF131" i="13" s="1"/>
  <c r="Q2" i="13"/>
  <c r="U2" i="13" s="1"/>
  <c r="AF2" i="13" s="1"/>
  <c r="BN42" i="13"/>
  <c r="BN74" i="13"/>
  <c r="BN76" i="13"/>
  <c r="BM108" i="13"/>
  <c r="BN133" i="13"/>
  <c r="Q133" i="13"/>
  <c r="U133" i="13" s="1"/>
  <c r="AF133" i="13" s="1"/>
  <c r="Q135" i="13"/>
  <c r="U135" i="13" s="1"/>
  <c r="AF135" i="13" s="1"/>
  <c r="BN25" i="13"/>
  <c r="BM33" i="13"/>
  <c r="BN45" i="13"/>
  <c r="BM53" i="13"/>
  <c r="BM65" i="13"/>
  <c r="BN77" i="13"/>
  <c r="BM85" i="13"/>
  <c r="BN89" i="13"/>
  <c r="BM97" i="13"/>
  <c r="Q114" i="13"/>
  <c r="U114" i="13" s="1"/>
  <c r="AF114" i="13" s="1"/>
  <c r="BO125" i="13"/>
  <c r="BN132" i="13"/>
  <c r="Q139" i="13"/>
  <c r="U139" i="13" s="1"/>
  <c r="AF139" i="13" s="1"/>
  <c r="Q274" i="13"/>
  <c r="U274" i="13" s="1"/>
  <c r="AF274" i="13" s="1"/>
  <c r="BO118" i="13"/>
  <c r="BO127" i="13"/>
  <c r="BM127" i="13"/>
  <c r="Q129" i="13"/>
  <c r="U129" i="13" s="1"/>
  <c r="AF129" i="13" s="1"/>
  <c r="Q287" i="13"/>
  <c r="U287" i="13" s="1"/>
  <c r="AF287" i="13" s="1"/>
  <c r="Q289" i="13"/>
  <c r="U289" i="13" s="1"/>
  <c r="AF289" i="13" s="1"/>
  <c r="AQ2" i="13"/>
  <c r="Q5" i="13"/>
  <c r="U5" i="13" s="1"/>
  <c r="AF5" i="13" s="1"/>
  <c r="Q13" i="13"/>
  <c r="U13" i="13" s="1"/>
  <c r="AF13" i="13" s="1"/>
  <c r="Q21" i="13"/>
  <c r="U21" i="13" s="1"/>
  <c r="AF21" i="13" s="1"/>
  <c r="Q29" i="13"/>
  <c r="U29" i="13" s="1"/>
  <c r="AF29" i="13" s="1"/>
  <c r="Q37" i="13"/>
  <c r="U37" i="13" s="1"/>
  <c r="AF37" i="13" s="1"/>
  <c r="Q45" i="13"/>
  <c r="U45" i="13" s="1"/>
  <c r="AF45" i="13" s="1"/>
  <c r="Q53" i="13"/>
  <c r="U53" i="13" s="1"/>
  <c r="AF53" i="13" s="1"/>
  <c r="BO53" i="13"/>
  <c r="Q61" i="13"/>
  <c r="U61" i="13" s="1"/>
  <c r="AF61" i="13" s="1"/>
  <c r="Q69" i="13"/>
  <c r="U69" i="13" s="1"/>
  <c r="AF69" i="13" s="1"/>
  <c r="Q77" i="13"/>
  <c r="U77" i="13" s="1"/>
  <c r="AF77" i="13" s="1"/>
  <c r="Q85" i="13"/>
  <c r="U85" i="13" s="1"/>
  <c r="AF85" i="13" s="1"/>
  <c r="Q93" i="13"/>
  <c r="U93" i="13" s="1"/>
  <c r="AF93" i="13" s="1"/>
  <c r="Q101" i="13"/>
  <c r="U101" i="13" s="1"/>
  <c r="AF101" i="13" s="1"/>
  <c r="Q109" i="13"/>
  <c r="U109" i="13" s="1"/>
  <c r="AF109" i="13" s="1"/>
  <c r="P113" i="13"/>
  <c r="Q113" i="13" s="1"/>
  <c r="U113" i="13" s="1"/>
  <c r="AF113" i="13" s="1"/>
  <c r="Q115" i="13"/>
  <c r="U115" i="13" s="1"/>
  <c r="AF115" i="13" s="1"/>
  <c r="N119" i="13"/>
  <c r="T119" i="13" s="1"/>
  <c r="Q218" i="13"/>
  <c r="U218" i="13" s="1"/>
  <c r="AF218" i="13" s="1"/>
  <c r="N226" i="13"/>
  <c r="T226" i="13" s="1"/>
  <c r="Q230" i="13"/>
  <c r="U230" i="13" s="1"/>
  <c r="AF230" i="13" s="1"/>
  <c r="BM230" i="13"/>
  <c r="N233" i="13"/>
  <c r="T233" i="13" s="1"/>
  <c r="Q236" i="13"/>
  <c r="U236" i="13" s="1"/>
  <c r="AF236" i="13" s="1"/>
  <c r="Q242" i="13"/>
  <c r="U242" i="13" s="1"/>
  <c r="AF242" i="13" s="1"/>
  <c r="Q244" i="13"/>
  <c r="U244" i="13" s="1"/>
  <c r="AF244" i="13" s="1"/>
  <c r="BN244" i="13"/>
  <c r="Q246" i="13"/>
  <c r="U246" i="13" s="1"/>
  <c r="AF246" i="13" s="1"/>
  <c r="BN246" i="13"/>
  <c r="BM246" i="13"/>
  <c r="Q282" i="13"/>
  <c r="U282" i="13" s="1"/>
  <c r="AF282" i="13" s="1"/>
  <c r="BO286" i="13"/>
  <c r="N82" i="13"/>
  <c r="N102" i="13"/>
  <c r="T102" i="13" s="1"/>
  <c r="N115" i="13"/>
  <c r="T115" i="13" s="1"/>
  <c r="Q127" i="13"/>
  <c r="U127" i="13" s="1"/>
  <c r="AF127" i="13" s="1"/>
  <c r="Q136" i="13"/>
  <c r="U136" i="13" s="1"/>
  <c r="AF136" i="13" s="1"/>
  <c r="Q144" i="13"/>
  <c r="U144" i="13" s="1"/>
  <c r="AF144" i="13" s="1"/>
  <c r="Q216" i="13"/>
  <c r="U216" i="13" s="1"/>
  <c r="AF216" i="13" s="1"/>
  <c r="Q220" i="13"/>
  <c r="U220" i="13" s="1"/>
  <c r="AF220" i="13" s="1"/>
  <c r="Q222" i="13"/>
  <c r="U222" i="13" s="1"/>
  <c r="AF222" i="13" s="1"/>
  <c r="Q228" i="13"/>
  <c r="U228" i="13" s="1"/>
  <c r="AF228" i="13" s="1"/>
  <c r="Q240" i="13"/>
  <c r="U240" i="13" s="1"/>
  <c r="AF240" i="13" s="1"/>
  <c r="Q261" i="13"/>
  <c r="U261" i="13" s="1"/>
  <c r="AF261" i="13" s="1"/>
  <c r="Q272" i="13"/>
  <c r="U272" i="13" s="1"/>
  <c r="AF272" i="13" s="1"/>
  <c r="Q280" i="13"/>
  <c r="U280" i="13" s="1"/>
  <c r="AF280" i="13" s="1"/>
  <c r="Q281" i="13"/>
  <c r="U281" i="13" s="1"/>
  <c r="AF281" i="13" s="1"/>
  <c r="Q283" i="13"/>
  <c r="U283" i="13" s="1"/>
  <c r="AF283" i="13" s="1"/>
  <c r="Q9" i="13"/>
  <c r="U9" i="13" s="1"/>
  <c r="AF9" i="13" s="1"/>
  <c r="Q17" i="13"/>
  <c r="U17" i="13" s="1"/>
  <c r="AF17" i="13" s="1"/>
  <c r="Q25" i="13"/>
  <c r="U25" i="13" s="1"/>
  <c r="AF25" i="13" s="1"/>
  <c r="Q33" i="13"/>
  <c r="U33" i="13" s="1"/>
  <c r="AF33" i="13" s="1"/>
  <c r="BN33" i="13"/>
  <c r="Q41" i="13"/>
  <c r="U41" i="13" s="1"/>
  <c r="AF41" i="13" s="1"/>
  <c r="Q49" i="13"/>
  <c r="U49" i="13" s="1"/>
  <c r="AF49" i="13" s="1"/>
  <c r="Q57" i="13"/>
  <c r="U57" i="13" s="1"/>
  <c r="AF57" i="13" s="1"/>
  <c r="BN57" i="13"/>
  <c r="Q65" i="13"/>
  <c r="U65" i="13" s="1"/>
  <c r="AF65" i="13" s="1"/>
  <c r="BN65" i="13"/>
  <c r="Q73" i="13"/>
  <c r="U73" i="13" s="1"/>
  <c r="AF73" i="13" s="1"/>
  <c r="Q81" i="13"/>
  <c r="U81" i="13" s="1"/>
  <c r="AF81" i="13" s="1"/>
  <c r="Q89" i="13"/>
  <c r="U89" i="13" s="1"/>
  <c r="AF89" i="13" s="1"/>
  <c r="Q97" i="13"/>
  <c r="U97" i="13" s="1"/>
  <c r="AF97" i="13" s="1"/>
  <c r="BN97" i="13"/>
  <c r="Q105" i="13"/>
  <c r="U105" i="13" s="1"/>
  <c r="AF105" i="13" s="1"/>
  <c r="Q123" i="13"/>
  <c r="U123" i="13" s="1"/>
  <c r="AF123" i="13" s="1"/>
  <c r="N127" i="13"/>
  <c r="AE127" i="13" s="1"/>
  <c r="Q232" i="13"/>
  <c r="U232" i="13" s="1"/>
  <c r="AF232" i="13" s="1"/>
  <c r="BM263" i="13"/>
  <c r="Q276" i="13"/>
  <c r="U276" i="13" s="1"/>
  <c r="AF276" i="13" s="1"/>
  <c r="Q285" i="13"/>
  <c r="U285" i="13" s="1"/>
  <c r="AF285" i="13" s="1"/>
  <c r="Q286" i="13"/>
  <c r="U286" i="13" s="1"/>
  <c r="AF286" i="13" s="1"/>
  <c r="BN286" i="13"/>
  <c r="BN20" i="13"/>
  <c r="BO34" i="13"/>
  <c r="BO36" i="13"/>
  <c r="BN58" i="13"/>
  <c r="BN60" i="13"/>
  <c r="BN100" i="13"/>
  <c r="BO114" i="13"/>
  <c r="BN118" i="13"/>
  <c r="Q119" i="13"/>
  <c r="U119" i="13" s="1"/>
  <c r="AF119" i="13" s="1"/>
  <c r="BM125" i="13"/>
  <c r="Q132" i="13"/>
  <c r="U132" i="13" s="1"/>
  <c r="AF132" i="13" s="1"/>
  <c r="Q140" i="13"/>
  <c r="U140" i="13" s="1"/>
  <c r="AF140" i="13" s="1"/>
  <c r="BO140" i="13"/>
  <c r="Q212" i="13"/>
  <c r="U212" i="13" s="1"/>
  <c r="AF212" i="13" s="1"/>
  <c r="Q214" i="13"/>
  <c r="U214" i="13" s="1"/>
  <c r="AF214" i="13" s="1"/>
  <c r="Q224" i="13"/>
  <c r="U224" i="13" s="1"/>
  <c r="AF224" i="13" s="1"/>
  <c r="Q226" i="13"/>
  <c r="U226" i="13" s="1"/>
  <c r="AF226" i="13" s="1"/>
  <c r="Q234" i="13"/>
  <c r="U234" i="13" s="1"/>
  <c r="AF234" i="13" s="1"/>
  <c r="BO234" i="13"/>
  <c r="Q238" i="13"/>
  <c r="U238" i="13" s="1"/>
  <c r="AF238" i="13" s="1"/>
  <c r="Q257" i="13"/>
  <c r="U257" i="13" s="1"/>
  <c r="AF257" i="13" s="1"/>
  <c r="Q270" i="13"/>
  <c r="U270" i="13" s="1"/>
  <c r="AF270" i="13" s="1"/>
  <c r="BN287" i="13"/>
  <c r="Q288" i="13"/>
  <c r="U288" i="13" s="1"/>
  <c r="AF288" i="13" s="1"/>
  <c r="M202" i="13"/>
  <c r="W202" i="13" s="1"/>
  <c r="M68" i="13"/>
  <c r="W68" i="13" s="1"/>
  <c r="M70" i="13"/>
  <c r="W70" i="13" s="1"/>
  <c r="M76" i="13"/>
  <c r="W76" i="13" s="1"/>
  <c r="M78" i="13"/>
  <c r="W78" i="13" s="1"/>
  <c r="M179" i="13"/>
  <c r="W179" i="13" s="1"/>
  <c r="AD79" i="13"/>
  <c r="M173" i="13"/>
  <c r="W173" i="13" s="1"/>
  <c r="AD284" i="13"/>
  <c r="M287" i="13"/>
  <c r="W287" i="13" s="1"/>
  <c r="AD157" i="13"/>
  <c r="AD161" i="13"/>
  <c r="M212" i="13"/>
  <c r="W212" i="13" s="1"/>
  <c r="M247" i="13"/>
  <c r="W247" i="13" s="1"/>
  <c r="M275" i="13"/>
  <c r="W275" i="13" s="1"/>
  <c r="M297" i="13"/>
  <c r="W297" i="13" s="1"/>
  <c r="M36" i="13"/>
  <c r="W36" i="13" s="1"/>
  <c r="M38" i="13"/>
  <c r="W38" i="13" s="1"/>
  <c r="M44" i="13"/>
  <c r="W44" i="13" s="1"/>
  <c r="M46" i="13"/>
  <c r="W46" i="13" s="1"/>
  <c r="AD47" i="13"/>
  <c r="M80" i="13"/>
  <c r="W80" i="13" s="1"/>
  <c r="M82" i="13"/>
  <c r="W82" i="13" s="1"/>
  <c r="M88" i="13"/>
  <c r="W88" i="13" s="1"/>
  <c r="M90" i="13"/>
  <c r="W90" i="13" s="1"/>
  <c r="M112" i="13"/>
  <c r="W112" i="13" s="1"/>
  <c r="M114" i="13"/>
  <c r="W114" i="13" s="1"/>
  <c r="AD155" i="13"/>
  <c r="M189" i="13"/>
  <c r="W189" i="13" s="1"/>
  <c r="M204" i="13"/>
  <c r="W204" i="13" s="1"/>
  <c r="M16" i="13"/>
  <c r="W16" i="13" s="1"/>
  <c r="M18" i="13"/>
  <c r="W18" i="13" s="1"/>
  <c r="M24" i="13"/>
  <c r="W24" i="13" s="1"/>
  <c r="M26" i="13"/>
  <c r="W26" i="13" s="1"/>
  <c r="M100" i="13"/>
  <c r="W100" i="13" s="1"/>
  <c r="M102" i="13"/>
  <c r="W102" i="13" s="1"/>
  <c r="AD125" i="13"/>
  <c r="M149" i="13"/>
  <c r="W149" i="13" s="1"/>
  <c r="M151" i="13"/>
  <c r="W151" i="13" s="1"/>
  <c r="M171" i="13"/>
  <c r="W171" i="13" s="1"/>
  <c r="M187" i="13"/>
  <c r="W187" i="13" s="1"/>
  <c r="M199" i="13"/>
  <c r="W199" i="13" s="1"/>
  <c r="M200" i="13"/>
  <c r="W200" i="13" s="1"/>
  <c r="M4" i="13"/>
  <c r="W4" i="13" s="1"/>
  <c r="M6" i="13"/>
  <c r="W6" i="13" s="1"/>
  <c r="M12" i="13"/>
  <c r="W12" i="13" s="1"/>
  <c r="M14" i="13"/>
  <c r="W14" i="13" s="1"/>
  <c r="AD15" i="13"/>
  <c r="M48" i="13"/>
  <c r="W48" i="13" s="1"/>
  <c r="M50" i="13"/>
  <c r="W50" i="13" s="1"/>
  <c r="M56" i="13"/>
  <c r="W56" i="13" s="1"/>
  <c r="M58" i="13"/>
  <c r="W58" i="13" s="1"/>
  <c r="M117" i="13"/>
  <c r="W117" i="13" s="1"/>
  <c r="M181" i="13"/>
  <c r="W181" i="13" s="1"/>
  <c r="M196" i="13"/>
  <c r="W196" i="13" s="1"/>
  <c r="M242" i="13"/>
  <c r="W242" i="13" s="1"/>
  <c r="M262" i="13"/>
  <c r="W262" i="13" s="1"/>
  <c r="AD19" i="13"/>
  <c r="AD51" i="13"/>
  <c r="AD83" i="13"/>
  <c r="AD163" i="13"/>
  <c r="AD208" i="13"/>
  <c r="M218" i="13"/>
  <c r="W218" i="13" s="1"/>
  <c r="AD220" i="13"/>
  <c r="M222" i="13"/>
  <c r="W222" i="13" s="1"/>
  <c r="AD228" i="13"/>
  <c r="M299" i="13"/>
  <c r="W299" i="13" s="1"/>
  <c r="M2" i="13"/>
  <c r="AD3" i="13"/>
  <c r="M32" i="13"/>
  <c r="W32" i="13" s="1"/>
  <c r="M34" i="13"/>
  <c r="W34" i="13" s="1"/>
  <c r="AD35" i="13"/>
  <c r="M64" i="13"/>
  <c r="W64" i="13" s="1"/>
  <c r="M66" i="13"/>
  <c r="W66" i="13" s="1"/>
  <c r="AD67" i="13"/>
  <c r="M96" i="13"/>
  <c r="W96" i="13" s="1"/>
  <c r="M98" i="13"/>
  <c r="W98" i="13" s="1"/>
  <c r="AD99" i="13"/>
  <c r="M108" i="13"/>
  <c r="W108" i="13" s="1"/>
  <c r="M110" i="13"/>
  <c r="W110" i="13" s="1"/>
  <c r="AD111" i="13"/>
  <c r="M121" i="13"/>
  <c r="W121" i="13" s="1"/>
  <c r="M123" i="13"/>
  <c r="W123" i="13" s="1"/>
  <c r="M147" i="13"/>
  <c r="W147" i="13" s="1"/>
  <c r="M169" i="13"/>
  <c r="W169" i="13" s="1"/>
  <c r="M177" i="13"/>
  <c r="W177" i="13" s="1"/>
  <c r="M185" i="13"/>
  <c r="W185" i="13" s="1"/>
  <c r="M193" i="13"/>
  <c r="W193" i="13" s="1"/>
  <c r="M210" i="13"/>
  <c r="W210" i="13" s="1"/>
  <c r="AD224" i="13"/>
  <c r="M232" i="13"/>
  <c r="W232" i="13" s="1"/>
  <c r="M244" i="13"/>
  <c r="W244" i="13" s="1"/>
  <c r="M266" i="13"/>
  <c r="W266" i="13" s="1"/>
  <c r="M271" i="13"/>
  <c r="W271" i="13" s="1"/>
  <c r="M289" i="13"/>
  <c r="W289" i="13" s="1"/>
  <c r="M291" i="13"/>
  <c r="W291" i="13" s="1"/>
  <c r="AD198" i="13"/>
  <c r="M8" i="13"/>
  <c r="W8" i="13" s="1"/>
  <c r="M10" i="13"/>
  <c r="W10" i="13" s="1"/>
  <c r="M20" i="13"/>
  <c r="W20" i="13" s="1"/>
  <c r="M22" i="13"/>
  <c r="W22" i="13" s="1"/>
  <c r="M28" i="13"/>
  <c r="W28" i="13" s="1"/>
  <c r="M30" i="13"/>
  <c r="W30" i="13" s="1"/>
  <c r="AD31" i="13"/>
  <c r="M40" i="13"/>
  <c r="W40" i="13" s="1"/>
  <c r="M42" i="13"/>
  <c r="W42" i="13" s="1"/>
  <c r="M52" i="13"/>
  <c r="W52" i="13" s="1"/>
  <c r="M54" i="13"/>
  <c r="W54" i="13" s="1"/>
  <c r="M60" i="13"/>
  <c r="W60" i="13" s="1"/>
  <c r="M62" i="13"/>
  <c r="W62" i="13" s="1"/>
  <c r="AD63" i="13"/>
  <c r="M72" i="13"/>
  <c r="W72" i="13" s="1"/>
  <c r="M74" i="13"/>
  <c r="W74" i="13" s="1"/>
  <c r="M84" i="13"/>
  <c r="W84" i="13" s="1"/>
  <c r="M86" i="13"/>
  <c r="W86" i="13" s="1"/>
  <c r="M92" i="13"/>
  <c r="W92" i="13" s="1"/>
  <c r="M94" i="13"/>
  <c r="W94" i="13" s="1"/>
  <c r="AD95" i="13"/>
  <c r="M104" i="13"/>
  <c r="W104" i="13" s="1"/>
  <c r="M106" i="13"/>
  <c r="W106" i="13" s="1"/>
  <c r="AD107" i="13"/>
  <c r="M119" i="13"/>
  <c r="W119" i="13" s="1"/>
  <c r="M145" i="13"/>
  <c r="W145" i="13" s="1"/>
  <c r="M153" i="13"/>
  <c r="W153" i="13" s="1"/>
  <c r="M167" i="13"/>
  <c r="W167" i="13" s="1"/>
  <c r="M175" i="13"/>
  <c r="W175" i="13" s="1"/>
  <c r="M183" i="13"/>
  <c r="W183" i="13" s="1"/>
  <c r="M191" i="13"/>
  <c r="W191" i="13" s="1"/>
  <c r="M207" i="13"/>
  <c r="W207" i="13" s="1"/>
  <c r="AD214" i="13"/>
  <c r="M230" i="13"/>
  <c r="W230" i="13" s="1"/>
  <c r="M246" i="13"/>
  <c r="W246" i="13" s="1"/>
  <c r="M251" i="13"/>
  <c r="W251" i="13" s="1"/>
  <c r="M253" i="13"/>
  <c r="W253" i="13" s="1"/>
  <c r="M281" i="13"/>
  <c r="W281" i="13" s="1"/>
  <c r="M285" i="13"/>
  <c r="W285" i="13" s="1"/>
  <c r="AD115" i="13"/>
  <c r="M115" i="13"/>
  <c r="W115" i="13" s="1"/>
  <c r="AD143" i="13"/>
  <c r="M143" i="13"/>
  <c r="W143" i="13" s="1"/>
  <c r="AD197" i="13"/>
  <c r="M197" i="13"/>
  <c r="W197" i="13" s="1"/>
  <c r="M216" i="13"/>
  <c r="W216" i="13" s="1"/>
  <c r="AD216" i="13"/>
  <c r="AD226" i="13"/>
  <c r="M226" i="13"/>
  <c r="W226" i="13" s="1"/>
  <c r="AD245" i="13"/>
  <c r="M245" i="13"/>
  <c r="W245" i="13" s="1"/>
  <c r="M250" i="13"/>
  <c r="W250" i="13" s="1"/>
  <c r="AD250" i="13"/>
  <c r="AD255" i="13"/>
  <c r="M255" i="13"/>
  <c r="W255" i="13" s="1"/>
  <c r="AD268" i="13"/>
  <c r="M268" i="13"/>
  <c r="W268" i="13" s="1"/>
  <c r="M288" i="13"/>
  <c r="W288" i="13" s="1"/>
  <c r="AD288" i="13"/>
  <c r="AD127" i="13"/>
  <c r="M127" i="13"/>
  <c r="W127" i="13" s="1"/>
  <c r="AD133" i="13"/>
  <c r="M133" i="13"/>
  <c r="W133" i="13" s="1"/>
  <c r="AD139" i="13"/>
  <c r="M139" i="13"/>
  <c r="W139" i="13" s="1"/>
  <c r="AD249" i="13"/>
  <c r="M249" i="13"/>
  <c r="W249" i="13" s="1"/>
  <c r="AD273" i="13"/>
  <c r="M273" i="13"/>
  <c r="W273" i="13" s="1"/>
  <c r="AD295" i="13"/>
  <c r="M295" i="13"/>
  <c r="W295" i="13" s="1"/>
  <c r="AD11" i="13"/>
  <c r="AD27" i="13"/>
  <c r="AD43" i="13"/>
  <c r="AD59" i="13"/>
  <c r="AD75" i="13"/>
  <c r="AD91" i="13"/>
  <c r="AD129" i="13"/>
  <c r="M129" i="13"/>
  <c r="W129" i="13" s="1"/>
  <c r="AD135" i="13"/>
  <c r="M135" i="13"/>
  <c r="W135" i="13" s="1"/>
  <c r="AD205" i="13"/>
  <c r="M205" i="13"/>
  <c r="W205" i="13" s="1"/>
  <c r="M286" i="13"/>
  <c r="W286" i="13" s="1"/>
  <c r="AD286" i="13"/>
  <c r="AD137" i="13"/>
  <c r="M137" i="13"/>
  <c r="W137" i="13" s="1"/>
  <c r="AD7" i="13"/>
  <c r="AD23" i="13"/>
  <c r="AD39" i="13"/>
  <c r="AD55" i="13"/>
  <c r="AD71" i="13"/>
  <c r="AD87" i="13"/>
  <c r="AD103" i="13"/>
  <c r="AD131" i="13"/>
  <c r="M131" i="13"/>
  <c r="W131" i="13" s="1"/>
  <c r="AD141" i="13"/>
  <c r="M141" i="13"/>
  <c r="W141" i="13" s="1"/>
  <c r="AD159" i="13"/>
  <c r="AD165" i="13"/>
  <c r="AD206" i="13"/>
  <c r="M234" i="13"/>
  <c r="W234" i="13" s="1"/>
  <c r="AD234" i="13"/>
  <c r="AD236" i="13"/>
  <c r="AD238" i="13"/>
  <c r="M240" i="13"/>
  <c r="W240" i="13" s="1"/>
  <c r="AD240" i="13"/>
  <c r="AD243" i="13"/>
  <c r="M243" i="13"/>
  <c r="W243" i="13" s="1"/>
  <c r="AD256" i="13"/>
  <c r="M256" i="13"/>
  <c r="W256" i="13" s="1"/>
  <c r="AD269" i="13"/>
  <c r="M269" i="13"/>
  <c r="W269" i="13" s="1"/>
  <c r="AD277" i="13"/>
  <c r="M277" i="13"/>
  <c r="W277" i="13" s="1"/>
  <c r="AD283" i="13"/>
  <c r="AD252" i="13"/>
  <c r="AD267" i="13"/>
  <c r="AD280" i="13"/>
  <c r="AD130" i="13"/>
  <c r="AD134" i="13"/>
  <c r="AD138" i="13"/>
  <c r="AD142" i="13"/>
  <c r="AD248" i="13"/>
  <c r="AD254" i="13"/>
  <c r="M258" i="13"/>
  <c r="W258" i="13" s="1"/>
  <c r="M260" i="13"/>
  <c r="W260" i="13" s="1"/>
  <c r="M264" i="13"/>
  <c r="W264" i="13" s="1"/>
  <c r="M279" i="13"/>
  <c r="W279" i="13" s="1"/>
  <c r="M293" i="13"/>
  <c r="W293" i="13" s="1"/>
  <c r="AE102" i="13"/>
  <c r="P19" i="13"/>
  <c r="N50" i="13"/>
  <c r="N54" i="13"/>
  <c r="P55" i="13"/>
  <c r="Q55" i="13" s="1"/>
  <c r="U55" i="13" s="1"/>
  <c r="AF55" i="13" s="1"/>
  <c r="N58" i="13"/>
  <c r="P59" i="13"/>
  <c r="N62" i="13"/>
  <c r="N70" i="13"/>
  <c r="N78" i="13"/>
  <c r="N86" i="13"/>
  <c r="N94" i="13"/>
  <c r="N98" i="13"/>
  <c r="P99" i="13"/>
  <c r="N106" i="13"/>
  <c r="P107" i="13"/>
  <c r="Q107" i="13" s="1"/>
  <c r="U107" i="13" s="1"/>
  <c r="AF107" i="13" s="1"/>
  <c r="N110" i="13"/>
  <c r="P111" i="13"/>
  <c r="Q111" i="13" s="1"/>
  <c r="U111" i="13" s="1"/>
  <c r="AF111" i="13" s="1"/>
  <c r="M122" i="13"/>
  <c r="W122" i="13" s="1"/>
  <c r="AD122" i="13"/>
  <c r="M126" i="13"/>
  <c r="W126" i="13" s="1"/>
  <c r="AD126" i="13"/>
  <c r="P152" i="13"/>
  <c r="AD164" i="13"/>
  <c r="M164" i="13"/>
  <c r="W164" i="13" s="1"/>
  <c r="P138" i="13"/>
  <c r="P149" i="13"/>
  <c r="P159" i="13"/>
  <c r="P3" i="13"/>
  <c r="P7" i="13"/>
  <c r="Q7" i="13" s="1"/>
  <c r="U7" i="13" s="1"/>
  <c r="AF7" i="13" s="1"/>
  <c r="N18" i="13"/>
  <c r="N22" i="13"/>
  <c r="N26" i="13"/>
  <c r="N30" i="13"/>
  <c r="P31" i="13"/>
  <c r="P63" i="13"/>
  <c r="Q63" i="13" s="1"/>
  <c r="U63" i="13" s="1"/>
  <c r="AF63" i="13" s="1"/>
  <c r="N66" i="13"/>
  <c r="P67" i="13"/>
  <c r="P71" i="13"/>
  <c r="Q71" i="13" s="1"/>
  <c r="U71" i="13" s="1"/>
  <c r="AF71" i="13" s="1"/>
  <c r="N74" i="13"/>
  <c r="P75" i="13"/>
  <c r="P83" i="13"/>
  <c r="Q83" i="13" s="1"/>
  <c r="U83" i="13" s="1"/>
  <c r="AF83" i="13" s="1"/>
  <c r="N90" i="13"/>
  <c r="P91" i="13"/>
  <c r="Q91" i="13" s="1"/>
  <c r="U91" i="13" s="1"/>
  <c r="AF91" i="13" s="1"/>
  <c r="P95" i="13"/>
  <c r="N114" i="13"/>
  <c r="T114" i="13" s="1"/>
  <c r="M118" i="13"/>
  <c r="W118" i="13" s="1"/>
  <c r="AD118" i="13"/>
  <c r="P134" i="13"/>
  <c r="N203" i="13"/>
  <c r="AE203" i="13" s="1"/>
  <c r="N274" i="13"/>
  <c r="N272" i="13"/>
  <c r="N270" i="13"/>
  <c r="N267" i="13"/>
  <c r="AE267" i="13" s="1"/>
  <c r="N265" i="13"/>
  <c r="AE265" i="13" s="1"/>
  <c r="N263" i="13"/>
  <c r="AE263" i="13" s="1"/>
  <c r="N261" i="13"/>
  <c r="N275" i="13"/>
  <c r="AE275" i="13" s="1"/>
  <c r="N273" i="13"/>
  <c r="AE273" i="13" s="1"/>
  <c r="N271" i="13"/>
  <c r="AE271" i="13" s="1"/>
  <c r="N269" i="13"/>
  <c r="AE269" i="13" s="1"/>
  <c r="N268" i="13"/>
  <c r="AE268" i="13" s="1"/>
  <c r="N266" i="13"/>
  <c r="AE266" i="13" s="1"/>
  <c r="N264" i="13"/>
  <c r="AE264" i="13" s="1"/>
  <c r="N262" i="13"/>
  <c r="AE262" i="13" s="1"/>
  <c r="N260" i="13"/>
  <c r="AE260" i="13" s="1"/>
  <c r="N87" i="13"/>
  <c r="T87" i="13" s="1"/>
  <c r="N85" i="13"/>
  <c r="AE85" i="13" s="1"/>
  <c r="N111" i="13"/>
  <c r="AE111" i="13" s="1"/>
  <c r="N109" i="13"/>
  <c r="T109" i="13" s="1"/>
  <c r="N107" i="13"/>
  <c r="AE107" i="13" s="1"/>
  <c r="N105" i="13"/>
  <c r="AE105" i="13" s="1"/>
  <c r="N103" i="13"/>
  <c r="AE103" i="13" s="1"/>
  <c r="N101" i="13"/>
  <c r="T101" i="13" s="1"/>
  <c r="N99" i="13"/>
  <c r="AE99" i="13" s="1"/>
  <c r="N97" i="13"/>
  <c r="AE97" i="13" s="1"/>
  <c r="N95" i="13"/>
  <c r="N93" i="13"/>
  <c r="AE93" i="13" s="1"/>
  <c r="N91" i="13"/>
  <c r="AE91" i="13" s="1"/>
  <c r="N89" i="13"/>
  <c r="AE89" i="13" s="1"/>
  <c r="AE109" i="13"/>
  <c r="N300" i="13"/>
  <c r="T300" i="13" s="1"/>
  <c r="N298" i="13"/>
  <c r="T298" i="13" s="1"/>
  <c r="N296" i="13"/>
  <c r="AE296" i="13" s="1"/>
  <c r="N294" i="13"/>
  <c r="AE294" i="13" s="1"/>
  <c r="N292" i="13"/>
  <c r="T292" i="13" s="1"/>
  <c r="N299" i="13"/>
  <c r="AE299" i="13" s="1"/>
  <c r="N297" i="13"/>
  <c r="AE297" i="13" s="1"/>
  <c r="N295" i="13"/>
  <c r="AE295" i="13" s="1"/>
  <c r="N293" i="13"/>
  <c r="N291" i="13"/>
  <c r="AE291" i="13" s="1"/>
  <c r="N278" i="13"/>
  <c r="N276" i="13"/>
  <c r="N281" i="13"/>
  <c r="N280" i="13"/>
  <c r="T280" i="13" s="1"/>
  <c r="N279" i="13"/>
  <c r="AE279" i="13" s="1"/>
  <c r="N277" i="13"/>
  <c r="AE277" i="13" s="1"/>
  <c r="N283" i="13"/>
  <c r="N282" i="13"/>
  <c r="N208" i="13"/>
  <c r="T208" i="13" s="1"/>
  <c r="N206" i="13"/>
  <c r="AE206" i="13" s="1"/>
  <c r="N204" i="13"/>
  <c r="AE204" i="13" s="1"/>
  <c r="N202" i="13"/>
  <c r="AE202" i="13" s="1"/>
  <c r="N200" i="13"/>
  <c r="AE200" i="13" s="1"/>
  <c r="N198" i="13"/>
  <c r="AE198" i="13" s="1"/>
  <c r="N196" i="13"/>
  <c r="N193" i="13"/>
  <c r="AE193" i="13" s="1"/>
  <c r="N191" i="13"/>
  <c r="AE191" i="13" s="1"/>
  <c r="N189" i="13"/>
  <c r="AE189" i="13" s="1"/>
  <c r="N187" i="13"/>
  <c r="T187" i="13" s="1"/>
  <c r="N185" i="13"/>
  <c r="T185" i="13" s="1"/>
  <c r="N183" i="13"/>
  <c r="AE183" i="13" s="1"/>
  <c r="N181" i="13"/>
  <c r="AE181" i="13" s="1"/>
  <c r="N179" i="13"/>
  <c r="N177" i="13"/>
  <c r="AE177" i="13" s="1"/>
  <c r="N175" i="13"/>
  <c r="N173" i="13"/>
  <c r="AE173" i="13" s="1"/>
  <c r="N171" i="13"/>
  <c r="N169" i="13"/>
  <c r="AE169" i="13" s="1"/>
  <c r="N167" i="13"/>
  <c r="AE167" i="13" s="1"/>
  <c r="N165" i="13"/>
  <c r="AE165" i="13" s="1"/>
  <c r="N163" i="13"/>
  <c r="AE163" i="13" s="1"/>
  <c r="N161" i="13"/>
  <c r="T161" i="13" s="1"/>
  <c r="N159" i="13"/>
  <c r="AE159" i="13" s="1"/>
  <c r="N157" i="13"/>
  <c r="T157" i="13" s="1"/>
  <c r="N155" i="13"/>
  <c r="N153" i="13"/>
  <c r="AE153" i="13" s="1"/>
  <c r="N151" i="13"/>
  <c r="T151" i="13" s="1"/>
  <c r="N149" i="13"/>
  <c r="AE149" i="13" s="1"/>
  <c r="N147" i="13"/>
  <c r="AE147" i="13" s="1"/>
  <c r="N145" i="13"/>
  <c r="T145" i="13" s="1"/>
  <c r="N201" i="13"/>
  <c r="T201" i="13" s="1"/>
  <c r="N144" i="13"/>
  <c r="T144" i="13" s="1"/>
  <c r="N142" i="13"/>
  <c r="N140" i="13"/>
  <c r="AE140" i="13" s="1"/>
  <c r="N138" i="13"/>
  <c r="AE138" i="13" s="1"/>
  <c r="N136" i="13"/>
  <c r="AE136" i="13" s="1"/>
  <c r="N134" i="13"/>
  <c r="AE134" i="13" s="1"/>
  <c r="N132" i="13"/>
  <c r="AE132" i="13" s="1"/>
  <c r="N130" i="13"/>
  <c r="T130" i="13" s="1"/>
  <c r="N207" i="13"/>
  <c r="AE207" i="13" s="1"/>
  <c r="N199" i="13"/>
  <c r="AE199" i="13" s="1"/>
  <c r="N195" i="13"/>
  <c r="T195" i="13" s="1"/>
  <c r="N160" i="13"/>
  <c r="AE160" i="13" s="1"/>
  <c r="N152" i="13"/>
  <c r="AE152" i="13" s="1"/>
  <c r="N150" i="13"/>
  <c r="T150" i="13" s="1"/>
  <c r="N143" i="13"/>
  <c r="N139" i="13"/>
  <c r="N135" i="13"/>
  <c r="N131" i="13"/>
  <c r="N128" i="13"/>
  <c r="AE128" i="13" s="1"/>
  <c r="N126" i="13"/>
  <c r="T126" i="13" s="1"/>
  <c r="N124" i="13"/>
  <c r="T124" i="13" s="1"/>
  <c r="N122" i="13"/>
  <c r="T122" i="13" s="1"/>
  <c r="N120" i="13"/>
  <c r="AE120" i="13" s="1"/>
  <c r="N118" i="13"/>
  <c r="AE118" i="13" s="1"/>
  <c r="N116" i="13"/>
  <c r="T116" i="13" s="1"/>
  <c r="N113" i="13"/>
  <c r="T113" i="13" s="1"/>
  <c r="X113" i="13" s="1"/>
  <c r="Y113" i="13" s="1"/>
  <c r="AI113" i="13" s="1"/>
  <c r="AJ113" i="13" s="1"/>
  <c r="AK113" i="13" s="1"/>
  <c r="N192" i="13"/>
  <c r="AE192" i="13" s="1"/>
  <c r="N188" i="13"/>
  <c r="AE188" i="13" s="1"/>
  <c r="N186" i="13"/>
  <c r="T186" i="13" s="1"/>
  <c r="N182" i="13"/>
  <c r="AE182" i="13" s="1"/>
  <c r="N178" i="13"/>
  <c r="T178" i="13" s="1"/>
  <c r="N174" i="13"/>
  <c r="T174" i="13" s="1"/>
  <c r="N172" i="13"/>
  <c r="AE172" i="13" s="1"/>
  <c r="N168" i="13"/>
  <c r="AE168" i="13" s="1"/>
  <c r="N243" i="13"/>
  <c r="AE243" i="13" s="1"/>
  <c r="N242" i="13"/>
  <c r="N166" i="13"/>
  <c r="AE166" i="13" s="1"/>
  <c r="N164" i="13"/>
  <c r="T164" i="13" s="1"/>
  <c r="N162" i="13"/>
  <c r="AE162" i="13" s="1"/>
  <c r="N154" i="13"/>
  <c r="T154" i="13" s="1"/>
  <c r="N205" i="13"/>
  <c r="AE205" i="13" s="1"/>
  <c r="N194" i="13"/>
  <c r="AE194" i="13" s="1"/>
  <c r="N190" i="13"/>
  <c r="AE190" i="13" s="1"/>
  <c r="N184" i="13"/>
  <c r="AE184" i="13" s="1"/>
  <c r="N180" i="13"/>
  <c r="AE180" i="13" s="1"/>
  <c r="N176" i="13"/>
  <c r="AE176" i="13" s="1"/>
  <c r="N170" i="13"/>
  <c r="AE170" i="13" s="1"/>
  <c r="N156" i="13"/>
  <c r="T156" i="13" s="1"/>
  <c r="N146" i="13"/>
  <c r="AE146" i="13" s="1"/>
  <c r="N141" i="13"/>
  <c r="P116" i="13"/>
  <c r="N117" i="13"/>
  <c r="P120" i="13"/>
  <c r="Q120" i="13" s="1"/>
  <c r="U120" i="13" s="1"/>
  <c r="AF120" i="13" s="1"/>
  <c r="N121" i="13"/>
  <c r="P124" i="13"/>
  <c r="N125" i="13"/>
  <c r="P128" i="13"/>
  <c r="Q128" i="13" s="1"/>
  <c r="U128" i="13" s="1"/>
  <c r="AF128" i="13" s="1"/>
  <c r="N129" i="13"/>
  <c r="N133" i="13"/>
  <c r="N137" i="13"/>
  <c r="AD144" i="13"/>
  <c r="M144" i="13"/>
  <c r="W144" i="13" s="1"/>
  <c r="N148" i="13"/>
  <c r="T148" i="13" s="1"/>
  <c r="P150" i="13"/>
  <c r="N158" i="13"/>
  <c r="T158" i="13" s="1"/>
  <c r="P160" i="13"/>
  <c r="AD166" i="13"/>
  <c r="M166" i="13"/>
  <c r="W166" i="13" s="1"/>
  <c r="P231" i="13"/>
  <c r="Q231" i="13" s="1"/>
  <c r="U231" i="13" s="1"/>
  <c r="AF231" i="13" s="1"/>
  <c r="P241" i="13"/>
  <c r="Q241" i="13" s="1"/>
  <c r="U241" i="13" s="1"/>
  <c r="AF241" i="13" s="1"/>
  <c r="N65" i="13"/>
  <c r="AE65" i="13" s="1"/>
  <c r="N63" i="13"/>
  <c r="T63" i="13" s="1"/>
  <c r="N61" i="13"/>
  <c r="AE61" i="13" s="1"/>
  <c r="N59" i="13"/>
  <c r="AE59" i="13" s="1"/>
  <c r="N57" i="13"/>
  <c r="AE57" i="13" s="1"/>
  <c r="N55" i="13"/>
  <c r="AE55" i="13" s="1"/>
  <c r="N53" i="13"/>
  <c r="AE53" i="13" s="1"/>
  <c r="N51" i="13"/>
  <c r="T51" i="13" s="1"/>
  <c r="N49" i="13"/>
  <c r="AE49" i="13" s="1"/>
  <c r="N47" i="13"/>
  <c r="T47" i="13" s="1"/>
  <c r="N45" i="13"/>
  <c r="AE45" i="13" s="1"/>
  <c r="N43" i="13"/>
  <c r="AE43" i="13" s="1"/>
  <c r="N41" i="13"/>
  <c r="AE41" i="13" s="1"/>
  <c r="N39" i="13"/>
  <c r="T39" i="13" s="1"/>
  <c r="N37" i="13"/>
  <c r="AE37" i="13" s="1"/>
  <c r="N35" i="13"/>
  <c r="T35" i="13" s="1"/>
  <c r="N33" i="13"/>
  <c r="AE33" i="13" s="1"/>
  <c r="N31" i="13"/>
  <c r="AE31" i="13" s="1"/>
  <c r="N29" i="13"/>
  <c r="AE29" i="13" s="1"/>
  <c r="N27" i="13"/>
  <c r="AE27" i="13" s="1"/>
  <c r="N25" i="13"/>
  <c r="AE25" i="13" s="1"/>
  <c r="N23" i="13"/>
  <c r="N21" i="13"/>
  <c r="AE21" i="13" s="1"/>
  <c r="N19" i="13"/>
  <c r="AE19" i="13" s="1"/>
  <c r="N17" i="13"/>
  <c r="AE17" i="13" s="1"/>
  <c r="N15" i="13"/>
  <c r="AE15" i="13" s="1"/>
  <c r="N13" i="13"/>
  <c r="AE13" i="13" s="1"/>
  <c r="N11" i="13"/>
  <c r="T11" i="13" s="1"/>
  <c r="N9" i="13"/>
  <c r="AE9" i="13" s="1"/>
  <c r="N7" i="13"/>
  <c r="AE7" i="13" s="1"/>
  <c r="N5" i="13"/>
  <c r="AE5" i="13" s="1"/>
  <c r="N3" i="13"/>
  <c r="T3" i="13" s="1"/>
  <c r="T59" i="13"/>
  <c r="T127" i="13"/>
  <c r="AE130" i="13"/>
  <c r="M132" i="13"/>
  <c r="W132" i="13" s="1"/>
  <c r="AD132" i="13"/>
  <c r="M136" i="13"/>
  <c r="W136" i="13" s="1"/>
  <c r="AD136" i="13"/>
  <c r="AD162" i="13"/>
  <c r="M162" i="13"/>
  <c r="W162" i="13" s="1"/>
  <c r="N2" i="13"/>
  <c r="N6" i="13"/>
  <c r="N10" i="13"/>
  <c r="N14" i="13"/>
  <c r="P27" i="13"/>
  <c r="Q27" i="13" s="1"/>
  <c r="U27" i="13" s="1"/>
  <c r="AF27" i="13" s="1"/>
  <c r="N34" i="13"/>
  <c r="N38" i="13"/>
  <c r="N42" i="13"/>
  <c r="N46" i="13"/>
  <c r="P47" i="13"/>
  <c r="P51" i="13"/>
  <c r="N4" i="13"/>
  <c r="AD5" i="13"/>
  <c r="N8" i="13"/>
  <c r="AD9" i="13"/>
  <c r="Q11" i="13"/>
  <c r="U11" i="13" s="1"/>
  <c r="AF11" i="13" s="1"/>
  <c r="N12" i="13"/>
  <c r="AD13" i="13"/>
  <c r="Q15" i="13"/>
  <c r="U15" i="13" s="1"/>
  <c r="AF15" i="13" s="1"/>
  <c r="N16" i="13"/>
  <c r="AD17" i="13"/>
  <c r="Q19" i="13"/>
  <c r="U19" i="13" s="1"/>
  <c r="AF19" i="13" s="1"/>
  <c r="N20" i="13"/>
  <c r="AD21" i="13"/>
  <c r="Q23" i="13"/>
  <c r="U23" i="13" s="1"/>
  <c r="AF23" i="13" s="1"/>
  <c r="N24" i="13"/>
  <c r="AD25" i="13"/>
  <c r="N28" i="13"/>
  <c r="AD29" i="13"/>
  <c r="Q31" i="13"/>
  <c r="U31" i="13" s="1"/>
  <c r="AF31" i="13" s="1"/>
  <c r="N32" i="13"/>
  <c r="AD33" i="13"/>
  <c r="Q35" i="13"/>
  <c r="U35" i="13" s="1"/>
  <c r="AF35" i="13" s="1"/>
  <c r="N36" i="13"/>
  <c r="AD37" i="13"/>
  <c r="Q39" i="13"/>
  <c r="U39" i="13" s="1"/>
  <c r="AF39" i="13" s="1"/>
  <c r="N40" i="13"/>
  <c r="AD41" i="13"/>
  <c r="Q43" i="13"/>
  <c r="U43" i="13" s="1"/>
  <c r="AF43" i="13" s="1"/>
  <c r="N44" i="13"/>
  <c r="AD45" i="13"/>
  <c r="N48" i="13"/>
  <c r="AD49" i="13"/>
  <c r="N52" i="13"/>
  <c r="AD53" i="13"/>
  <c r="N56" i="13"/>
  <c r="AD57" i="13"/>
  <c r="N60" i="13"/>
  <c r="AD61" i="13"/>
  <c r="N64" i="13"/>
  <c r="AD65" i="13"/>
  <c r="Q67" i="13"/>
  <c r="U67" i="13" s="1"/>
  <c r="AF67" i="13" s="1"/>
  <c r="N68" i="13"/>
  <c r="AD69" i="13"/>
  <c r="N72" i="13"/>
  <c r="AD73" i="13"/>
  <c r="N76" i="13"/>
  <c r="AD77" i="13"/>
  <c r="Q79" i="13"/>
  <c r="U79" i="13" s="1"/>
  <c r="AF79" i="13" s="1"/>
  <c r="N80" i="13"/>
  <c r="AD81" i="13"/>
  <c r="N84" i="13"/>
  <c r="AD85" i="13"/>
  <c r="Q87" i="13"/>
  <c r="U87" i="13" s="1"/>
  <c r="AF87" i="13" s="1"/>
  <c r="N88" i="13"/>
  <c r="AD89" i="13"/>
  <c r="N92" i="13"/>
  <c r="AD93" i="13"/>
  <c r="N96" i="13"/>
  <c r="AD97" i="13"/>
  <c r="Q99" i="13"/>
  <c r="U99" i="13" s="1"/>
  <c r="AF99" i="13" s="1"/>
  <c r="N100" i="13"/>
  <c r="AD101" i="13"/>
  <c r="Q103" i="13"/>
  <c r="U103" i="13" s="1"/>
  <c r="AF103" i="13" s="1"/>
  <c r="N104" i="13"/>
  <c r="AD105" i="13"/>
  <c r="N108" i="13"/>
  <c r="AD109" i="13"/>
  <c r="N112" i="13"/>
  <c r="AD113" i="13"/>
  <c r="M116" i="13"/>
  <c r="W116" i="13" s="1"/>
  <c r="AD116" i="13"/>
  <c r="M120" i="13"/>
  <c r="W120" i="13" s="1"/>
  <c r="AD120" i="13"/>
  <c r="M124" i="13"/>
  <c r="W124" i="13" s="1"/>
  <c r="AD124" i="13"/>
  <c r="AE126" i="13"/>
  <c r="M128" i="13"/>
  <c r="W128" i="13" s="1"/>
  <c r="AD128" i="13"/>
  <c r="M140" i="13"/>
  <c r="W140" i="13" s="1"/>
  <c r="AD140" i="13"/>
  <c r="P142" i="13"/>
  <c r="P151" i="13"/>
  <c r="Q151" i="13" s="1"/>
  <c r="U151" i="13" s="1"/>
  <c r="AF151" i="13" s="1"/>
  <c r="AD154" i="13"/>
  <c r="M154" i="13"/>
  <c r="W154" i="13" s="1"/>
  <c r="P195" i="13"/>
  <c r="N197" i="13"/>
  <c r="AE197" i="13" s="1"/>
  <c r="T200" i="13"/>
  <c r="P200" i="13"/>
  <c r="N290" i="13"/>
  <c r="AE290" i="13" s="1"/>
  <c r="N288" i="13"/>
  <c r="T288" i="13" s="1"/>
  <c r="N289" i="13"/>
  <c r="N287" i="13"/>
  <c r="N286" i="13"/>
  <c r="N284" i="13"/>
  <c r="T284" i="13" s="1"/>
  <c r="N210" i="13"/>
  <c r="T210" i="13" s="1"/>
  <c r="P209" i="13"/>
  <c r="N240" i="13"/>
  <c r="N239" i="13"/>
  <c r="AE239" i="13" s="1"/>
  <c r="N232" i="13"/>
  <c r="N231" i="13"/>
  <c r="AE231" i="13" s="1"/>
  <c r="N224" i="13"/>
  <c r="N223" i="13"/>
  <c r="T223" i="13" s="1"/>
  <c r="N216" i="13"/>
  <c r="N215" i="13"/>
  <c r="AE215" i="13" s="1"/>
  <c r="N211" i="13"/>
  <c r="AE211" i="13" s="1"/>
  <c r="N209" i="13"/>
  <c r="AE209" i="13" s="1"/>
  <c r="N238" i="13"/>
  <c r="N237" i="13"/>
  <c r="T237" i="13" s="1"/>
  <c r="N230" i="13"/>
  <c r="N229" i="13"/>
  <c r="T229" i="13" s="1"/>
  <c r="N222" i="13"/>
  <c r="N221" i="13"/>
  <c r="T221" i="13" s="1"/>
  <c r="N214" i="13"/>
  <c r="N213" i="13"/>
  <c r="T213" i="13" s="1"/>
  <c r="N241" i="13"/>
  <c r="T241" i="13" s="1"/>
  <c r="N234" i="13"/>
  <c r="N228" i="13"/>
  <c r="N227" i="13"/>
  <c r="T227" i="13" s="1"/>
  <c r="N225" i="13"/>
  <c r="T225" i="13" s="1"/>
  <c r="N212" i="13"/>
  <c r="N236" i="13"/>
  <c r="N235" i="13"/>
  <c r="T235" i="13" s="1"/>
  <c r="N217" i="13"/>
  <c r="AE217" i="13" s="1"/>
  <c r="N218" i="13"/>
  <c r="N219" i="13"/>
  <c r="T219" i="13" s="1"/>
  <c r="N220" i="13"/>
  <c r="P147" i="13"/>
  <c r="Q147" i="13" s="1"/>
  <c r="U147" i="13" s="1"/>
  <c r="AF147" i="13" s="1"/>
  <c r="P148" i="13"/>
  <c r="AE148" i="13"/>
  <c r="AD150" i="13"/>
  <c r="M150" i="13"/>
  <c r="W150" i="13" s="1"/>
  <c r="AD152" i="13"/>
  <c r="M152" i="13"/>
  <c r="W152" i="13" s="1"/>
  <c r="P157" i="13"/>
  <c r="Q157" i="13" s="1"/>
  <c r="U157" i="13" s="1"/>
  <c r="AF157" i="13" s="1"/>
  <c r="P158" i="13"/>
  <c r="AD160" i="13"/>
  <c r="M160" i="13"/>
  <c r="W160" i="13" s="1"/>
  <c r="AD195" i="13"/>
  <c r="M195" i="13"/>
  <c r="W195" i="13" s="1"/>
  <c r="AE208" i="13"/>
  <c r="P208" i="13"/>
  <c r="P223" i="13"/>
  <c r="Q223" i="13" s="1"/>
  <c r="U223" i="13" s="1"/>
  <c r="AF223" i="13" s="1"/>
  <c r="AE233" i="13"/>
  <c r="P233" i="13"/>
  <c r="Q233" i="13" s="1"/>
  <c r="U233" i="13" s="1"/>
  <c r="AF233" i="13" s="1"/>
  <c r="AD274" i="13"/>
  <c r="M274" i="13"/>
  <c r="W274" i="13" s="1"/>
  <c r="N259" i="13"/>
  <c r="N257" i="13"/>
  <c r="N254" i="13"/>
  <c r="AE254" i="13" s="1"/>
  <c r="N252" i="13"/>
  <c r="AE252" i="13" s="1"/>
  <c r="N250" i="13"/>
  <c r="AE250" i="13" s="1"/>
  <c r="N248" i="13"/>
  <c r="T248" i="13" s="1"/>
  <c r="N246" i="13"/>
  <c r="T246" i="13" s="1"/>
  <c r="N244" i="13"/>
  <c r="N258" i="13"/>
  <c r="AE258" i="13" s="1"/>
  <c r="N256" i="13"/>
  <c r="AE256" i="13" s="1"/>
  <c r="N255" i="13"/>
  <c r="AE255" i="13" s="1"/>
  <c r="N249" i="13"/>
  <c r="AE249" i="13" s="1"/>
  <c r="N251" i="13"/>
  <c r="AE251" i="13" s="1"/>
  <c r="N253" i="13"/>
  <c r="AE253" i="13" s="1"/>
  <c r="N245" i="13"/>
  <c r="AE245" i="13" s="1"/>
  <c r="N247" i="13"/>
  <c r="AE247" i="13" s="1"/>
  <c r="AE114" i="13"/>
  <c r="Q118" i="13"/>
  <c r="U118" i="13" s="1"/>
  <c r="AF118" i="13" s="1"/>
  <c r="Q122" i="13"/>
  <c r="U122" i="13" s="1"/>
  <c r="AF122" i="13" s="1"/>
  <c r="Q126" i="13"/>
  <c r="U126" i="13" s="1"/>
  <c r="AF126" i="13" s="1"/>
  <c r="T136" i="13"/>
  <c r="P145" i="13"/>
  <c r="P146" i="13"/>
  <c r="AD148" i="13"/>
  <c r="M148" i="13"/>
  <c r="W148" i="13" s="1"/>
  <c r="P155" i="13"/>
  <c r="P156" i="13"/>
  <c r="AD158" i="13"/>
  <c r="M158" i="13"/>
  <c r="W158" i="13" s="1"/>
  <c r="Q159" i="13"/>
  <c r="U159" i="13" s="1"/>
  <c r="AF159" i="13" s="1"/>
  <c r="P167" i="13"/>
  <c r="Q167" i="13" s="1"/>
  <c r="U167" i="13" s="1"/>
  <c r="AF167" i="13" s="1"/>
  <c r="P168" i="13"/>
  <c r="P169" i="13"/>
  <c r="T170" i="13"/>
  <c r="P170" i="13"/>
  <c r="P171" i="13"/>
  <c r="P172" i="13"/>
  <c r="P173" i="13"/>
  <c r="P174" i="13"/>
  <c r="AE175" i="13"/>
  <c r="T175" i="13"/>
  <c r="P175" i="13"/>
  <c r="P176" i="13"/>
  <c r="T177" i="13"/>
  <c r="P177" i="13"/>
  <c r="P178" i="13"/>
  <c r="AE178" i="13"/>
  <c r="P179" i="13"/>
  <c r="Q179" i="13" s="1"/>
  <c r="U179" i="13" s="1"/>
  <c r="AF179" i="13" s="1"/>
  <c r="P180" i="13"/>
  <c r="P181" i="13"/>
  <c r="P182" i="13"/>
  <c r="T183" i="13"/>
  <c r="P183" i="13"/>
  <c r="Q183" i="13" s="1"/>
  <c r="U183" i="13" s="1"/>
  <c r="AF183" i="13" s="1"/>
  <c r="P184" i="13"/>
  <c r="AE185" i="13"/>
  <c r="P185" i="13"/>
  <c r="P186" i="13"/>
  <c r="P187" i="13"/>
  <c r="T188" i="13"/>
  <c r="P188" i="13"/>
  <c r="P189" i="13"/>
  <c r="T190" i="13"/>
  <c r="P190" i="13"/>
  <c r="P191" i="13"/>
  <c r="T192" i="13"/>
  <c r="P192" i="13"/>
  <c r="T193" i="13"/>
  <c r="P193" i="13"/>
  <c r="P194" i="13"/>
  <c r="T202" i="13"/>
  <c r="P202" i="13"/>
  <c r="AD203" i="13"/>
  <c r="M203" i="13"/>
  <c r="W203" i="13" s="1"/>
  <c r="AD209" i="13"/>
  <c r="M209" i="13"/>
  <c r="W209" i="13" s="1"/>
  <c r="P211" i="13"/>
  <c r="P215" i="13"/>
  <c r="Q215" i="13" s="1"/>
  <c r="U215" i="13" s="1"/>
  <c r="AF215" i="13" s="1"/>
  <c r="P225" i="13"/>
  <c r="AD201" i="13"/>
  <c r="M201" i="13"/>
  <c r="W201" i="13" s="1"/>
  <c r="T203" i="13"/>
  <c r="P203" i="13"/>
  <c r="N67" i="13"/>
  <c r="AE67" i="13" s="1"/>
  <c r="N69" i="13"/>
  <c r="AE69" i="13" s="1"/>
  <c r="N71" i="13"/>
  <c r="AE71" i="13" s="1"/>
  <c r="N73" i="13"/>
  <c r="AE73" i="13" s="1"/>
  <c r="N75" i="13"/>
  <c r="T75" i="13" s="1"/>
  <c r="N77" i="13"/>
  <c r="AE77" i="13" s="1"/>
  <c r="N79" i="13"/>
  <c r="T79" i="13" s="1"/>
  <c r="N81" i="13"/>
  <c r="AE81" i="13" s="1"/>
  <c r="N83" i="13"/>
  <c r="AE83" i="13" s="1"/>
  <c r="Q130" i="13"/>
  <c r="U130" i="13" s="1"/>
  <c r="AF130" i="13" s="1"/>
  <c r="Q138" i="13"/>
  <c r="U138" i="13" s="1"/>
  <c r="AF138" i="13" s="1"/>
  <c r="Q142" i="13"/>
  <c r="U142" i="13" s="1"/>
  <c r="AF142" i="13" s="1"/>
  <c r="AD146" i="13"/>
  <c r="M146" i="13"/>
  <c r="W146" i="13" s="1"/>
  <c r="T153" i="13"/>
  <c r="P153" i="13"/>
  <c r="P154" i="13"/>
  <c r="AE154" i="13"/>
  <c r="AD156" i="13"/>
  <c r="M156" i="13"/>
  <c r="W156" i="13" s="1"/>
  <c r="P161" i="13"/>
  <c r="Q161" i="13" s="1"/>
  <c r="U161" i="13" s="1"/>
  <c r="AF161" i="13" s="1"/>
  <c r="T162" i="13"/>
  <c r="P162" i="13"/>
  <c r="P163" i="13"/>
  <c r="P164" i="13"/>
  <c r="P165" i="13"/>
  <c r="Q165" i="13" s="1"/>
  <c r="U165" i="13" s="1"/>
  <c r="AF165" i="13" s="1"/>
  <c r="P166" i="13"/>
  <c r="AD168" i="13"/>
  <c r="M168" i="13"/>
  <c r="W168" i="13" s="1"/>
  <c r="AD170" i="13"/>
  <c r="M170" i="13"/>
  <c r="W170" i="13" s="1"/>
  <c r="AD172" i="13"/>
  <c r="M172" i="13"/>
  <c r="W172" i="13" s="1"/>
  <c r="AD174" i="13"/>
  <c r="M174" i="13"/>
  <c r="W174" i="13" s="1"/>
  <c r="AD176" i="13"/>
  <c r="M176" i="13"/>
  <c r="W176" i="13" s="1"/>
  <c r="AD178" i="13"/>
  <c r="M178" i="13"/>
  <c r="W178" i="13" s="1"/>
  <c r="AD180" i="13"/>
  <c r="M180" i="13"/>
  <c r="W180" i="13" s="1"/>
  <c r="AD182" i="13"/>
  <c r="M182" i="13"/>
  <c r="W182" i="13" s="1"/>
  <c r="AD184" i="13"/>
  <c r="M184" i="13"/>
  <c r="W184" i="13" s="1"/>
  <c r="AD186" i="13"/>
  <c r="M186" i="13"/>
  <c r="W186" i="13" s="1"/>
  <c r="AD188" i="13"/>
  <c r="M188" i="13"/>
  <c r="W188" i="13" s="1"/>
  <c r="AD190" i="13"/>
  <c r="M190" i="13"/>
  <c r="W190" i="13" s="1"/>
  <c r="AD192" i="13"/>
  <c r="M192" i="13"/>
  <c r="W192" i="13" s="1"/>
  <c r="M194" i="13"/>
  <c r="W194" i="13" s="1"/>
  <c r="AD194" i="13"/>
  <c r="P201" i="13"/>
  <c r="AE201" i="13"/>
  <c r="P210" i="13"/>
  <c r="M211" i="13"/>
  <c r="W211" i="13" s="1"/>
  <c r="AD211" i="13"/>
  <c r="P217" i="13"/>
  <c r="Q217" i="13" s="1"/>
  <c r="U217" i="13" s="1"/>
  <c r="AF217" i="13" s="1"/>
  <c r="P239" i="13"/>
  <c r="P252" i="13"/>
  <c r="P196" i="13"/>
  <c r="P197" i="13"/>
  <c r="P204" i="13"/>
  <c r="P205" i="13"/>
  <c r="P219" i="13"/>
  <c r="P227" i="13"/>
  <c r="Q227" i="13" s="1"/>
  <c r="U227" i="13" s="1"/>
  <c r="AF227" i="13" s="1"/>
  <c r="P235" i="13"/>
  <c r="P198" i="13"/>
  <c r="P199" i="13"/>
  <c r="P206" i="13"/>
  <c r="P207" i="13"/>
  <c r="P213" i="13"/>
  <c r="P221" i="13"/>
  <c r="P229" i="13"/>
  <c r="P237" i="13"/>
  <c r="M263" i="13"/>
  <c r="W263" i="13" s="1"/>
  <c r="AD263" i="13"/>
  <c r="M213" i="13"/>
  <c r="W213" i="13" s="1"/>
  <c r="AD213" i="13"/>
  <c r="M215" i="13"/>
  <c r="W215" i="13" s="1"/>
  <c r="AD215" i="13"/>
  <c r="M217" i="13"/>
  <c r="W217" i="13" s="1"/>
  <c r="AD217" i="13"/>
  <c r="M219" i="13"/>
  <c r="W219" i="13" s="1"/>
  <c r="AD219" i="13"/>
  <c r="M221" i="13"/>
  <c r="W221" i="13" s="1"/>
  <c r="AD221" i="13"/>
  <c r="M223" i="13"/>
  <c r="W223" i="13" s="1"/>
  <c r="AD223" i="13"/>
  <c r="M225" i="13"/>
  <c r="W225" i="13" s="1"/>
  <c r="AD225" i="13"/>
  <c r="M227" i="13"/>
  <c r="W227" i="13" s="1"/>
  <c r="AD227" i="13"/>
  <c r="M229" i="13"/>
  <c r="W229" i="13" s="1"/>
  <c r="AD229" i="13"/>
  <c r="M231" i="13"/>
  <c r="W231" i="13" s="1"/>
  <c r="AD231" i="13"/>
  <c r="M233" i="13"/>
  <c r="W233" i="13" s="1"/>
  <c r="AD233" i="13"/>
  <c r="M235" i="13"/>
  <c r="W235" i="13" s="1"/>
  <c r="AD235" i="13"/>
  <c r="M237" i="13"/>
  <c r="W237" i="13" s="1"/>
  <c r="AD237" i="13"/>
  <c r="M239" i="13"/>
  <c r="W239" i="13" s="1"/>
  <c r="AD239" i="13"/>
  <c r="M241" i="13"/>
  <c r="W241" i="13" s="1"/>
  <c r="AD241" i="13"/>
  <c r="P248" i="13"/>
  <c r="Q250" i="13"/>
  <c r="U250" i="13" s="1"/>
  <c r="AF250" i="13" s="1"/>
  <c r="M265" i="13"/>
  <c r="W265" i="13" s="1"/>
  <c r="AD265" i="13"/>
  <c r="AD259" i="13"/>
  <c r="M259" i="13"/>
  <c r="W259" i="13" s="1"/>
  <c r="P254" i="13"/>
  <c r="AD278" i="13"/>
  <c r="M278" i="13"/>
  <c r="W278" i="13" s="1"/>
  <c r="Q263" i="13"/>
  <c r="U263" i="13" s="1"/>
  <c r="AF263" i="13" s="1"/>
  <c r="AD270" i="13"/>
  <c r="M270" i="13"/>
  <c r="W270" i="13" s="1"/>
  <c r="P243" i="13"/>
  <c r="P245" i="13"/>
  <c r="AD257" i="13"/>
  <c r="M257" i="13"/>
  <c r="W257" i="13" s="1"/>
  <c r="AD261" i="13"/>
  <c r="M261" i="13"/>
  <c r="W261" i="13" s="1"/>
  <c r="Q265" i="13"/>
  <c r="U265" i="13" s="1"/>
  <c r="AF265" i="13" s="1"/>
  <c r="Q267" i="13"/>
  <c r="U267" i="13" s="1"/>
  <c r="AF267" i="13" s="1"/>
  <c r="P247" i="13"/>
  <c r="P249" i="13"/>
  <c r="P251" i="13"/>
  <c r="P253" i="13"/>
  <c r="P255" i="13"/>
  <c r="P256" i="13"/>
  <c r="P258" i="13"/>
  <c r="P260" i="13"/>
  <c r="P262" i="13"/>
  <c r="T264" i="13"/>
  <c r="T266" i="13"/>
  <c r="T267" i="13"/>
  <c r="AD272" i="13"/>
  <c r="M272" i="13"/>
  <c r="W272" i="13" s="1"/>
  <c r="AD276" i="13"/>
  <c r="M276" i="13"/>
  <c r="W276" i="13" s="1"/>
  <c r="P264" i="13"/>
  <c r="P266" i="13"/>
  <c r="P268" i="13"/>
  <c r="P269" i="13"/>
  <c r="P271" i="13"/>
  <c r="T273" i="13"/>
  <c r="P273" i="13"/>
  <c r="P275" i="13"/>
  <c r="P277" i="13"/>
  <c r="T279" i="13"/>
  <c r="P279" i="13"/>
  <c r="AD282" i="13"/>
  <c r="Q284" i="13"/>
  <c r="U284" i="13" s="1"/>
  <c r="AF284" i="13" s="1"/>
  <c r="AE282" i="13"/>
  <c r="T282" i="13"/>
  <c r="T291" i="13"/>
  <c r="T297" i="13"/>
  <c r="AE298" i="13"/>
  <c r="T299" i="13"/>
  <c r="P290" i="13"/>
  <c r="AD290" i="13"/>
  <c r="P292" i="13"/>
  <c r="AD292" i="13"/>
  <c r="P294" i="13"/>
  <c r="AD294" i="13"/>
  <c r="P296" i="13"/>
  <c r="AD296" i="13"/>
  <c r="P298" i="13"/>
  <c r="AD298" i="13"/>
  <c r="P300" i="13"/>
  <c r="AD300" i="13"/>
  <c r="P291" i="13"/>
  <c r="P293" i="13"/>
  <c r="P295" i="13"/>
  <c r="P297" i="13"/>
  <c r="P299" i="13"/>
  <c r="P75" i="12"/>
  <c r="P83" i="12"/>
  <c r="Q13" i="12"/>
  <c r="U13" i="12" s="1"/>
  <c r="AF13" i="12" s="1"/>
  <c r="P21" i="12"/>
  <c r="P47" i="12"/>
  <c r="P91" i="12"/>
  <c r="N95" i="12"/>
  <c r="AE95" i="12" s="1"/>
  <c r="P97" i="12"/>
  <c r="Q97" i="12" s="1"/>
  <c r="U97" i="12" s="1"/>
  <c r="AF97" i="12" s="1"/>
  <c r="AE11" i="12"/>
  <c r="P11" i="12"/>
  <c r="N3" i="12"/>
  <c r="AE3" i="12" s="1"/>
  <c r="AE33" i="12"/>
  <c r="P33" i="12"/>
  <c r="Q33" i="12" s="1"/>
  <c r="U33" i="12" s="1"/>
  <c r="AF33" i="12" s="1"/>
  <c r="P36" i="12"/>
  <c r="P53" i="12"/>
  <c r="Q175" i="12"/>
  <c r="U175" i="12" s="1"/>
  <c r="AF175" i="12" s="1"/>
  <c r="P15" i="12"/>
  <c r="N7" i="12"/>
  <c r="AE7" i="12" s="1"/>
  <c r="Q28" i="12"/>
  <c r="U28" i="12" s="1"/>
  <c r="AF28" i="12" s="1"/>
  <c r="P43" i="12"/>
  <c r="P65" i="12"/>
  <c r="Q65" i="12" s="1"/>
  <c r="U65" i="12" s="1"/>
  <c r="AF65" i="12" s="1"/>
  <c r="P68" i="12"/>
  <c r="Q68" i="12" s="1"/>
  <c r="U68" i="12" s="1"/>
  <c r="AF68" i="12" s="1"/>
  <c r="Q203" i="12"/>
  <c r="U203" i="12" s="1"/>
  <c r="AF203" i="12" s="1"/>
  <c r="AE102" i="12"/>
  <c r="P123" i="12"/>
  <c r="Q124" i="12"/>
  <c r="U124" i="12" s="1"/>
  <c r="AF124" i="12" s="1"/>
  <c r="P129" i="12"/>
  <c r="Q129" i="12" s="1"/>
  <c r="U129" i="12" s="1"/>
  <c r="AF129" i="12" s="1"/>
  <c r="P132" i="12"/>
  <c r="Q133" i="12"/>
  <c r="U133" i="12" s="1"/>
  <c r="AF133" i="12" s="1"/>
  <c r="AE147" i="12"/>
  <c r="P176" i="12"/>
  <c r="Q176" i="12" s="1"/>
  <c r="U176" i="12" s="1"/>
  <c r="AF176" i="12" s="1"/>
  <c r="Q179" i="12"/>
  <c r="U179" i="12" s="1"/>
  <c r="AF179" i="12" s="1"/>
  <c r="Q196" i="12"/>
  <c r="U196" i="12" s="1"/>
  <c r="AF196" i="12" s="1"/>
  <c r="N227" i="12"/>
  <c r="AE227" i="12" s="1"/>
  <c r="P226" i="12"/>
  <c r="Q226" i="12" s="1"/>
  <c r="U226" i="12" s="1"/>
  <c r="AF226" i="12" s="1"/>
  <c r="AE251" i="12"/>
  <c r="P275" i="12"/>
  <c r="Q275" i="12" s="1"/>
  <c r="U275" i="12" s="1"/>
  <c r="AF275" i="12" s="1"/>
  <c r="P291" i="12"/>
  <c r="Q295" i="12"/>
  <c r="U295" i="12" s="1"/>
  <c r="AF295" i="12" s="1"/>
  <c r="P7" i="12"/>
  <c r="AE48" i="12"/>
  <c r="P71" i="12"/>
  <c r="Q71" i="12" s="1"/>
  <c r="U71" i="12" s="1"/>
  <c r="AF71" i="12" s="1"/>
  <c r="P79" i="12"/>
  <c r="P100" i="12"/>
  <c r="Q100" i="12" s="1"/>
  <c r="U100" i="12" s="1"/>
  <c r="AF100" i="12" s="1"/>
  <c r="P105" i="12"/>
  <c r="P109" i="12"/>
  <c r="P124" i="12"/>
  <c r="P137" i="12"/>
  <c r="P144" i="12"/>
  <c r="P167" i="12"/>
  <c r="Q167" i="12" s="1"/>
  <c r="U167" i="12" s="1"/>
  <c r="AF167" i="12" s="1"/>
  <c r="P171" i="12"/>
  <c r="Q171" i="12" s="1"/>
  <c r="U171" i="12" s="1"/>
  <c r="AF171" i="12" s="1"/>
  <c r="P172" i="12"/>
  <c r="Q172" i="12" s="1"/>
  <c r="U172" i="12" s="1"/>
  <c r="AF172" i="12" s="1"/>
  <c r="P174" i="12"/>
  <c r="P183" i="12"/>
  <c r="Q183" i="12" s="1"/>
  <c r="U183" i="12" s="1"/>
  <c r="AF183" i="12" s="1"/>
  <c r="P187" i="12"/>
  <c r="P209" i="12"/>
  <c r="N215" i="12"/>
  <c r="P221" i="12"/>
  <c r="P245" i="12"/>
  <c r="Q245" i="12" s="1"/>
  <c r="U245" i="12" s="1"/>
  <c r="AF245" i="12" s="1"/>
  <c r="P279" i="12"/>
  <c r="N81" i="12"/>
  <c r="T81" i="12" s="1"/>
  <c r="X81" i="12" s="1"/>
  <c r="Y81" i="12" s="1"/>
  <c r="N26" i="12"/>
  <c r="AE26" i="12" s="1"/>
  <c r="Q4" i="12"/>
  <c r="U4" i="12" s="1"/>
  <c r="AF4" i="12" s="1"/>
  <c r="N79" i="12"/>
  <c r="AE79" i="12" s="1"/>
  <c r="Q12" i="12"/>
  <c r="U12" i="12" s="1"/>
  <c r="AF12" i="12" s="1"/>
  <c r="AE17" i="12"/>
  <c r="Q29" i="12"/>
  <c r="U29" i="12" s="1"/>
  <c r="AF29" i="12" s="1"/>
  <c r="P31" i="12"/>
  <c r="Q44" i="12"/>
  <c r="U44" i="12" s="1"/>
  <c r="AF44" i="12" s="1"/>
  <c r="AE54" i="12"/>
  <c r="P60" i="12"/>
  <c r="Q60" i="12" s="1"/>
  <c r="U60" i="12" s="1"/>
  <c r="AF60" i="12" s="1"/>
  <c r="P63" i="12"/>
  <c r="P67" i="12"/>
  <c r="Q67" i="12" s="1"/>
  <c r="U67" i="12" s="1"/>
  <c r="AF67" i="12" s="1"/>
  <c r="N85" i="12"/>
  <c r="T85" i="12" s="1"/>
  <c r="P119" i="12"/>
  <c r="Q119" i="12" s="1"/>
  <c r="U119" i="12" s="1"/>
  <c r="AF119" i="12" s="1"/>
  <c r="AE131" i="12"/>
  <c r="P140" i="12"/>
  <c r="P145" i="12"/>
  <c r="Q145" i="12" s="1"/>
  <c r="U145" i="12" s="1"/>
  <c r="AF145" i="12" s="1"/>
  <c r="Q149" i="12"/>
  <c r="U149" i="12" s="1"/>
  <c r="AF149" i="12" s="1"/>
  <c r="Q159" i="12"/>
  <c r="U159" i="12" s="1"/>
  <c r="AF159" i="12" s="1"/>
  <c r="Q170" i="12"/>
  <c r="U170" i="12" s="1"/>
  <c r="AF170" i="12" s="1"/>
  <c r="P175" i="12"/>
  <c r="Q178" i="12"/>
  <c r="U178" i="12" s="1"/>
  <c r="AF178" i="12" s="1"/>
  <c r="Q188" i="12"/>
  <c r="U188" i="12" s="1"/>
  <c r="AF188" i="12" s="1"/>
  <c r="P210" i="12"/>
  <c r="Q210" i="12" s="1"/>
  <c r="U210" i="12" s="1"/>
  <c r="AF210" i="12" s="1"/>
  <c r="AE215" i="12"/>
  <c r="P217" i="12"/>
  <c r="P230" i="12"/>
  <c r="Q230" i="12" s="1"/>
  <c r="U230" i="12" s="1"/>
  <c r="AF230" i="12" s="1"/>
  <c r="P250" i="12"/>
  <c r="Q250" i="12" s="1"/>
  <c r="U250" i="12" s="1"/>
  <c r="AF250" i="12" s="1"/>
  <c r="P283" i="12"/>
  <c r="Q283" i="12" s="1"/>
  <c r="U283" i="12" s="1"/>
  <c r="AF283" i="12" s="1"/>
  <c r="P299" i="12"/>
  <c r="Q299" i="12" s="1"/>
  <c r="U299" i="12" s="1"/>
  <c r="AF299" i="12" s="1"/>
  <c r="Q300" i="12"/>
  <c r="U300" i="12" s="1"/>
  <c r="AF300" i="12" s="1"/>
  <c r="P213" i="12"/>
  <c r="Q221" i="12"/>
  <c r="U221" i="12" s="1"/>
  <c r="AF221" i="12" s="1"/>
  <c r="P254" i="12"/>
  <c r="Q254" i="12" s="1"/>
  <c r="U254" i="12" s="1"/>
  <c r="AF254" i="12" s="1"/>
  <c r="Q279" i="12"/>
  <c r="U279" i="12" s="1"/>
  <c r="AF279" i="12" s="1"/>
  <c r="AE5" i="12"/>
  <c r="AE25" i="12"/>
  <c r="P39" i="12"/>
  <c r="AE50" i="12"/>
  <c r="Q52" i="12"/>
  <c r="U52" i="12" s="1"/>
  <c r="AF52" i="12" s="1"/>
  <c r="Q77" i="12"/>
  <c r="U77" i="12" s="1"/>
  <c r="AF77" i="12" s="1"/>
  <c r="P87" i="12"/>
  <c r="AE87" i="12"/>
  <c r="P103" i="12"/>
  <c r="P121" i="12"/>
  <c r="AE130" i="12"/>
  <c r="P198" i="12"/>
  <c r="P203" i="12"/>
  <c r="Q206" i="12"/>
  <c r="U206" i="12" s="1"/>
  <c r="AF206" i="12" s="1"/>
  <c r="N219" i="12"/>
  <c r="Q241" i="12"/>
  <c r="U241" i="12" s="1"/>
  <c r="AF241" i="12" s="1"/>
  <c r="P257" i="12"/>
  <c r="AE261" i="12"/>
  <c r="P295" i="12"/>
  <c r="P45" i="12"/>
  <c r="Q45" i="12" s="1"/>
  <c r="U45" i="12" s="1"/>
  <c r="AF45" i="12" s="1"/>
  <c r="P57" i="12"/>
  <c r="Q57" i="12" s="1"/>
  <c r="U57" i="12" s="1"/>
  <c r="AF57" i="12" s="1"/>
  <c r="Q61" i="12"/>
  <c r="U61" i="12" s="1"/>
  <c r="AF61" i="12" s="1"/>
  <c r="Q84" i="12"/>
  <c r="U84" i="12" s="1"/>
  <c r="AF84" i="12" s="1"/>
  <c r="P85" i="12"/>
  <c r="Q85" i="12" s="1"/>
  <c r="U85" i="12" s="1"/>
  <c r="AF85" i="12" s="1"/>
  <c r="N102" i="12"/>
  <c r="P95" i="12"/>
  <c r="P99" i="12"/>
  <c r="AE115" i="12"/>
  <c r="P127" i="12"/>
  <c r="Q127" i="12" s="1"/>
  <c r="U127" i="12" s="1"/>
  <c r="AF127" i="12" s="1"/>
  <c r="P133" i="12"/>
  <c r="Q141" i="12"/>
  <c r="U141" i="12" s="1"/>
  <c r="AF141" i="12" s="1"/>
  <c r="P148" i="12"/>
  <c r="Q156" i="12"/>
  <c r="U156" i="12" s="1"/>
  <c r="AF156" i="12" s="1"/>
  <c r="Q160" i="12"/>
  <c r="U160" i="12" s="1"/>
  <c r="AF160" i="12" s="1"/>
  <c r="Q168" i="12"/>
  <c r="U168" i="12" s="1"/>
  <c r="AF168" i="12" s="1"/>
  <c r="N223" i="12"/>
  <c r="AE223" i="12" s="1"/>
  <c r="P241" i="12"/>
  <c r="P264" i="12"/>
  <c r="P267" i="12"/>
  <c r="Q267" i="12" s="1"/>
  <c r="U267" i="12" s="1"/>
  <c r="AF267" i="12" s="1"/>
  <c r="P2" i="12"/>
  <c r="Q2" i="12" s="1"/>
  <c r="U2" i="12" s="1"/>
  <c r="AF2" i="12" s="1"/>
  <c r="AE4" i="12"/>
  <c r="AE6" i="12"/>
  <c r="AE14" i="12"/>
  <c r="P17" i="12"/>
  <c r="Q17" i="12" s="1"/>
  <c r="U17" i="12" s="1"/>
  <c r="AF17" i="12" s="1"/>
  <c r="P20" i="12"/>
  <c r="Q20" i="12" s="1"/>
  <c r="U20" i="12" s="1"/>
  <c r="AF20" i="12" s="1"/>
  <c r="Q21" i="12"/>
  <c r="U21" i="12" s="1"/>
  <c r="AF21" i="12" s="1"/>
  <c r="P23" i="12"/>
  <c r="P27" i="12"/>
  <c r="AE29" i="12"/>
  <c r="Q36" i="12"/>
  <c r="U36" i="12" s="1"/>
  <c r="AF36" i="12" s="1"/>
  <c r="P37" i="12"/>
  <c r="Q37" i="12" s="1"/>
  <c r="U37" i="12" s="1"/>
  <c r="AF37" i="12" s="1"/>
  <c r="P49" i="12"/>
  <c r="Q49" i="12" s="1"/>
  <c r="U49" i="12" s="1"/>
  <c r="AF49" i="12" s="1"/>
  <c r="P52" i="12"/>
  <c r="Q53" i="12"/>
  <c r="U53" i="12" s="1"/>
  <c r="AF53" i="12" s="1"/>
  <c r="P55" i="12"/>
  <c r="P59" i="12"/>
  <c r="AE64" i="12"/>
  <c r="P69" i="12"/>
  <c r="Q69" i="12" s="1"/>
  <c r="U69" i="12" s="1"/>
  <c r="AF69" i="12" s="1"/>
  <c r="AE73" i="12"/>
  <c r="P77" i="12"/>
  <c r="AE84" i="12"/>
  <c r="AE86" i="12"/>
  <c r="P93" i="12"/>
  <c r="Q93" i="12" s="1"/>
  <c r="U93" i="12" s="1"/>
  <c r="AF93" i="12" s="1"/>
  <c r="P101" i="12"/>
  <c r="Q101" i="12" s="1"/>
  <c r="U101" i="12" s="1"/>
  <c r="AF101" i="12" s="1"/>
  <c r="P104" i="12"/>
  <c r="Q105" i="12"/>
  <c r="U105" i="12" s="1"/>
  <c r="AF105" i="12" s="1"/>
  <c r="P108" i="12"/>
  <c r="Q108" i="12" s="1"/>
  <c r="U108" i="12" s="1"/>
  <c r="AF108" i="12" s="1"/>
  <c r="Q109" i="12"/>
  <c r="U109" i="12" s="1"/>
  <c r="AF109" i="12" s="1"/>
  <c r="P113" i="12"/>
  <c r="Q113" i="12" s="1"/>
  <c r="U113" i="12" s="1"/>
  <c r="AF113" i="12" s="1"/>
  <c r="Q116" i="12"/>
  <c r="U116" i="12" s="1"/>
  <c r="AF116" i="12" s="1"/>
  <c r="P117" i="12"/>
  <c r="Q117" i="12" s="1"/>
  <c r="U117" i="12" s="1"/>
  <c r="AF117" i="12" s="1"/>
  <c r="P125" i="12"/>
  <c r="Q125" i="12" s="1"/>
  <c r="U125" i="12" s="1"/>
  <c r="AF125" i="12" s="1"/>
  <c r="AE134" i="12"/>
  <c r="AE160" i="12"/>
  <c r="P162" i="12"/>
  <c r="Q163" i="12"/>
  <c r="U163" i="12" s="1"/>
  <c r="AF163" i="12" s="1"/>
  <c r="P164" i="12"/>
  <c r="Q164" i="12" s="1"/>
  <c r="U164" i="12" s="1"/>
  <c r="AF164" i="12" s="1"/>
  <c r="P170" i="12"/>
  <c r="P184" i="12"/>
  <c r="Q184" i="12" s="1"/>
  <c r="U184" i="12" s="1"/>
  <c r="AF184" i="12" s="1"/>
  <c r="Q187" i="12"/>
  <c r="U187" i="12" s="1"/>
  <c r="AF187" i="12" s="1"/>
  <c r="P190" i="12"/>
  <c r="P195" i="12"/>
  <c r="Q195" i="12" s="1"/>
  <c r="U195" i="12" s="1"/>
  <c r="AF195" i="12" s="1"/>
  <c r="Q205" i="12"/>
  <c r="U205" i="12" s="1"/>
  <c r="AF205" i="12" s="1"/>
  <c r="P206" i="12"/>
  <c r="N235" i="12"/>
  <c r="AE235" i="12" s="1"/>
  <c r="Q213" i="12"/>
  <c r="U213" i="12" s="1"/>
  <c r="AF213" i="12" s="1"/>
  <c r="P218" i="12"/>
  <c r="Q218" i="12" s="1"/>
  <c r="U218" i="12" s="1"/>
  <c r="AF218" i="12" s="1"/>
  <c r="P222" i="12"/>
  <c r="Q222" i="12" s="1"/>
  <c r="U222" i="12" s="1"/>
  <c r="AF222" i="12" s="1"/>
  <c r="P225" i="12"/>
  <c r="Q229" i="12"/>
  <c r="U229" i="12" s="1"/>
  <c r="AF229" i="12" s="1"/>
  <c r="P237" i="12"/>
  <c r="Q249" i="12"/>
  <c r="U249" i="12" s="1"/>
  <c r="AF249" i="12" s="1"/>
  <c r="P260" i="12"/>
  <c r="Q262" i="12"/>
  <c r="U262" i="12" s="1"/>
  <c r="AF262" i="12" s="1"/>
  <c r="P271" i="12"/>
  <c r="Q271" i="12" s="1"/>
  <c r="U271" i="12" s="1"/>
  <c r="AF271" i="12" s="1"/>
  <c r="P287" i="12"/>
  <c r="Q287" i="12" s="1"/>
  <c r="U287" i="12" s="1"/>
  <c r="AF287" i="12" s="1"/>
  <c r="Q291" i="12"/>
  <c r="U291" i="12" s="1"/>
  <c r="AF291" i="12" s="1"/>
  <c r="AE2" i="12"/>
  <c r="AE243" i="12"/>
  <c r="Q253" i="12"/>
  <c r="U253" i="12" s="1"/>
  <c r="AF253" i="12" s="1"/>
  <c r="Q266" i="12"/>
  <c r="U266" i="12" s="1"/>
  <c r="AF266" i="12" s="1"/>
  <c r="Q270" i="12"/>
  <c r="U270" i="12" s="1"/>
  <c r="AF270" i="12" s="1"/>
  <c r="Q274" i="12"/>
  <c r="U274" i="12" s="1"/>
  <c r="AF274" i="12" s="1"/>
  <c r="Q278" i="12"/>
  <c r="U278" i="12" s="1"/>
  <c r="AF278" i="12" s="1"/>
  <c r="Q282" i="12"/>
  <c r="U282" i="12" s="1"/>
  <c r="AF282" i="12" s="1"/>
  <c r="Q286" i="12"/>
  <c r="U286" i="12" s="1"/>
  <c r="AF286" i="12" s="1"/>
  <c r="Q290" i="12"/>
  <c r="U290" i="12" s="1"/>
  <c r="AF290" i="12" s="1"/>
  <c r="Q294" i="12"/>
  <c r="U294" i="12" s="1"/>
  <c r="AF294" i="12" s="1"/>
  <c r="Q298" i="12"/>
  <c r="U298" i="12" s="1"/>
  <c r="AF298" i="12" s="1"/>
  <c r="N143" i="12"/>
  <c r="AE143" i="12" s="1"/>
  <c r="Q121" i="12"/>
  <c r="U121" i="12" s="1"/>
  <c r="AF121" i="12" s="1"/>
  <c r="P136" i="12"/>
  <c r="Q136" i="12" s="1"/>
  <c r="U136" i="12" s="1"/>
  <c r="AF136" i="12" s="1"/>
  <c r="Q137" i="12"/>
  <c r="U137" i="12" s="1"/>
  <c r="AF137" i="12" s="1"/>
  <c r="Q194" i="12"/>
  <c r="U194" i="12" s="1"/>
  <c r="AF194" i="12" s="1"/>
  <c r="Q202" i="12"/>
  <c r="U202" i="12" s="1"/>
  <c r="AF202" i="12" s="1"/>
  <c r="Q209" i="12"/>
  <c r="U209" i="12" s="1"/>
  <c r="AF209" i="12" s="1"/>
  <c r="AE211" i="12"/>
  <c r="Q217" i="12"/>
  <c r="U217" i="12" s="1"/>
  <c r="AF217" i="12" s="1"/>
  <c r="AE219" i="12"/>
  <c r="Q225" i="12"/>
  <c r="U225" i="12" s="1"/>
  <c r="AF225" i="12" s="1"/>
  <c r="P229" i="12"/>
  <c r="Q257" i="12"/>
  <c r="U257" i="12" s="1"/>
  <c r="AF257" i="12" s="1"/>
  <c r="AD141" i="12"/>
  <c r="AD244" i="12"/>
  <c r="AD300" i="12"/>
  <c r="AD268" i="12"/>
  <c r="AD292" i="12"/>
  <c r="AD261" i="12"/>
  <c r="AD217" i="12"/>
  <c r="AD121" i="12"/>
  <c r="AD284" i="12"/>
  <c r="AD257" i="12"/>
  <c r="AD208" i="12"/>
  <c r="AD65" i="12"/>
  <c r="AD276" i="12"/>
  <c r="AD253" i="12"/>
  <c r="AD197" i="12"/>
  <c r="AD45" i="12"/>
  <c r="AD89" i="12"/>
  <c r="AD296" i="12"/>
  <c r="AD288" i="12"/>
  <c r="AD280" i="12"/>
  <c r="AD272" i="12"/>
  <c r="AD236" i="12"/>
  <c r="AD224" i="12"/>
  <c r="AD213" i="12"/>
  <c r="AD201" i="12"/>
  <c r="AD192" i="12"/>
  <c r="AD177" i="12"/>
  <c r="AD157" i="12"/>
  <c r="AD129" i="12"/>
  <c r="AD105" i="12"/>
  <c r="AD81" i="12"/>
  <c r="AD57" i="12"/>
  <c r="AD33" i="12"/>
  <c r="AD13" i="12"/>
  <c r="AD185" i="12"/>
  <c r="AD293" i="12"/>
  <c r="AD285" i="12"/>
  <c r="AD277" i="12"/>
  <c r="AD269" i="12"/>
  <c r="AD260" i="12"/>
  <c r="AD249" i="12"/>
  <c r="AD233" i="12"/>
  <c r="AD221" i="12"/>
  <c r="AD209" i="12"/>
  <c r="AD200" i="12"/>
  <c r="AD189" i="12"/>
  <c r="AD173" i="12"/>
  <c r="AD145" i="12"/>
  <c r="AD125" i="12"/>
  <c r="AD97" i="12"/>
  <c r="AD73" i="12"/>
  <c r="AD53" i="12"/>
  <c r="AD29" i="12"/>
  <c r="AD9" i="12"/>
  <c r="AD25" i="12"/>
  <c r="AD229" i="12"/>
  <c r="AD165" i="12"/>
  <c r="AD297" i="12"/>
  <c r="AD289" i="12"/>
  <c r="AD281" i="12"/>
  <c r="AD273" i="12"/>
  <c r="AD265" i="12"/>
  <c r="AD256" i="12"/>
  <c r="AD240" i="12"/>
  <c r="AD225" i="12"/>
  <c r="AD216" i="12"/>
  <c r="AD205" i="12"/>
  <c r="AD193" i="12"/>
  <c r="AD181" i="12"/>
  <c r="AD161" i="12"/>
  <c r="AD137" i="12"/>
  <c r="AD109" i="12"/>
  <c r="AD85" i="12"/>
  <c r="AD61" i="12"/>
  <c r="AD41" i="12"/>
  <c r="AD21" i="12"/>
  <c r="AD245" i="12"/>
  <c r="AD241" i="12"/>
  <c r="AD237" i="12"/>
  <c r="AD169" i="12"/>
  <c r="AD49" i="12"/>
  <c r="AD298" i="12"/>
  <c r="AD294" i="12"/>
  <c r="AD290" i="12"/>
  <c r="AD286" i="12"/>
  <c r="AD282" i="12"/>
  <c r="AD278" i="12"/>
  <c r="AD274" i="12"/>
  <c r="AD270" i="12"/>
  <c r="AD266" i="12"/>
  <c r="AD262" i="12"/>
  <c r="AD258" i="12"/>
  <c r="AD254" i="12"/>
  <c r="AD250" i="12"/>
  <c r="AD246" i="12"/>
  <c r="AD242" i="12"/>
  <c r="AD238" i="12"/>
  <c r="AD234" i="12"/>
  <c r="AD230" i="12"/>
  <c r="AD226" i="12"/>
  <c r="AD222" i="12"/>
  <c r="AD218" i="12"/>
  <c r="AD214" i="12"/>
  <c r="AD210" i="12"/>
  <c r="AD206" i="12"/>
  <c r="AD202" i="12"/>
  <c r="AD198" i="12"/>
  <c r="AD194" i="12"/>
  <c r="AD190" i="12"/>
  <c r="AD186" i="12"/>
  <c r="AD182" i="12"/>
  <c r="AD178" i="12"/>
  <c r="AD174" i="12"/>
  <c r="AD170" i="12"/>
  <c r="AD166" i="12"/>
  <c r="AD162" i="12"/>
  <c r="AD158" i="12"/>
  <c r="AD154" i="12"/>
  <c r="AD150" i="12"/>
  <c r="AD146" i="12"/>
  <c r="AD142" i="12"/>
  <c r="AD138" i="12"/>
  <c r="AD134" i="12"/>
  <c r="AD130" i="12"/>
  <c r="AD126" i="12"/>
  <c r="AD122" i="12"/>
  <c r="AD118" i="12"/>
  <c r="AD114" i="12"/>
  <c r="AD110" i="12"/>
  <c r="AD106" i="12"/>
  <c r="AD102" i="12"/>
  <c r="AD98" i="12"/>
  <c r="AD94" i="12"/>
  <c r="AD90" i="12"/>
  <c r="AD86" i="12"/>
  <c r="AD82" i="12"/>
  <c r="AD78" i="12"/>
  <c r="AD74" i="12"/>
  <c r="AD70" i="12"/>
  <c r="AD66" i="12"/>
  <c r="AD62" i="12"/>
  <c r="AD58" i="12"/>
  <c r="AD54" i="12"/>
  <c r="AD50" i="12"/>
  <c r="AD46" i="12"/>
  <c r="AD42" i="12"/>
  <c r="AD38" i="12"/>
  <c r="AD34" i="12"/>
  <c r="AD30" i="12"/>
  <c r="AD26" i="12"/>
  <c r="AD22" i="12"/>
  <c r="AD18" i="12"/>
  <c r="AD14" i="12"/>
  <c r="AD10" i="12"/>
  <c r="AD6" i="12"/>
  <c r="AD5" i="12"/>
  <c r="AD17" i="12"/>
  <c r="AD264" i="12"/>
  <c r="AD252" i="12"/>
  <c r="AD248" i="12"/>
  <c r="AD232" i="12"/>
  <c r="AD228" i="12"/>
  <c r="AD220" i="12"/>
  <c r="AD212" i="12"/>
  <c r="AD204" i="12"/>
  <c r="AD196" i="12"/>
  <c r="AD188" i="12"/>
  <c r="AD184" i="12"/>
  <c r="AD180" i="12"/>
  <c r="AD176" i="12"/>
  <c r="AD172" i="12"/>
  <c r="AD168" i="12"/>
  <c r="AD164" i="12"/>
  <c r="AD160" i="12"/>
  <c r="AD156" i="12"/>
  <c r="AD152" i="12"/>
  <c r="AD148" i="12"/>
  <c r="AD144" i="12"/>
  <c r="AD140" i="12"/>
  <c r="AD136" i="12"/>
  <c r="AD132" i="12"/>
  <c r="AD128" i="12"/>
  <c r="AD124" i="12"/>
  <c r="AD120" i="12"/>
  <c r="AD116" i="12"/>
  <c r="AD112" i="12"/>
  <c r="AD108" i="12"/>
  <c r="AD104" i="12"/>
  <c r="AD100" i="12"/>
  <c r="AD96" i="12"/>
  <c r="AD92" i="12"/>
  <c r="AD88" i="12"/>
  <c r="AD84" i="12"/>
  <c r="AD80" i="12"/>
  <c r="AD76" i="12"/>
  <c r="AD72" i="12"/>
  <c r="AD68" i="12"/>
  <c r="AD64" i="12"/>
  <c r="AD60" i="12"/>
  <c r="AD56" i="12"/>
  <c r="AD52" i="12"/>
  <c r="AD48" i="12"/>
  <c r="AD44" i="12"/>
  <c r="AD40" i="12"/>
  <c r="AD36" i="12"/>
  <c r="AD32" i="12"/>
  <c r="AD28" i="12"/>
  <c r="AD24" i="12"/>
  <c r="AD20" i="12"/>
  <c r="AD16" i="12"/>
  <c r="AD12" i="12"/>
  <c r="AD8" i="12"/>
  <c r="AD4" i="12"/>
  <c r="AD153" i="12"/>
  <c r="AD149" i="12"/>
  <c r="AD133" i="12"/>
  <c r="AD117" i="12"/>
  <c r="AD113" i="12"/>
  <c r="AD101" i="12"/>
  <c r="AD93" i="12"/>
  <c r="AD77" i="12"/>
  <c r="AD69" i="12"/>
  <c r="AD37" i="12"/>
  <c r="AD299" i="12"/>
  <c r="AD295" i="12"/>
  <c r="AD291" i="12"/>
  <c r="AD287" i="12"/>
  <c r="AD283" i="12"/>
  <c r="AD279" i="12"/>
  <c r="AD275" i="12"/>
  <c r="AD271" i="12"/>
  <c r="AD267" i="12"/>
  <c r="AD263" i="12"/>
  <c r="AD259" i="12"/>
  <c r="AD255" i="12"/>
  <c r="AD251" i="12"/>
  <c r="AD247" i="12"/>
  <c r="AD243" i="12"/>
  <c r="AD239" i="12"/>
  <c r="AD235" i="12"/>
  <c r="AD231" i="12"/>
  <c r="AD227" i="12"/>
  <c r="AD223" i="12"/>
  <c r="AD219" i="12"/>
  <c r="AD215" i="12"/>
  <c r="AD211" i="12"/>
  <c r="AD207" i="12"/>
  <c r="AD203" i="12"/>
  <c r="AD199" i="12"/>
  <c r="AD195" i="12"/>
  <c r="AD191" i="12"/>
  <c r="AD187" i="12"/>
  <c r="AD183" i="12"/>
  <c r="AD179" i="12"/>
  <c r="AD175" i="12"/>
  <c r="AD171" i="12"/>
  <c r="AD167" i="12"/>
  <c r="AD163" i="12"/>
  <c r="AD159" i="12"/>
  <c r="AD155" i="12"/>
  <c r="AD151" i="12"/>
  <c r="AD147" i="12"/>
  <c r="AD143" i="12"/>
  <c r="AD139" i="12"/>
  <c r="AD135" i="12"/>
  <c r="AD131" i="12"/>
  <c r="AD127" i="12"/>
  <c r="AD123" i="12"/>
  <c r="AD119" i="12"/>
  <c r="AD115" i="12"/>
  <c r="AD111" i="12"/>
  <c r="AD107" i="12"/>
  <c r="AD103" i="12"/>
  <c r="AD99" i="12"/>
  <c r="AD95" i="12"/>
  <c r="AD91" i="12"/>
  <c r="AD87" i="12"/>
  <c r="AD83" i="12"/>
  <c r="AD79" i="12"/>
  <c r="AD75" i="12"/>
  <c r="AD71" i="12"/>
  <c r="AD67" i="12"/>
  <c r="AD63" i="12"/>
  <c r="AD59" i="12"/>
  <c r="AD55" i="12"/>
  <c r="AD51" i="12"/>
  <c r="AD47" i="12"/>
  <c r="AD43" i="12"/>
  <c r="AD39" i="12"/>
  <c r="AD35" i="12"/>
  <c r="AD31" i="12"/>
  <c r="AD27" i="12"/>
  <c r="AD23" i="12"/>
  <c r="AD19" i="12"/>
  <c r="AD15" i="12"/>
  <c r="AD11" i="12"/>
  <c r="AD7" i="12"/>
  <c r="AD3" i="12"/>
  <c r="AD2" i="12"/>
  <c r="N15" i="12"/>
  <c r="AE15" i="12" s="1"/>
  <c r="P18" i="12"/>
  <c r="Q18" i="12" s="1"/>
  <c r="U18" i="12" s="1"/>
  <c r="AF18" i="12" s="1"/>
  <c r="N23" i="12"/>
  <c r="T23" i="12" s="1"/>
  <c r="T26" i="12"/>
  <c r="X26" i="12" s="1"/>
  <c r="Y26" i="12" s="1"/>
  <c r="P26" i="12"/>
  <c r="Q26" i="12" s="1"/>
  <c r="U26" i="12" s="1"/>
  <c r="AF26" i="12" s="1"/>
  <c r="N39" i="12"/>
  <c r="AE39" i="12" s="1"/>
  <c r="P42" i="12"/>
  <c r="Q42" i="12" s="1"/>
  <c r="U42" i="12" s="1"/>
  <c r="AF42" i="12" s="1"/>
  <c r="P66" i="12"/>
  <c r="Q66" i="12" s="1"/>
  <c r="U66" i="12" s="1"/>
  <c r="AF66" i="12" s="1"/>
  <c r="P98" i="12"/>
  <c r="Q98" i="12" s="1"/>
  <c r="U98" i="12" s="1"/>
  <c r="AF98" i="12" s="1"/>
  <c r="N122" i="12"/>
  <c r="AE122" i="12" s="1"/>
  <c r="N135" i="12"/>
  <c r="AE135" i="12" s="1"/>
  <c r="P139" i="12"/>
  <c r="P169" i="12"/>
  <c r="Q169" i="12" s="1"/>
  <c r="U169" i="12" s="1"/>
  <c r="AF169" i="12" s="1"/>
  <c r="N207" i="12"/>
  <c r="AE207" i="12" s="1"/>
  <c r="N2" i="12"/>
  <c r="T2" i="12" s="1"/>
  <c r="X2" i="12" s="1"/>
  <c r="Y2" i="12" s="1"/>
  <c r="N6" i="12"/>
  <c r="P8" i="12"/>
  <c r="Q8" i="12" s="1"/>
  <c r="U8" i="12" s="1"/>
  <c r="AF8" i="12" s="1"/>
  <c r="N9" i="12"/>
  <c r="T9" i="12" s="1"/>
  <c r="X9" i="12" s="1"/>
  <c r="Y9" i="12" s="1"/>
  <c r="Q11" i="12"/>
  <c r="U11" i="12" s="1"/>
  <c r="AF11" i="12" s="1"/>
  <c r="N14" i="12"/>
  <c r="T15" i="12"/>
  <c r="P16" i="12"/>
  <c r="Q16" i="12" s="1"/>
  <c r="U16" i="12" s="1"/>
  <c r="AF16" i="12" s="1"/>
  <c r="N17" i="12"/>
  <c r="T17" i="12" s="1"/>
  <c r="Q19" i="12"/>
  <c r="U19" i="12" s="1"/>
  <c r="AF19" i="12" s="1"/>
  <c r="N22" i="12"/>
  <c r="T22" i="12" s="1"/>
  <c r="P24" i="12"/>
  <c r="Q24" i="12" s="1"/>
  <c r="U24" i="12" s="1"/>
  <c r="AF24" i="12" s="1"/>
  <c r="N25" i="12"/>
  <c r="T25" i="12" s="1"/>
  <c r="X25" i="12" s="1"/>
  <c r="Y25" i="12" s="1"/>
  <c r="Q27" i="12"/>
  <c r="U27" i="12" s="1"/>
  <c r="AF27" i="12" s="1"/>
  <c r="N30" i="12"/>
  <c r="AE30" i="12" s="1"/>
  <c r="P32" i="12"/>
  <c r="Q32" i="12" s="1"/>
  <c r="U32" i="12" s="1"/>
  <c r="AF32" i="12" s="1"/>
  <c r="N33" i="12"/>
  <c r="T33" i="12" s="1"/>
  <c r="X33" i="12" s="1"/>
  <c r="Y33" i="12" s="1"/>
  <c r="Q35" i="12"/>
  <c r="U35" i="12" s="1"/>
  <c r="AF35" i="12" s="1"/>
  <c r="N38" i="12"/>
  <c r="T38" i="12" s="1"/>
  <c r="T39" i="12"/>
  <c r="P40" i="12"/>
  <c r="Q40" i="12" s="1"/>
  <c r="U40" i="12" s="1"/>
  <c r="AF40" i="12" s="1"/>
  <c r="N41" i="12"/>
  <c r="T41" i="12" s="1"/>
  <c r="X41" i="12" s="1"/>
  <c r="Y41" i="12" s="1"/>
  <c r="Q43" i="12"/>
  <c r="U43" i="12" s="1"/>
  <c r="AF43" i="12" s="1"/>
  <c r="N46" i="12"/>
  <c r="AE46" i="12" s="1"/>
  <c r="P48" i="12"/>
  <c r="Q48" i="12" s="1"/>
  <c r="U48" i="12" s="1"/>
  <c r="AF48" i="12" s="1"/>
  <c r="N49" i="12"/>
  <c r="T49" i="12" s="1"/>
  <c r="X49" i="12" s="1"/>
  <c r="Y49" i="12" s="1"/>
  <c r="Q51" i="12"/>
  <c r="U51" i="12" s="1"/>
  <c r="AF51" i="12" s="1"/>
  <c r="N54" i="12"/>
  <c r="P56" i="12"/>
  <c r="Q56" i="12" s="1"/>
  <c r="U56" i="12" s="1"/>
  <c r="AF56" i="12" s="1"/>
  <c r="N57" i="12"/>
  <c r="T57" i="12" s="1"/>
  <c r="Q59" i="12"/>
  <c r="U59" i="12" s="1"/>
  <c r="AF59" i="12" s="1"/>
  <c r="N62" i="12"/>
  <c r="AE62" i="12" s="1"/>
  <c r="P64" i="12"/>
  <c r="Q64" i="12" s="1"/>
  <c r="U64" i="12" s="1"/>
  <c r="AF64" i="12" s="1"/>
  <c r="N65" i="12"/>
  <c r="T65" i="12" s="1"/>
  <c r="X65" i="12" s="1"/>
  <c r="Y65" i="12" s="1"/>
  <c r="N70" i="12"/>
  <c r="T70" i="12" s="1"/>
  <c r="P72" i="12"/>
  <c r="Q72" i="12" s="1"/>
  <c r="U72" i="12" s="1"/>
  <c r="AF72" i="12" s="1"/>
  <c r="N73" i="12"/>
  <c r="T73" i="12" s="1"/>
  <c r="X73" i="12" s="1"/>
  <c r="Y73" i="12" s="1"/>
  <c r="Q75" i="12"/>
  <c r="U75" i="12" s="1"/>
  <c r="AF75" i="12" s="1"/>
  <c r="N78" i="12"/>
  <c r="AE78" i="12" s="1"/>
  <c r="T79" i="12"/>
  <c r="P80" i="12"/>
  <c r="Q80" i="12" s="1"/>
  <c r="U80" i="12" s="1"/>
  <c r="AF80" i="12" s="1"/>
  <c r="Q83" i="12"/>
  <c r="U83" i="12" s="1"/>
  <c r="AF83" i="12" s="1"/>
  <c r="N86" i="12"/>
  <c r="T87" i="12"/>
  <c r="P88" i="12"/>
  <c r="Q88" i="12" s="1"/>
  <c r="U88" i="12" s="1"/>
  <c r="AF88" i="12" s="1"/>
  <c r="N89" i="12"/>
  <c r="T89" i="12" s="1"/>
  <c r="X89" i="12" s="1"/>
  <c r="Y89" i="12" s="1"/>
  <c r="Q91" i="12"/>
  <c r="U91" i="12" s="1"/>
  <c r="AF91" i="12" s="1"/>
  <c r="N94" i="12"/>
  <c r="AE94" i="12" s="1"/>
  <c r="P96" i="12"/>
  <c r="Q96" i="12" s="1"/>
  <c r="U96" i="12" s="1"/>
  <c r="AF96" i="12" s="1"/>
  <c r="N97" i="12"/>
  <c r="T97" i="12" s="1"/>
  <c r="X97" i="12" s="1"/>
  <c r="Y97" i="12" s="1"/>
  <c r="Q99" i="12"/>
  <c r="U99" i="12" s="1"/>
  <c r="AF99" i="12" s="1"/>
  <c r="Q104" i="12"/>
  <c r="U104" i="12" s="1"/>
  <c r="AF104" i="12" s="1"/>
  <c r="P107" i="12"/>
  <c r="P111" i="12"/>
  <c r="P112" i="12"/>
  <c r="P115" i="12"/>
  <c r="N119" i="12"/>
  <c r="T119" i="12" s="1"/>
  <c r="T122" i="12"/>
  <c r="P122" i="12"/>
  <c r="Q122" i="12" s="1"/>
  <c r="U122" i="12" s="1"/>
  <c r="AF122" i="12" s="1"/>
  <c r="N131" i="12"/>
  <c r="T135" i="12"/>
  <c r="P135" i="12"/>
  <c r="Q135" i="12" s="1"/>
  <c r="U135" i="12" s="1"/>
  <c r="AF135" i="12" s="1"/>
  <c r="N147" i="12"/>
  <c r="N154" i="12"/>
  <c r="AE154" i="12" s="1"/>
  <c r="P157" i="12"/>
  <c r="Q157" i="12" s="1"/>
  <c r="U157" i="12" s="1"/>
  <c r="AF157" i="12" s="1"/>
  <c r="P158" i="12"/>
  <c r="N180" i="12"/>
  <c r="T180" i="12" s="1"/>
  <c r="X180" i="12" s="1"/>
  <c r="Y180" i="12" s="1"/>
  <c r="N55" i="12"/>
  <c r="T55" i="12" s="1"/>
  <c r="N63" i="12"/>
  <c r="AE63" i="12" s="1"/>
  <c r="P90" i="12"/>
  <c r="Q90" i="12" s="1"/>
  <c r="U90" i="12" s="1"/>
  <c r="AF90" i="12" s="1"/>
  <c r="N103" i="12"/>
  <c r="T103" i="12" s="1"/>
  <c r="N111" i="12"/>
  <c r="AE111" i="12" s="1"/>
  <c r="N256" i="12"/>
  <c r="AE256" i="12" s="1"/>
  <c r="N252" i="12"/>
  <c r="AE252" i="12" s="1"/>
  <c r="N248" i="12"/>
  <c r="T248" i="12" s="1"/>
  <c r="N244" i="12"/>
  <c r="AE244" i="12" s="1"/>
  <c r="N257" i="12"/>
  <c r="T257" i="12" s="1"/>
  <c r="X257" i="12" s="1"/>
  <c r="Y257" i="12" s="1"/>
  <c r="N253" i="12"/>
  <c r="T253" i="12" s="1"/>
  <c r="X253" i="12" s="1"/>
  <c r="Y253" i="12" s="1"/>
  <c r="N249" i="12"/>
  <c r="N245" i="12"/>
  <c r="T245" i="12" s="1"/>
  <c r="N258" i="12"/>
  <c r="N254" i="12"/>
  <c r="T254" i="12" s="1"/>
  <c r="N250" i="12"/>
  <c r="T250" i="12" s="1"/>
  <c r="X250" i="12" s="1"/>
  <c r="Y250" i="12" s="1"/>
  <c r="N246" i="12"/>
  <c r="T246" i="12" s="1"/>
  <c r="X246" i="12" s="1"/>
  <c r="Y246" i="12" s="1"/>
  <c r="N259" i="12"/>
  <c r="AE259" i="12" s="1"/>
  <c r="N255" i="12"/>
  <c r="AE255" i="12" s="1"/>
  <c r="N251" i="12"/>
  <c r="N247" i="12"/>
  <c r="AE247" i="12" s="1"/>
  <c r="N84" i="12"/>
  <c r="T84" i="12" s="1"/>
  <c r="N80" i="12"/>
  <c r="T80" i="12" s="1"/>
  <c r="N76" i="12"/>
  <c r="T76" i="12" s="1"/>
  <c r="X76" i="12" s="1"/>
  <c r="Y76" i="12" s="1"/>
  <c r="N72" i="12"/>
  <c r="AE72" i="12" s="1"/>
  <c r="N68" i="12"/>
  <c r="T68" i="12" s="1"/>
  <c r="N64" i="12"/>
  <c r="T64" i="12" s="1"/>
  <c r="N60" i="12"/>
  <c r="T60" i="12" s="1"/>
  <c r="N56" i="12"/>
  <c r="T56" i="12" s="1"/>
  <c r="N52" i="12"/>
  <c r="T52" i="12" s="1"/>
  <c r="X52" i="12" s="1"/>
  <c r="Y52" i="12" s="1"/>
  <c r="N48" i="12"/>
  <c r="T48" i="12" s="1"/>
  <c r="N44" i="12"/>
  <c r="T44" i="12" s="1"/>
  <c r="X44" i="12" s="1"/>
  <c r="Y44" i="12" s="1"/>
  <c r="N40" i="12"/>
  <c r="AE40" i="12" s="1"/>
  <c r="N36" i="12"/>
  <c r="T36" i="12" s="1"/>
  <c r="X36" i="12" s="1"/>
  <c r="Y36" i="12" s="1"/>
  <c r="N32" i="12"/>
  <c r="T32" i="12" s="1"/>
  <c r="X32" i="12" s="1"/>
  <c r="Y32" i="12" s="1"/>
  <c r="N28" i="12"/>
  <c r="T28" i="12" s="1"/>
  <c r="X28" i="12" s="1"/>
  <c r="Y28" i="12" s="1"/>
  <c r="N24" i="12"/>
  <c r="T24" i="12" s="1"/>
  <c r="X24" i="12" s="1"/>
  <c r="Y24" i="12" s="1"/>
  <c r="N20" i="12"/>
  <c r="T20" i="12" s="1"/>
  <c r="N16" i="12"/>
  <c r="T16" i="12" s="1"/>
  <c r="X16" i="12" s="1"/>
  <c r="Y16" i="12" s="1"/>
  <c r="N12" i="12"/>
  <c r="T12" i="12" s="1"/>
  <c r="N8" i="12"/>
  <c r="T8" i="12" s="1"/>
  <c r="X8" i="12" s="1"/>
  <c r="Y8" i="12" s="1"/>
  <c r="N4" i="12"/>
  <c r="T4" i="12" s="1"/>
  <c r="X4" i="12" s="1"/>
  <c r="Y4" i="12" s="1"/>
  <c r="P3" i="12"/>
  <c r="Q3" i="12" s="1"/>
  <c r="U3" i="12" s="1"/>
  <c r="AF3" i="12" s="1"/>
  <c r="T3" i="12"/>
  <c r="X3" i="12" s="1"/>
  <c r="Y3" i="12" s="1"/>
  <c r="T6" i="12"/>
  <c r="P6" i="12"/>
  <c r="Q6" i="12" s="1"/>
  <c r="U6" i="12" s="1"/>
  <c r="AF6" i="12" s="1"/>
  <c r="N11" i="12"/>
  <c r="T11" i="12" s="1"/>
  <c r="X11" i="12" s="1"/>
  <c r="Y11" i="12" s="1"/>
  <c r="T14" i="12"/>
  <c r="P14" i="12"/>
  <c r="Q14" i="12" s="1"/>
  <c r="U14" i="12" s="1"/>
  <c r="AF14" i="12" s="1"/>
  <c r="N19" i="12"/>
  <c r="AE19" i="12" s="1"/>
  <c r="P22" i="12"/>
  <c r="Q22" i="12" s="1"/>
  <c r="U22" i="12" s="1"/>
  <c r="AF22" i="12" s="1"/>
  <c r="N27" i="12"/>
  <c r="T27" i="12" s="1"/>
  <c r="X27" i="12" s="1"/>
  <c r="Y27" i="12" s="1"/>
  <c r="T30" i="12"/>
  <c r="X30" i="12" s="1"/>
  <c r="Y30" i="12" s="1"/>
  <c r="P30" i="12"/>
  <c r="Q30" i="12" s="1"/>
  <c r="U30" i="12" s="1"/>
  <c r="AF30" i="12" s="1"/>
  <c r="N35" i="12"/>
  <c r="T35" i="12" s="1"/>
  <c r="P38" i="12"/>
  <c r="Q38" i="12" s="1"/>
  <c r="U38" i="12" s="1"/>
  <c r="AF38" i="12" s="1"/>
  <c r="N43" i="12"/>
  <c r="T43" i="12" s="1"/>
  <c r="X43" i="12" s="1"/>
  <c r="Y43" i="12" s="1"/>
  <c r="T46" i="12"/>
  <c r="P46" i="12"/>
  <c r="Q46" i="12" s="1"/>
  <c r="U46" i="12" s="1"/>
  <c r="AF46" i="12" s="1"/>
  <c r="N51" i="12"/>
  <c r="T51" i="12" s="1"/>
  <c r="X51" i="12" s="1"/>
  <c r="Y51" i="12" s="1"/>
  <c r="T54" i="12"/>
  <c r="P54" i="12"/>
  <c r="Q54" i="12" s="1"/>
  <c r="U54" i="12" s="1"/>
  <c r="AF54" i="12" s="1"/>
  <c r="N59" i="12"/>
  <c r="T59" i="12" s="1"/>
  <c r="X59" i="12" s="1"/>
  <c r="Y59" i="12" s="1"/>
  <c r="T62" i="12"/>
  <c r="P62" i="12"/>
  <c r="Q62" i="12" s="1"/>
  <c r="U62" i="12" s="1"/>
  <c r="AF62" i="12" s="1"/>
  <c r="N67" i="12"/>
  <c r="T67" i="12" s="1"/>
  <c r="P70" i="12"/>
  <c r="Q70" i="12" s="1"/>
  <c r="U70" i="12" s="1"/>
  <c r="AF70" i="12" s="1"/>
  <c r="N75" i="12"/>
  <c r="T75" i="12" s="1"/>
  <c r="X75" i="12" s="1"/>
  <c r="Y75" i="12" s="1"/>
  <c r="T78" i="12"/>
  <c r="X78" i="12" s="1"/>
  <c r="Y78" i="12" s="1"/>
  <c r="P78" i="12"/>
  <c r="Q78" i="12" s="1"/>
  <c r="U78" i="12" s="1"/>
  <c r="AF78" i="12" s="1"/>
  <c r="N83" i="12"/>
  <c r="T83" i="12" s="1"/>
  <c r="X83" i="12" s="1"/>
  <c r="Y83" i="12" s="1"/>
  <c r="T86" i="12"/>
  <c r="P86" i="12"/>
  <c r="Q86" i="12" s="1"/>
  <c r="U86" i="12" s="1"/>
  <c r="AF86" i="12" s="1"/>
  <c r="N91" i="12"/>
  <c r="T91" i="12" s="1"/>
  <c r="X91" i="12" s="1"/>
  <c r="Y91" i="12" s="1"/>
  <c r="P94" i="12"/>
  <c r="Q94" i="12" s="1"/>
  <c r="U94" i="12" s="1"/>
  <c r="AF94" i="12" s="1"/>
  <c r="N99" i="12"/>
  <c r="T99" i="12" s="1"/>
  <c r="X99" i="12" s="1"/>
  <c r="Y99" i="12" s="1"/>
  <c r="T102" i="12"/>
  <c r="P102" i="12"/>
  <c r="Q102" i="12" s="1"/>
  <c r="U102" i="12" s="1"/>
  <c r="AF102" i="12" s="1"/>
  <c r="N105" i="12"/>
  <c r="T105" i="12" s="1"/>
  <c r="X105" i="12" s="1"/>
  <c r="Y105" i="12" s="1"/>
  <c r="N106" i="12"/>
  <c r="T106" i="12" s="1"/>
  <c r="X106" i="12" s="1"/>
  <c r="Y106" i="12" s="1"/>
  <c r="N109" i="12"/>
  <c r="T109" i="12" s="1"/>
  <c r="N110" i="12"/>
  <c r="AE110" i="12" s="1"/>
  <c r="P120" i="12"/>
  <c r="Q120" i="12" s="1"/>
  <c r="U120" i="12" s="1"/>
  <c r="AF120" i="12" s="1"/>
  <c r="N127" i="12"/>
  <c r="AE127" i="12" s="1"/>
  <c r="T131" i="12"/>
  <c r="P131" i="12"/>
  <c r="T147" i="12"/>
  <c r="P147" i="12"/>
  <c r="Q147" i="12" s="1"/>
  <c r="U147" i="12" s="1"/>
  <c r="AF147" i="12" s="1"/>
  <c r="P155" i="12"/>
  <c r="Q162" i="12"/>
  <c r="U162" i="12" s="1"/>
  <c r="AF162" i="12" s="1"/>
  <c r="P185" i="12"/>
  <c r="Q185" i="12" s="1"/>
  <c r="U185" i="12" s="1"/>
  <c r="AF185" i="12" s="1"/>
  <c r="T10" i="12"/>
  <c r="X10" i="12" s="1"/>
  <c r="Y10" i="12" s="1"/>
  <c r="P10" i="12"/>
  <c r="Q10" i="12" s="1"/>
  <c r="U10" i="12" s="1"/>
  <c r="AF10" i="12" s="1"/>
  <c r="N31" i="12"/>
  <c r="AE31" i="12" s="1"/>
  <c r="P34" i="12"/>
  <c r="Q34" i="12" s="1"/>
  <c r="U34" i="12" s="1"/>
  <c r="AF34" i="12" s="1"/>
  <c r="N47" i="12"/>
  <c r="T47" i="12" s="1"/>
  <c r="P50" i="12"/>
  <c r="Q50" i="12" s="1"/>
  <c r="U50" i="12" s="1"/>
  <c r="AF50" i="12" s="1"/>
  <c r="P58" i="12"/>
  <c r="Q58" i="12" s="1"/>
  <c r="U58" i="12" s="1"/>
  <c r="AF58" i="12" s="1"/>
  <c r="N71" i="12"/>
  <c r="T71" i="12" s="1"/>
  <c r="P74" i="12"/>
  <c r="Q74" i="12" s="1"/>
  <c r="U74" i="12" s="1"/>
  <c r="AF74" i="12" s="1"/>
  <c r="P82" i="12"/>
  <c r="Q82" i="12" s="1"/>
  <c r="U82" i="12" s="1"/>
  <c r="AF82" i="12" s="1"/>
  <c r="P114" i="12"/>
  <c r="Q114" i="12" s="1"/>
  <c r="U114" i="12" s="1"/>
  <c r="AF114" i="12" s="1"/>
  <c r="N137" i="12"/>
  <c r="T137" i="12" s="1"/>
  <c r="X137" i="12" s="1"/>
  <c r="Y137" i="12" s="1"/>
  <c r="N133" i="12"/>
  <c r="T133" i="12" s="1"/>
  <c r="X133" i="12" s="1"/>
  <c r="Y133" i="12" s="1"/>
  <c r="N129" i="12"/>
  <c r="T129" i="12" s="1"/>
  <c r="N160" i="12"/>
  <c r="T160" i="12" s="1"/>
  <c r="N157" i="12"/>
  <c r="AE157" i="12" s="1"/>
  <c r="N123" i="12"/>
  <c r="T123" i="12" s="1"/>
  <c r="X123" i="12" s="1"/>
  <c r="Y123" i="12" s="1"/>
  <c r="N115" i="12"/>
  <c r="T115" i="12" s="1"/>
  <c r="N188" i="12"/>
  <c r="T188" i="12" s="1"/>
  <c r="N172" i="12"/>
  <c r="T172" i="12" s="1"/>
  <c r="X172" i="12" s="1"/>
  <c r="Y172" i="12" s="1"/>
  <c r="N152" i="12"/>
  <c r="T152" i="12" s="1"/>
  <c r="X152" i="12" s="1"/>
  <c r="Y152" i="12" s="1"/>
  <c r="N150" i="12"/>
  <c r="AE150" i="12" s="1"/>
  <c r="N146" i="12"/>
  <c r="T146" i="12" s="1"/>
  <c r="N142" i="12"/>
  <c r="AE142" i="12" s="1"/>
  <c r="N138" i="12"/>
  <c r="T138" i="12" s="1"/>
  <c r="N134" i="12"/>
  <c r="N130" i="12"/>
  <c r="T130" i="12" s="1"/>
  <c r="N126" i="12"/>
  <c r="AE126" i="12" s="1"/>
  <c r="N121" i="12"/>
  <c r="T121" i="12" s="1"/>
  <c r="X121" i="12" s="1"/>
  <c r="Y121" i="12" s="1"/>
  <c r="N118" i="12"/>
  <c r="AE118" i="12" s="1"/>
  <c r="N113" i="12"/>
  <c r="T113" i="12" s="1"/>
  <c r="N125" i="12"/>
  <c r="T125" i="12" s="1"/>
  <c r="P201" i="12"/>
  <c r="Q201" i="12" s="1"/>
  <c r="U201" i="12" s="1"/>
  <c r="AF201" i="12" s="1"/>
  <c r="N5" i="12"/>
  <c r="T5" i="12" s="1"/>
  <c r="X5" i="12" s="1"/>
  <c r="Y5" i="12" s="1"/>
  <c r="Q7" i="12"/>
  <c r="U7" i="12" s="1"/>
  <c r="AF7" i="12" s="1"/>
  <c r="N10" i="12"/>
  <c r="AE10" i="12" s="1"/>
  <c r="N13" i="12"/>
  <c r="T13" i="12" s="1"/>
  <c r="X13" i="12" s="1"/>
  <c r="Y13" i="12" s="1"/>
  <c r="Q15" i="12"/>
  <c r="U15" i="12" s="1"/>
  <c r="AF15" i="12" s="1"/>
  <c r="N18" i="12"/>
  <c r="T18" i="12" s="1"/>
  <c r="X18" i="12" s="1"/>
  <c r="Y18" i="12" s="1"/>
  <c r="N21" i="12"/>
  <c r="T21" i="12" s="1"/>
  <c r="X21" i="12" s="1"/>
  <c r="Y21" i="12" s="1"/>
  <c r="Q23" i="12"/>
  <c r="U23" i="12" s="1"/>
  <c r="AF23" i="12" s="1"/>
  <c r="N29" i="12"/>
  <c r="T29" i="12" s="1"/>
  <c r="X29" i="12" s="1"/>
  <c r="Y29" i="12" s="1"/>
  <c r="Q31" i="12"/>
  <c r="U31" i="12" s="1"/>
  <c r="AF31" i="12" s="1"/>
  <c r="N34" i="12"/>
  <c r="T34" i="12" s="1"/>
  <c r="X34" i="12" s="1"/>
  <c r="Y34" i="12" s="1"/>
  <c r="N37" i="12"/>
  <c r="T37" i="12" s="1"/>
  <c r="Q39" i="12"/>
  <c r="U39" i="12" s="1"/>
  <c r="AF39" i="12" s="1"/>
  <c r="N42" i="12"/>
  <c r="T42" i="12" s="1"/>
  <c r="X42" i="12" s="1"/>
  <c r="Y42" i="12" s="1"/>
  <c r="N45" i="12"/>
  <c r="T45" i="12" s="1"/>
  <c r="Q47" i="12"/>
  <c r="U47" i="12" s="1"/>
  <c r="AF47" i="12" s="1"/>
  <c r="N50" i="12"/>
  <c r="T50" i="12" s="1"/>
  <c r="X50" i="12" s="1"/>
  <c r="Y50" i="12" s="1"/>
  <c r="N53" i="12"/>
  <c r="T53" i="12" s="1"/>
  <c r="X53" i="12" s="1"/>
  <c r="Y53" i="12" s="1"/>
  <c r="Q55" i="12"/>
  <c r="U55" i="12" s="1"/>
  <c r="AF55" i="12" s="1"/>
  <c r="N58" i="12"/>
  <c r="T58" i="12" s="1"/>
  <c r="X58" i="12" s="1"/>
  <c r="Y58" i="12" s="1"/>
  <c r="N61" i="12"/>
  <c r="T61" i="12" s="1"/>
  <c r="Q63" i="12"/>
  <c r="U63" i="12" s="1"/>
  <c r="AF63" i="12" s="1"/>
  <c r="N66" i="12"/>
  <c r="T66" i="12" s="1"/>
  <c r="X66" i="12" s="1"/>
  <c r="Y66" i="12" s="1"/>
  <c r="N69" i="12"/>
  <c r="T69" i="12" s="1"/>
  <c r="N74" i="12"/>
  <c r="T74" i="12" s="1"/>
  <c r="N77" i="12"/>
  <c r="T77" i="12" s="1"/>
  <c r="X77" i="12" s="1"/>
  <c r="Y77" i="12" s="1"/>
  <c r="Q79" i="12"/>
  <c r="U79" i="12" s="1"/>
  <c r="AF79" i="12" s="1"/>
  <c r="N82" i="12"/>
  <c r="T82" i="12" s="1"/>
  <c r="X82" i="12" s="1"/>
  <c r="Y82" i="12" s="1"/>
  <c r="Q87" i="12"/>
  <c r="U87" i="12" s="1"/>
  <c r="AF87" i="12" s="1"/>
  <c r="N90" i="12"/>
  <c r="T90" i="12" s="1"/>
  <c r="X90" i="12" s="1"/>
  <c r="Y90" i="12" s="1"/>
  <c r="N93" i="12"/>
  <c r="T93" i="12" s="1"/>
  <c r="Q95" i="12"/>
  <c r="U95" i="12" s="1"/>
  <c r="AF95" i="12" s="1"/>
  <c r="N98" i="12"/>
  <c r="AE98" i="12" s="1"/>
  <c r="N101" i="12"/>
  <c r="T101" i="12" s="1"/>
  <c r="Q103" i="12"/>
  <c r="U103" i="12" s="1"/>
  <c r="AF103" i="12" s="1"/>
  <c r="P106" i="12"/>
  <c r="Q106" i="12" s="1"/>
  <c r="U106" i="12" s="1"/>
  <c r="AF106" i="12" s="1"/>
  <c r="Q107" i="12"/>
  <c r="U107" i="12" s="1"/>
  <c r="AF107" i="12" s="1"/>
  <c r="Q111" i="12"/>
  <c r="U111" i="12" s="1"/>
  <c r="AF111" i="12" s="1"/>
  <c r="Q112" i="12"/>
  <c r="U112" i="12" s="1"/>
  <c r="AF112" i="12" s="1"/>
  <c r="N114" i="12"/>
  <c r="N117" i="12"/>
  <c r="T117" i="12" s="1"/>
  <c r="P128" i="12"/>
  <c r="Q128" i="12" s="1"/>
  <c r="U128" i="12" s="1"/>
  <c r="AF128" i="12" s="1"/>
  <c r="N139" i="12"/>
  <c r="T139" i="12" s="1"/>
  <c r="X139" i="12" s="1"/>
  <c r="Y139" i="12" s="1"/>
  <c r="T143" i="12"/>
  <c r="P143" i="12"/>
  <c r="Q143" i="12" s="1"/>
  <c r="U143" i="12" s="1"/>
  <c r="AF143" i="12" s="1"/>
  <c r="N196" i="12"/>
  <c r="T196" i="12" s="1"/>
  <c r="X196" i="12" s="1"/>
  <c r="Y196" i="12" s="1"/>
  <c r="Q115" i="12"/>
  <c r="U115" i="12" s="1"/>
  <c r="AF115" i="12" s="1"/>
  <c r="Q123" i="12"/>
  <c r="U123" i="12" s="1"/>
  <c r="AF123" i="12" s="1"/>
  <c r="P177" i="12"/>
  <c r="Q177" i="12" s="1"/>
  <c r="U177" i="12" s="1"/>
  <c r="AF177" i="12" s="1"/>
  <c r="T193" i="12"/>
  <c r="X193" i="12" s="1"/>
  <c r="Y193" i="12" s="1"/>
  <c r="P193" i="12"/>
  <c r="Q193" i="12" s="1"/>
  <c r="U193" i="12" s="1"/>
  <c r="AF193" i="12" s="1"/>
  <c r="P204" i="12"/>
  <c r="N273" i="12"/>
  <c r="N269" i="12"/>
  <c r="AE269" i="12" s="1"/>
  <c r="N265" i="12"/>
  <c r="AE265" i="12" s="1"/>
  <c r="N261" i="12"/>
  <c r="T261" i="12" s="1"/>
  <c r="X261" i="12" s="1"/>
  <c r="Y261" i="12" s="1"/>
  <c r="N274" i="12"/>
  <c r="N270" i="12"/>
  <c r="T270" i="12" s="1"/>
  <c r="X270" i="12" s="1"/>
  <c r="Y270" i="12" s="1"/>
  <c r="N266" i="12"/>
  <c r="N275" i="12"/>
  <c r="T275" i="12" s="1"/>
  <c r="N271" i="12"/>
  <c r="T271" i="12" s="1"/>
  <c r="N267" i="12"/>
  <c r="T267" i="12" s="1"/>
  <c r="N262" i="12"/>
  <c r="T262" i="12" s="1"/>
  <c r="X262" i="12" s="1"/>
  <c r="Y262" i="12" s="1"/>
  <c r="N260" i="12"/>
  <c r="AE260" i="12" s="1"/>
  <c r="N263" i="12"/>
  <c r="T263" i="12" s="1"/>
  <c r="X263" i="12" s="1"/>
  <c r="Y263" i="12" s="1"/>
  <c r="N272" i="12"/>
  <c r="AE272" i="12" s="1"/>
  <c r="N268" i="12"/>
  <c r="AE268" i="12" s="1"/>
  <c r="N264" i="12"/>
  <c r="AE264" i="12" s="1"/>
  <c r="N88" i="12"/>
  <c r="T88" i="12" s="1"/>
  <c r="X88" i="12" s="1"/>
  <c r="Y88" i="12" s="1"/>
  <c r="N112" i="12"/>
  <c r="T112" i="12" s="1"/>
  <c r="X112" i="12" s="1"/>
  <c r="Y112" i="12" s="1"/>
  <c r="N108" i="12"/>
  <c r="T108" i="12" s="1"/>
  <c r="N104" i="12"/>
  <c r="T104" i="12" s="1"/>
  <c r="X104" i="12" s="1"/>
  <c r="Y104" i="12" s="1"/>
  <c r="N92" i="12"/>
  <c r="T92" i="12" s="1"/>
  <c r="X92" i="12" s="1"/>
  <c r="Y92" i="12" s="1"/>
  <c r="N96" i="12"/>
  <c r="T96" i="12" s="1"/>
  <c r="N100" i="12"/>
  <c r="T100" i="12" s="1"/>
  <c r="N107" i="12"/>
  <c r="T107" i="12" s="1"/>
  <c r="X107" i="12" s="1"/>
  <c r="Y107" i="12" s="1"/>
  <c r="T110" i="12"/>
  <c r="P110" i="12"/>
  <c r="Q110" i="12" s="1"/>
  <c r="U110" i="12" s="1"/>
  <c r="AF110" i="12" s="1"/>
  <c r="N243" i="12"/>
  <c r="T118" i="12"/>
  <c r="P118" i="12"/>
  <c r="Q118" i="12" s="1"/>
  <c r="U118" i="12" s="1"/>
  <c r="AF118" i="12" s="1"/>
  <c r="T126" i="12"/>
  <c r="P126" i="12"/>
  <c r="Q126" i="12" s="1"/>
  <c r="U126" i="12" s="1"/>
  <c r="AF126" i="12" s="1"/>
  <c r="Q131" i="12"/>
  <c r="U131" i="12" s="1"/>
  <c r="AF131" i="12" s="1"/>
  <c r="Q132" i="12"/>
  <c r="U132" i="12" s="1"/>
  <c r="AF132" i="12" s="1"/>
  <c r="T134" i="12"/>
  <c r="Q139" i="12"/>
  <c r="U139" i="12" s="1"/>
  <c r="AF139" i="12" s="1"/>
  <c r="Q140" i="12"/>
  <c r="U140" i="12" s="1"/>
  <c r="AF140" i="12" s="1"/>
  <c r="Q144" i="12"/>
  <c r="U144" i="12" s="1"/>
  <c r="AF144" i="12" s="1"/>
  <c r="Q148" i="12"/>
  <c r="U148" i="12" s="1"/>
  <c r="AF148" i="12" s="1"/>
  <c r="T150" i="12"/>
  <c r="Q154" i="12"/>
  <c r="U154" i="12" s="1"/>
  <c r="AF154" i="12" s="1"/>
  <c r="Q155" i="12"/>
  <c r="U155" i="12" s="1"/>
  <c r="AF155" i="12" s="1"/>
  <c r="T265" i="12"/>
  <c r="P265" i="12"/>
  <c r="N141" i="12"/>
  <c r="T141" i="12" s="1"/>
  <c r="X141" i="12" s="1"/>
  <c r="Y141" i="12" s="1"/>
  <c r="N145" i="12"/>
  <c r="T145" i="12" s="1"/>
  <c r="N149" i="12"/>
  <c r="T149" i="12" s="1"/>
  <c r="X149" i="12" s="1"/>
  <c r="Y149" i="12" s="1"/>
  <c r="N153" i="12"/>
  <c r="AE153" i="12" s="1"/>
  <c r="T154" i="12"/>
  <c r="X154" i="12" s="1"/>
  <c r="Y154" i="12" s="1"/>
  <c r="N156" i="12"/>
  <c r="T156" i="12" s="1"/>
  <c r="X156" i="12" s="1"/>
  <c r="Y156" i="12" s="1"/>
  <c r="Q158" i="12"/>
  <c r="U158" i="12" s="1"/>
  <c r="AF158" i="12" s="1"/>
  <c r="N161" i="12"/>
  <c r="T161" i="12" s="1"/>
  <c r="P165" i="12"/>
  <c r="Q165" i="12" s="1"/>
  <c r="U165" i="12" s="1"/>
  <c r="AF165" i="12" s="1"/>
  <c r="P173" i="12"/>
  <c r="Q173" i="12" s="1"/>
  <c r="U173" i="12" s="1"/>
  <c r="AF173" i="12" s="1"/>
  <c r="P181" i="12"/>
  <c r="Q181" i="12" s="1"/>
  <c r="U181" i="12" s="1"/>
  <c r="AF181" i="12" s="1"/>
  <c r="P189" i="12"/>
  <c r="Q189" i="12" s="1"/>
  <c r="U189" i="12" s="1"/>
  <c r="AF189" i="12" s="1"/>
  <c r="P197" i="12"/>
  <c r="Q197" i="12" s="1"/>
  <c r="U197" i="12" s="1"/>
  <c r="AF197" i="12" s="1"/>
  <c r="N297" i="12"/>
  <c r="AE297" i="12" s="1"/>
  <c r="N293" i="12"/>
  <c r="AE293" i="12" s="1"/>
  <c r="N281" i="12"/>
  <c r="AE281" i="12" s="1"/>
  <c r="N277" i="12"/>
  <c r="AE277" i="12" s="1"/>
  <c r="N298" i="12"/>
  <c r="N294" i="12"/>
  <c r="T294" i="12" s="1"/>
  <c r="X294" i="12" s="1"/>
  <c r="Y294" i="12" s="1"/>
  <c r="N282" i="12"/>
  <c r="N278" i="12"/>
  <c r="T278" i="12" s="1"/>
  <c r="X278" i="12" s="1"/>
  <c r="Y278" i="12" s="1"/>
  <c r="N299" i="12"/>
  <c r="T299" i="12" s="1"/>
  <c r="N295" i="12"/>
  <c r="T295" i="12" s="1"/>
  <c r="X295" i="12" s="1"/>
  <c r="Y295" i="12" s="1"/>
  <c r="N291" i="12"/>
  <c r="T291" i="12" s="1"/>
  <c r="X291" i="12" s="1"/>
  <c r="Y291" i="12" s="1"/>
  <c r="N283" i="12"/>
  <c r="T283" i="12" s="1"/>
  <c r="N279" i="12"/>
  <c r="T279" i="12" s="1"/>
  <c r="X279" i="12" s="1"/>
  <c r="Y279" i="12" s="1"/>
  <c r="N300" i="12"/>
  <c r="T300" i="12" s="1"/>
  <c r="X300" i="12" s="1"/>
  <c r="Y300" i="12" s="1"/>
  <c r="N208" i="12"/>
  <c r="AE208" i="12" s="1"/>
  <c r="N204" i="12"/>
  <c r="T204" i="12" s="1"/>
  <c r="N205" i="12"/>
  <c r="T205" i="12" s="1"/>
  <c r="X205" i="12" s="1"/>
  <c r="Y205" i="12" s="1"/>
  <c r="N242" i="12"/>
  <c r="N296" i="12"/>
  <c r="AE296" i="12" s="1"/>
  <c r="N292" i="12"/>
  <c r="AE292" i="12" s="1"/>
  <c r="N280" i="12"/>
  <c r="AE280" i="12" s="1"/>
  <c r="N276" i="12"/>
  <c r="T276" i="12" s="1"/>
  <c r="X276" i="12" s="1"/>
  <c r="Y276" i="12" s="1"/>
  <c r="N201" i="12"/>
  <c r="N197" i="12"/>
  <c r="T197" i="12" s="1"/>
  <c r="X197" i="12" s="1"/>
  <c r="Y197" i="12" s="1"/>
  <c r="N193" i="12"/>
  <c r="AE193" i="12" s="1"/>
  <c r="N189" i="12"/>
  <c r="T189" i="12" s="1"/>
  <c r="X189" i="12" s="1"/>
  <c r="Y189" i="12" s="1"/>
  <c r="N185" i="12"/>
  <c r="T185" i="12" s="1"/>
  <c r="N181" i="12"/>
  <c r="T181" i="12" s="1"/>
  <c r="N177" i="12"/>
  <c r="T177" i="12" s="1"/>
  <c r="X177" i="12" s="1"/>
  <c r="Y177" i="12" s="1"/>
  <c r="N173" i="12"/>
  <c r="T173" i="12" s="1"/>
  <c r="X173" i="12" s="1"/>
  <c r="Y173" i="12" s="1"/>
  <c r="N169" i="12"/>
  <c r="T169" i="12" s="1"/>
  <c r="X169" i="12" s="1"/>
  <c r="Y169" i="12" s="1"/>
  <c r="N165" i="12"/>
  <c r="T165" i="12" s="1"/>
  <c r="X165" i="12" s="1"/>
  <c r="Y165" i="12" s="1"/>
  <c r="N202" i="12"/>
  <c r="T202" i="12" s="1"/>
  <c r="X202" i="12" s="1"/>
  <c r="Y202" i="12" s="1"/>
  <c r="N198" i="12"/>
  <c r="T198" i="12" s="1"/>
  <c r="X198" i="12" s="1"/>
  <c r="Y198" i="12" s="1"/>
  <c r="N194" i="12"/>
  <c r="T194" i="12" s="1"/>
  <c r="X194" i="12" s="1"/>
  <c r="Y194" i="12" s="1"/>
  <c r="N190" i="12"/>
  <c r="T190" i="12" s="1"/>
  <c r="N186" i="12"/>
  <c r="N182" i="12"/>
  <c r="T182" i="12" s="1"/>
  <c r="X182" i="12" s="1"/>
  <c r="Y182" i="12" s="1"/>
  <c r="N178" i="12"/>
  <c r="N174" i="12"/>
  <c r="T174" i="12" s="1"/>
  <c r="N170" i="12"/>
  <c r="T170" i="12" s="1"/>
  <c r="X170" i="12" s="1"/>
  <c r="Y170" i="12" s="1"/>
  <c r="N166" i="12"/>
  <c r="T166" i="12" s="1"/>
  <c r="X166" i="12" s="1"/>
  <c r="Y166" i="12" s="1"/>
  <c r="N162" i="12"/>
  <c r="T162" i="12" s="1"/>
  <c r="X162" i="12" s="1"/>
  <c r="Y162" i="12" s="1"/>
  <c r="N206" i="12"/>
  <c r="T206" i="12" s="1"/>
  <c r="X206" i="12" s="1"/>
  <c r="Y206" i="12" s="1"/>
  <c r="N203" i="12"/>
  <c r="T203" i="12" s="1"/>
  <c r="X203" i="12" s="1"/>
  <c r="Y203" i="12" s="1"/>
  <c r="N199" i="12"/>
  <c r="T199" i="12" s="1"/>
  <c r="X199" i="12" s="1"/>
  <c r="Y199" i="12" s="1"/>
  <c r="N195" i="12"/>
  <c r="T195" i="12" s="1"/>
  <c r="X195" i="12" s="1"/>
  <c r="Y195" i="12" s="1"/>
  <c r="N191" i="12"/>
  <c r="T191" i="12" s="1"/>
  <c r="X191" i="12" s="1"/>
  <c r="Y191" i="12" s="1"/>
  <c r="N187" i="12"/>
  <c r="T187" i="12" s="1"/>
  <c r="X187" i="12" s="1"/>
  <c r="Y187" i="12" s="1"/>
  <c r="N183" i="12"/>
  <c r="T183" i="12" s="1"/>
  <c r="N179" i="12"/>
  <c r="T179" i="12" s="1"/>
  <c r="X179" i="12" s="1"/>
  <c r="Y179" i="12" s="1"/>
  <c r="N175" i="12"/>
  <c r="T175" i="12" s="1"/>
  <c r="X175" i="12" s="1"/>
  <c r="Y175" i="12" s="1"/>
  <c r="N171" i="12"/>
  <c r="T171" i="12" s="1"/>
  <c r="X171" i="12" s="1"/>
  <c r="Y171" i="12" s="1"/>
  <c r="N167" i="12"/>
  <c r="T167" i="12" s="1"/>
  <c r="N163" i="12"/>
  <c r="T163" i="12" s="1"/>
  <c r="X163" i="12" s="1"/>
  <c r="Y163" i="12" s="1"/>
  <c r="N159" i="12"/>
  <c r="T159" i="12" s="1"/>
  <c r="X159" i="12" s="1"/>
  <c r="Y159" i="12" s="1"/>
  <c r="N155" i="12"/>
  <c r="T155" i="12" s="1"/>
  <c r="X155" i="12" s="1"/>
  <c r="Y155" i="12" s="1"/>
  <c r="N151" i="12"/>
  <c r="T151" i="12" s="1"/>
  <c r="X151" i="12" s="1"/>
  <c r="Y151" i="12" s="1"/>
  <c r="N116" i="12"/>
  <c r="T116" i="12" s="1"/>
  <c r="X116" i="12" s="1"/>
  <c r="Y116" i="12" s="1"/>
  <c r="N120" i="12"/>
  <c r="T120" i="12" s="1"/>
  <c r="N124" i="12"/>
  <c r="T124" i="12" s="1"/>
  <c r="X124" i="12" s="1"/>
  <c r="Y124" i="12" s="1"/>
  <c r="N128" i="12"/>
  <c r="T128" i="12" s="1"/>
  <c r="P130" i="12"/>
  <c r="Q130" i="12" s="1"/>
  <c r="U130" i="12" s="1"/>
  <c r="AF130" i="12" s="1"/>
  <c r="N132" i="12"/>
  <c r="T132" i="12" s="1"/>
  <c r="P134" i="12"/>
  <c r="Q134" i="12" s="1"/>
  <c r="U134" i="12" s="1"/>
  <c r="AF134" i="12" s="1"/>
  <c r="N136" i="12"/>
  <c r="T136" i="12" s="1"/>
  <c r="P138" i="12"/>
  <c r="Q138" i="12" s="1"/>
  <c r="U138" i="12" s="1"/>
  <c r="AF138" i="12" s="1"/>
  <c r="N140" i="12"/>
  <c r="T140" i="12" s="1"/>
  <c r="P142" i="12"/>
  <c r="Q142" i="12" s="1"/>
  <c r="U142" i="12" s="1"/>
  <c r="AF142" i="12" s="1"/>
  <c r="N144" i="12"/>
  <c r="T144" i="12" s="1"/>
  <c r="X144" i="12" s="1"/>
  <c r="Y144" i="12" s="1"/>
  <c r="P146" i="12"/>
  <c r="Q146" i="12" s="1"/>
  <c r="U146" i="12" s="1"/>
  <c r="AF146" i="12" s="1"/>
  <c r="N148" i="12"/>
  <c r="T148" i="12" s="1"/>
  <c r="P150" i="12"/>
  <c r="Q150" i="12" s="1"/>
  <c r="U150" i="12" s="1"/>
  <c r="AF150" i="12" s="1"/>
  <c r="T153" i="12"/>
  <c r="X153" i="12" s="1"/>
  <c r="Y153" i="12" s="1"/>
  <c r="P153" i="12"/>
  <c r="Q153" i="12" s="1"/>
  <c r="U153" i="12" s="1"/>
  <c r="AF153" i="12" s="1"/>
  <c r="N158" i="12"/>
  <c r="T158" i="12" s="1"/>
  <c r="P161" i="12"/>
  <c r="Q161" i="12" s="1"/>
  <c r="U161" i="12" s="1"/>
  <c r="AF161" i="12" s="1"/>
  <c r="N164" i="12"/>
  <c r="T164" i="12" s="1"/>
  <c r="Q166" i="12"/>
  <c r="U166" i="12" s="1"/>
  <c r="AF166" i="12" s="1"/>
  <c r="N168" i="12"/>
  <c r="T168" i="12" s="1"/>
  <c r="X168" i="12" s="1"/>
  <c r="Y168" i="12" s="1"/>
  <c r="Q174" i="12"/>
  <c r="U174" i="12" s="1"/>
  <c r="AF174" i="12" s="1"/>
  <c r="N176" i="12"/>
  <c r="T176" i="12" s="1"/>
  <c r="X176" i="12" s="1"/>
  <c r="Y176" i="12" s="1"/>
  <c r="Q182" i="12"/>
  <c r="U182" i="12" s="1"/>
  <c r="AF182" i="12" s="1"/>
  <c r="N184" i="12"/>
  <c r="T184" i="12" s="1"/>
  <c r="X184" i="12" s="1"/>
  <c r="Y184" i="12" s="1"/>
  <c r="Q190" i="12"/>
  <c r="U190" i="12" s="1"/>
  <c r="AF190" i="12" s="1"/>
  <c r="N192" i="12"/>
  <c r="T192" i="12" s="1"/>
  <c r="X192" i="12" s="1"/>
  <c r="Y192" i="12" s="1"/>
  <c r="Q198" i="12"/>
  <c r="U198" i="12" s="1"/>
  <c r="AF198" i="12" s="1"/>
  <c r="N200" i="12"/>
  <c r="T200" i="12" s="1"/>
  <c r="X200" i="12" s="1"/>
  <c r="Y200" i="12" s="1"/>
  <c r="Q204" i="12"/>
  <c r="U204" i="12" s="1"/>
  <c r="AF204" i="12" s="1"/>
  <c r="P232" i="12"/>
  <c r="Q232" i="12" s="1"/>
  <c r="U232" i="12" s="1"/>
  <c r="AF232" i="12" s="1"/>
  <c r="T207" i="12"/>
  <c r="T211" i="12"/>
  <c r="X211" i="12" s="1"/>
  <c r="Y211" i="12" s="1"/>
  <c r="T215" i="12"/>
  <c r="T219" i="12"/>
  <c r="T223" i="12"/>
  <c r="T227" i="12"/>
  <c r="X227" i="12" s="1"/>
  <c r="Y227" i="12" s="1"/>
  <c r="N231" i="12"/>
  <c r="T231" i="12" s="1"/>
  <c r="X231" i="12" s="1"/>
  <c r="Y231" i="12" s="1"/>
  <c r="Q233" i="12"/>
  <c r="U233" i="12" s="1"/>
  <c r="AF233" i="12" s="1"/>
  <c r="P236" i="12"/>
  <c r="Q236" i="12" s="1"/>
  <c r="U236" i="12" s="1"/>
  <c r="AF236" i="12" s="1"/>
  <c r="T243" i="12"/>
  <c r="T247" i="12"/>
  <c r="T251" i="12"/>
  <c r="X251" i="12" s="1"/>
  <c r="Y251" i="12" s="1"/>
  <c r="T255" i="12"/>
  <c r="T259" i="12"/>
  <c r="N241" i="12"/>
  <c r="T241" i="12" s="1"/>
  <c r="X241" i="12" s="1"/>
  <c r="Y241" i="12" s="1"/>
  <c r="Q216" i="12"/>
  <c r="U216" i="12" s="1"/>
  <c r="AF216" i="12" s="1"/>
  <c r="Q237" i="12"/>
  <c r="U237" i="12" s="1"/>
  <c r="AF237" i="12" s="1"/>
  <c r="P240" i="12"/>
  <c r="Q240" i="12" s="1"/>
  <c r="U240" i="12" s="1"/>
  <c r="AF240" i="12" s="1"/>
  <c r="T208" i="12"/>
  <c r="P208" i="12"/>
  <c r="Q208" i="12" s="1"/>
  <c r="U208" i="12" s="1"/>
  <c r="AF208" i="12" s="1"/>
  <c r="N209" i="12"/>
  <c r="T209" i="12" s="1"/>
  <c r="X209" i="12" s="1"/>
  <c r="Y209" i="12" s="1"/>
  <c r="P212" i="12"/>
  <c r="Q212" i="12" s="1"/>
  <c r="U212" i="12" s="1"/>
  <c r="AF212" i="12" s="1"/>
  <c r="N210" i="12"/>
  <c r="T210" i="12" s="1"/>
  <c r="P216" i="12"/>
  <c r="P220" i="12"/>
  <c r="Q220" i="12" s="1"/>
  <c r="U220" i="12" s="1"/>
  <c r="AF220" i="12" s="1"/>
  <c r="T224" i="12"/>
  <c r="P224" i="12"/>
  <c r="Q224" i="12" s="1"/>
  <c r="U224" i="12" s="1"/>
  <c r="AF224" i="12" s="1"/>
  <c r="P228" i="12"/>
  <c r="Q228" i="12" s="1"/>
  <c r="U228" i="12" s="1"/>
  <c r="AF228" i="12" s="1"/>
  <c r="T235" i="12"/>
  <c r="N239" i="12"/>
  <c r="T239" i="12" s="1"/>
  <c r="T244" i="12"/>
  <c r="P244" i="12"/>
  <c r="Q244" i="12" s="1"/>
  <c r="U244" i="12" s="1"/>
  <c r="AF244" i="12" s="1"/>
  <c r="P248" i="12"/>
  <c r="Q248" i="12" s="1"/>
  <c r="U248" i="12" s="1"/>
  <c r="AF248" i="12" s="1"/>
  <c r="T252" i="12"/>
  <c r="P252" i="12"/>
  <c r="Q252" i="12" s="1"/>
  <c r="U252" i="12" s="1"/>
  <c r="AF252" i="12" s="1"/>
  <c r="T256" i="12"/>
  <c r="P256" i="12"/>
  <c r="Q256" i="12" s="1"/>
  <c r="U256" i="12" s="1"/>
  <c r="AF256" i="12" s="1"/>
  <c r="T260" i="12"/>
  <c r="Q265" i="12"/>
  <c r="U265" i="12" s="1"/>
  <c r="AF265" i="12" s="1"/>
  <c r="N284" i="12"/>
  <c r="T284" i="12" s="1"/>
  <c r="N288" i="12"/>
  <c r="T288" i="12" s="1"/>
  <c r="N214" i="12"/>
  <c r="T214" i="12" s="1"/>
  <c r="X214" i="12" s="1"/>
  <c r="Y214" i="12" s="1"/>
  <c r="N218" i="12"/>
  <c r="T218" i="12" s="1"/>
  <c r="X218" i="12" s="1"/>
  <c r="Y218" i="12" s="1"/>
  <c r="N222" i="12"/>
  <c r="T222" i="12" s="1"/>
  <c r="X222" i="12" s="1"/>
  <c r="Y222" i="12" s="1"/>
  <c r="N226" i="12"/>
  <c r="T226" i="12" s="1"/>
  <c r="X226" i="12" s="1"/>
  <c r="Y226" i="12" s="1"/>
  <c r="N230" i="12"/>
  <c r="T230" i="12" s="1"/>
  <c r="X230" i="12" s="1"/>
  <c r="Y230" i="12" s="1"/>
  <c r="N234" i="12"/>
  <c r="T234" i="12" s="1"/>
  <c r="X234" i="12" s="1"/>
  <c r="Y234" i="12" s="1"/>
  <c r="N238" i="12"/>
  <c r="T238" i="12" s="1"/>
  <c r="X238" i="12" s="1"/>
  <c r="Y238" i="12" s="1"/>
  <c r="Q260" i="12"/>
  <c r="U260" i="12" s="1"/>
  <c r="AF260" i="12" s="1"/>
  <c r="T264" i="12"/>
  <c r="T268" i="12"/>
  <c r="T280" i="12"/>
  <c r="T292" i="12"/>
  <c r="T296" i="12"/>
  <c r="P207" i="12"/>
  <c r="Q207" i="12" s="1"/>
  <c r="U207" i="12" s="1"/>
  <c r="AF207" i="12" s="1"/>
  <c r="P211" i="12"/>
  <c r="Q211" i="12" s="1"/>
  <c r="U211" i="12" s="1"/>
  <c r="AF211" i="12" s="1"/>
  <c r="N213" i="12"/>
  <c r="T213" i="12" s="1"/>
  <c r="X213" i="12" s="1"/>
  <c r="Y213" i="12" s="1"/>
  <c r="P215" i="12"/>
  <c r="Q215" i="12" s="1"/>
  <c r="U215" i="12" s="1"/>
  <c r="AF215" i="12" s="1"/>
  <c r="N217" i="12"/>
  <c r="T217" i="12" s="1"/>
  <c r="X217" i="12" s="1"/>
  <c r="Y217" i="12" s="1"/>
  <c r="P219" i="12"/>
  <c r="Q219" i="12" s="1"/>
  <c r="U219" i="12" s="1"/>
  <c r="AF219" i="12" s="1"/>
  <c r="N221" i="12"/>
  <c r="T221" i="12" s="1"/>
  <c r="X221" i="12" s="1"/>
  <c r="Y221" i="12" s="1"/>
  <c r="P223" i="12"/>
  <c r="Q223" i="12" s="1"/>
  <c r="U223" i="12" s="1"/>
  <c r="AF223" i="12" s="1"/>
  <c r="N225" i="12"/>
  <c r="T225" i="12" s="1"/>
  <c r="X225" i="12" s="1"/>
  <c r="Y225" i="12" s="1"/>
  <c r="P227" i="12"/>
  <c r="Q227" i="12" s="1"/>
  <c r="U227" i="12" s="1"/>
  <c r="AF227" i="12" s="1"/>
  <c r="N229" i="12"/>
  <c r="T229" i="12" s="1"/>
  <c r="X229" i="12" s="1"/>
  <c r="Y229" i="12" s="1"/>
  <c r="P231" i="12"/>
  <c r="Q231" i="12" s="1"/>
  <c r="U231" i="12" s="1"/>
  <c r="AF231" i="12" s="1"/>
  <c r="N233" i="12"/>
  <c r="P235" i="12"/>
  <c r="Q235" i="12" s="1"/>
  <c r="U235" i="12" s="1"/>
  <c r="AF235" i="12" s="1"/>
  <c r="N237" i="12"/>
  <c r="T237" i="12" s="1"/>
  <c r="P239" i="12"/>
  <c r="Q239" i="12" s="1"/>
  <c r="U239" i="12" s="1"/>
  <c r="AF239" i="12" s="1"/>
  <c r="P243" i="12"/>
  <c r="Q243" i="12" s="1"/>
  <c r="U243" i="12" s="1"/>
  <c r="AF243" i="12" s="1"/>
  <c r="P247" i="12"/>
  <c r="Q247" i="12" s="1"/>
  <c r="U247" i="12" s="1"/>
  <c r="AF247" i="12" s="1"/>
  <c r="P251" i="12"/>
  <c r="Q251" i="12" s="1"/>
  <c r="U251" i="12" s="1"/>
  <c r="AF251" i="12" s="1"/>
  <c r="P255" i="12"/>
  <c r="Q255" i="12" s="1"/>
  <c r="U255" i="12" s="1"/>
  <c r="AF255" i="12" s="1"/>
  <c r="P259" i="12"/>
  <c r="Q259" i="12" s="1"/>
  <c r="U259" i="12" s="1"/>
  <c r="AF259" i="12" s="1"/>
  <c r="P263" i="12"/>
  <c r="Q263" i="12" s="1"/>
  <c r="U263" i="12" s="1"/>
  <c r="AF263" i="12" s="1"/>
  <c r="Q281" i="12"/>
  <c r="U281" i="12" s="1"/>
  <c r="AF281" i="12" s="1"/>
  <c r="Q293" i="12"/>
  <c r="U293" i="12" s="1"/>
  <c r="AF293" i="12" s="1"/>
  <c r="N289" i="12"/>
  <c r="AE289" i="12" s="1"/>
  <c r="N285" i="12"/>
  <c r="AE285" i="12" s="1"/>
  <c r="N290" i="12"/>
  <c r="N286" i="12"/>
  <c r="T286" i="12" s="1"/>
  <c r="X286" i="12" s="1"/>
  <c r="Y286" i="12" s="1"/>
  <c r="N287" i="12"/>
  <c r="T287" i="12" s="1"/>
  <c r="N212" i="12"/>
  <c r="T212" i="12" s="1"/>
  <c r="N216" i="12"/>
  <c r="N220" i="12"/>
  <c r="T220" i="12" s="1"/>
  <c r="N224" i="12"/>
  <c r="AE224" i="12" s="1"/>
  <c r="N228" i="12"/>
  <c r="T228" i="12" s="1"/>
  <c r="X228" i="12" s="1"/>
  <c r="Y228" i="12" s="1"/>
  <c r="N232" i="12"/>
  <c r="N236" i="12"/>
  <c r="T236" i="12" s="1"/>
  <c r="X236" i="12" s="1"/>
  <c r="Y236" i="12" s="1"/>
  <c r="N240" i="12"/>
  <c r="T240" i="12" s="1"/>
  <c r="Q264" i="12"/>
  <c r="U264" i="12" s="1"/>
  <c r="AF264" i="12" s="1"/>
  <c r="T269" i="12"/>
  <c r="P269" i="12"/>
  <c r="Q269" i="12" s="1"/>
  <c r="U269" i="12" s="1"/>
  <c r="AF269" i="12" s="1"/>
  <c r="P273" i="12"/>
  <c r="Q273" i="12" s="1"/>
  <c r="U273" i="12" s="1"/>
  <c r="AF273" i="12" s="1"/>
  <c r="T277" i="12"/>
  <c r="P277" i="12"/>
  <c r="Q277" i="12" s="1"/>
  <c r="U277" i="12" s="1"/>
  <c r="AF277" i="12" s="1"/>
  <c r="T281" i="12"/>
  <c r="P281" i="12"/>
  <c r="T285" i="12"/>
  <c r="P285" i="12"/>
  <c r="Q285" i="12" s="1"/>
  <c r="U285" i="12" s="1"/>
  <c r="AF285" i="12" s="1"/>
  <c r="P289" i="12"/>
  <c r="Q289" i="12" s="1"/>
  <c r="U289" i="12" s="1"/>
  <c r="AF289" i="12" s="1"/>
  <c r="P293" i="12"/>
  <c r="P297" i="12"/>
  <c r="Q297" i="12" s="1"/>
  <c r="U297" i="12" s="1"/>
  <c r="AF297" i="12" s="1"/>
  <c r="P268" i="12"/>
  <c r="Q268" i="12" s="1"/>
  <c r="U268" i="12" s="1"/>
  <c r="AF268" i="12" s="1"/>
  <c r="P272" i="12"/>
  <c r="Q272" i="12" s="1"/>
  <c r="U272" i="12" s="1"/>
  <c r="AF272" i="12" s="1"/>
  <c r="P276" i="12"/>
  <c r="Q276" i="12" s="1"/>
  <c r="U276" i="12" s="1"/>
  <c r="AF276" i="12" s="1"/>
  <c r="P280" i="12"/>
  <c r="Q280" i="12" s="1"/>
  <c r="U280" i="12" s="1"/>
  <c r="AF280" i="12" s="1"/>
  <c r="P284" i="12"/>
  <c r="Q284" i="12" s="1"/>
  <c r="U284" i="12" s="1"/>
  <c r="AF284" i="12" s="1"/>
  <c r="P288" i="12"/>
  <c r="Q288" i="12" s="1"/>
  <c r="U288" i="12" s="1"/>
  <c r="AF288" i="12" s="1"/>
  <c r="P292" i="12"/>
  <c r="Q292" i="12" s="1"/>
  <c r="U292" i="12" s="1"/>
  <c r="AF292" i="12" s="1"/>
  <c r="P296" i="12"/>
  <c r="Q296" i="12" s="1"/>
  <c r="U296" i="12" s="1"/>
  <c r="AF296" i="12" s="1"/>
  <c r="W31" i="11"/>
  <c r="X31" i="11" s="1"/>
  <c r="W25" i="11"/>
  <c r="X25" i="11" s="1"/>
  <c r="W24" i="11"/>
  <c r="X24" i="11" s="1"/>
  <c r="M292" i="11"/>
  <c r="S292" i="11" s="1"/>
  <c r="M276" i="11"/>
  <c r="S276" i="11" s="1"/>
  <c r="M260" i="11"/>
  <c r="S260" i="11" s="1"/>
  <c r="M244" i="11"/>
  <c r="S244" i="11" s="1"/>
  <c r="M228" i="11"/>
  <c r="S228" i="11" s="1"/>
  <c r="M212" i="11"/>
  <c r="S212" i="11" s="1"/>
  <c r="M288" i="11"/>
  <c r="S288" i="11" s="1"/>
  <c r="M272" i="11"/>
  <c r="S272" i="11" s="1"/>
  <c r="M256" i="11"/>
  <c r="S256" i="11" s="1"/>
  <c r="M240" i="11"/>
  <c r="S240" i="11" s="1"/>
  <c r="M224" i="11"/>
  <c r="S224" i="11" s="1"/>
  <c r="M208" i="11"/>
  <c r="S208" i="11" s="1"/>
  <c r="M284" i="11"/>
  <c r="S284" i="11" s="1"/>
  <c r="M236" i="11"/>
  <c r="S236" i="11" s="1"/>
  <c r="M5" i="11"/>
  <c r="S5" i="11" s="1"/>
  <c r="M9" i="11"/>
  <c r="S9" i="11" s="1"/>
  <c r="M13" i="11"/>
  <c r="S13" i="11" s="1"/>
  <c r="M17" i="11"/>
  <c r="S17" i="11" s="1"/>
  <c r="M21" i="11"/>
  <c r="S21" i="11" s="1"/>
  <c r="M25" i="11"/>
  <c r="S25" i="11" s="1"/>
  <c r="M29" i="11"/>
  <c r="S29" i="11" s="1"/>
  <c r="W29" i="11" s="1"/>
  <c r="X29" i="11" s="1"/>
  <c r="M33" i="11"/>
  <c r="S33" i="11" s="1"/>
  <c r="W33" i="11" s="1"/>
  <c r="X33" i="11" s="1"/>
  <c r="M37" i="11"/>
  <c r="S37" i="11" s="1"/>
  <c r="M41" i="11"/>
  <c r="S41" i="11" s="1"/>
  <c r="M45" i="11"/>
  <c r="S45" i="11" s="1"/>
  <c r="M49" i="11"/>
  <c r="S49" i="11" s="1"/>
  <c r="M53" i="11"/>
  <c r="S53" i="11" s="1"/>
  <c r="M57" i="11"/>
  <c r="S57" i="11" s="1"/>
  <c r="M61" i="11"/>
  <c r="S61" i="11" s="1"/>
  <c r="M65" i="11"/>
  <c r="S65" i="11" s="1"/>
  <c r="M69" i="11"/>
  <c r="S69" i="11" s="1"/>
  <c r="M73" i="11"/>
  <c r="S73" i="11" s="1"/>
  <c r="M77" i="11"/>
  <c r="S77" i="11" s="1"/>
  <c r="M81" i="11"/>
  <c r="S81" i="11" s="1"/>
  <c r="M245" i="11"/>
  <c r="S245" i="11" s="1"/>
  <c r="M249" i="11"/>
  <c r="S249" i="11" s="1"/>
  <c r="M253" i="11"/>
  <c r="S253" i="11" s="1"/>
  <c r="M257" i="11"/>
  <c r="S257" i="11" s="1"/>
  <c r="M2" i="11"/>
  <c r="S2" i="11" s="1"/>
  <c r="M6" i="11"/>
  <c r="S6" i="11" s="1"/>
  <c r="M10" i="11"/>
  <c r="S10" i="11" s="1"/>
  <c r="M14" i="11"/>
  <c r="S14" i="11" s="1"/>
  <c r="M18" i="11"/>
  <c r="S18" i="11" s="1"/>
  <c r="M22" i="11"/>
  <c r="S22" i="11" s="1"/>
  <c r="M26" i="11"/>
  <c r="S26" i="11" s="1"/>
  <c r="W26" i="11" s="1"/>
  <c r="X26" i="11" s="1"/>
  <c r="M30" i="11"/>
  <c r="S30" i="11" s="1"/>
  <c r="W30" i="11" s="1"/>
  <c r="X30" i="11" s="1"/>
  <c r="M34" i="11"/>
  <c r="S34" i="11" s="1"/>
  <c r="M38" i="11"/>
  <c r="S38" i="11" s="1"/>
  <c r="M42" i="11"/>
  <c r="S42" i="11" s="1"/>
  <c r="M46" i="11"/>
  <c r="S46" i="11" s="1"/>
  <c r="M50" i="11"/>
  <c r="S50" i="11" s="1"/>
  <c r="M54" i="11"/>
  <c r="S54" i="11" s="1"/>
  <c r="M58" i="11"/>
  <c r="S58" i="11" s="1"/>
  <c r="M62" i="11"/>
  <c r="S62" i="11" s="1"/>
  <c r="M66" i="11"/>
  <c r="S66" i="11" s="1"/>
  <c r="M70" i="11"/>
  <c r="S70" i="11" s="1"/>
  <c r="M74" i="11"/>
  <c r="S74" i="11" s="1"/>
  <c r="M78" i="11"/>
  <c r="S78" i="11" s="1"/>
  <c r="M82" i="11"/>
  <c r="S82" i="11" s="1"/>
  <c r="M246" i="11"/>
  <c r="S246" i="11" s="1"/>
  <c r="M250" i="11"/>
  <c r="S250" i="11" s="1"/>
  <c r="M254" i="11"/>
  <c r="S254" i="11" s="1"/>
  <c r="M258" i="11"/>
  <c r="S258" i="11" s="1"/>
  <c r="M3" i="11"/>
  <c r="S3" i="11" s="1"/>
  <c r="M7" i="11"/>
  <c r="S7" i="11" s="1"/>
  <c r="M11" i="11"/>
  <c r="S11" i="11" s="1"/>
  <c r="M15" i="11"/>
  <c r="S15" i="11" s="1"/>
  <c r="M19" i="11"/>
  <c r="S19" i="11" s="1"/>
  <c r="M23" i="11"/>
  <c r="S23" i="11" s="1"/>
  <c r="M27" i="11"/>
  <c r="S27" i="11" s="1"/>
  <c r="W27" i="11" s="1"/>
  <c r="X27" i="11" s="1"/>
  <c r="M31" i="11"/>
  <c r="S31" i="11" s="1"/>
  <c r="M35" i="11"/>
  <c r="S35" i="11" s="1"/>
  <c r="M39" i="11"/>
  <c r="S39" i="11" s="1"/>
  <c r="M43" i="11"/>
  <c r="S43" i="11" s="1"/>
  <c r="M47" i="11"/>
  <c r="S47" i="11" s="1"/>
  <c r="M51" i="11"/>
  <c r="S51" i="11" s="1"/>
  <c r="M55" i="11"/>
  <c r="S55" i="11" s="1"/>
  <c r="M59" i="11"/>
  <c r="S59" i="11" s="1"/>
  <c r="M63" i="11"/>
  <c r="S63" i="11" s="1"/>
  <c r="M67" i="11"/>
  <c r="S67" i="11" s="1"/>
  <c r="M71" i="11"/>
  <c r="S71" i="11" s="1"/>
  <c r="M75" i="11"/>
  <c r="S75" i="11" s="1"/>
  <c r="M79" i="11"/>
  <c r="S79" i="11" s="1"/>
  <c r="M83" i="11"/>
  <c r="S83" i="11" s="1"/>
  <c r="M247" i="11"/>
  <c r="S247" i="11" s="1"/>
  <c r="M251" i="11"/>
  <c r="S251" i="11" s="1"/>
  <c r="M255" i="11"/>
  <c r="S255" i="11" s="1"/>
  <c r="M259" i="11"/>
  <c r="S259" i="11" s="1"/>
  <c r="M4" i="11"/>
  <c r="S4" i="11" s="1"/>
  <c r="M8" i="11"/>
  <c r="S8" i="11" s="1"/>
  <c r="M12" i="11"/>
  <c r="S12" i="11" s="1"/>
  <c r="M16" i="11"/>
  <c r="S16" i="11" s="1"/>
  <c r="M20" i="11"/>
  <c r="S20" i="11" s="1"/>
  <c r="M24" i="11"/>
  <c r="S24" i="11" s="1"/>
  <c r="M28" i="11"/>
  <c r="S28" i="11" s="1"/>
  <c r="W28" i="11" s="1"/>
  <c r="X28" i="11" s="1"/>
  <c r="M32" i="11"/>
  <c r="S32" i="11" s="1"/>
  <c r="W32" i="11" s="1"/>
  <c r="X32" i="11" s="1"/>
  <c r="M36" i="11"/>
  <c r="S36" i="11" s="1"/>
  <c r="M40" i="11"/>
  <c r="S40" i="11" s="1"/>
  <c r="M44" i="11"/>
  <c r="S44" i="11" s="1"/>
  <c r="M48" i="11"/>
  <c r="S48" i="11" s="1"/>
  <c r="M52" i="11"/>
  <c r="S52" i="11" s="1"/>
  <c r="M56" i="11"/>
  <c r="S56" i="11" s="1"/>
  <c r="M60" i="11"/>
  <c r="S60" i="11" s="1"/>
  <c r="M64" i="11"/>
  <c r="S64" i="11" s="1"/>
  <c r="M68" i="11"/>
  <c r="S68" i="11" s="1"/>
  <c r="M72" i="11"/>
  <c r="S72" i="11" s="1"/>
  <c r="M76" i="11"/>
  <c r="S76" i="11" s="1"/>
  <c r="M80" i="11"/>
  <c r="S80" i="11" s="1"/>
  <c r="M84" i="11"/>
  <c r="S84" i="11" s="1"/>
  <c r="M209" i="11"/>
  <c r="S209" i="11" s="1"/>
  <c r="M213" i="11"/>
  <c r="S213" i="11" s="1"/>
  <c r="M217" i="11"/>
  <c r="S217" i="11" s="1"/>
  <c r="M221" i="11"/>
  <c r="S221" i="11" s="1"/>
  <c r="M225" i="11"/>
  <c r="S225" i="11" s="1"/>
  <c r="M229" i="11"/>
  <c r="S229" i="11" s="1"/>
  <c r="M233" i="11"/>
  <c r="S233" i="11" s="1"/>
  <c r="M237" i="11"/>
  <c r="S237" i="11" s="1"/>
  <c r="M241" i="11"/>
  <c r="S241" i="11" s="1"/>
  <c r="M285" i="11"/>
  <c r="S285" i="11" s="1"/>
  <c r="M289" i="11"/>
  <c r="S289" i="11" s="1"/>
  <c r="M210" i="11"/>
  <c r="S210" i="11" s="1"/>
  <c r="M214" i="11"/>
  <c r="S214" i="11" s="1"/>
  <c r="M218" i="11"/>
  <c r="S218" i="11" s="1"/>
  <c r="M222" i="11"/>
  <c r="S222" i="11" s="1"/>
  <c r="M226" i="11"/>
  <c r="S226" i="11" s="1"/>
  <c r="M230" i="11"/>
  <c r="S230" i="11" s="1"/>
  <c r="M234" i="11"/>
  <c r="S234" i="11" s="1"/>
  <c r="M238" i="11"/>
  <c r="S238" i="11" s="1"/>
  <c r="M286" i="11"/>
  <c r="S286" i="11" s="1"/>
  <c r="M290" i="11"/>
  <c r="S290" i="11" s="1"/>
  <c r="M211" i="11"/>
  <c r="S211" i="11" s="1"/>
  <c r="M215" i="11"/>
  <c r="S215" i="11" s="1"/>
  <c r="M219" i="11"/>
  <c r="S219" i="11" s="1"/>
  <c r="M223" i="11"/>
  <c r="S223" i="11" s="1"/>
  <c r="M227" i="11"/>
  <c r="S227" i="11" s="1"/>
  <c r="M231" i="11"/>
  <c r="S231" i="11" s="1"/>
  <c r="M235" i="11"/>
  <c r="S235" i="11" s="1"/>
  <c r="W235" i="11" s="1"/>
  <c r="X235" i="11" s="1"/>
  <c r="M239" i="11"/>
  <c r="S239" i="11" s="1"/>
  <c r="M287" i="11"/>
  <c r="S287" i="11" s="1"/>
  <c r="M113" i="11"/>
  <c r="S113" i="11" s="1"/>
  <c r="M117" i="11"/>
  <c r="S117" i="11" s="1"/>
  <c r="M121" i="11"/>
  <c r="S121" i="11" s="1"/>
  <c r="M125" i="11"/>
  <c r="S125" i="11" s="1"/>
  <c r="M129" i="11"/>
  <c r="S129" i="11" s="1"/>
  <c r="M133" i="11"/>
  <c r="S133" i="11" s="1"/>
  <c r="M137" i="11"/>
  <c r="S137" i="11" s="1"/>
  <c r="M141" i="11"/>
  <c r="S141" i="11" s="1"/>
  <c r="M145" i="11"/>
  <c r="S145" i="11" s="1"/>
  <c r="M149" i="11"/>
  <c r="S149" i="11" s="1"/>
  <c r="M153" i="11"/>
  <c r="S153" i="11" s="1"/>
  <c r="M157" i="11"/>
  <c r="S157" i="11" s="1"/>
  <c r="M161" i="11"/>
  <c r="S161" i="11" s="1"/>
  <c r="M165" i="11"/>
  <c r="S165" i="11" s="1"/>
  <c r="M169" i="11"/>
  <c r="S169" i="11" s="1"/>
  <c r="M173" i="11"/>
  <c r="S173" i="11" s="1"/>
  <c r="M177" i="11"/>
  <c r="S177" i="11" s="1"/>
  <c r="M181" i="11"/>
  <c r="S181" i="11" s="1"/>
  <c r="M185" i="11"/>
  <c r="S185" i="11" s="1"/>
  <c r="M189" i="11"/>
  <c r="S189" i="11" s="1"/>
  <c r="M193" i="11"/>
  <c r="S193" i="11" s="1"/>
  <c r="M197" i="11"/>
  <c r="S197" i="11" s="1"/>
  <c r="M201" i="11"/>
  <c r="S201" i="11" s="1"/>
  <c r="M205" i="11"/>
  <c r="S205" i="11" s="1"/>
  <c r="M277" i="11"/>
  <c r="S277" i="11" s="1"/>
  <c r="M281" i="11"/>
  <c r="S281" i="11" s="1"/>
  <c r="M293" i="11"/>
  <c r="S293" i="11" s="1"/>
  <c r="M297" i="11"/>
  <c r="S297" i="11" s="1"/>
  <c r="M114" i="11"/>
  <c r="S114" i="11" s="1"/>
  <c r="M118" i="11"/>
  <c r="S118" i="11" s="1"/>
  <c r="M122" i="11"/>
  <c r="S122" i="11" s="1"/>
  <c r="M126" i="11"/>
  <c r="S126" i="11" s="1"/>
  <c r="M130" i="11"/>
  <c r="S130" i="11" s="1"/>
  <c r="M134" i="11"/>
  <c r="S134" i="11" s="1"/>
  <c r="M138" i="11"/>
  <c r="S138" i="11" s="1"/>
  <c r="M142" i="11"/>
  <c r="S142" i="11" s="1"/>
  <c r="M146" i="11"/>
  <c r="S146" i="11" s="1"/>
  <c r="M150" i="11"/>
  <c r="S150" i="11" s="1"/>
  <c r="M154" i="11"/>
  <c r="S154" i="11" s="1"/>
  <c r="M158" i="11"/>
  <c r="S158" i="11" s="1"/>
  <c r="M162" i="11"/>
  <c r="S162" i="11" s="1"/>
  <c r="M166" i="11"/>
  <c r="S166" i="11" s="1"/>
  <c r="M170" i="11"/>
  <c r="S170" i="11" s="1"/>
  <c r="M174" i="11"/>
  <c r="S174" i="11" s="1"/>
  <c r="M178" i="11"/>
  <c r="S178" i="11" s="1"/>
  <c r="M182" i="11"/>
  <c r="S182" i="11" s="1"/>
  <c r="M186" i="11"/>
  <c r="S186" i="11" s="1"/>
  <c r="M190" i="11"/>
  <c r="S190" i="11" s="1"/>
  <c r="M194" i="11"/>
  <c r="S194" i="11" s="1"/>
  <c r="M198" i="11"/>
  <c r="S198" i="11" s="1"/>
  <c r="M202" i="11"/>
  <c r="S202" i="11" s="1"/>
  <c r="M206" i="11"/>
  <c r="S206" i="11" s="1"/>
  <c r="M242" i="11"/>
  <c r="S242" i="11" s="1"/>
  <c r="M278" i="11"/>
  <c r="S278" i="11" s="1"/>
  <c r="M282" i="11"/>
  <c r="S282" i="11" s="1"/>
  <c r="M294" i="11"/>
  <c r="S294" i="11" s="1"/>
  <c r="M298" i="11"/>
  <c r="S298" i="11" s="1"/>
  <c r="M115" i="11"/>
  <c r="S115" i="11" s="1"/>
  <c r="M119" i="11"/>
  <c r="S119" i="11" s="1"/>
  <c r="M123" i="11"/>
  <c r="S123" i="11" s="1"/>
  <c r="M127" i="11"/>
  <c r="S127" i="11" s="1"/>
  <c r="M131" i="11"/>
  <c r="S131" i="11" s="1"/>
  <c r="M135" i="11"/>
  <c r="S135" i="11" s="1"/>
  <c r="M139" i="11"/>
  <c r="S139" i="11" s="1"/>
  <c r="M143" i="11"/>
  <c r="S143" i="11" s="1"/>
  <c r="M147" i="11"/>
  <c r="S147" i="11" s="1"/>
  <c r="M151" i="11"/>
  <c r="S151" i="11" s="1"/>
  <c r="M155" i="11"/>
  <c r="S155" i="11" s="1"/>
  <c r="M159" i="11"/>
  <c r="S159" i="11" s="1"/>
  <c r="M163" i="11"/>
  <c r="S163" i="11" s="1"/>
  <c r="M167" i="11"/>
  <c r="S167" i="11" s="1"/>
  <c r="M171" i="11"/>
  <c r="S171" i="11" s="1"/>
  <c r="M175" i="11"/>
  <c r="S175" i="11" s="1"/>
  <c r="M179" i="11"/>
  <c r="S179" i="11" s="1"/>
  <c r="M183" i="11"/>
  <c r="S183" i="11" s="1"/>
  <c r="M187" i="11"/>
  <c r="S187" i="11" s="1"/>
  <c r="M191" i="11"/>
  <c r="S191" i="11" s="1"/>
  <c r="M195" i="11"/>
  <c r="S195" i="11" s="1"/>
  <c r="M199" i="11"/>
  <c r="S199" i="11" s="1"/>
  <c r="M203" i="11"/>
  <c r="S203" i="11" s="1"/>
  <c r="M207" i="11"/>
  <c r="S207" i="11" s="1"/>
  <c r="M243" i="11"/>
  <c r="S243" i="11" s="1"/>
  <c r="M279" i="11"/>
  <c r="S279" i="11" s="1"/>
  <c r="M283" i="11"/>
  <c r="S283" i="11" s="1"/>
  <c r="M291" i="11"/>
  <c r="S291" i="11" s="1"/>
  <c r="M295" i="11"/>
  <c r="S295" i="11" s="1"/>
  <c r="M299" i="11"/>
  <c r="S299" i="11" s="1"/>
  <c r="M116" i="11"/>
  <c r="S116" i="11" s="1"/>
  <c r="M120" i="11"/>
  <c r="S120" i="11" s="1"/>
  <c r="M124" i="11"/>
  <c r="S124" i="11" s="1"/>
  <c r="M128" i="11"/>
  <c r="S128" i="11" s="1"/>
  <c r="M132" i="11"/>
  <c r="S132" i="11" s="1"/>
  <c r="M136" i="11"/>
  <c r="S136" i="11" s="1"/>
  <c r="M140" i="11"/>
  <c r="S140" i="11" s="1"/>
  <c r="M144" i="11"/>
  <c r="S144" i="11" s="1"/>
  <c r="M148" i="11"/>
  <c r="S148" i="11" s="1"/>
  <c r="M152" i="11"/>
  <c r="S152" i="11" s="1"/>
  <c r="M156" i="11"/>
  <c r="S156" i="11" s="1"/>
  <c r="M160" i="11"/>
  <c r="S160" i="11" s="1"/>
  <c r="M164" i="11"/>
  <c r="S164" i="11" s="1"/>
  <c r="M168" i="11"/>
  <c r="S168" i="11" s="1"/>
  <c r="M172" i="11"/>
  <c r="S172" i="11" s="1"/>
  <c r="M176" i="11"/>
  <c r="S176" i="11" s="1"/>
  <c r="M180" i="11"/>
  <c r="S180" i="11" s="1"/>
  <c r="M184" i="11"/>
  <c r="S184" i="11" s="1"/>
  <c r="M188" i="11"/>
  <c r="S188" i="11" s="1"/>
  <c r="M192" i="11"/>
  <c r="S192" i="11" s="1"/>
  <c r="M196" i="11"/>
  <c r="S196" i="11" s="1"/>
  <c r="M200" i="11"/>
  <c r="S200" i="11" s="1"/>
  <c r="M204" i="11"/>
  <c r="S204" i="11" s="1"/>
  <c r="M89" i="11"/>
  <c r="S89" i="11" s="1"/>
  <c r="M93" i="11"/>
  <c r="S93" i="11" s="1"/>
  <c r="M97" i="11"/>
  <c r="S97" i="11" s="1"/>
  <c r="M101" i="11"/>
  <c r="S101" i="11" s="1"/>
  <c r="M105" i="11"/>
  <c r="S105" i="11" s="1"/>
  <c r="M109" i="11"/>
  <c r="S109" i="11" s="1"/>
  <c r="M90" i="11"/>
  <c r="S90" i="11" s="1"/>
  <c r="M94" i="11"/>
  <c r="S94" i="11" s="1"/>
  <c r="M98" i="11"/>
  <c r="S98" i="11" s="1"/>
  <c r="M102" i="11"/>
  <c r="S102" i="11" s="1"/>
  <c r="M106" i="11"/>
  <c r="S106" i="11" s="1"/>
  <c r="M110" i="11"/>
  <c r="S110" i="11" s="1"/>
  <c r="M91" i="11"/>
  <c r="S91" i="11" s="1"/>
  <c r="M95" i="11"/>
  <c r="S95" i="11" s="1"/>
  <c r="M99" i="11"/>
  <c r="S99" i="11" s="1"/>
  <c r="M103" i="11"/>
  <c r="S103" i="11" s="1"/>
  <c r="M107" i="11"/>
  <c r="S107" i="11" s="1"/>
  <c r="M111" i="11"/>
  <c r="S111" i="11" s="1"/>
  <c r="M92" i="11"/>
  <c r="S92" i="11" s="1"/>
  <c r="M96" i="11"/>
  <c r="S96" i="11" s="1"/>
  <c r="M100" i="11"/>
  <c r="S100" i="11" s="1"/>
  <c r="M104" i="11"/>
  <c r="S104" i="11" s="1"/>
  <c r="M108" i="11"/>
  <c r="S108" i="11" s="1"/>
  <c r="M112" i="11"/>
  <c r="S112" i="11" s="1"/>
  <c r="M85" i="11"/>
  <c r="S85" i="11" s="1"/>
  <c r="M261" i="11"/>
  <c r="S261" i="11" s="1"/>
  <c r="M265" i="11"/>
  <c r="S265" i="11" s="1"/>
  <c r="M269" i="11"/>
  <c r="S269" i="11" s="1"/>
  <c r="M273" i="11"/>
  <c r="S273" i="11" s="1"/>
  <c r="M86" i="11"/>
  <c r="S86" i="11" s="1"/>
  <c r="M262" i="11"/>
  <c r="S262" i="11" s="1"/>
  <c r="M266" i="11"/>
  <c r="S266" i="11" s="1"/>
  <c r="M270" i="11"/>
  <c r="S270" i="11" s="1"/>
  <c r="M274" i="11"/>
  <c r="S274" i="11" s="1"/>
  <c r="M87" i="11"/>
  <c r="S87" i="11" s="1"/>
  <c r="M263" i="11"/>
  <c r="S263" i="11" s="1"/>
  <c r="M267" i="11"/>
  <c r="S267" i="11" s="1"/>
  <c r="M271" i="11"/>
  <c r="S271" i="11" s="1"/>
  <c r="M275" i="11"/>
  <c r="S275" i="11" s="1"/>
  <c r="M88" i="11"/>
  <c r="S88" i="11" s="1"/>
  <c r="M296" i="11"/>
  <c r="S296" i="11" s="1"/>
  <c r="M280" i="11"/>
  <c r="S280" i="11" s="1"/>
  <c r="M264" i="11"/>
  <c r="S264" i="11" s="1"/>
  <c r="M248" i="11"/>
  <c r="S248" i="11" s="1"/>
  <c r="M232" i="11"/>
  <c r="S232" i="11" s="1"/>
  <c r="M216" i="11"/>
  <c r="S216" i="11" s="1"/>
  <c r="F3" i="11"/>
  <c r="L3" i="11" s="1"/>
  <c r="V3" i="11" s="1"/>
  <c r="W3" i="11" s="1"/>
  <c r="X3" i="11" s="1"/>
  <c r="F4" i="11"/>
  <c r="L4" i="11" s="1"/>
  <c r="V4" i="11" s="1"/>
  <c r="W4" i="11" s="1"/>
  <c r="X4" i="11" s="1"/>
  <c r="F5" i="11"/>
  <c r="L5" i="11" s="1"/>
  <c r="V5" i="11" s="1"/>
  <c r="W5" i="11" s="1"/>
  <c r="X5" i="11" s="1"/>
  <c r="F6" i="11"/>
  <c r="L6" i="11" s="1"/>
  <c r="V6" i="11" s="1"/>
  <c r="F7" i="11"/>
  <c r="L7" i="11" s="1"/>
  <c r="V7" i="11" s="1"/>
  <c r="F8" i="11"/>
  <c r="L8" i="11" s="1"/>
  <c r="V8" i="11" s="1"/>
  <c r="W8" i="11" s="1"/>
  <c r="X8" i="11" s="1"/>
  <c r="F9" i="11"/>
  <c r="L9" i="11" s="1"/>
  <c r="V9" i="11" s="1"/>
  <c r="W9" i="11" s="1"/>
  <c r="X9" i="11" s="1"/>
  <c r="F10" i="11"/>
  <c r="L10" i="11" s="1"/>
  <c r="V10" i="11" s="1"/>
  <c r="F11" i="11"/>
  <c r="L11" i="11" s="1"/>
  <c r="V11" i="11" s="1"/>
  <c r="W11" i="11" s="1"/>
  <c r="X11" i="11" s="1"/>
  <c r="F12" i="11"/>
  <c r="L12" i="11" s="1"/>
  <c r="V12" i="11" s="1"/>
  <c r="W12" i="11" s="1"/>
  <c r="X12" i="11" s="1"/>
  <c r="F13" i="11"/>
  <c r="L13" i="11" s="1"/>
  <c r="V13" i="11" s="1"/>
  <c r="F14" i="11"/>
  <c r="L14" i="11" s="1"/>
  <c r="V14" i="11" s="1"/>
  <c r="W14" i="11" s="1"/>
  <c r="X14" i="11" s="1"/>
  <c r="F15" i="11"/>
  <c r="L15" i="11" s="1"/>
  <c r="V15" i="11" s="1"/>
  <c r="W15" i="11" s="1"/>
  <c r="X15" i="11" s="1"/>
  <c r="F16" i="11"/>
  <c r="L16" i="11" s="1"/>
  <c r="V16" i="11" s="1"/>
  <c r="W16" i="11" s="1"/>
  <c r="X16" i="11" s="1"/>
  <c r="F17" i="11"/>
  <c r="L17" i="11" s="1"/>
  <c r="V17" i="11" s="1"/>
  <c r="W17" i="11" s="1"/>
  <c r="X17" i="11" s="1"/>
  <c r="F18" i="11"/>
  <c r="L18" i="11" s="1"/>
  <c r="V18" i="11" s="1"/>
  <c r="W18" i="11" s="1"/>
  <c r="X18" i="11" s="1"/>
  <c r="F19" i="11"/>
  <c r="L19" i="11" s="1"/>
  <c r="V19" i="11" s="1"/>
  <c r="W19" i="11" s="1"/>
  <c r="X19" i="11" s="1"/>
  <c r="F20" i="11"/>
  <c r="L20" i="11" s="1"/>
  <c r="V20" i="11" s="1"/>
  <c r="W20" i="11" s="1"/>
  <c r="X20" i="11" s="1"/>
  <c r="F21" i="11"/>
  <c r="L21" i="11" s="1"/>
  <c r="V21" i="11" s="1"/>
  <c r="W21" i="11" s="1"/>
  <c r="X21" i="11" s="1"/>
  <c r="F22" i="11"/>
  <c r="L22" i="11" s="1"/>
  <c r="V22" i="11" s="1"/>
  <c r="F23" i="11"/>
  <c r="L23" i="11" s="1"/>
  <c r="V23" i="11" s="1"/>
  <c r="F34" i="11"/>
  <c r="L34" i="11" s="1"/>
  <c r="V34" i="11" s="1"/>
  <c r="W34" i="11" s="1"/>
  <c r="X34" i="11" s="1"/>
  <c r="F35" i="11"/>
  <c r="L35" i="11" s="1"/>
  <c r="V35" i="11" s="1"/>
  <c r="W35" i="11" s="1"/>
  <c r="X35" i="11" s="1"/>
  <c r="F36" i="11"/>
  <c r="L36" i="11" s="1"/>
  <c r="V36" i="11" s="1"/>
  <c r="F37" i="11"/>
  <c r="L37" i="11" s="1"/>
  <c r="V37" i="11" s="1"/>
  <c r="W37" i="11" s="1"/>
  <c r="X37" i="11" s="1"/>
  <c r="F38" i="11"/>
  <c r="L38" i="11" s="1"/>
  <c r="V38" i="11" s="1"/>
  <c r="W38" i="11" s="1"/>
  <c r="X38" i="11" s="1"/>
  <c r="F39" i="11"/>
  <c r="L39" i="11" s="1"/>
  <c r="V39" i="11" s="1"/>
  <c r="F40" i="11"/>
  <c r="L40" i="11" s="1"/>
  <c r="V40" i="11" s="1"/>
  <c r="W40" i="11" s="1"/>
  <c r="X40" i="11" s="1"/>
  <c r="F41" i="11"/>
  <c r="L41" i="11" s="1"/>
  <c r="V41" i="11" s="1"/>
  <c r="W41" i="11" s="1"/>
  <c r="X41" i="11" s="1"/>
  <c r="F42" i="11"/>
  <c r="L42" i="11" s="1"/>
  <c r="V42" i="11" s="1"/>
  <c r="W42" i="11" s="1"/>
  <c r="X42" i="11" s="1"/>
  <c r="F43" i="11"/>
  <c r="L43" i="11" s="1"/>
  <c r="V43" i="11" s="1"/>
  <c r="W43" i="11" s="1"/>
  <c r="X43" i="11" s="1"/>
  <c r="F44" i="11"/>
  <c r="L44" i="11" s="1"/>
  <c r="V44" i="11" s="1"/>
  <c r="W44" i="11" s="1"/>
  <c r="X44" i="11" s="1"/>
  <c r="F45" i="11"/>
  <c r="L45" i="11" s="1"/>
  <c r="V45" i="11" s="1"/>
  <c r="F46" i="11"/>
  <c r="L46" i="11" s="1"/>
  <c r="V46" i="11" s="1"/>
  <c r="W46" i="11" s="1"/>
  <c r="X46" i="11" s="1"/>
  <c r="F47" i="11"/>
  <c r="L47" i="11" s="1"/>
  <c r="V47" i="11" s="1"/>
  <c r="W47" i="11" s="1"/>
  <c r="X47" i="11" s="1"/>
  <c r="F48" i="11"/>
  <c r="L48" i="11" s="1"/>
  <c r="V48" i="11" s="1"/>
  <c r="F49" i="11"/>
  <c r="L49" i="11" s="1"/>
  <c r="V49" i="11" s="1"/>
  <c r="W49" i="11" s="1"/>
  <c r="X49" i="11" s="1"/>
  <c r="F50" i="11"/>
  <c r="L50" i="11" s="1"/>
  <c r="V50" i="11" s="1"/>
  <c r="W50" i="11" s="1"/>
  <c r="X50" i="11" s="1"/>
  <c r="F51" i="11"/>
  <c r="L51" i="11" s="1"/>
  <c r="V51" i="11" s="1"/>
  <c r="W51" i="11" s="1"/>
  <c r="X51" i="11" s="1"/>
  <c r="F52" i="11"/>
  <c r="L52" i="11" s="1"/>
  <c r="V52" i="11" s="1"/>
  <c r="F53" i="11"/>
  <c r="L53" i="11" s="1"/>
  <c r="V53" i="11" s="1"/>
  <c r="W53" i="11" s="1"/>
  <c r="X53" i="11" s="1"/>
  <c r="F54" i="11"/>
  <c r="L54" i="11" s="1"/>
  <c r="V54" i="11" s="1"/>
  <c r="W54" i="11" s="1"/>
  <c r="X54" i="11" s="1"/>
  <c r="F55" i="11"/>
  <c r="L55" i="11" s="1"/>
  <c r="V55" i="11" s="1"/>
  <c r="F56" i="11"/>
  <c r="L56" i="11" s="1"/>
  <c r="V56" i="11" s="1"/>
  <c r="W56" i="11" s="1"/>
  <c r="X56" i="11" s="1"/>
  <c r="F57" i="11"/>
  <c r="L57" i="11" s="1"/>
  <c r="V57" i="11" s="1"/>
  <c r="W57" i="11" s="1"/>
  <c r="X57" i="11" s="1"/>
  <c r="F58" i="11"/>
  <c r="L58" i="11" s="1"/>
  <c r="V58" i="11" s="1"/>
  <c r="W58" i="11" s="1"/>
  <c r="X58" i="11" s="1"/>
  <c r="F59" i="11"/>
  <c r="L59" i="11" s="1"/>
  <c r="V59" i="11" s="1"/>
  <c r="W59" i="11" s="1"/>
  <c r="X59" i="11" s="1"/>
  <c r="F60" i="11"/>
  <c r="L60" i="11" s="1"/>
  <c r="V60" i="11" s="1"/>
  <c r="W60" i="11" s="1"/>
  <c r="X60" i="11" s="1"/>
  <c r="F61" i="11"/>
  <c r="L61" i="11" s="1"/>
  <c r="V61" i="11" s="1"/>
  <c r="F62" i="11"/>
  <c r="L62" i="11" s="1"/>
  <c r="V62" i="11" s="1"/>
  <c r="W62" i="11" s="1"/>
  <c r="X62" i="11" s="1"/>
  <c r="F63" i="11"/>
  <c r="L63" i="11" s="1"/>
  <c r="V63" i="11" s="1"/>
  <c r="W63" i="11" s="1"/>
  <c r="X63" i="11" s="1"/>
  <c r="F64" i="11"/>
  <c r="L64" i="11" s="1"/>
  <c r="V64" i="11" s="1"/>
  <c r="F65" i="11"/>
  <c r="L65" i="11" s="1"/>
  <c r="V65" i="11" s="1"/>
  <c r="W65" i="11" s="1"/>
  <c r="X65" i="11" s="1"/>
  <c r="F66" i="11"/>
  <c r="L66" i="11" s="1"/>
  <c r="V66" i="11" s="1"/>
  <c r="W66" i="11" s="1"/>
  <c r="X66" i="11" s="1"/>
  <c r="F67" i="11"/>
  <c r="L67" i="11" s="1"/>
  <c r="V67" i="11" s="1"/>
  <c r="W67" i="11" s="1"/>
  <c r="X67" i="11" s="1"/>
  <c r="F68" i="11"/>
  <c r="L68" i="11" s="1"/>
  <c r="V68" i="11" s="1"/>
  <c r="F69" i="11"/>
  <c r="L69" i="11" s="1"/>
  <c r="V69" i="11" s="1"/>
  <c r="W69" i="11" s="1"/>
  <c r="X69" i="11" s="1"/>
  <c r="F70" i="11"/>
  <c r="L70" i="11" s="1"/>
  <c r="V70" i="11" s="1"/>
  <c r="W70" i="11" s="1"/>
  <c r="X70" i="11" s="1"/>
  <c r="F71" i="11"/>
  <c r="L71" i="11" s="1"/>
  <c r="V71" i="11" s="1"/>
  <c r="F72" i="11"/>
  <c r="L72" i="11" s="1"/>
  <c r="V72" i="11" s="1"/>
  <c r="W72" i="11" s="1"/>
  <c r="X72" i="11" s="1"/>
  <c r="F73" i="11"/>
  <c r="L73" i="11" s="1"/>
  <c r="V73" i="11" s="1"/>
  <c r="W73" i="11" s="1"/>
  <c r="X73" i="11" s="1"/>
  <c r="F74" i="11"/>
  <c r="L74" i="11" s="1"/>
  <c r="V74" i="11" s="1"/>
  <c r="W74" i="11" s="1"/>
  <c r="X74" i="11" s="1"/>
  <c r="F75" i="11"/>
  <c r="L75" i="11" s="1"/>
  <c r="V75" i="11" s="1"/>
  <c r="W75" i="11" s="1"/>
  <c r="X75" i="11" s="1"/>
  <c r="F76" i="11"/>
  <c r="L76" i="11" s="1"/>
  <c r="V76" i="11" s="1"/>
  <c r="W76" i="11" s="1"/>
  <c r="X76" i="11" s="1"/>
  <c r="F77" i="11"/>
  <c r="L77" i="11" s="1"/>
  <c r="V77" i="11" s="1"/>
  <c r="F78" i="11"/>
  <c r="L78" i="11" s="1"/>
  <c r="V78" i="11" s="1"/>
  <c r="W78" i="11" s="1"/>
  <c r="X78" i="11" s="1"/>
  <c r="F79" i="11"/>
  <c r="L79" i="11" s="1"/>
  <c r="V79" i="11" s="1"/>
  <c r="W79" i="11" s="1"/>
  <c r="X79" i="11" s="1"/>
  <c r="F80" i="11"/>
  <c r="L80" i="11" s="1"/>
  <c r="V80" i="11" s="1"/>
  <c r="F81" i="11"/>
  <c r="L81" i="11" s="1"/>
  <c r="V81" i="11" s="1"/>
  <c r="W81" i="11" s="1"/>
  <c r="X81" i="11" s="1"/>
  <c r="F82" i="11"/>
  <c r="L82" i="11" s="1"/>
  <c r="V82" i="11" s="1"/>
  <c r="W82" i="11" s="1"/>
  <c r="X82" i="11" s="1"/>
  <c r="F83" i="11"/>
  <c r="L83" i="11" s="1"/>
  <c r="V83" i="11" s="1"/>
  <c r="W83" i="11" s="1"/>
  <c r="X83" i="11" s="1"/>
  <c r="F84" i="11"/>
  <c r="L84" i="11" s="1"/>
  <c r="V84" i="11" s="1"/>
  <c r="F85" i="11"/>
  <c r="L85" i="11" s="1"/>
  <c r="V85" i="11" s="1"/>
  <c r="W85" i="11" s="1"/>
  <c r="X85" i="11" s="1"/>
  <c r="F86" i="11"/>
  <c r="L86" i="11" s="1"/>
  <c r="V86" i="11" s="1"/>
  <c r="W86" i="11" s="1"/>
  <c r="X86" i="11" s="1"/>
  <c r="F87" i="11"/>
  <c r="L87" i="11" s="1"/>
  <c r="V87" i="11" s="1"/>
  <c r="F88" i="11"/>
  <c r="L88" i="11" s="1"/>
  <c r="V88" i="11" s="1"/>
  <c r="F89" i="11"/>
  <c r="L89" i="11" s="1"/>
  <c r="V89" i="11" s="1"/>
  <c r="W89" i="11" s="1"/>
  <c r="X89" i="11" s="1"/>
  <c r="F90" i="11"/>
  <c r="L90" i="11" s="1"/>
  <c r="V90" i="11" s="1"/>
  <c r="W90" i="11" s="1"/>
  <c r="X90" i="11" s="1"/>
  <c r="F91" i="11"/>
  <c r="L91" i="11" s="1"/>
  <c r="V91" i="11" s="1"/>
  <c r="W91" i="11" s="1"/>
  <c r="X91" i="11" s="1"/>
  <c r="F92" i="11"/>
  <c r="L92" i="11" s="1"/>
  <c r="V92" i="11" s="1"/>
  <c r="F93" i="11"/>
  <c r="L93" i="11" s="1"/>
  <c r="V93" i="11" s="1"/>
  <c r="W93" i="11" s="1"/>
  <c r="X93" i="11" s="1"/>
  <c r="F94" i="11"/>
  <c r="L94" i="11" s="1"/>
  <c r="V94" i="11" s="1"/>
  <c r="W94" i="11" s="1"/>
  <c r="X94" i="11" s="1"/>
  <c r="F95" i="11"/>
  <c r="L95" i="11" s="1"/>
  <c r="V95" i="11" s="1"/>
  <c r="W95" i="11" s="1"/>
  <c r="X95" i="11" s="1"/>
  <c r="F96" i="11"/>
  <c r="L96" i="11" s="1"/>
  <c r="V96" i="11" s="1"/>
  <c r="F97" i="11"/>
  <c r="L97" i="11" s="1"/>
  <c r="V97" i="11" s="1"/>
  <c r="W97" i="11" s="1"/>
  <c r="X97" i="11" s="1"/>
  <c r="F98" i="11"/>
  <c r="L98" i="11" s="1"/>
  <c r="V98" i="11" s="1"/>
  <c r="W98" i="11" s="1"/>
  <c r="X98" i="11" s="1"/>
  <c r="F99" i="11"/>
  <c r="L99" i="11" s="1"/>
  <c r="V99" i="11" s="1"/>
  <c r="F100" i="11"/>
  <c r="L100" i="11" s="1"/>
  <c r="V100" i="11" s="1"/>
  <c r="F101" i="11"/>
  <c r="L101" i="11" s="1"/>
  <c r="V101" i="11" s="1"/>
  <c r="F102" i="11"/>
  <c r="L102" i="11" s="1"/>
  <c r="V102" i="11" s="1"/>
  <c r="W102" i="11" s="1"/>
  <c r="X102" i="11" s="1"/>
  <c r="F103" i="11"/>
  <c r="L103" i="11" s="1"/>
  <c r="V103" i="11" s="1"/>
  <c r="F104" i="11"/>
  <c r="L104" i="11" s="1"/>
  <c r="V104" i="11" s="1"/>
  <c r="W104" i="11" s="1"/>
  <c r="X104" i="11" s="1"/>
  <c r="F105" i="11"/>
  <c r="L105" i="11" s="1"/>
  <c r="V105" i="11" s="1"/>
  <c r="W105" i="11" s="1"/>
  <c r="X105" i="11" s="1"/>
  <c r="F106" i="11"/>
  <c r="L106" i="11" s="1"/>
  <c r="V106" i="11" s="1"/>
  <c r="W106" i="11" s="1"/>
  <c r="X106" i="11" s="1"/>
  <c r="F107" i="11"/>
  <c r="L107" i="11" s="1"/>
  <c r="V107" i="11" s="1"/>
  <c r="W107" i="11" s="1"/>
  <c r="X107" i="11" s="1"/>
  <c r="F108" i="11"/>
  <c r="L108" i="11" s="1"/>
  <c r="V108" i="11" s="1"/>
  <c r="F109" i="11"/>
  <c r="L109" i="11" s="1"/>
  <c r="V109" i="11" s="1"/>
  <c r="W109" i="11" s="1"/>
  <c r="X109" i="11" s="1"/>
  <c r="F110" i="11"/>
  <c r="L110" i="11" s="1"/>
  <c r="V110" i="11" s="1"/>
  <c r="W110" i="11" s="1"/>
  <c r="X110" i="11" s="1"/>
  <c r="F111" i="11"/>
  <c r="L111" i="11" s="1"/>
  <c r="V111" i="11" s="1"/>
  <c r="W111" i="11" s="1"/>
  <c r="X111" i="11" s="1"/>
  <c r="F112" i="11"/>
  <c r="L112" i="11" s="1"/>
  <c r="V112" i="11" s="1"/>
  <c r="F113" i="11"/>
  <c r="L113" i="11" s="1"/>
  <c r="V113" i="11" s="1"/>
  <c r="W113" i="11" s="1"/>
  <c r="X113" i="11" s="1"/>
  <c r="F114" i="11"/>
  <c r="L114" i="11" s="1"/>
  <c r="V114" i="11" s="1"/>
  <c r="W114" i="11" s="1"/>
  <c r="X114" i="11" s="1"/>
  <c r="F115" i="11"/>
  <c r="L115" i="11" s="1"/>
  <c r="V115" i="11" s="1"/>
  <c r="F116" i="11"/>
  <c r="L116" i="11" s="1"/>
  <c r="V116" i="11" s="1"/>
  <c r="W116" i="11" s="1"/>
  <c r="X116" i="11" s="1"/>
  <c r="F117" i="11"/>
  <c r="L117" i="11" s="1"/>
  <c r="V117" i="11" s="1"/>
  <c r="F118" i="11"/>
  <c r="L118" i="11" s="1"/>
  <c r="V118" i="11" s="1"/>
  <c r="W118" i="11" s="1"/>
  <c r="X118" i="11" s="1"/>
  <c r="F119" i="11"/>
  <c r="L119" i="11" s="1"/>
  <c r="V119" i="11" s="1"/>
  <c r="W119" i="11" s="1"/>
  <c r="X119" i="11" s="1"/>
  <c r="F120" i="11"/>
  <c r="L120" i="11" s="1"/>
  <c r="V120" i="11" s="1"/>
  <c r="F121" i="11"/>
  <c r="L121" i="11" s="1"/>
  <c r="V121" i="11" s="1"/>
  <c r="W121" i="11" s="1"/>
  <c r="X121" i="11" s="1"/>
  <c r="F122" i="11"/>
  <c r="L122" i="11" s="1"/>
  <c r="V122" i="11" s="1"/>
  <c r="W122" i="11" s="1"/>
  <c r="X122" i="11" s="1"/>
  <c r="F123" i="11"/>
  <c r="L123" i="11" s="1"/>
  <c r="V123" i="11" s="1"/>
  <c r="W123" i="11" s="1"/>
  <c r="X123" i="11" s="1"/>
  <c r="F124" i="11"/>
  <c r="L124" i="11" s="1"/>
  <c r="V124" i="11" s="1"/>
  <c r="F125" i="11"/>
  <c r="L125" i="11" s="1"/>
  <c r="V125" i="11" s="1"/>
  <c r="W125" i="11" s="1"/>
  <c r="X125" i="11" s="1"/>
  <c r="F126" i="11"/>
  <c r="L126" i="11" s="1"/>
  <c r="V126" i="11" s="1"/>
  <c r="W126" i="11" s="1"/>
  <c r="X126" i="11" s="1"/>
  <c r="F127" i="11"/>
  <c r="L127" i="11" s="1"/>
  <c r="V127" i="11" s="1"/>
  <c r="W127" i="11" s="1"/>
  <c r="X127" i="11" s="1"/>
  <c r="F128" i="11"/>
  <c r="L128" i="11" s="1"/>
  <c r="V128" i="11" s="1"/>
  <c r="F129" i="11"/>
  <c r="L129" i="11" s="1"/>
  <c r="V129" i="11" s="1"/>
  <c r="W129" i="11" s="1"/>
  <c r="X129" i="11" s="1"/>
  <c r="F130" i="11"/>
  <c r="L130" i="11" s="1"/>
  <c r="V130" i="11" s="1"/>
  <c r="W130" i="11" s="1"/>
  <c r="X130" i="11" s="1"/>
  <c r="F131" i="11"/>
  <c r="L131" i="11" s="1"/>
  <c r="V131" i="11" s="1"/>
  <c r="F132" i="11"/>
  <c r="L132" i="11" s="1"/>
  <c r="V132" i="11" s="1"/>
  <c r="W132" i="11" s="1"/>
  <c r="X132" i="11" s="1"/>
  <c r="F133" i="11"/>
  <c r="L133" i="11" s="1"/>
  <c r="V133" i="11" s="1"/>
  <c r="F134" i="11"/>
  <c r="L134" i="11" s="1"/>
  <c r="V134" i="11" s="1"/>
  <c r="W134" i="11" s="1"/>
  <c r="X134" i="11" s="1"/>
  <c r="F135" i="11"/>
  <c r="L135" i="11" s="1"/>
  <c r="V135" i="11" s="1"/>
  <c r="W135" i="11" s="1"/>
  <c r="X135" i="11" s="1"/>
  <c r="F136" i="11"/>
  <c r="L136" i="11" s="1"/>
  <c r="V136" i="11" s="1"/>
  <c r="F137" i="11"/>
  <c r="L137" i="11" s="1"/>
  <c r="V137" i="11" s="1"/>
  <c r="W137" i="11" s="1"/>
  <c r="X137" i="11" s="1"/>
  <c r="F138" i="11"/>
  <c r="L138" i="11" s="1"/>
  <c r="V138" i="11" s="1"/>
  <c r="W138" i="11" s="1"/>
  <c r="X138" i="11" s="1"/>
  <c r="F139" i="11"/>
  <c r="L139" i="11" s="1"/>
  <c r="V139" i="11" s="1"/>
  <c r="W139" i="11" s="1"/>
  <c r="X139" i="11" s="1"/>
  <c r="F140" i="11"/>
  <c r="L140" i="11" s="1"/>
  <c r="V140" i="11" s="1"/>
  <c r="F141" i="11"/>
  <c r="L141" i="11" s="1"/>
  <c r="V141" i="11" s="1"/>
  <c r="W141" i="11" s="1"/>
  <c r="X141" i="11" s="1"/>
  <c r="F142" i="11"/>
  <c r="L142" i="11" s="1"/>
  <c r="V142" i="11" s="1"/>
  <c r="W142" i="11" s="1"/>
  <c r="X142" i="11" s="1"/>
  <c r="F143" i="11"/>
  <c r="L143" i="11" s="1"/>
  <c r="V143" i="11" s="1"/>
  <c r="W143" i="11" s="1"/>
  <c r="X143" i="11" s="1"/>
  <c r="F144" i="11"/>
  <c r="L144" i="11" s="1"/>
  <c r="V144" i="11" s="1"/>
  <c r="F145" i="11"/>
  <c r="L145" i="11" s="1"/>
  <c r="V145" i="11" s="1"/>
  <c r="W145" i="11" s="1"/>
  <c r="X145" i="11" s="1"/>
  <c r="F146" i="11"/>
  <c r="L146" i="11" s="1"/>
  <c r="V146" i="11" s="1"/>
  <c r="W146" i="11" s="1"/>
  <c r="X146" i="11" s="1"/>
  <c r="F147" i="11"/>
  <c r="L147" i="11" s="1"/>
  <c r="V147" i="11" s="1"/>
  <c r="F148" i="11"/>
  <c r="L148" i="11" s="1"/>
  <c r="V148" i="11" s="1"/>
  <c r="W148" i="11" s="1"/>
  <c r="X148" i="11" s="1"/>
  <c r="F149" i="11"/>
  <c r="L149" i="11" s="1"/>
  <c r="V149" i="11" s="1"/>
  <c r="F150" i="11"/>
  <c r="L150" i="11" s="1"/>
  <c r="V150" i="11" s="1"/>
  <c r="W150" i="11" s="1"/>
  <c r="X150" i="11" s="1"/>
  <c r="F151" i="11"/>
  <c r="L151" i="11" s="1"/>
  <c r="V151" i="11" s="1"/>
  <c r="W151" i="11" s="1"/>
  <c r="X151" i="11" s="1"/>
  <c r="F152" i="11"/>
  <c r="L152" i="11" s="1"/>
  <c r="V152" i="11" s="1"/>
  <c r="F153" i="11"/>
  <c r="L153" i="11" s="1"/>
  <c r="V153" i="11" s="1"/>
  <c r="W153" i="11" s="1"/>
  <c r="X153" i="11" s="1"/>
  <c r="F154" i="11"/>
  <c r="L154" i="11" s="1"/>
  <c r="V154" i="11" s="1"/>
  <c r="W154" i="11" s="1"/>
  <c r="X154" i="11" s="1"/>
  <c r="F155" i="11"/>
  <c r="L155" i="11" s="1"/>
  <c r="V155" i="11" s="1"/>
  <c r="W155" i="11" s="1"/>
  <c r="X155" i="11" s="1"/>
  <c r="F156" i="11"/>
  <c r="L156" i="11" s="1"/>
  <c r="V156" i="11" s="1"/>
  <c r="F157" i="11"/>
  <c r="L157" i="11" s="1"/>
  <c r="V157" i="11" s="1"/>
  <c r="W157" i="11" s="1"/>
  <c r="X157" i="11" s="1"/>
  <c r="F158" i="11"/>
  <c r="L158" i="11" s="1"/>
  <c r="V158" i="11" s="1"/>
  <c r="W158" i="11" s="1"/>
  <c r="X158" i="11" s="1"/>
  <c r="F159" i="11"/>
  <c r="L159" i="11" s="1"/>
  <c r="V159" i="11" s="1"/>
  <c r="W159" i="11" s="1"/>
  <c r="X159" i="11" s="1"/>
  <c r="F160" i="11"/>
  <c r="L160" i="11" s="1"/>
  <c r="V160" i="11" s="1"/>
  <c r="F161" i="11"/>
  <c r="L161" i="11" s="1"/>
  <c r="V161" i="11" s="1"/>
  <c r="W161" i="11" s="1"/>
  <c r="X161" i="11" s="1"/>
  <c r="F162" i="11"/>
  <c r="L162" i="11" s="1"/>
  <c r="V162" i="11" s="1"/>
  <c r="W162" i="11" s="1"/>
  <c r="X162" i="11" s="1"/>
  <c r="F163" i="11"/>
  <c r="L163" i="11" s="1"/>
  <c r="V163" i="11" s="1"/>
  <c r="F164" i="11"/>
  <c r="L164" i="11" s="1"/>
  <c r="V164" i="11" s="1"/>
  <c r="W164" i="11" s="1"/>
  <c r="X164" i="11" s="1"/>
  <c r="F165" i="11"/>
  <c r="L165" i="11" s="1"/>
  <c r="V165" i="11" s="1"/>
  <c r="F166" i="11"/>
  <c r="L166" i="11" s="1"/>
  <c r="V166" i="11" s="1"/>
  <c r="W166" i="11" s="1"/>
  <c r="X166" i="11" s="1"/>
  <c r="F167" i="11"/>
  <c r="L167" i="11" s="1"/>
  <c r="V167" i="11" s="1"/>
  <c r="W167" i="11" s="1"/>
  <c r="X167" i="11" s="1"/>
  <c r="F168" i="11"/>
  <c r="L168" i="11" s="1"/>
  <c r="V168" i="11" s="1"/>
  <c r="F169" i="11"/>
  <c r="L169" i="11" s="1"/>
  <c r="V169" i="11" s="1"/>
  <c r="W169" i="11" s="1"/>
  <c r="X169" i="11" s="1"/>
  <c r="F170" i="11"/>
  <c r="L170" i="11" s="1"/>
  <c r="V170" i="11" s="1"/>
  <c r="W170" i="11" s="1"/>
  <c r="X170" i="11" s="1"/>
  <c r="F171" i="11"/>
  <c r="L171" i="11" s="1"/>
  <c r="V171" i="11" s="1"/>
  <c r="W171" i="11" s="1"/>
  <c r="X171" i="11" s="1"/>
  <c r="F172" i="11"/>
  <c r="L172" i="11" s="1"/>
  <c r="V172" i="11" s="1"/>
  <c r="F173" i="11"/>
  <c r="L173" i="11" s="1"/>
  <c r="V173" i="11" s="1"/>
  <c r="W173" i="11" s="1"/>
  <c r="X173" i="11" s="1"/>
  <c r="F174" i="11"/>
  <c r="L174" i="11" s="1"/>
  <c r="V174" i="11" s="1"/>
  <c r="W174" i="11" s="1"/>
  <c r="X174" i="11" s="1"/>
  <c r="F175" i="11"/>
  <c r="L175" i="11" s="1"/>
  <c r="V175" i="11" s="1"/>
  <c r="W175" i="11" s="1"/>
  <c r="X175" i="11" s="1"/>
  <c r="F176" i="11"/>
  <c r="L176" i="11" s="1"/>
  <c r="V176" i="11" s="1"/>
  <c r="F177" i="11"/>
  <c r="L177" i="11" s="1"/>
  <c r="V177" i="11" s="1"/>
  <c r="W177" i="11" s="1"/>
  <c r="X177" i="11" s="1"/>
  <c r="F178" i="11"/>
  <c r="L178" i="11" s="1"/>
  <c r="V178" i="11" s="1"/>
  <c r="W178" i="11" s="1"/>
  <c r="X178" i="11" s="1"/>
  <c r="F179" i="11"/>
  <c r="L179" i="11" s="1"/>
  <c r="V179" i="11" s="1"/>
  <c r="F180" i="11"/>
  <c r="L180" i="11" s="1"/>
  <c r="V180" i="11" s="1"/>
  <c r="W180" i="11" s="1"/>
  <c r="X180" i="11" s="1"/>
  <c r="F181" i="11"/>
  <c r="L181" i="11" s="1"/>
  <c r="V181" i="11" s="1"/>
  <c r="F182" i="11"/>
  <c r="L182" i="11" s="1"/>
  <c r="V182" i="11" s="1"/>
  <c r="W182" i="11" s="1"/>
  <c r="X182" i="11" s="1"/>
  <c r="F183" i="11"/>
  <c r="L183" i="11" s="1"/>
  <c r="V183" i="11" s="1"/>
  <c r="W183" i="11" s="1"/>
  <c r="X183" i="11" s="1"/>
  <c r="F184" i="11"/>
  <c r="L184" i="11" s="1"/>
  <c r="V184" i="11" s="1"/>
  <c r="F185" i="11"/>
  <c r="L185" i="11" s="1"/>
  <c r="V185" i="11" s="1"/>
  <c r="W185" i="11" s="1"/>
  <c r="X185" i="11" s="1"/>
  <c r="F186" i="11"/>
  <c r="L186" i="11" s="1"/>
  <c r="V186" i="11" s="1"/>
  <c r="W186" i="11" s="1"/>
  <c r="X186" i="11" s="1"/>
  <c r="F187" i="11"/>
  <c r="L187" i="11" s="1"/>
  <c r="V187" i="11" s="1"/>
  <c r="W187" i="11" s="1"/>
  <c r="X187" i="11" s="1"/>
  <c r="F188" i="11"/>
  <c r="L188" i="11" s="1"/>
  <c r="V188" i="11" s="1"/>
  <c r="F189" i="11"/>
  <c r="L189" i="11" s="1"/>
  <c r="V189" i="11" s="1"/>
  <c r="W189" i="11" s="1"/>
  <c r="X189" i="11" s="1"/>
  <c r="F190" i="11"/>
  <c r="L190" i="11" s="1"/>
  <c r="V190" i="11" s="1"/>
  <c r="W190" i="11" s="1"/>
  <c r="X190" i="11" s="1"/>
  <c r="F191" i="11"/>
  <c r="L191" i="11" s="1"/>
  <c r="V191" i="11" s="1"/>
  <c r="W191" i="11" s="1"/>
  <c r="X191" i="11" s="1"/>
  <c r="F192" i="11"/>
  <c r="L192" i="11" s="1"/>
  <c r="V192" i="11" s="1"/>
  <c r="F193" i="11"/>
  <c r="L193" i="11" s="1"/>
  <c r="V193" i="11" s="1"/>
  <c r="W193" i="11" s="1"/>
  <c r="X193" i="11" s="1"/>
  <c r="F194" i="11"/>
  <c r="L194" i="11" s="1"/>
  <c r="V194" i="11" s="1"/>
  <c r="W194" i="11" s="1"/>
  <c r="X194" i="11" s="1"/>
  <c r="F195" i="11"/>
  <c r="L195" i="11" s="1"/>
  <c r="V195" i="11" s="1"/>
  <c r="F196" i="11"/>
  <c r="L196" i="11" s="1"/>
  <c r="V196" i="11" s="1"/>
  <c r="W196" i="11" s="1"/>
  <c r="X196" i="11" s="1"/>
  <c r="F197" i="11"/>
  <c r="L197" i="11" s="1"/>
  <c r="V197" i="11" s="1"/>
  <c r="F198" i="11"/>
  <c r="L198" i="11" s="1"/>
  <c r="V198" i="11" s="1"/>
  <c r="W198" i="11" s="1"/>
  <c r="X198" i="11" s="1"/>
  <c r="F199" i="11"/>
  <c r="L199" i="11" s="1"/>
  <c r="V199" i="11" s="1"/>
  <c r="W199" i="11" s="1"/>
  <c r="X199" i="11" s="1"/>
  <c r="F200" i="11"/>
  <c r="L200" i="11" s="1"/>
  <c r="V200" i="11" s="1"/>
  <c r="F201" i="11"/>
  <c r="L201" i="11" s="1"/>
  <c r="V201" i="11" s="1"/>
  <c r="W201" i="11" s="1"/>
  <c r="X201" i="11" s="1"/>
  <c r="F202" i="11"/>
  <c r="L202" i="11" s="1"/>
  <c r="V202" i="11" s="1"/>
  <c r="W202" i="11" s="1"/>
  <c r="X202" i="11" s="1"/>
  <c r="F203" i="11"/>
  <c r="L203" i="11" s="1"/>
  <c r="V203" i="11" s="1"/>
  <c r="W203" i="11" s="1"/>
  <c r="X203" i="11" s="1"/>
  <c r="F204" i="11"/>
  <c r="L204" i="11" s="1"/>
  <c r="V204" i="11" s="1"/>
  <c r="F205" i="11"/>
  <c r="L205" i="11" s="1"/>
  <c r="V205" i="11" s="1"/>
  <c r="W205" i="11" s="1"/>
  <c r="X205" i="11" s="1"/>
  <c r="F206" i="11"/>
  <c r="L206" i="11" s="1"/>
  <c r="V206" i="11" s="1"/>
  <c r="W206" i="11" s="1"/>
  <c r="X206" i="11" s="1"/>
  <c r="F207" i="11"/>
  <c r="L207" i="11" s="1"/>
  <c r="V207" i="11" s="1"/>
  <c r="W207" i="11" s="1"/>
  <c r="X207" i="11" s="1"/>
  <c r="F208" i="11"/>
  <c r="L208" i="11" s="1"/>
  <c r="V208" i="11" s="1"/>
  <c r="F209" i="11"/>
  <c r="L209" i="11" s="1"/>
  <c r="V209" i="11" s="1"/>
  <c r="W209" i="11" s="1"/>
  <c r="X209" i="11" s="1"/>
  <c r="F210" i="11"/>
  <c r="L210" i="11" s="1"/>
  <c r="V210" i="11" s="1"/>
  <c r="W210" i="11" s="1"/>
  <c r="X210" i="11" s="1"/>
  <c r="F211" i="11"/>
  <c r="L211" i="11" s="1"/>
  <c r="V211" i="11" s="1"/>
  <c r="W211" i="11" s="1"/>
  <c r="X211" i="11" s="1"/>
  <c r="F212" i="11"/>
  <c r="L212" i="11" s="1"/>
  <c r="V212" i="11" s="1"/>
  <c r="W212" i="11" s="1"/>
  <c r="X212" i="11" s="1"/>
  <c r="F213" i="11"/>
  <c r="L213" i="11" s="1"/>
  <c r="V213" i="11" s="1"/>
  <c r="W213" i="11" s="1"/>
  <c r="X213" i="11" s="1"/>
  <c r="F214" i="11"/>
  <c r="L214" i="11" s="1"/>
  <c r="V214" i="11" s="1"/>
  <c r="W214" i="11" s="1"/>
  <c r="X214" i="11" s="1"/>
  <c r="F215" i="11"/>
  <c r="L215" i="11" s="1"/>
  <c r="V215" i="11" s="1"/>
  <c r="W215" i="11" s="1"/>
  <c r="X215" i="11" s="1"/>
  <c r="F216" i="11"/>
  <c r="L216" i="11" s="1"/>
  <c r="V216" i="11" s="1"/>
  <c r="W216" i="11" s="1"/>
  <c r="X216" i="11" s="1"/>
  <c r="F217" i="11"/>
  <c r="L217" i="11" s="1"/>
  <c r="V217" i="11" s="1"/>
  <c r="W217" i="11" s="1"/>
  <c r="X217" i="11" s="1"/>
  <c r="F218" i="11"/>
  <c r="L218" i="11" s="1"/>
  <c r="V218" i="11" s="1"/>
  <c r="W218" i="11" s="1"/>
  <c r="X218" i="11" s="1"/>
  <c r="F219" i="11"/>
  <c r="L219" i="11" s="1"/>
  <c r="V219" i="11" s="1"/>
  <c r="F220" i="11"/>
  <c r="L220" i="11" s="1"/>
  <c r="V220" i="11" s="1"/>
  <c r="W220" i="11" s="1"/>
  <c r="X220" i="11" s="1"/>
  <c r="F221" i="11"/>
  <c r="L221" i="11" s="1"/>
  <c r="V221" i="11" s="1"/>
  <c r="F222" i="11"/>
  <c r="L222" i="11" s="1"/>
  <c r="V222" i="11" s="1"/>
  <c r="W222" i="11" s="1"/>
  <c r="X222" i="11" s="1"/>
  <c r="F223" i="11"/>
  <c r="L223" i="11" s="1"/>
  <c r="V223" i="11" s="1"/>
  <c r="W223" i="11" s="1"/>
  <c r="X223" i="11" s="1"/>
  <c r="F224" i="11"/>
  <c r="L224" i="11" s="1"/>
  <c r="V224" i="11" s="1"/>
  <c r="W224" i="11" s="1"/>
  <c r="X224" i="11" s="1"/>
  <c r="F225" i="11"/>
  <c r="L225" i="11" s="1"/>
  <c r="V225" i="11" s="1"/>
  <c r="W225" i="11" s="1"/>
  <c r="X225" i="11" s="1"/>
  <c r="F226" i="11"/>
  <c r="L226" i="11" s="1"/>
  <c r="V226" i="11" s="1"/>
  <c r="W226" i="11" s="1"/>
  <c r="X226" i="11" s="1"/>
  <c r="F227" i="11"/>
  <c r="L227" i="11" s="1"/>
  <c r="V227" i="11" s="1"/>
  <c r="W227" i="11" s="1"/>
  <c r="X227" i="11" s="1"/>
  <c r="F228" i="11"/>
  <c r="L228" i="11" s="1"/>
  <c r="V228" i="11" s="1"/>
  <c r="F229" i="11"/>
  <c r="L229" i="11" s="1"/>
  <c r="V229" i="11" s="1"/>
  <c r="W229" i="11" s="1"/>
  <c r="X229" i="11" s="1"/>
  <c r="F230" i="11"/>
  <c r="L230" i="11" s="1"/>
  <c r="V230" i="11" s="1"/>
  <c r="W230" i="11" s="1"/>
  <c r="X230" i="11" s="1"/>
  <c r="F231" i="11"/>
  <c r="L231" i="11" s="1"/>
  <c r="V231" i="11" s="1"/>
  <c r="W231" i="11" s="1"/>
  <c r="X231" i="11" s="1"/>
  <c r="F232" i="11"/>
  <c r="L232" i="11" s="1"/>
  <c r="V232" i="11" s="1"/>
  <c r="F233" i="11"/>
  <c r="L233" i="11" s="1"/>
  <c r="V233" i="11" s="1"/>
  <c r="W233" i="11" s="1"/>
  <c r="X233" i="11" s="1"/>
  <c r="F234" i="11"/>
  <c r="L234" i="11" s="1"/>
  <c r="V234" i="11" s="1"/>
  <c r="W234" i="11" s="1"/>
  <c r="X234" i="11" s="1"/>
  <c r="F236" i="11"/>
  <c r="L236" i="11" s="1"/>
  <c r="V236" i="11" s="1"/>
  <c r="W236" i="11" s="1"/>
  <c r="X236" i="11" s="1"/>
  <c r="F237" i="11"/>
  <c r="L237" i="11" s="1"/>
  <c r="V237" i="11" s="1"/>
  <c r="F238" i="11"/>
  <c r="L238" i="11" s="1"/>
  <c r="V238" i="11" s="1"/>
  <c r="W238" i="11" s="1"/>
  <c r="X238" i="11" s="1"/>
  <c r="F239" i="11"/>
  <c r="L239" i="11" s="1"/>
  <c r="V239" i="11" s="1"/>
  <c r="W239" i="11" s="1"/>
  <c r="X239" i="11" s="1"/>
  <c r="F240" i="11"/>
  <c r="L240" i="11" s="1"/>
  <c r="V240" i="11" s="1"/>
  <c r="W240" i="11" s="1"/>
  <c r="X240" i="11" s="1"/>
  <c r="F241" i="11"/>
  <c r="L241" i="11" s="1"/>
  <c r="V241" i="11" s="1"/>
  <c r="W241" i="11" s="1"/>
  <c r="X241" i="11" s="1"/>
  <c r="F242" i="11"/>
  <c r="L242" i="11" s="1"/>
  <c r="V242" i="11" s="1"/>
  <c r="W242" i="11" s="1"/>
  <c r="X242" i="11" s="1"/>
  <c r="F243" i="11"/>
  <c r="L243" i="11" s="1"/>
  <c r="V243" i="11" s="1"/>
  <c r="W243" i="11" s="1"/>
  <c r="X243" i="11" s="1"/>
  <c r="F244" i="11"/>
  <c r="L244" i="11" s="1"/>
  <c r="V244" i="11" s="1"/>
  <c r="W244" i="11" s="1"/>
  <c r="X244" i="11" s="1"/>
  <c r="F245" i="11"/>
  <c r="L245" i="11" s="1"/>
  <c r="V245" i="11" s="1"/>
  <c r="W245" i="11" s="1"/>
  <c r="X245" i="11" s="1"/>
  <c r="F246" i="11"/>
  <c r="L246" i="11" s="1"/>
  <c r="V246" i="11" s="1"/>
  <c r="W246" i="11" s="1"/>
  <c r="X246" i="11" s="1"/>
  <c r="F247" i="11"/>
  <c r="L247" i="11" s="1"/>
  <c r="V247" i="11" s="1"/>
  <c r="W247" i="11" s="1"/>
  <c r="X247" i="11" s="1"/>
  <c r="F248" i="11"/>
  <c r="L248" i="11" s="1"/>
  <c r="V248" i="11" s="1"/>
  <c r="F249" i="11"/>
  <c r="L249" i="11" s="1"/>
  <c r="V249" i="11" s="1"/>
  <c r="F250" i="11"/>
  <c r="L250" i="11" s="1"/>
  <c r="V250" i="11" s="1"/>
  <c r="F251" i="11"/>
  <c r="L251" i="11" s="1"/>
  <c r="V251" i="11" s="1"/>
  <c r="W251" i="11" s="1"/>
  <c r="X251" i="11" s="1"/>
  <c r="F252" i="11"/>
  <c r="L252" i="11" s="1"/>
  <c r="V252" i="11" s="1"/>
  <c r="W252" i="11" s="1"/>
  <c r="X252" i="11" s="1"/>
  <c r="F253" i="11"/>
  <c r="L253" i="11" s="1"/>
  <c r="V253" i="11" s="1"/>
  <c r="F254" i="11"/>
  <c r="L254" i="11" s="1"/>
  <c r="V254" i="11" s="1"/>
  <c r="W254" i="11" s="1"/>
  <c r="X254" i="11" s="1"/>
  <c r="F255" i="11"/>
  <c r="L255" i="11" s="1"/>
  <c r="V255" i="11" s="1"/>
  <c r="W255" i="11" s="1"/>
  <c r="X255" i="11" s="1"/>
  <c r="F256" i="11"/>
  <c r="L256" i="11" s="1"/>
  <c r="V256" i="11" s="1"/>
  <c r="F257" i="11"/>
  <c r="L257" i="11" s="1"/>
  <c r="V257" i="11" s="1"/>
  <c r="W257" i="11" s="1"/>
  <c r="X257" i="11" s="1"/>
  <c r="F258" i="11"/>
  <c r="L258" i="11" s="1"/>
  <c r="V258" i="11" s="1"/>
  <c r="W258" i="11" s="1"/>
  <c r="X258" i="11" s="1"/>
  <c r="F259" i="11"/>
  <c r="L259" i="11" s="1"/>
  <c r="V259" i="11" s="1"/>
  <c r="W259" i="11" s="1"/>
  <c r="X259" i="11" s="1"/>
  <c r="F260" i="11"/>
  <c r="L260" i="11" s="1"/>
  <c r="V260" i="11" s="1"/>
  <c r="W260" i="11" s="1"/>
  <c r="X260" i="11" s="1"/>
  <c r="F261" i="11"/>
  <c r="L261" i="11" s="1"/>
  <c r="V261" i="11" s="1"/>
  <c r="W261" i="11" s="1"/>
  <c r="X261" i="11" s="1"/>
  <c r="F262" i="11"/>
  <c r="L262" i="11" s="1"/>
  <c r="V262" i="11" s="1"/>
  <c r="W262" i="11" s="1"/>
  <c r="X262" i="11" s="1"/>
  <c r="F263" i="11"/>
  <c r="L263" i="11" s="1"/>
  <c r="V263" i="11" s="1"/>
  <c r="W263" i="11" s="1"/>
  <c r="X263" i="11" s="1"/>
  <c r="F264" i="11"/>
  <c r="L264" i="11" s="1"/>
  <c r="V264" i="11" s="1"/>
  <c r="W264" i="11" s="1"/>
  <c r="X264" i="11" s="1"/>
  <c r="F265" i="11"/>
  <c r="L265" i="11" s="1"/>
  <c r="V265" i="11" s="1"/>
  <c r="F266" i="11"/>
  <c r="L266" i="11" s="1"/>
  <c r="V266" i="11" s="1"/>
  <c r="F267" i="11"/>
  <c r="L267" i="11" s="1"/>
  <c r="V267" i="11" s="1"/>
  <c r="W267" i="11" s="1"/>
  <c r="X267" i="11" s="1"/>
  <c r="F268" i="11"/>
  <c r="L268" i="11" s="1"/>
  <c r="V268" i="11" s="1"/>
  <c r="W268" i="11" s="1"/>
  <c r="X268" i="11" s="1"/>
  <c r="F269" i="11"/>
  <c r="L269" i="11" s="1"/>
  <c r="V269" i="11" s="1"/>
  <c r="F270" i="11"/>
  <c r="L270" i="11" s="1"/>
  <c r="V270" i="11" s="1"/>
  <c r="W270" i="11" s="1"/>
  <c r="X270" i="11" s="1"/>
  <c r="F271" i="11"/>
  <c r="L271" i="11" s="1"/>
  <c r="V271" i="11" s="1"/>
  <c r="W271" i="11" s="1"/>
  <c r="X271" i="11" s="1"/>
  <c r="F272" i="11"/>
  <c r="L272" i="11" s="1"/>
  <c r="V272" i="11" s="1"/>
  <c r="W272" i="11" s="1"/>
  <c r="X272" i="11" s="1"/>
  <c r="F273" i="11"/>
  <c r="L273" i="11" s="1"/>
  <c r="V273" i="11" s="1"/>
  <c r="F274" i="11"/>
  <c r="L274" i="11" s="1"/>
  <c r="V274" i="11" s="1"/>
  <c r="W274" i="11" s="1"/>
  <c r="X274" i="11" s="1"/>
  <c r="F275" i="11"/>
  <c r="L275" i="11" s="1"/>
  <c r="V275" i="11" s="1"/>
  <c r="W275" i="11" s="1"/>
  <c r="X275" i="11" s="1"/>
  <c r="F276" i="11"/>
  <c r="L276" i="11" s="1"/>
  <c r="V276" i="11" s="1"/>
  <c r="W276" i="11" s="1"/>
  <c r="X276" i="11" s="1"/>
  <c r="F277" i="11"/>
  <c r="L277" i="11" s="1"/>
  <c r="V277" i="11" s="1"/>
  <c r="F278" i="11"/>
  <c r="L278" i="11" s="1"/>
  <c r="V278" i="11" s="1"/>
  <c r="F279" i="11"/>
  <c r="L279" i="11" s="1"/>
  <c r="V279" i="11" s="1"/>
  <c r="W279" i="11" s="1"/>
  <c r="X279" i="11" s="1"/>
  <c r="F280" i="11"/>
  <c r="L280" i="11" s="1"/>
  <c r="V280" i="11" s="1"/>
  <c r="W280" i="11" s="1"/>
  <c r="X280" i="11" s="1"/>
  <c r="F281" i="11"/>
  <c r="L281" i="11" s="1"/>
  <c r="V281" i="11" s="1"/>
  <c r="F282" i="11"/>
  <c r="L282" i="11" s="1"/>
  <c r="V282" i="11" s="1"/>
  <c r="W282" i="11" s="1"/>
  <c r="X282" i="11" s="1"/>
  <c r="F283" i="11"/>
  <c r="L283" i="11" s="1"/>
  <c r="V283" i="11" s="1"/>
  <c r="W283" i="11" s="1"/>
  <c r="X283" i="11" s="1"/>
  <c r="F284" i="11"/>
  <c r="L284" i="11" s="1"/>
  <c r="V284" i="11" s="1"/>
  <c r="F285" i="11"/>
  <c r="L285" i="11" s="1"/>
  <c r="V285" i="11" s="1"/>
  <c r="W285" i="11" s="1"/>
  <c r="X285" i="11" s="1"/>
  <c r="F286" i="11"/>
  <c r="L286" i="11" s="1"/>
  <c r="V286" i="11" s="1"/>
  <c r="F287" i="11"/>
  <c r="L287" i="11" s="1"/>
  <c r="V287" i="11" s="1"/>
  <c r="W287" i="11" s="1"/>
  <c r="X287" i="11" s="1"/>
  <c r="F288" i="11"/>
  <c r="L288" i="11" s="1"/>
  <c r="V288" i="11" s="1"/>
  <c r="W288" i="11" s="1"/>
  <c r="X288" i="11" s="1"/>
  <c r="F289" i="11"/>
  <c r="L289" i="11" s="1"/>
  <c r="V289" i="11" s="1"/>
  <c r="F290" i="11"/>
  <c r="L290" i="11" s="1"/>
  <c r="V290" i="11" s="1"/>
  <c r="W290" i="11" s="1"/>
  <c r="X290" i="11" s="1"/>
  <c r="F291" i="11"/>
  <c r="L291" i="11" s="1"/>
  <c r="V291" i="11" s="1"/>
  <c r="W291" i="11" s="1"/>
  <c r="X291" i="11" s="1"/>
  <c r="F292" i="11"/>
  <c r="L292" i="11" s="1"/>
  <c r="V292" i="11" s="1"/>
  <c r="F293" i="11"/>
  <c r="L293" i="11" s="1"/>
  <c r="V293" i="11" s="1"/>
  <c r="W293" i="11" s="1"/>
  <c r="X293" i="11" s="1"/>
  <c r="F294" i="11"/>
  <c r="L294" i="11" s="1"/>
  <c r="V294" i="11" s="1"/>
  <c r="W294" i="11" s="1"/>
  <c r="X294" i="11" s="1"/>
  <c r="F295" i="11"/>
  <c r="L295" i="11" s="1"/>
  <c r="V295" i="11" s="1"/>
  <c r="W295" i="11" s="1"/>
  <c r="X295" i="11" s="1"/>
  <c r="F296" i="11"/>
  <c r="L296" i="11" s="1"/>
  <c r="V296" i="11" s="1"/>
  <c r="W296" i="11" s="1"/>
  <c r="X296" i="11" s="1"/>
  <c r="F297" i="11"/>
  <c r="L297" i="11" s="1"/>
  <c r="V297" i="11" s="1"/>
  <c r="W297" i="11" s="1"/>
  <c r="X297" i="11" s="1"/>
  <c r="F298" i="11"/>
  <c r="L298" i="11" s="1"/>
  <c r="V298" i="11" s="1"/>
  <c r="W298" i="11" s="1"/>
  <c r="X298" i="11" s="1"/>
  <c r="F299" i="11"/>
  <c r="L299" i="11" s="1"/>
  <c r="V299" i="11" s="1"/>
  <c r="W299" i="11" s="1"/>
  <c r="X299" i="11" s="1"/>
  <c r="F300" i="11"/>
  <c r="L300" i="11" s="1"/>
  <c r="V300" i="11" s="1"/>
  <c r="W300" i="11" s="1"/>
  <c r="X300" i="11" s="1"/>
  <c r="F2" i="11"/>
  <c r="L2" i="11" s="1"/>
  <c r="V2" i="11" s="1"/>
  <c r="W2" i="11" s="1"/>
  <c r="X2" i="11" s="1"/>
  <c r="AH147" i="14" l="1"/>
  <c r="AH22" i="14"/>
  <c r="AH290" i="14"/>
  <c r="AH62" i="14"/>
  <c r="AH218" i="14"/>
  <c r="AH93" i="14"/>
  <c r="AH8" i="14"/>
  <c r="AH58" i="14"/>
  <c r="AH216" i="14"/>
  <c r="AH197" i="14"/>
  <c r="AH96" i="14"/>
  <c r="AH173" i="14"/>
  <c r="AH127" i="14"/>
  <c r="AH206" i="14"/>
  <c r="AH56" i="14"/>
  <c r="AH212" i="14"/>
  <c r="AH41" i="14"/>
  <c r="AH256" i="14"/>
  <c r="AH193" i="14"/>
  <c r="AH14" i="14"/>
  <c r="AH159" i="14"/>
  <c r="AH262" i="14"/>
  <c r="AH104" i="14"/>
  <c r="AH134" i="14"/>
  <c r="AH30" i="14"/>
  <c r="AH208" i="14"/>
  <c r="AH114" i="14"/>
  <c r="AH280" i="14"/>
  <c r="AH40" i="14"/>
  <c r="AH187" i="14"/>
  <c r="AH91" i="14"/>
  <c r="AH126" i="14"/>
  <c r="AH268" i="14"/>
  <c r="AH158" i="14"/>
  <c r="AH24" i="14"/>
  <c r="AH243" i="14"/>
  <c r="AH203" i="14"/>
  <c r="AH263" i="14"/>
  <c r="AH154" i="14"/>
  <c r="AH244" i="14"/>
  <c r="AH231" i="14"/>
  <c r="BO85" i="13"/>
  <c r="AE280" i="13"/>
  <c r="T132" i="13"/>
  <c r="AE195" i="13"/>
  <c r="BO97" i="13"/>
  <c r="BO33" i="13"/>
  <c r="BM98" i="13"/>
  <c r="AE288" i="13"/>
  <c r="AE161" i="13"/>
  <c r="T169" i="13"/>
  <c r="AE145" i="13"/>
  <c r="T140" i="13"/>
  <c r="AE101" i="13"/>
  <c r="BO73" i="13"/>
  <c r="T254" i="13"/>
  <c r="BM242" i="13"/>
  <c r="T43" i="13"/>
  <c r="AE35" i="13"/>
  <c r="BF2" i="13"/>
  <c r="T239" i="13"/>
  <c r="AE3" i="13"/>
  <c r="T263" i="13"/>
  <c r="X263" i="13" s="1"/>
  <c r="Y263" i="13" s="1"/>
  <c r="T296" i="13"/>
  <c r="T265" i="13"/>
  <c r="T206" i="13"/>
  <c r="T167" i="13"/>
  <c r="X167" i="13" s="1"/>
  <c r="Y167" i="13" s="1"/>
  <c r="T245" i="13"/>
  <c r="T146" i="13"/>
  <c r="AE144" i="13"/>
  <c r="AE157" i="13"/>
  <c r="T55" i="13"/>
  <c r="T253" i="13"/>
  <c r="T191" i="13"/>
  <c r="T180" i="13"/>
  <c r="AE158" i="13"/>
  <c r="AE151" i="13"/>
  <c r="T138" i="13"/>
  <c r="T118" i="13"/>
  <c r="T91" i="13"/>
  <c r="T271" i="13"/>
  <c r="T256" i="13"/>
  <c r="AE246" i="13"/>
  <c r="T243" i="13"/>
  <c r="AE213" i="13"/>
  <c r="AE156" i="13"/>
  <c r="AE87" i="13"/>
  <c r="T160" i="13"/>
  <c r="T93" i="13"/>
  <c r="X93" i="13" s="1"/>
  <c r="Y93" i="13" s="1"/>
  <c r="AI93" i="13" s="1"/>
  <c r="AJ93" i="13" s="1"/>
  <c r="AK93" i="13" s="1"/>
  <c r="X136" i="13"/>
  <c r="Y136" i="13" s="1"/>
  <c r="AI136" i="13" s="1"/>
  <c r="AJ136" i="13" s="1"/>
  <c r="AK136" i="13" s="1"/>
  <c r="X280" i="13"/>
  <c r="Y280" i="13" s="1"/>
  <c r="AI280" i="13" s="1"/>
  <c r="AJ280" i="13" s="1"/>
  <c r="AK280" i="13" s="1"/>
  <c r="AE229" i="13"/>
  <c r="AE164" i="13"/>
  <c r="AE223" i="13"/>
  <c r="AE115" i="13"/>
  <c r="BN288" i="13"/>
  <c r="BM212" i="13"/>
  <c r="BN108" i="13"/>
  <c r="BO100" i="13"/>
  <c r="BM82" i="13"/>
  <c r="BO74" i="13"/>
  <c r="BO58" i="13"/>
  <c r="BO42" i="13"/>
  <c r="BN28" i="13"/>
  <c r="BN265" i="13"/>
  <c r="BN263" i="13"/>
  <c r="T252" i="13"/>
  <c r="BN289" i="13"/>
  <c r="BN214" i="13"/>
  <c r="BO106" i="13"/>
  <c r="BN92" i="13"/>
  <c r="BO84" i="13"/>
  <c r="BM66" i="13"/>
  <c r="BM50" i="13"/>
  <c r="BO285" i="13"/>
  <c r="BN232" i="13"/>
  <c r="BN123" i="13"/>
  <c r="BN105" i="13"/>
  <c r="BO81" i="13"/>
  <c r="BN73" i="13"/>
  <c r="BO49" i="13"/>
  <c r="BN41" i="13"/>
  <c r="BN44" i="13"/>
  <c r="AE284" i="13"/>
  <c r="X282" i="13"/>
  <c r="Y282" i="13" s="1"/>
  <c r="AI282" i="13" s="1"/>
  <c r="AJ282" i="13" s="1"/>
  <c r="AK282" i="13" s="1"/>
  <c r="AE235" i="13"/>
  <c r="BN140" i="13"/>
  <c r="BN130" i="13"/>
  <c r="BM114" i="13"/>
  <c r="BO98" i="13"/>
  <c r="BM90" i="13"/>
  <c r="BO90" i="13"/>
  <c r="BN84" i="13"/>
  <c r="BO76" i="13"/>
  <c r="BO68" i="13"/>
  <c r="BO60" i="13"/>
  <c r="BO52" i="13"/>
  <c r="BO44" i="13"/>
  <c r="BM34" i="13"/>
  <c r="BN285" i="13"/>
  <c r="BM137" i="13"/>
  <c r="BO131" i="13"/>
  <c r="BM122" i="13"/>
  <c r="BO122" i="13"/>
  <c r="AE248" i="13"/>
  <c r="T255" i="13"/>
  <c r="AE227" i="13"/>
  <c r="T204" i="13"/>
  <c r="AE210" i="13"/>
  <c r="AE225" i="13"/>
  <c r="AE187" i="13"/>
  <c r="AE174" i="13"/>
  <c r="AE51" i="13"/>
  <c r="AE11" i="13"/>
  <c r="X109" i="13"/>
  <c r="Y109" i="13" s="1"/>
  <c r="AI109" i="13" s="1"/>
  <c r="AJ109" i="13" s="1"/>
  <c r="AK109" i="13" s="1"/>
  <c r="BM288" i="13"/>
  <c r="BN106" i="13"/>
  <c r="BM92" i="13"/>
  <c r="BN26" i="13"/>
  <c r="BM232" i="13"/>
  <c r="BO244" i="13"/>
  <c r="BG2" i="13"/>
  <c r="BL2" i="13" s="1"/>
  <c r="BO278" i="13"/>
  <c r="BO238" i="13"/>
  <c r="BM214" i="13"/>
  <c r="BM140" i="13"/>
  <c r="BO130" i="13"/>
  <c r="BN90" i="13"/>
  <c r="BM285" i="13"/>
  <c r="BM274" i="13"/>
  <c r="BO139" i="13"/>
  <c r="BN137" i="13"/>
  <c r="BN122" i="13"/>
  <c r="BM81" i="13"/>
  <c r="BM49" i="13"/>
  <c r="BN236" i="13"/>
  <c r="BN135" i="13"/>
  <c r="BO37" i="13"/>
  <c r="BN29" i="13"/>
  <c r="X285" i="13"/>
  <c r="Y285" i="13" s="1"/>
  <c r="AI285" i="13" s="1"/>
  <c r="AJ285" i="13" s="1"/>
  <c r="AK285" i="13" s="1"/>
  <c r="AE122" i="13"/>
  <c r="T99" i="13"/>
  <c r="X99" i="13" s="1"/>
  <c r="Y99" i="13" s="1"/>
  <c r="BO287" i="13"/>
  <c r="BM257" i="13"/>
  <c r="BN226" i="13"/>
  <c r="BO224" i="13"/>
  <c r="BO212" i="13"/>
  <c r="BN119" i="13"/>
  <c r="BM76" i="13"/>
  <c r="BM60" i="13"/>
  <c r="BM44" i="13"/>
  <c r="BN276" i="13"/>
  <c r="BM131" i="13"/>
  <c r="BO129" i="13"/>
  <c r="BN230" i="13"/>
  <c r="AE82" i="13"/>
  <c r="T82" i="13"/>
  <c r="X82" i="13" s="1"/>
  <c r="Y82" i="13" s="1"/>
  <c r="AI82" i="13" s="1"/>
  <c r="AJ82" i="13" s="1"/>
  <c r="AK82" i="13" s="1"/>
  <c r="T103" i="13"/>
  <c r="X103" i="13" s="1"/>
  <c r="Y103" i="13" s="1"/>
  <c r="AE285" i="13"/>
  <c r="BO288" i="13"/>
  <c r="BM238" i="13"/>
  <c r="BN212" i="13"/>
  <c r="BO132" i="13"/>
  <c r="BM130" i="13"/>
  <c r="BN82" i="13"/>
  <c r="BM68" i="13"/>
  <c r="BM52" i="13"/>
  <c r="BN274" i="13"/>
  <c r="T142" i="13"/>
  <c r="AE142" i="13"/>
  <c r="AE155" i="13"/>
  <c r="T155" i="13"/>
  <c r="AE171" i="13"/>
  <c r="T171" i="13"/>
  <c r="AE300" i="13"/>
  <c r="AE292" i="13"/>
  <c r="T269" i="13"/>
  <c r="X267" i="13"/>
  <c r="Y267" i="13" s="1"/>
  <c r="AI267" i="13" s="1"/>
  <c r="AJ267" i="13" s="1"/>
  <c r="AK267" i="13" s="1"/>
  <c r="T262" i="13"/>
  <c r="T199" i="13"/>
  <c r="T197" i="13"/>
  <c r="T182" i="13"/>
  <c r="T176" i="13"/>
  <c r="T211" i="13"/>
  <c r="T147" i="13"/>
  <c r="AE286" i="13"/>
  <c r="T286" i="13"/>
  <c r="X286" i="13" s="1"/>
  <c r="Y286" i="13" s="1"/>
  <c r="AE179" i="13"/>
  <c r="T179" i="13"/>
  <c r="AE196" i="13"/>
  <c r="T196" i="13"/>
  <c r="AE293" i="13"/>
  <c r="T293" i="13"/>
  <c r="AE95" i="13"/>
  <c r="T95" i="13"/>
  <c r="T194" i="13"/>
  <c r="T163" i="13"/>
  <c r="T168" i="13"/>
  <c r="AE226" i="13"/>
  <c r="BM278" i="13"/>
  <c r="BO214" i="13"/>
  <c r="BN66" i="13"/>
  <c r="BN50" i="13"/>
  <c r="BM36" i="13"/>
  <c r="BM265" i="13"/>
  <c r="BN139" i="13"/>
  <c r="BN129" i="13"/>
  <c r="BM123" i="13"/>
  <c r="BM89" i="13"/>
  <c r="BM57" i="13"/>
  <c r="BO236" i="13"/>
  <c r="BO133" i="13"/>
  <c r="BN101" i="13"/>
  <c r="BO77" i="13"/>
  <c r="BN69" i="13"/>
  <c r="BO45" i="13"/>
  <c r="BN37" i="13"/>
  <c r="BI2" i="13"/>
  <c r="BN2" i="13" s="1"/>
  <c r="X79" i="13"/>
  <c r="Y79" i="13" s="1"/>
  <c r="AI79" i="13" s="1"/>
  <c r="AJ79" i="13" s="1"/>
  <c r="AK79" i="13" s="1"/>
  <c r="AE123" i="13"/>
  <c r="AE119" i="13"/>
  <c r="BM289" i="13"/>
  <c r="BN278" i="13"/>
  <c r="BN257" i="13"/>
  <c r="BN238" i="13"/>
  <c r="BM224" i="13"/>
  <c r="BN125" i="13"/>
  <c r="BO119" i="13"/>
  <c r="BN114" i="13"/>
  <c r="BO108" i="13"/>
  <c r="BM100" i="13"/>
  <c r="BO82" i="13"/>
  <c r="BN68" i="13"/>
  <c r="BP60" i="13"/>
  <c r="BQ60" i="13" s="1"/>
  <c r="BN52" i="13"/>
  <c r="BN34" i="13"/>
  <c r="BO28" i="13"/>
  <c r="BO274" i="13"/>
  <c r="BO265" i="13"/>
  <c r="BM139" i="13"/>
  <c r="BO137" i="13"/>
  <c r="BO123" i="13"/>
  <c r="BO89" i="13"/>
  <c r="BN81" i="13"/>
  <c r="BO57" i="13"/>
  <c r="BN49" i="13"/>
  <c r="BM236" i="13"/>
  <c r="BO135" i="13"/>
  <c r="T205" i="13"/>
  <c r="T166" i="13"/>
  <c r="X101" i="13"/>
  <c r="Y101" i="13" s="1"/>
  <c r="AI101" i="13" s="1"/>
  <c r="AJ101" i="13" s="1"/>
  <c r="AK101" i="13" s="1"/>
  <c r="BO289" i="13"/>
  <c r="BM287" i="13"/>
  <c r="BN234" i="13"/>
  <c r="BM226" i="13"/>
  <c r="BN224" i="13"/>
  <c r="BM132" i="13"/>
  <c r="BM118" i="13"/>
  <c r="BN98" i="13"/>
  <c r="BO92" i="13"/>
  <c r="BM84" i="13"/>
  <c r="BM74" i="13"/>
  <c r="BO66" i="13"/>
  <c r="BM58" i="13"/>
  <c r="BO50" i="13"/>
  <c r="BM42" i="13"/>
  <c r="BN36" i="13"/>
  <c r="BM286" i="13"/>
  <c r="BO276" i="13"/>
  <c r="BP263" i="13"/>
  <c r="BU263" i="13" s="1"/>
  <c r="BO232" i="13"/>
  <c r="BN131" i="13"/>
  <c r="BM129" i="13"/>
  <c r="BM105" i="13"/>
  <c r="BM73" i="13"/>
  <c r="BM41" i="13"/>
  <c r="BO242" i="13"/>
  <c r="BM101" i="13"/>
  <c r="BO93" i="13"/>
  <c r="BN85" i="13"/>
  <c r="BM69" i="13"/>
  <c r="BO61" i="13"/>
  <c r="BN53" i="13"/>
  <c r="BM37" i="13"/>
  <c r="BO29" i="13"/>
  <c r="BN21" i="13"/>
  <c r="BK2" i="13"/>
  <c r="BM39" i="13"/>
  <c r="BN284" i="13"/>
  <c r="BM283" i="13"/>
  <c r="BN272" i="13"/>
  <c r="BN240" i="13"/>
  <c r="BM228" i="13"/>
  <c r="BN220" i="13"/>
  <c r="BO112" i="13"/>
  <c r="BM110" i="13"/>
  <c r="BO102" i="13"/>
  <c r="BO96" i="13"/>
  <c r="BN88" i="13"/>
  <c r="BN86" i="13"/>
  <c r="BM80" i="13"/>
  <c r="BN78" i="13"/>
  <c r="BN70" i="13"/>
  <c r="BN62" i="13"/>
  <c r="BN54" i="13"/>
  <c r="BN46" i="13"/>
  <c r="BM38" i="13"/>
  <c r="BN32" i="13"/>
  <c r="X39" i="13"/>
  <c r="Y39" i="13" s="1"/>
  <c r="AI39" i="13" s="1"/>
  <c r="AJ39" i="13" s="1"/>
  <c r="AK39" i="13" s="1"/>
  <c r="BM79" i="13"/>
  <c r="BN23" i="13"/>
  <c r="BO281" i="13"/>
  <c r="BN280" i="13"/>
  <c r="BN267" i="13"/>
  <c r="BO228" i="13"/>
  <c r="BM222" i="13"/>
  <c r="BO126" i="13"/>
  <c r="BM117" i="13"/>
  <c r="BN112" i="13"/>
  <c r="BN96" i="13"/>
  <c r="BM88" i="13"/>
  <c r="BO86" i="13"/>
  <c r="BM78" i="13"/>
  <c r="BM62" i="13"/>
  <c r="BM46" i="13"/>
  <c r="BN282" i="13"/>
  <c r="BN259" i="13"/>
  <c r="BM244" i="13"/>
  <c r="BM133" i="13"/>
  <c r="BO101" i="13"/>
  <c r="BN93" i="13"/>
  <c r="BM77" i="13"/>
  <c r="BO69" i="13"/>
  <c r="BN61" i="13"/>
  <c r="BM45" i="13"/>
  <c r="BH2" i="13"/>
  <c r="BM2" i="13" s="1"/>
  <c r="BN242" i="13"/>
  <c r="BM135" i="13"/>
  <c r="BO230" i="13"/>
  <c r="BM93" i="13"/>
  <c r="BM61" i="13"/>
  <c r="BM29" i="13"/>
  <c r="X127" i="13"/>
  <c r="Y127" i="13" s="1"/>
  <c r="AI127" i="13" s="1"/>
  <c r="AJ127" i="13" s="1"/>
  <c r="AK127" i="13" s="1"/>
  <c r="Q299" i="13"/>
  <c r="U299" i="13" s="1"/>
  <c r="AF299" i="13" s="1"/>
  <c r="BN299" i="13"/>
  <c r="BO299" i="13"/>
  <c r="BM299" i="13"/>
  <c r="Q291" i="13"/>
  <c r="U291" i="13" s="1"/>
  <c r="AF291" i="13" s="1"/>
  <c r="BN291" i="13"/>
  <c r="BO291" i="13"/>
  <c r="BM291" i="13"/>
  <c r="Q298" i="13"/>
  <c r="U298" i="13" s="1"/>
  <c r="AF298" i="13" s="1"/>
  <c r="BO298" i="13"/>
  <c r="BN298" i="13"/>
  <c r="BM298" i="13"/>
  <c r="Q294" i="13"/>
  <c r="U294" i="13" s="1"/>
  <c r="AF294" i="13" s="1"/>
  <c r="BM294" i="13"/>
  <c r="BO294" i="13"/>
  <c r="BN294" i="13"/>
  <c r="Q290" i="13"/>
  <c r="U290" i="13" s="1"/>
  <c r="AF290" i="13" s="1"/>
  <c r="BO290" i="13"/>
  <c r="BN290" i="13"/>
  <c r="BM290" i="13"/>
  <c r="Q275" i="13"/>
  <c r="U275" i="13" s="1"/>
  <c r="AF275" i="13" s="1"/>
  <c r="BN275" i="13"/>
  <c r="BO275" i="13"/>
  <c r="BM275" i="13"/>
  <c r="Q266" i="13"/>
  <c r="U266" i="13" s="1"/>
  <c r="AF266" i="13" s="1"/>
  <c r="BO266" i="13"/>
  <c r="BN266" i="13"/>
  <c r="BM266" i="13"/>
  <c r="Q258" i="13"/>
  <c r="U258" i="13" s="1"/>
  <c r="AF258" i="13" s="1"/>
  <c r="BN258" i="13"/>
  <c r="BM258" i="13"/>
  <c r="Q253" i="13"/>
  <c r="U253" i="13" s="1"/>
  <c r="AF253" i="13" s="1"/>
  <c r="BO253" i="13"/>
  <c r="BM253" i="13"/>
  <c r="BN253" i="13"/>
  <c r="BM254" i="13"/>
  <c r="BN254" i="13"/>
  <c r="Q229" i="13"/>
  <c r="U229" i="13" s="1"/>
  <c r="AF229" i="13" s="1"/>
  <c r="BO229" i="13"/>
  <c r="BM229" i="13"/>
  <c r="BN229" i="13"/>
  <c r="Q199" i="13"/>
  <c r="U199" i="13" s="1"/>
  <c r="AF199" i="13" s="1"/>
  <c r="BN199" i="13"/>
  <c r="BO199" i="13"/>
  <c r="BM199" i="13"/>
  <c r="Q235" i="13"/>
  <c r="U235" i="13" s="1"/>
  <c r="AF235" i="13" s="1"/>
  <c r="BN235" i="13"/>
  <c r="BO235" i="13"/>
  <c r="BM235" i="13"/>
  <c r="Q219" i="13"/>
  <c r="U219" i="13" s="1"/>
  <c r="AF219" i="13" s="1"/>
  <c r="BN219" i="13"/>
  <c r="BM219" i="13"/>
  <c r="Q204" i="13"/>
  <c r="U204" i="13" s="1"/>
  <c r="AF204" i="13" s="1"/>
  <c r="BO204" i="13"/>
  <c r="BN204" i="13"/>
  <c r="BM204" i="13"/>
  <c r="Q210" i="13"/>
  <c r="U210" i="13" s="1"/>
  <c r="AF210" i="13" s="1"/>
  <c r="BO210" i="13"/>
  <c r="BM210" i="13"/>
  <c r="BM153" i="13"/>
  <c r="BN153" i="13"/>
  <c r="BN215" i="13"/>
  <c r="BO215" i="13"/>
  <c r="BM215" i="13"/>
  <c r="Q186" i="13"/>
  <c r="U186" i="13" s="1"/>
  <c r="AF186" i="13" s="1"/>
  <c r="BO186" i="13"/>
  <c r="BN186" i="13"/>
  <c r="BM186" i="13"/>
  <c r="Q184" i="13"/>
  <c r="U184" i="13" s="1"/>
  <c r="AF184" i="13" s="1"/>
  <c r="BN184" i="13"/>
  <c r="BM184" i="13"/>
  <c r="BO184" i="13"/>
  <c r="BO145" i="13"/>
  <c r="BM145" i="13"/>
  <c r="BN145" i="13"/>
  <c r="BN223" i="13"/>
  <c r="BO223" i="13"/>
  <c r="BM223" i="13"/>
  <c r="T251" i="13"/>
  <c r="Q195" i="13"/>
  <c r="U195" i="13" s="1"/>
  <c r="AF195" i="13" s="1"/>
  <c r="BN195" i="13"/>
  <c r="BO195" i="13"/>
  <c r="BM195" i="13"/>
  <c r="BN151" i="13"/>
  <c r="BO151" i="13"/>
  <c r="BM151" i="13"/>
  <c r="Q51" i="13"/>
  <c r="U51" i="13" s="1"/>
  <c r="AF51" i="13" s="1"/>
  <c r="BN51" i="13"/>
  <c r="BO51" i="13"/>
  <c r="BM51" i="13"/>
  <c r="Q145" i="13"/>
  <c r="U145" i="13" s="1"/>
  <c r="AF145" i="13" s="1"/>
  <c r="Q124" i="13"/>
  <c r="U124" i="13" s="1"/>
  <c r="AF124" i="13" s="1"/>
  <c r="BO124" i="13"/>
  <c r="BN124" i="13"/>
  <c r="BM124" i="13"/>
  <c r="Q116" i="13"/>
  <c r="U116" i="13" s="1"/>
  <c r="AF116" i="13" s="1"/>
  <c r="BO116" i="13"/>
  <c r="BN116" i="13"/>
  <c r="BM116" i="13"/>
  <c r="T81" i="13"/>
  <c r="X81" i="13" s="1"/>
  <c r="Y81" i="13" s="1"/>
  <c r="AI81" i="13" s="1"/>
  <c r="AJ81" i="13" s="1"/>
  <c r="AK81" i="13" s="1"/>
  <c r="T49" i="13"/>
  <c r="X49" i="13" s="1"/>
  <c r="Y49" i="13" s="1"/>
  <c r="AI49" i="13" s="1"/>
  <c r="AJ49" i="13" s="1"/>
  <c r="AK49" i="13" s="1"/>
  <c r="T17" i="13"/>
  <c r="X17" i="13" s="1"/>
  <c r="Y17" i="13" s="1"/>
  <c r="AI17" i="13" s="1"/>
  <c r="AJ17" i="13" s="1"/>
  <c r="AK17" i="13" s="1"/>
  <c r="BN71" i="13"/>
  <c r="BO71" i="13"/>
  <c r="BM71" i="13"/>
  <c r="BN31" i="13"/>
  <c r="BO31" i="13"/>
  <c r="BM31" i="13"/>
  <c r="Q149" i="13"/>
  <c r="U149" i="13" s="1"/>
  <c r="AF149" i="13" s="1"/>
  <c r="BO149" i="13"/>
  <c r="BM149" i="13"/>
  <c r="BN149" i="13"/>
  <c r="Q152" i="13"/>
  <c r="U152" i="13" s="1"/>
  <c r="AF152" i="13" s="1"/>
  <c r="BM152" i="13"/>
  <c r="BO152" i="13"/>
  <c r="Q59" i="13"/>
  <c r="U59" i="13" s="1"/>
  <c r="AF59" i="13" s="1"/>
  <c r="BO59" i="13"/>
  <c r="T111" i="13"/>
  <c r="X111" i="13" s="1"/>
  <c r="Y111" i="13" s="1"/>
  <c r="AI111" i="13" s="1"/>
  <c r="AJ111" i="13" s="1"/>
  <c r="AK111" i="13" s="1"/>
  <c r="BO103" i="13"/>
  <c r="BN87" i="13"/>
  <c r="BO39" i="13"/>
  <c r="BO284" i="13"/>
  <c r="BO283" i="13"/>
  <c r="BO272" i="13"/>
  <c r="BM261" i="13"/>
  <c r="BN250" i="13"/>
  <c r="BO240" i="13"/>
  <c r="BN228" i="13"/>
  <c r="BN216" i="13"/>
  <c r="BN144" i="13"/>
  <c r="BM136" i="13"/>
  <c r="BO80" i="13"/>
  <c r="BM72" i="13"/>
  <c r="BO70" i="13"/>
  <c r="BO64" i="13"/>
  <c r="BM56" i="13"/>
  <c r="BO54" i="13"/>
  <c r="BO48" i="13"/>
  <c r="BN40" i="13"/>
  <c r="BN38" i="13"/>
  <c r="BO30" i="13"/>
  <c r="BN218" i="13"/>
  <c r="BO143" i="13"/>
  <c r="BN141" i="13"/>
  <c r="BN121" i="13"/>
  <c r="BM115" i="13"/>
  <c r="BO113" i="13"/>
  <c r="BM113" i="13"/>
  <c r="BN113" i="13"/>
  <c r="BM109" i="13"/>
  <c r="BM43" i="13"/>
  <c r="BO35" i="13"/>
  <c r="Q297" i="13"/>
  <c r="U297" i="13" s="1"/>
  <c r="AF297" i="13" s="1"/>
  <c r="BM297" i="13"/>
  <c r="BN297" i="13"/>
  <c r="T290" i="13"/>
  <c r="Q279" i="13"/>
  <c r="U279" i="13" s="1"/>
  <c r="AF279" i="13" s="1"/>
  <c r="BN279" i="13"/>
  <c r="BM279" i="13"/>
  <c r="Q273" i="13"/>
  <c r="U273" i="13" s="1"/>
  <c r="AF273" i="13" s="1"/>
  <c r="BM273" i="13"/>
  <c r="BN273" i="13"/>
  <c r="Q269" i="13"/>
  <c r="U269" i="13" s="1"/>
  <c r="AF269" i="13" s="1"/>
  <c r="BO269" i="13"/>
  <c r="BN269" i="13"/>
  <c r="Q264" i="13"/>
  <c r="U264" i="13" s="1"/>
  <c r="AF264" i="13" s="1"/>
  <c r="BN264" i="13"/>
  <c r="BM264" i="13"/>
  <c r="BO264" i="13"/>
  <c r="Q262" i="13"/>
  <c r="U262" i="13" s="1"/>
  <c r="AF262" i="13" s="1"/>
  <c r="BM262" i="13"/>
  <c r="BO262" i="13"/>
  <c r="BN262" i="13"/>
  <c r="Q256" i="13"/>
  <c r="U256" i="13" s="1"/>
  <c r="AF256" i="13" s="1"/>
  <c r="BN256" i="13"/>
  <c r="BM256" i="13"/>
  <c r="BO256" i="13"/>
  <c r="Q251" i="13"/>
  <c r="U251" i="13" s="1"/>
  <c r="BN251" i="13"/>
  <c r="BM251" i="13"/>
  <c r="Q243" i="13"/>
  <c r="U243" i="13" s="1"/>
  <c r="AF243" i="13" s="1"/>
  <c r="BO243" i="13"/>
  <c r="BM243" i="13"/>
  <c r="Q254" i="13"/>
  <c r="U254" i="13" s="1"/>
  <c r="AF254" i="13" s="1"/>
  <c r="Q248" i="13"/>
  <c r="U248" i="13" s="1"/>
  <c r="AF248" i="13" s="1"/>
  <c r="BN248" i="13"/>
  <c r="BM248" i="13"/>
  <c r="BO248" i="13"/>
  <c r="Q207" i="13"/>
  <c r="U207" i="13" s="1"/>
  <c r="AF207" i="13" s="1"/>
  <c r="BN207" i="13"/>
  <c r="BO207" i="13"/>
  <c r="AE219" i="13"/>
  <c r="BO196" i="13"/>
  <c r="BN196" i="13"/>
  <c r="BM196" i="13"/>
  <c r="Q252" i="13"/>
  <c r="U252" i="13" s="1"/>
  <c r="AF252" i="13" s="1"/>
  <c r="BO252" i="13"/>
  <c r="BN252" i="13"/>
  <c r="BM252" i="13"/>
  <c r="BM217" i="13"/>
  <c r="BN217" i="13"/>
  <c r="Q201" i="13"/>
  <c r="U201" i="13" s="1"/>
  <c r="AF201" i="13" s="1"/>
  <c r="BO201" i="13"/>
  <c r="BM201" i="13"/>
  <c r="BN201" i="13"/>
  <c r="BO165" i="13"/>
  <c r="BM165" i="13"/>
  <c r="BN165" i="13"/>
  <c r="Q163" i="13"/>
  <c r="U163" i="13" s="1"/>
  <c r="AF163" i="13" s="1"/>
  <c r="BN163" i="13"/>
  <c r="BO163" i="13"/>
  <c r="BM163" i="13"/>
  <c r="Q162" i="13"/>
  <c r="U162" i="13" s="1"/>
  <c r="AF162" i="13" s="1"/>
  <c r="BO162" i="13"/>
  <c r="BN162" i="13"/>
  <c r="BM162" i="13"/>
  <c r="Q211" i="13"/>
  <c r="U211" i="13" s="1"/>
  <c r="AF211" i="13" s="1"/>
  <c r="BN211" i="13"/>
  <c r="BM211" i="13"/>
  <c r="Q196" i="13"/>
  <c r="U196" i="13" s="1"/>
  <c r="AF196" i="13" s="1"/>
  <c r="Q193" i="13"/>
  <c r="U193" i="13" s="1"/>
  <c r="AF193" i="13" s="1"/>
  <c r="BO193" i="13"/>
  <c r="BN193" i="13"/>
  <c r="Q192" i="13"/>
  <c r="U192" i="13" s="1"/>
  <c r="AF192" i="13" s="1"/>
  <c r="BM192" i="13"/>
  <c r="Q189" i="13"/>
  <c r="U189" i="13" s="1"/>
  <c r="AF189" i="13" s="1"/>
  <c r="BO189" i="13"/>
  <c r="BM189" i="13"/>
  <c r="BN189" i="13"/>
  <c r="Q187" i="13"/>
  <c r="U187" i="13" s="1"/>
  <c r="AF187" i="13" s="1"/>
  <c r="BN187" i="13"/>
  <c r="BO187" i="13"/>
  <c r="BM187" i="13"/>
  <c r="Q185" i="13"/>
  <c r="U185" i="13" s="1"/>
  <c r="AF185" i="13" s="1"/>
  <c r="BO185" i="13"/>
  <c r="BM185" i="13"/>
  <c r="BN185" i="13"/>
  <c r="BN183" i="13"/>
  <c r="BO183" i="13"/>
  <c r="BM183" i="13"/>
  <c r="Q182" i="13"/>
  <c r="U182" i="13" s="1"/>
  <c r="AF182" i="13" s="1"/>
  <c r="BM182" i="13"/>
  <c r="BO182" i="13"/>
  <c r="BN182" i="13"/>
  <c r="Q180" i="13"/>
  <c r="U180" i="13" s="1"/>
  <c r="AF180" i="13" s="1"/>
  <c r="BO180" i="13"/>
  <c r="BN180" i="13"/>
  <c r="BM180" i="13"/>
  <c r="Q177" i="13"/>
  <c r="U177" i="13" s="1"/>
  <c r="AF177" i="13" s="1"/>
  <c r="BO177" i="13"/>
  <c r="BM177" i="13"/>
  <c r="Q176" i="13"/>
  <c r="U176" i="13" s="1"/>
  <c r="AF176" i="13" s="1"/>
  <c r="BN176" i="13"/>
  <c r="BM176" i="13"/>
  <c r="Q173" i="13"/>
  <c r="U173" i="13" s="1"/>
  <c r="AF173" i="13" s="1"/>
  <c r="BO173" i="13"/>
  <c r="BM173" i="13"/>
  <c r="BN173" i="13"/>
  <c r="Q169" i="13"/>
  <c r="U169" i="13" s="1"/>
  <c r="AF169" i="13" s="1"/>
  <c r="BM169" i="13"/>
  <c r="BN169" i="13"/>
  <c r="Q168" i="13"/>
  <c r="U168" i="13" s="1"/>
  <c r="AF168" i="13" s="1"/>
  <c r="BN168" i="13"/>
  <c r="BM168" i="13"/>
  <c r="BO168" i="13"/>
  <c r="BO233" i="13"/>
  <c r="BM233" i="13"/>
  <c r="BN233" i="13"/>
  <c r="Q158" i="13"/>
  <c r="U158" i="13" s="1"/>
  <c r="AF158" i="13" s="1"/>
  <c r="BM158" i="13"/>
  <c r="BO158" i="13"/>
  <c r="BN158" i="13"/>
  <c r="Q153" i="13"/>
  <c r="U153" i="13" s="1"/>
  <c r="AF153" i="13" s="1"/>
  <c r="BN147" i="13"/>
  <c r="BO147" i="13"/>
  <c r="BM147" i="13"/>
  <c r="X284" i="13"/>
  <c r="Y284" i="13" s="1"/>
  <c r="AH284" i="13" s="1"/>
  <c r="Q47" i="13"/>
  <c r="U47" i="13" s="1"/>
  <c r="AF47" i="13" s="1"/>
  <c r="BN47" i="13"/>
  <c r="BO47" i="13"/>
  <c r="BM47" i="13"/>
  <c r="T23" i="13"/>
  <c r="X23" i="13" s="1"/>
  <c r="Y23" i="13" s="1"/>
  <c r="X11" i="13"/>
  <c r="Y11" i="13" s="1"/>
  <c r="X35" i="13"/>
  <c r="Y35" i="13" s="1"/>
  <c r="AI35" i="13" s="1"/>
  <c r="AJ35" i="13" s="1"/>
  <c r="AK35" i="13" s="1"/>
  <c r="BO241" i="13"/>
  <c r="BM241" i="13"/>
  <c r="BN241" i="13"/>
  <c r="AE150" i="13"/>
  <c r="T85" i="13"/>
  <c r="X85" i="13" s="1"/>
  <c r="Y85" i="13" s="1"/>
  <c r="AI85" i="13" s="1"/>
  <c r="AJ85" i="13" s="1"/>
  <c r="AK85" i="13" s="1"/>
  <c r="T73" i="13"/>
  <c r="X73" i="13" s="1"/>
  <c r="Y73" i="13" s="1"/>
  <c r="AI73" i="13" s="1"/>
  <c r="AJ73" i="13" s="1"/>
  <c r="AK73" i="13" s="1"/>
  <c r="T41" i="13"/>
  <c r="X41" i="13" s="1"/>
  <c r="Y41" i="13" s="1"/>
  <c r="AI41" i="13" s="1"/>
  <c r="AJ41" i="13" s="1"/>
  <c r="AK41" i="13" s="1"/>
  <c r="T9" i="13"/>
  <c r="X9" i="13" s="1"/>
  <c r="Y9" i="13" s="1"/>
  <c r="AI9" i="13" s="1"/>
  <c r="AJ9" i="13" s="1"/>
  <c r="AK9" i="13" s="1"/>
  <c r="BN83" i="13"/>
  <c r="BO83" i="13"/>
  <c r="BM83" i="13"/>
  <c r="BN67" i="13"/>
  <c r="BO67" i="13"/>
  <c r="BM67" i="13"/>
  <c r="BO138" i="13"/>
  <c r="BN138" i="13"/>
  <c r="BM138" i="13"/>
  <c r="BO111" i="13"/>
  <c r="BM111" i="13"/>
  <c r="BO99" i="13"/>
  <c r="BM99" i="13"/>
  <c r="BN19" i="13"/>
  <c r="BO257" i="13"/>
  <c r="BM234" i="13"/>
  <c r="BM119" i="13"/>
  <c r="BO279" i="13"/>
  <c r="BM87" i="13"/>
  <c r="BO79" i="13"/>
  <c r="BP65" i="13"/>
  <c r="BT65" i="13" s="1"/>
  <c r="BM284" i="13"/>
  <c r="BN281" i="13"/>
  <c r="BN270" i="13"/>
  <c r="BM267" i="13"/>
  <c r="BO261" i="13"/>
  <c r="BM220" i="13"/>
  <c r="BO217" i="13"/>
  <c r="BN177" i="13"/>
  <c r="BN126" i="13"/>
  <c r="BO117" i="13"/>
  <c r="BO110" i="13"/>
  <c r="BO104" i="13"/>
  <c r="BM102" i="13"/>
  <c r="BO94" i="13"/>
  <c r="BN80" i="13"/>
  <c r="BN64" i="13"/>
  <c r="BN48" i="13"/>
  <c r="BM40" i="13"/>
  <c r="BO38" i="13"/>
  <c r="BM32" i="13"/>
  <c r="BN30" i="13"/>
  <c r="BN24" i="13"/>
  <c r="BN22" i="13"/>
  <c r="BM259" i="13"/>
  <c r="BO258" i="13"/>
  <c r="BO115" i="13"/>
  <c r="BO109" i="13"/>
  <c r="BN59" i="13"/>
  <c r="BO43" i="13"/>
  <c r="Q295" i="13"/>
  <c r="U295" i="13" s="1"/>
  <c r="AF295" i="13" s="1"/>
  <c r="BN295" i="13"/>
  <c r="BO295" i="13"/>
  <c r="BM295" i="13"/>
  <c r="Q300" i="13"/>
  <c r="U300" i="13" s="1"/>
  <c r="AF300" i="13" s="1"/>
  <c r="BO300" i="13"/>
  <c r="BN300" i="13"/>
  <c r="BM300" i="13"/>
  <c r="BN296" i="13"/>
  <c r="BM296" i="13"/>
  <c r="BO296" i="13"/>
  <c r="Q292" i="13"/>
  <c r="U292" i="13" s="1"/>
  <c r="AF292" i="13" s="1"/>
  <c r="BO292" i="13"/>
  <c r="BN292" i="13"/>
  <c r="BM292" i="13"/>
  <c r="Q296" i="13"/>
  <c r="U296" i="13" s="1"/>
  <c r="AF296" i="13" s="1"/>
  <c r="X256" i="13"/>
  <c r="Y256" i="13" s="1"/>
  <c r="AH256" i="13" s="1"/>
  <c r="Q249" i="13"/>
  <c r="U249" i="13" s="1"/>
  <c r="AF249" i="13" s="1"/>
  <c r="BO249" i="13"/>
  <c r="BM249" i="13"/>
  <c r="BN249" i="13"/>
  <c r="Q221" i="13"/>
  <c r="U221" i="13" s="1"/>
  <c r="AF221" i="13" s="1"/>
  <c r="BO221" i="13"/>
  <c r="BM221" i="13"/>
  <c r="BN221" i="13"/>
  <c r="Q206" i="13"/>
  <c r="U206" i="13" s="1"/>
  <c r="AF206" i="13" s="1"/>
  <c r="BM206" i="13"/>
  <c r="BO206" i="13"/>
  <c r="BN206" i="13"/>
  <c r="Q198" i="13"/>
  <c r="U198" i="13" s="1"/>
  <c r="AF198" i="13" s="1"/>
  <c r="BM198" i="13"/>
  <c r="BO198" i="13"/>
  <c r="BN198" i="13"/>
  <c r="BN227" i="13"/>
  <c r="BO227" i="13"/>
  <c r="BM227" i="13"/>
  <c r="Q205" i="13"/>
  <c r="U205" i="13" s="1"/>
  <c r="AF205" i="13" s="1"/>
  <c r="BM205" i="13"/>
  <c r="BN205" i="13"/>
  <c r="Q154" i="13"/>
  <c r="U154" i="13" s="1"/>
  <c r="AF154" i="13" s="1"/>
  <c r="BO154" i="13"/>
  <c r="BN154" i="13"/>
  <c r="BM154" i="13"/>
  <c r="Q203" i="13"/>
  <c r="U203" i="13" s="1"/>
  <c r="AF203" i="13" s="1"/>
  <c r="BN203" i="13"/>
  <c r="BO203" i="13"/>
  <c r="BO225" i="13"/>
  <c r="BM225" i="13"/>
  <c r="Q202" i="13"/>
  <c r="U202" i="13" s="1"/>
  <c r="AF202" i="13" s="1"/>
  <c r="BN202" i="13"/>
  <c r="BM202" i="13"/>
  <c r="Q194" i="13"/>
  <c r="U194" i="13" s="1"/>
  <c r="AF194" i="13" s="1"/>
  <c r="BO194" i="13"/>
  <c r="BM194" i="13"/>
  <c r="Q172" i="13"/>
  <c r="U172" i="13" s="1"/>
  <c r="AF172" i="13" s="1"/>
  <c r="BO172" i="13"/>
  <c r="BN172" i="13"/>
  <c r="Q156" i="13"/>
  <c r="U156" i="13" s="1"/>
  <c r="AF156" i="13" s="1"/>
  <c r="BO156" i="13"/>
  <c r="BN156" i="13"/>
  <c r="BM156" i="13"/>
  <c r="Q146" i="13"/>
  <c r="U146" i="13" s="1"/>
  <c r="AF146" i="13" s="1"/>
  <c r="BO146" i="13"/>
  <c r="BN146" i="13"/>
  <c r="BM146" i="13"/>
  <c r="X126" i="13"/>
  <c r="Y126" i="13" s="1"/>
  <c r="AI126" i="13" s="1"/>
  <c r="AJ126" i="13" s="1"/>
  <c r="AK126" i="13" s="1"/>
  <c r="BN27" i="13"/>
  <c r="BM27" i="13"/>
  <c r="AE79" i="13"/>
  <c r="X43" i="13"/>
  <c r="Y43" i="13" s="1"/>
  <c r="AI43" i="13" s="1"/>
  <c r="AJ43" i="13" s="1"/>
  <c r="AK43" i="13" s="1"/>
  <c r="BN231" i="13"/>
  <c r="BO231" i="13"/>
  <c r="BM231" i="13"/>
  <c r="Q160" i="13"/>
  <c r="U160" i="13" s="1"/>
  <c r="AF160" i="13" s="1"/>
  <c r="BN160" i="13"/>
  <c r="BM160" i="13"/>
  <c r="BO160" i="13"/>
  <c r="Q150" i="13"/>
  <c r="U150" i="13" s="1"/>
  <c r="AF150" i="13" s="1"/>
  <c r="BM150" i="13"/>
  <c r="BO150" i="13"/>
  <c r="BN150" i="13"/>
  <c r="BN128" i="13"/>
  <c r="BM128" i="13"/>
  <c r="BO128" i="13"/>
  <c r="BN120" i="13"/>
  <c r="BM120" i="13"/>
  <c r="X142" i="13"/>
  <c r="Y142" i="13" s="1"/>
  <c r="AI142" i="13" s="1"/>
  <c r="AJ142" i="13" s="1"/>
  <c r="AK142" i="13" s="1"/>
  <c r="T65" i="13"/>
  <c r="X65" i="13" s="1"/>
  <c r="Y65" i="13" s="1"/>
  <c r="AI65" i="13" s="1"/>
  <c r="AJ65" i="13" s="1"/>
  <c r="AK65" i="13" s="1"/>
  <c r="T33" i="13"/>
  <c r="X33" i="13" s="1"/>
  <c r="Y33" i="13" s="1"/>
  <c r="AI33" i="13" s="1"/>
  <c r="AJ33" i="13" s="1"/>
  <c r="AK33" i="13" s="1"/>
  <c r="Q134" i="13"/>
  <c r="U134" i="13" s="1"/>
  <c r="AF134" i="13" s="1"/>
  <c r="BM134" i="13"/>
  <c r="BO134" i="13"/>
  <c r="BN134" i="13"/>
  <c r="Q95" i="13"/>
  <c r="U95" i="13" s="1"/>
  <c r="AF95" i="13" s="1"/>
  <c r="BN95" i="13"/>
  <c r="BO95" i="13"/>
  <c r="BM95" i="13"/>
  <c r="Q75" i="13"/>
  <c r="U75" i="13" s="1"/>
  <c r="AF75" i="13" s="1"/>
  <c r="BN75" i="13"/>
  <c r="BO75" i="13"/>
  <c r="BM75" i="13"/>
  <c r="Q3" i="13"/>
  <c r="U3" i="13" s="1"/>
  <c r="AF3" i="13" s="1"/>
  <c r="BN55" i="13"/>
  <c r="BO55" i="13"/>
  <c r="BM55" i="13"/>
  <c r="T27" i="13"/>
  <c r="X27" i="13" s="1"/>
  <c r="Y27" i="13" s="1"/>
  <c r="AI27" i="13" s="1"/>
  <c r="AJ27" i="13" s="1"/>
  <c r="AK27" i="13" s="1"/>
  <c r="BO226" i="13"/>
  <c r="BN192" i="13"/>
  <c r="BN111" i="13"/>
  <c r="BN103" i="13"/>
  <c r="BO87" i="13"/>
  <c r="BN39" i="13"/>
  <c r="BN283" i="13"/>
  <c r="BM280" i="13"/>
  <c r="BM272" i="13"/>
  <c r="BO270" i="13"/>
  <c r="BM269" i="13"/>
  <c r="BO267" i="13"/>
  <c r="BN261" i="13"/>
  <c r="BM250" i="13"/>
  <c r="BO250" i="13"/>
  <c r="BM240" i="13"/>
  <c r="BN222" i="13"/>
  <c r="BO220" i="13"/>
  <c r="BO219" i="13"/>
  <c r="BO216" i="13"/>
  <c r="BN210" i="13"/>
  <c r="BM207" i="13"/>
  <c r="BO169" i="13"/>
  <c r="BM144" i="13"/>
  <c r="BO136" i="13"/>
  <c r="BM126" i="13"/>
  <c r="BN117" i="13"/>
  <c r="BM112" i="13"/>
  <c r="BN110" i="13"/>
  <c r="BN104" i="13"/>
  <c r="BN102" i="13"/>
  <c r="BM96" i="13"/>
  <c r="BN94" i="13"/>
  <c r="BO88" i="13"/>
  <c r="BM86" i="13"/>
  <c r="BO78" i="13"/>
  <c r="BO72" i="13"/>
  <c r="BM70" i="13"/>
  <c r="BO62" i="13"/>
  <c r="BO56" i="13"/>
  <c r="BM54" i="13"/>
  <c r="BO46" i="13"/>
  <c r="BO32" i="13"/>
  <c r="BM30" i="13"/>
  <c r="BM282" i="13"/>
  <c r="BO282" i="13"/>
  <c r="BO259" i="13"/>
  <c r="BN243" i="13"/>
  <c r="BN225" i="13"/>
  <c r="BN143" i="13"/>
  <c r="BM141" i="13"/>
  <c r="BM121" i="13"/>
  <c r="BN109" i="13"/>
  <c r="BN99" i="13"/>
  <c r="BM59" i="13"/>
  <c r="BN35" i="13"/>
  <c r="Q293" i="13"/>
  <c r="U293" i="13" s="1"/>
  <c r="AF293" i="13" s="1"/>
  <c r="BO293" i="13"/>
  <c r="BM293" i="13"/>
  <c r="BN293" i="13"/>
  <c r="Q277" i="13"/>
  <c r="U277" i="13" s="1"/>
  <c r="AF277" i="13" s="1"/>
  <c r="BO277" i="13"/>
  <c r="BM277" i="13"/>
  <c r="BN277" i="13"/>
  <c r="Q271" i="13"/>
  <c r="U271" i="13" s="1"/>
  <c r="AF271" i="13" s="1"/>
  <c r="BN271" i="13"/>
  <c r="BO271" i="13"/>
  <c r="BM271" i="13"/>
  <c r="Q268" i="13"/>
  <c r="U268" i="13" s="1"/>
  <c r="AF268" i="13" s="1"/>
  <c r="BO268" i="13"/>
  <c r="BN268" i="13"/>
  <c r="BM268" i="13"/>
  <c r="Q260" i="13"/>
  <c r="U260" i="13" s="1"/>
  <c r="AF260" i="13" s="1"/>
  <c r="BO260" i="13"/>
  <c r="BN260" i="13"/>
  <c r="BM260" i="13"/>
  <c r="Q255" i="13"/>
  <c r="U255" i="13" s="1"/>
  <c r="AF255" i="13" s="1"/>
  <c r="BN255" i="13"/>
  <c r="BO255" i="13"/>
  <c r="BM255" i="13"/>
  <c r="Q247" i="13"/>
  <c r="U247" i="13" s="1"/>
  <c r="AF247" i="13" s="1"/>
  <c r="BN247" i="13"/>
  <c r="BO247" i="13"/>
  <c r="BM247" i="13"/>
  <c r="Q245" i="13"/>
  <c r="U245" i="13" s="1"/>
  <c r="AF245" i="13" s="1"/>
  <c r="BO245" i="13"/>
  <c r="BM245" i="13"/>
  <c r="BN245" i="13"/>
  <c r="Q225" i="13"/>
  <c r="U225" i="13" s="1"/>
  <c r="AF225" i="13" s="1"/>
  <c r="Q237" i="13"/>
  <c r="U237" i="13" s="1"/>
  <c r="AF237" i="13" s="1"/>
  <c r="BO237" i="13"/>
  <c r="BM237" i="13"/>
  <c r="BN237" i="13"/>
  <c r="Q213" i="13"/>
  <c r="U213" i="13" s="1"/>
  <c r="AF213" i="13" s="1"/>
  <c r="BO213" i="13"/>
  <c r="BM213" i="13"/>
  <c r="BN213" i="13"/>
  <c r="Q197" i="13"/>
  <c r="U197" i="13" s="1"/>
  <c r="AF197" i="13" s="1"/>
  <c r="BO197" i="13"/>
  <c r="BM197" i="13"/>
  <c r="BN197" i="13"/>
  <c r="Q239" i="13"/>
  <c r="U239" i="13" s="1"/>
  <c r="AF239" i="13" s="1"/>
  <c r="BN239" i="13"/>
  <c r="BO239" i="13"/>
  <c r="BM239" i="13"/>
  <c r="Q166" i="13"/>
  <c r="U166" i="13" s="1"/>
  <c r="AF166" i="13" s="1"/>
  <c r="BM166" i="13"/>
  <c r="BO166" i="13"/>
  <c r="BN166" i="13"/>
  <c r="Q164" i="13"/>
  <c r="U164" i="13" s="1"/>
  <c r="AF164" i="13" s="1"/>
  <c r="BO164" i="13"/>
  <c r="BN164" i="13"/>
  <c r="BM164" i="13"/>
  <c r="BO161" i="13"/>
  <c r="BM161" i="13"/>
  <c r="BN161" i="13"/>
  <c r="BN191" i="13"/>
  <c r="BO191" i="13"/>
  <c r="BM191" i="13"/>
  <c r="Q190" i="13"/>
  <c r="U190" i="13" s="1"/>
  <c r="AF190" i="13" s="1"/>
  <c r="BM190" i="13"/>
  <c r="BO190" i="13"/>
  <c r="BN190" i="13"/>
  <c r="Q188" i="13"/>
  <c r="U188" i="13" s="1"/>
  <c r="AF188" i="13" s="1"/>
  <c r="BO188" i="13"/>
  <c r="BN188" i="13"/>
  <c r="BM188" i="13"/>
  <c r="Q181" i="13"/>
  <c r="U181" i="13" s="1"/>
  <c r="AF181" i="13" s="1"/>
  <c r="BO181" i="13"/>
  <c r="BM181" i="13"/>
  <c r="BN181" i="13"/>
  <c r="BN179" i="13"/>
  <c r="BO179" i="13"/>
  <c r="BM179" i="13"/>
  <c r="Q178" i="13"/>
  <c r="U178" i="13" s="1"/>
  <c r="AF178" i="13" s="1"/>
  <c r="BO178" i="13"/>
  <c r="BN178" i="13"/>
  <c r="BM178" i="13"/>
  <c r="Q175" i="13"/>
  <c r="U175" i="13" s="1"/>
  <c r="AF175" i="13" s="1"/>
  <c r="BN175" i="13"/>
  <c r="BO175" i="13"/>
  <c r="BM175" i="13"/>
  <c r="Q174" i="13"/>
  <c r="U174" i="13" s="1"/>
  <c r="AF174" i="13" s="1"/>
  <c r="BM174" i="13"/>
  <c r="BO174" i="13"/>
  <c r="BN174" i="13"/>
  <c r="Q171" i="13"/>
  <c r="U171" i="13" s="1"/>
  <c r="AF171" i="13" s="1"/>
  <c r="BN171" i="13"/>
  <c r="BO171" i="13"/>
  <c r="BM171" i="13"/>
  <c r="Q170" i="13"/>
  <c r="U170" i="13" s="1"/>
  <c r="AF170" i="13" s="1"/>
  <c r="BO170" i="13"/>
  <c r="BN170" i="13"/>
  <c r="BM170" i="13"/>
  <c r="BN167" i="13"/>
  <c r="BO167" i="13"/>
  <c r="BM167" i="13"/>
  <c r="Q155" i="13"/>
  <c r="U155" i="13" s="1"/>
  <c r="AF155" i="13" s="1"/>
  <c r="BN155" i="13"/>
  <c r="BO155" i="13"/>
  <c r="BM155" i="13"/>
  <c r="Q208" i="13"/>
  <c r="U208" i="13" s="1"/>
  <c r="AF208" i="13" s="1"/>
  <c r="BN208" i="13"/>
  <c r="BM208" i="13"/>
  <c r="BO208" i="13"/>
  <c r="BO157" i="13"/>
  <c r="BM157" i="13"/>
  <c r="BN157" i="13"/>
  <c r="Q148" i="13"/>
  <c r="U148" i="13" s="1"/>
  <c r="AF148" i="13" s="1"/>
  <c r="BO148" i="13"/>
  <c r="BN148" i="13"/>
  <c r="BM148" i="13"/>
  <c r="Q209" i="13"/>
  <c r="U209" i="13" s="1"/>
  <c r="AF209" i="13" s="1"/>
  <c r="BO209" i="13"/>
  <c r="BM209" i="13"/>
  <c r="BN209" i="13"/>
  <c r="Q200" i="13"/>
  <c r="U200" i="13" s="1"/>
  <c r="AF200" i="13" s="1"/>
  <c r="BN200" i="13"/>
  <c r="BM200" i="13"/>
  <c r="BO200" i="13"/>
  <c r="BM142" i="13"/>
  <c r="BO142" i="13"/>
  <c r="BN142" i="13"/>
  <c r="X63" i="13"/>
  <c r="Y63" i="13" s="1"/>
  <c r="AI63" i="13" s="1"/>
  <c r="AJ63" i="13" s="1"/>
  <c r="AK63" i="13" s="1"/>
  <c r="AE113" i="13"/>
  <c r="AH113" i="13" s="1"/>
  <c r="X157" i="13"/>
  <c r="Y157" i="13" s="1"/>
  <c r="AI157" i="13" s="1"/>
  <c r="AJ157" i="13" s="1"/>
  <c r="AK157" i="13" s="1"/>
  <c r="X87" i="13"/>
  <c r="Y87" i="13" s="1"/>
  <c r="AI87" i="13" s="1"/>
  <c r="AJ87" i="13" s="1"/>
  <c r="AK87" i="13" s="1"/>
  <c r="T57" i="13"/>
  <c r="X57" i="13" s="1"/>
  <c r="Y57" i="13" s="1"/>
  <c r="AI57" i="13" s="1"/>
  <c r="AJ57" i="13" s="1"/>
  <c r="AK57" i="13" s="1"/>
  <c r="T25" i="13"/>
  <c r="X25" i="13" s="1"/>
  <c r="Y25" i="13" s="1"/>
  <c r="AI25" i="13" s="1"/>
  <c r="AJ25" i="13" s="1"/>
  <c r="AK25" i="13" s="1"/>
  <c r="BN91" i="13"/>
  <c r="BO91" i="13"/>
  <c r="BM91" i="13"/>
  <c r="BN63" i="13"/>
  <c r="BO63" i="13"/>
  <c r="BM63" i="13"/>
  <c r="BN159" i="13"/>
  <c r="BO159" i="13"/>
  <c r="BM159" i="13"/>
  <c r="Q191" i="13"/>
  <c r="U191" i="13" s="1"/>
  <c r="AF191" i="13" s="1"/>
  <c r="BN107" i="13"/>
  <c r="BO107" i="13"/>
  <c r="BM107" i="13"/>
  <c r="BO297" i="13"/>
  <c r="BO205" i="13"/>
  <c r="BO273" i="13"/>
  <c r="BO254" i="13"/>
  <c r="BO192" i="13"/>
  <c r="BO176" i="13"/>
  <c r="BM172" i="13"/>
  <c r="BN152" i="13"/>
  <c r="BM103" i="13"/>
  <c r="BN79" i="13"/>
  <c r="BP49" i="13"/>
  <c r="BU49" i="13" s="1"/>
  <c r="BM281" i="13"/>
  <c r="BO280" i="13"/>
  <c r="BM270" i="13"/>
  <c r="BO251" i="13"/>
  <c r="BO222" i="13"/>
  <c r="BM216" i="13"/>
  <c r="BO202" i="13"/>
  <c r="BM193" i="13"/>
  <c r="BO144" i="13"/>
  <c r="BN136" i="13"/>
  <c r="BM104" i="13"/>
  <c r="BM94" i="13"/>
  <c r="BN72" i="13"/>
  <c r="BM64" i="13"/>
  <c r="BN56" i="13"/>
  <c r="BM48" i="13"/>
  <c r="BO40" i="13"/>
  <c r="BM218" i="13"/>
  <c r="BO218" i="13"/>
  <c r="BO211" i="13"/>
  <c r="BM203" i="13"/>
  <c r="BN194" i="13"/>
  <c r="BO153" i="13"/>
  <c r="BM143" i="13"/>
  <c r="BO141" i="13"/>
  <c r="BO121" i="13"/>
  <c r="BO120" i="13"/>
  <c r="BN115" i="13"/>
  <c r="BN43" i="13"/>
  <c r="BM35" i="13"/>
  <c r="W2" i="13"/>
  <c r="X288" i="13"/>
  <c r="Y288" i="13" s="1"/>
  <c r="X151" i="13"/>
  <c r="Y151" i="13" s="1"/>
  <c r="X114" i="13"/>
  <c r="Y114" i="13" s="1"/>
  <c r="X264" i="13"/>
  <c r="Y264" i="13" s="1"/>
  <c r="X144" i="13"/>
  <c r="Y144" i="13" s="1"/>
  <c r="AH4" i="12"/>
  <c r="X246" i="13"/>
  <c r="Y246" i="13" s="1"/>
  <c r="X123" i="13"/>
  <c r="Y123" i="13" s="1"/>
  <c r="X102" i="13"/>
  <c r="Y102" i="13" s="1"/>
  <c r="X122" i="13"/>
  <c r="Y122" i="13" s="1"/>
  <c r="X273" i="13"/>
  <c r="Y273" i="13" s="1"/>
  <c r="X243" i="13"/>
  <c r="Y243" i="13" s="1"/>
  <c r="X253" i="13"/>
  <c r="Y253" i="13" s="1"/>
  <c r="X118" i="13"/>
  <c r="Y118" i="13" s="1"/>
  <c r="X115" i="13"/>
  <c r="Y115" i="13" s="1"/>
  <c r="X226" i="13"/>
  <c r="Y226" i="13" s="1"/>
  <c r="X203" i="13"/>
  <c r="Y203" i="13" s="1"/>
  <c r="X119" i="13"/>
  <c r="Y119" i="13" s="1"/>
  <c r="X182" i="13"/>
  <c r="Y182" i="13" s="1"/>
  <c r="X190" i="13"/>
  <c r="Y190" i="13" s="1"/>
  <c r="X241" i="13"/>
  <c r="Y241" i="13" s="1"/>
  <c r="X252" i="13"/>
  <c r="Y252" i="13" s="1"/>
  <c r="T76" i="13"/>
  <c r="X76" i="13" s="1"/>
  <c r="Y76" i="13" s="1"/>
  <c r="AE76" i="13"/>
  <c r="T28" i="13"/>
  <c r="X28" i="13" s="1"/>
  <c r="Y28" i="13" s="1"/>
  <c r="AE28" i="13"/>
  <c r="T10" i="13"/>
  <c r="X10" i="13" s="1"/>
  <c r="Y10" i="13" s="1"/>
  <c r="AE10" i="13"/>
  <c r="X55" i="13"/>
  <c r="Y55" i="13" s="1"/>
  <c r="AE241" i="13"/>
  <c r="T135" i="13"/>
  <c r="X135" i="13" s="1"/>
  <c r="Y135" i="13" s="1"/>
  <c r="AE135" i="13"/>
  <c r="T66" i="13"/>
  <c r="X66" i="13" s="1"/>
  <c r="Y66" i="13" s="1"/>
  <c r="AI66" i="13" s="1"/>
  <c r="AJ66" i="13" s="1"/>
  <c r="AK66" i="13" s="1"/>
  <c r="AE66" i="13"/>
  <c r="T106" i="13"/>
  <c r="X106" i="13" s="1"/>
  <c r="Y106" i="13" s="1"/>
  <c r="AI106" i="13" s="1"/>
  <c r="AJ106" i="13" s="1"/>
  <c r="AK106" i="13" s="1"/>
  <c r="AE106" i="13"/>
  <c r="T50" i="13"/>
  <c r="X50" i="13" s="1"/>
  <c r="Y50" i="13" s="1"/>
  <c r="AI50" i="13" s="1"/>
  <c r="AJ50" i="13" s="1"/>
  <c r="AK50" i="13" s="1"/>
  <c r="AE50" i="13"/>
  <c r="T15" i="13"/>
  <c r="X15" i="13" s="1"/>
  <c r="Y15" i="13" s="1"/>
  <c r="X233" i="13"/>
  <c r="Y233" i="13" s="1"/>
  <c r="X300" i="13"/>
  <c r="Y300" i="13" s="1"/>
  <c r="T295" i="13"/>
  <c r="X295" i="13" s="1"/>
  <c r="Y295" i="13" s="1"/>
  <c r="X292" i="13"/>
  <c r="Y292" i="13" s="1"/>
  <c r="T275" i="13"/>
  <c r="T258" i="13"/>
  <c r="X258" i="13" s="1"/>
  <c r="Y258" i="13" s="1"/>
  <c r="X245" i="13"/>
  <c r="Y245" i="13" s="1"/>
  <c r="T250" i="13"/>
  <c r="X250" i="13" s="1"/>
  <c r="Y250" i="13" s="1"/>
  <c r="T198" i="13"/>
  <c r="X201" i="13"/>
  <c r="Y201" i="13" s="1"/>
  <c r="X154" i="13"/>
  <c r="Y154" i="13" s="1"/>
  <c r="T249" i="13"/>
  <c r="X249" i="13" s="1"/>
  <c r="Y249" i="13" s="1"/>
  <c r="T215" i="13"/>
  <c r="X215" i="13" s="1"/>
  <c r="Y215" i="13" s="1"/>
  <c r="X192" i="13"/>
  <c r="Y192" i="13" s="1"/>
  <c r="T189" i="13"/>
  <c r="AE186" i="13"/>
  <c r="T184" i="13"/>
  <c r="T181" i="13"/>
  <c r="X177" i="13"/>
  <c r="Y177" i="13" s="1"/>
  <c r="T173" i="13"/>
  <c r="T172" i="13"/>
  <c r="X172" i="13" s="1"/>
  <c r="Y172" i="13" s="1"/>
  <c r="X223" i="13"/>
  <c r="Y223" i="13" s="1"/>
  <c r="X158" i="13"/>
  <c r="Y158" i="13" s="1"/>
  <c r="AE220" i="13"/>
  <c r="T220" i="13"/>
  <c r="X220" i="13" s="1"/>
  <c r="Y220" i="13" s="1"/>
  <c r="X235" i="13"/>
  <c r="Y235" i="13" s="1"/>
  <c r="X227" i="13"/>
  <c r="Y227" i="13" s="1"/>
  <c r="AE216" i="13"/>
  <c r="T216" i="13"/>
  <c r="X216" i="13" s="1"/>
  <c r="Y216" i="13" s="1"/>
  <c r="AE232" i="13"/>
  <c r="T232" i="13"/>
  <c r="X232" i="13" s="1"/>
  <c r="Y232" i="13" s="1"/>
  <c r="T209" i="13"/>
  <c r="T287" i="13"/>
  <c r="X287" i="13" s="1"/>
  <c r="Y287" i="13" s="1"/>
  <c r="AE287" i="13"/>
  <c r="X138" i="13"/>
  <c r="Y138" i="13" s="1"/>
  <c r="T112" i="13"/>
  <c r="X112" i="13" s="1"/>
  <c r="Y112" i="13" s="1"/>
  <c r="AI112" i="13" s="1"/>
  <c r="AJ112" i="13" s="1"/>
  <c r="AK112" i="13" s="1"/>
  <c r="AE112" i="13"/>
  <c r="T96" i="13"/>
  <c r="X96" i="13" s="1"/>
  <c r="Y96" i="13" s="1"/>
  <c r="AI96" i="13" s="1"/>
  <c r="AJ96" i="13" s="1"/>
  <c r="AK96" i="13" s="1"/>
  <c r="AE96" i="13"/>
  <c r="T80" i="13"/>
  <c r="X80" i="13" s="1"/>
  <c r="Y80" i="13" s="1"/>
  <c r="AI80" i="13" s="1"/>
  <c r="AJ80" i="13" s="1"/>
  <c r="AK80" i="13" s="1"/>
  <c r="AE80" i="13"/>
  <c r="T64" i="13"/>
  <c r="X64" i="13" s="1"/>
  <c r="Y64" i="13" s="1"/>
  <c r="AI64" i="13" s="1"/>
  <c r="AJ64" i="13" s="1"/>
  <c r="AK64" i="13" s="1"/>
  <c r="AE64" i="13"/>
  <c r="T48" i="13"/>
  <c r="X48" i="13" s="1"/>
  <c r="Y48" i="13" s="1"/>
  <c r="AI48" i="13" s="1"/>
  <c r="AJ48" i="13" s="1"/>
  <c r="AK48" i="13" s="1"/>
  <c r="AE48" i="13"/>
  <c r="T32" i="13"/>
  <c r="X32" i="13" s="1"/>
  <c r="Y32" i="13" s="1"/>
  <c r="AI32" i="13" s="1"/>
  <c r="AJ32" i="13" s="1"/>
  <c r="AK32" i="13" s="1"/>
  <c r="AE32" i="13"/>
  <c r="T16" i="13"/>
  <c r="X16" i="13" s="1"/>
  <c r="Y16" i="13" s="1"/>
  <c r="AI16" i="13" s="1"/>
  <c r="AJ16" i="13" s="1"/>
  <c r="AK16" i="13" s="1"/>
  <c r="AE16" i="13"/>
  <c r="T34" i="13"/>
  <c r="X34" i="13" s="1"/>
  <c r="Y34" i="13" s="1"/>
  <c r="AI34" i="13" s="1"/>
  <c r="AJ34" i="13" s="1"/>
  <c r="AK34" i="13" s="1"/>
  <c r="AE34" i="13"/>
  <c r="T6" i="13"/>
  <c r="X6" i="13" s="1"/>
  <c r="Y6" i="13" s="1"/>
  <c r="AE6" i="13"/>
  <c r="X130" i="13"/>
  <c r="Y130" i="13" s="1"/>
  <c r="T67" i="13"/>
  <c r="X67" i="13" s="1"/>
  <c r="Y67" i="13" s="1"/>
  <c r="AE39" i="13"/>
  <c r="T231" i="13"/>
  <c r="X231" i="13" s="1"/>
  <c r="Y231" i="13" s="1"/>
  <c r="T129" i="13"/>
  <c r="X129" i="13" s="1"/>
  <c r="Y129" i="13" s="1"/>
  <c r="AE129" i="13"/>
  <c r="T121" i="13"/>
  <c r="X121" i="13" s="1"/>
  <c r="Y121" i="13" s="1"/>
  <c r="AI121" i="13" s="1"/>
  <c r="AJ121" i="13" s="1"/>
  <c r="AK121" i="13" s="1"/>
  <c r="AE121" i="13"/>
  <c r="AE242" i="13"/>
  <c r="T242" i="13"/>
  <c r="X242" i="13" s="1"/>
  <c r="Y242" i="13" s="1"/>
  <c r="AI242" i="13" s="1"/>
  <c r="AJ242" i="13" s="1"/>
  <c r="AK242" i="13" s="1"/>
  <c r="T139" i="13"/>
  <c r="X139" i="13" s="1"/>
  <c r="Y139" i="13" s="1"/>
  <c r="AI139" i="13" s="1"/>
  <c r="AJ139" i="13" s="1"/>
  <c r="AK139" i="13" s="1"/>
  <c r="AE139" i="13"/>
  <c r="AE278" i="13"/>
  <c r="T278" i="13"/>
  <c r="X278" i="13" s="1"/>
  <c r="Y278" i="13" s="1"/>
  <c r="AI278" i="13" s="1"/>
  <c r="AJ278" i="13" s="1"/>
  <c r="AK278" i="13" s="1"/>
  <c r="AE261" i="13"/>
  <c r="T261" i="13"/>
  <c r="X261" i="13" s="1"/>
  <c r="Y261" i="13" s="1"/>
  <c r="T270" i="13"/>
  <c r="X270" i="13" s="1"/>
  <c r="Y270" i="13" s="1"/>
  <c r="AE270" i="13"/>
  <c r="T128" i="13"/>
  <c r="X128" i="13" s="1"/>
  <c r="Y128" i="13" s="1"/>
  <c r="T74" i="13"/>
  <c r="X74" i="13" s="1"/>
  <c r="Y74" i="13" s="1"/>
  <c r="AE74" i="13"/>
  <c r="T22" i="13"/>
  <c r="X22" i="13" s="1"/>
  <c r="Y22" i="13" s="1"/>
  <c r="AI22" i="13" s="1"/>
  <c r="AJ22" i="13" s="1"/>
  <c r="AK22" i="13" s="1"/>
  <c r="AE22" i="13"/>
  <c r="T149" i="13"/>
  <c r="T134" i="13"/>
  <c r="X134" i="13" s="1"/>
  <c r="Y134" i="13" s="1"/>
  <c r="T152" i="13"/>
  <c r="AE124" i="13"/>
  <c r="T78" i="13"/>
  <c r="X78" i="13" s="1"/>
  <c r="Y78" i="13" s="1"/>
  <c r="AE78" i="13"/>
  <c r="T58" i="13"/>
  <c r="X58" i="13" s="1"/>
  <c r="Y58" i="13" s="1"/>
  <c r="AE58" i="13"/>
  <c r="AE75" i="13"/>
  <c r="AE63" i="13"/>
  <c r="AE244" i="13"/>
  <c r="T244" i="13"/>
  <c r="X244" i="13" s="1"/>
  <c r="Y244" i="13" s="1"/>
  <c r="AE238" i="13"/>
  <c r="T238" i="13"/>
  <c r="X238" i="13" s="1"/>
  <c r="Y238" i="13" s="1"/>
  <c r="AI238" i="13" s="1"/>
  <c r="AJ238" i="13" s="1"/>
  <c r="AK238" i="13" s="1"/>
  <c r="T108" i="13"/>
  <c r="X108" i="13" s="1"/>
  <c r="Y108" i="13" s="1"/>
  <c r="AE108" i="13"/>
  <c r="T60" i="13"/>
  <c r="X60" i="13" s="1"/>
  <c r="Y60" i="13" s="1"/>
  <c r="AE60" i="13"/>
  <c r="T38" i="13"/>
  <c r="X38" i="13" s="1"/>
  <c r="Y38" i="13" s="1"/>
  <c r="AE38" i="13"/>
  <c r="T133" i="13"/>
  <c r="X133" i="13" s="1"/>
  <c r="Y133" i="13" s="1"/>
  <c r="AE133" i="13"/>
  <c r="AE276" i="13"/>
  <c r="T276" i="13"/>
  <c r="X276" i="13" s="1"/>
  <c r="Y276" i="13" s="1"/>
  <c r="AI276" i="13" s="1"/>
  <c r="AJ276" i="13" s="1"/>
  <c r="AK276" i="13" s="1"/>
  <c r="T26" i="13"/>
  <c r="X26" i="13" s="1"/>
  <c r="Y26" i="13" s="1"/>
  <c r="AE26" i="13"/>
  <c r="AE116" i="13"/>
  <c r="T86" i="13"/>
  <c r="X86" i="13" s="1"/>
  <c r="Y86" i="13" s="1"/>
  <c r="AI86" i="13" s="1"/>
  <c r="AJ86" i="13" s="1"/>
  <c r="AK86" i="13" s="1"/>
  <c r="AE86" i="13"/>
  <c r="AE47" i="13"/>
  <c r="T294" i="13"/>
  <c r="X294" i="13" s="1"/>
  <c r="Y294" i="13" s="1"/>
  <c r="AE237" i="13"/>
  <c r="AE221" i="13"/>
  <c r="T207" i="13"/>
  <c r="T165" i="13"/>
  <c r="X165" i="13" s="1"/>
  <c r="Y165" i="13" s="1"/>
  <c r="X161" i="13"/>
  <c r="Y161" i="13" s="1"/>
  <c r="X202" i="13"/>
  <c r="Y202" i="13" s="1"/>
  <c r="X140" i="13"/>
  <c r="Y140" i="13" s="1"/>
  <c r="X132" i="13"/>
  <c r="Y132" i="13" s="1"/>
  <c r="AE257" i="13"/>
  <c r="T257" i="13"/>
  <c r="X257" i="13" s="1"/>
  <c r="Y257" i="13" s="1"/>
  <c r="X147" i="13"/>
  <c r="Y147" i="13" s="1"/>
  <c r="AE236" i="13"/>
  <c r="T236" i="13"/>
  <c r="X236" i="13" s="1"/>
  <c r="Y236" i="13" s="1"/>
  <c r="AE228" i="13"/>
  <c r="T228" i="13"/>
  <c r="X228" i="13" s="1"/>
  <c r="Y228" i="13" s="1"/>
  <c r="AE214" i="13"/>
  <c r="T214" i="13"/>
  <c r="X214" i="13" s="1"/>
  <c r="Y214" i="13" s="1"/>
  <c r="AE230" i="13"/>
  <c r="T230" i="13"/>
  <c r="X230" i="13" s="1"/>
  <c r="Y230" i="13" s="1"/>
  <c r="T289" i="13"/>
  <c r="X289" i="13" s="1"/>
  <c r="Y289" i="13" s="1"/>
  <c r="AI289" i="13" s="1"/>
  <c r="AJ289" i="13" s="1"/>
  <c r="AK289" i="13" s="1"/>
  <c r="AE289" i="13"/>
  <c r="T100" i="13"/>
  <c r="X100" i="13" s="1"/>
  <c r="Y100" i="13" s="1"/>
  <c r="AI100" i="13" s="1"/>
  <c r="AJ100" i="13" s="1"/>
  <c r="AK100" i="13" s="1"/>
  <c r="AE100" i="13"/>
  <c r="T84" i="13"/>
  <c r="X84" i="13" s="1"/>
  <c r="Y84" i="13" s="1"/>
  <c r="AE84" i="13"/>
  <c r="T68" i="13"/>
  <c r="X68" i="13" s="1"/>
  <c r="Y68" i="13" s="1"/>
  <c r="AI68" i="13" s="1"/>
  <c r="AJ68" i="13" s="1"/>
  <c r="AK68" i="13" s="1"/>
  <c r="AE68" i="13"/>
  <c r="T52" i="13"/>
  <c r="X52" i="13" s="1"/>
  <c r="Y52" i="13" s="1"/>
  <c r="AE52" i="13"/>
  <c r="T36" i="13"/>
  <c r="X36" i="13" s="1"/>
  <c r="Y36" i="13" s="1"/>
  <c r="AI36" i="13" s="1"/>
  <c r="AJ36" i="13" s="1"/>
  <c r="AK36" i="13" s="1"/>
  <c r="AE36" i="13"/>
  <c r="T20" i="13"/>
  <c r="X20" i="13" s="1"/>
  <c r="Y20" i="13" s="1"/>
  <c r="AE20" i="13"/>
  <c r="T4" i="13"/>
  <c r="X4" i="13" s="1"/>
  <c r="Y4" i="13" s="1"/>
  <c r="AI4" i="13" s="1"/>
  <c r="AE4" i="13"/>
  <c r="T46" i="13"/>
  <c r="X46" i="13" s="1"/>
  <c r="Y46" i="13" s="1"/>
  <c r="AE46" i="13"/>
  <c r="T2" i="13"/>
  <c r="AE2" i="13"/>
  <c r="T83" i="13"/>
  <c r="X83" i="13" s="1"/>
  <c r="Y83" i="13" s="1"/>
  <c r="T141" i="13"/>
  <c r="X141" i="13" s="1"/>
  <c r="Y141" i="13" s="1"/>
  <c r="AI141" i="13" s="1"/>
  <c r="AJ141" i="13" s="1"/>
  <c r="AK141" i="13" s="1"/>
  <c r="AE141" i="13"/>
  <c r="T143" i="13"/>
  <c r="X143" i="13" s="1"/>
  <c r="Y143" i="13" s="1"/>
  <c r="AI143" i="13" s="1"/>
  <c r="AJ143" i="13" s="1"/>
  <c r="AK143" i="13" s="1"/>
  <c r="AE143" i="13"/>
  <c r="T105" i="13"/>
  <c r="X105" i="13" s="1"/>
  <c r="Y105" i="13" s="1"/>
  <c r="T97" i="13"/>
  <c r="X97" i="13" s="1"/>
  <c r="Y97" i="13" s="1"/>
  <c r="T89" i="13"/>
  <c r="X89" i="13" s="1"/>
  <c r="Y89" i="13" s="1"/>
  <c r="AE272" i="13"/>
  <c r="T272" i="13"/>
  <c r="X272" i="13" s="1"/>
  <c r="Y272" i="13" s="1"/>
  <c r="T77" i="13"/>
  <c r="X77" i="13" s="1"/>
  <c r="Y77" i="13" s="1"/>
  <c r="T69" i="13"/>
  <c r="X69" i="13" s="1"/>
  <c r="Y69" i="13" s="1"/>
  <c r="T61" i="13"/>
  <c r="X61" i="13" s="1"/>
  <c r="Y61" i="13" s="1"/>
  <c r="T53" i="13"/>
  <c r="X53" i="13" s="1"/>
  <c r="Y53" i="13" s="1"/>
  <c r="T45" i="13"/>
  <c r="X45" i="13" s="1"/>
  <c r="Y45" i="13" s="1"/>
  <c r="T37" i="13"/>
  <c r="X37" i="13" s="1"/>
  <c r="Y37" i="13" s="1"/>
  <c r="T29" i="13"/>
  <c r="X29" i="13" s="1"/>
  <c r="Y29" i="13" s="1"/>
  <c r="T21" i="13"/>
  <c r="X21" i="13" s="1"/>
  <c r="Y21" i="13" s="1"/>
  <c r="T13" i="13"/>
  <c r="X13" i="13" s="1"/>
  <c r="Y13" i="13" s="1"/>
  <c r="T5" i="13"/>
  <c r="X5" i="13" s="1"/>
  <c r="Y5" i="13" s="1"/>
  <c r="T217" i="13"/>
  <c r="X217" i="13" s="1"/>
  <c r="Y217" i="13" s="1"/>
  <c r="T90" i="13"/>
  <c r="X90" i="13" s="1"/>
  <c r="Y90" i="13" s="1"/>
  <c r="AI90" i="13" s="1"/>
  <c r="AJ90" i="13" s="1"/>
  <c r="AK90" i="13" s="1"/>
  <c r="AE90" i="13"/>
  <c r="T18" i="13"/>
  <c r="X18" i="13" s="1"/>
  <c r="Y18" i="13" s="1"/>
  <c r="AI18" i="13" s="1"/>
  <c r="AJ18" i="13" s="1"/>
  <c r="AK18" i="13" s="1"/>
  <c r="AE18" i="13"/>
  <c r="T159" i="13"/>
  <c r="X159" i="13" s="1"/>
  <c r="Y159" i="13" s="1"/>
  <c r="T110" i="13"/>
  <c r="X110" i="13" s="1"/>
  <c r="Y110" i="13" s="1"/>
  <c r="AI110" i="13" s="1"/>
  <c r="AJ110" i="13" s="1"/>
  <c r="AK110" i="13" s="1"/>
  <c r="AE110" i="13"/>
  <c r="T98" i="13"/>
  <c r="X98" i="13" s="1"/>
  <c r="Y98" i="13" s="1"/>
  <c r="AI98" i="13" s="1"/>
  <c r="AJ98" i="13" s="1"/>
  <c r="AK98" i="13" s="1"/>
  <c r="AE98" i="13"/>
  <c r="T70" i="13"/>
  <c r="X70" i="13" s="1"/>
  <c r="Y70" i="13" s="1"/>
  <c r="AE70" i="13"/>
  <c r="T107" i="13"/>
  <c r="X107" i="13" s="1"/>
  <c r="Y107" i="13" s="1"/>
  <c r="T71" i="13"/>
  <c r="X71" i="13" s="1"/>
  <c r="Y71" i="13" s="1"/>
  <c r="T19" i="13"/>
  <c r="X19" i="13" s="1"/>
  <c r="Y19" i="13" s="1"/>
  <c r="T7" i="13"/>
  <c r="X7" i="13" s="1"/>
  <c r="Y7" i="13" s="1"/>
  <c r="T120" i="13"/>
  <c r="X120" i="13" s="1"/>
  <c r="Y120" i="13" s="1"/>
  <c r="AE222" i="13"/>
  <c r="T222" i="13"/>
  <c r="X222" i="13" s="1"/>
  <c r="Y222" i="13" s="1"/>
  <c r="T92" i="13"/>
  <c r="X92" i="13" s="1"/>
  <c r="Y92" i="13" s="1"/>
  <c r="AE92" i="13"/>
  <c r="T44" i="13"/>
  <c r="X44" i="13" s="1"/>
  <c r="Y44" i="13" s="1"/>
  <c r="AI44" i="13" s="1"/>
  <c r="AJ44" i="13" s="1"/>
  <c r="AK44" i="13" s="1"/>
  <c r="AE44" i="13"/>
  <c r="T12" i="13"/>
  <c r="X12" i="13" s="1"/>
  <c r="Y12" i="13" s="1"/>
  <c r="AE12" i="13"/>
  <c r="X299" i="13"/>
  <c r="Y299" i="13" s="1"/>
  <c r="X291" i="13"/>
  <c r="Y291" i="13" s="1"/>
  <c r="T277" i="13"/>
  <c r="T268" i="13"/>
  <c r="X268" i="13" s="1"/>
  <c r="Y268" i="13" s="1"/>
  <c r="X265" i="13"/>
  <c r="Y265" i="13" s="1"/>
  <c r="T260" i="13"/>
  <c r="T247" i="13"/>
  <c r="X255" i="13"/>
  <c r="Y255" i="13" s="1"/>
  <c r="X191" i="13"/>
  <c r="Y191" i="13" s="1"/>
  <c r="X187" i="13"/>
  <c r="Y187" i="13" s="1"/>
  <c r="X183" i="13"/>
  <c r="Y183" i="13" s="1"/>
  <c r="X179" i="13"/>
  <c r="Y179" i="13" s="1"/>
  <c r="X171" i="13"/>
  <c r="Y171" i="13" s="1"/>
  <c r="AE259" i="13"/>
  <c r="T259" i="13"/>
  <c r="X259" i="13" s="1"/>
  <c r="Y259" i="13" s="1"/>
  <c r="AI259" i="13" s="1"/>
  <c r="AJ259" i="13" s="1"/>
  <c r="AK259" i="13" s="1"/>
  <c r="AE218" i="13"/>
  <c r="T218" i="13"/>
  <c r="X218" i="13" s="1"/>
  <c r="Y218" i="13" s="1"/>
  <c r="AE212" i="13"/>
  <c r="T212" i="13"/>
  <c r="X212" i="13" s="1"/>
  <c r="Y212" i="13" s="1"/>
  <c r="AI212" i="13" s="1"/>
  <c r="AJ212" i="13" s="1"/>
  <c r="AK212" i="13" s="1"/>
  <c r="AE234" i="13"/>
  <c r="T234" i="13"/>
  <c r="X234" i="13" s="1"/>
  <c r="Y234" i="13" s="1"/>
  <c r="AE224" i="13"/>
  <c r="T224" i="13"/>
  <c r="X224" i="13" s="1"/>
  <c r="Y224" i="13" s="1"/>
  <c r="AE240" i="13"/>
  <c r="T240" i="13"/>
  <c r="X240" i="13" s="1"/>
  <c r="Y240" i="13" s="1"/>
  <c r="AI240" i="13" s="1"/>
  <c r="AJ240" i="13" s="1"/>
  <c r="AK240" i="13" s="1"/>
  <c r="T104" i="13"/>
  <c r="X104" i="13" s="1"/>
  <c r="Y104" i="13" s="1"/>
  <c r="AE104" i="13"/>
  <c r="T88" i="13"/>
  <c r="X88" i="13" s="1"/>
  <c r="Y88" i="13" s="1"/>
  <c r="AI88" i="13" s="1"/>
  <c r="AJ88" i="13" s="1"/>
  <c r="AK88" i="13" s="1"/>
  <c r="AE88" i="13"/>
  <c r="T72" i="13"/>
  <c r="X72" i="13" s="1"/>
  <c r="Y72" i="13" s="1"/>
  <c r="AE72" i="13"/>
  <c r="T56" i="13"/>
  <c r="X56" i="13" s="1"/>
  <c r="Y56" i="13" s="1"/>
  <c r="AI56" i="13" s="1"/>
  <c r="AJ56" i="13" s="1"/>
  <c r="AK56" i="13" s="1"/>
  <c r="AE56" i="13"/>
  <c r="T40" i="13"/>
  <c r="X40" i="13" s="1"/>
  <c r="Y40" i="13" s="1"/>
  <c r="AE40" i="13"/>
  <c r="T24" i="13"/>
  <c r="X24" i="13" s="1"/>
  <c r="Y24" i="13" s="1"/>
  <c r="AI24" i="13" s="1"/>
  <c r="AJ24" i="13" s="1"/>
  <c r="AK24" i="13" s="1"/>
  <c r="AE24" i="13"/>
  <c r="T8" i="13"/>
  <c r="X8" i="13" s="1"/>
  <c r="Y8" i="13" s="1"/>
  <c r="AE8" i="13"/>
  <c r="T42" i="13"/>
  <c r="X42" i="13" s="1"/>
  <c r="Y42" i="13" s="1"/>
  <c r="AI42" i="13" s="1"/>
  <c r="AJ42" i="13" s="1"/>
  <c r="AK42" i="13" s="1"/>
  <c r="AE42" i="13"/>
  <c r="T14" i="13"/>
  <c r="X14" i="13" s="1"/>
  <c r="Y14" i="13" s="1"/>
  <c r="AE14" i="13"/>
  <c r="X91" i="13"/>
  <c r="Y91" i="13" s="1"/>
  <c r="T31" i="13"/>
  <c r="X31" i="13" s="1"/>
  <c r="Y31" i="13" s="1"/>
  <c r="T137" i="13"/>
  <c r="X137" i="13" s="1"/>
  <c r="Y137" i="13" s="1"/>
  <c r="AI137" i="13" s="1"/>
  <c r="AJ137" i="13" s="1"/>
  <c r="AK137" i="13" s="1"/>
  <c r="AE137" i="13"/>
  <c r="T125" i="13"/>
  <c r="X125" i="13" s="1"/>
  <c r="Y125" i="13" s="1"/>
  <c r="AE125" i="13"/>
  <c r="T117" i="13"/>
  <c r="X117" i="13" s="1"/>
  <c r="Y117" i="13" s="1"/>
  <c r="AI117" i="13" s="1"/>
  <c r="AJ117" i="13" s="1"/>
  <c r="AK117" i="13" s="1"/>
  <c r="AE117" i="13"/>
  <c r="T131" i="13"/>
  <c r="X131" i="13" s="1"/>
  <c r="Y131" i="13" s="1"/>
  <c r="AE131" i="13"/>
  <c r="T283" i="13"/>
  <c r="X283" i="13" s="1"/>
  <c r="Y283" i="13" s="1"/>
  <c r="AI283" i="13" s="1"/>
  <c r="AJ283" i="13" s="1"/>
  <c r="AK283" i="13" s="1"/>
  <c r="AE283" i="13"/>
  <c r="T281" i="13"/>
  <c r="X281" i="13" s="1"/>
  <c r="Y281" i="13" s="1"/>
  <c r="AE281" i="13"/>
  <c r="T274" i="13"/>
  <c r="X274" i="13" s="1"/>
  <c r="Y274" i="13" s="1"/>
  <c r="AI274" i="13" s="1"/>
  <c r="AJ274" i="13" s="1"/>
  <c r="AK274" i="13" s="1"/>
  <c r="AE274" i="13"/>
  <c r="T30" i="13"/>
  <c r="X30" i="13" s="1"/>
  <c r="Y30" i="13" s="1"/>
  <c r="AI30" i="13" s="1"/>
  <c r="AJ30" i="13" s="1"/>
  <c r="AK30" i="13" s="1"/>
  <c r="AE30" i="13"/>
  <c r="T94" i="13"/>
  <c r="X94" i="13" s="1"/>
  <c r="Y94" i="13" s="1"/>
  <c r="AE94" i="13"/>
  <c r="T62" i="13"/>
  <c r="X62" i="13" s="1"/>
  <c r="Y62" i="13" s="1"/>
  <c r="AI62" i="13" s="1"/>
  <c r="AJ62" i="13" s="1"/>
  <c r="AK62" i="13" s="1"/>
  <c r="AE62" i="13"/>
  <c r="T54" i="13"/>
  <c r="X54" i="13" s="1"/>
  <c r="Y54" i="13" s="1"/>
  <c r="AE54" i="13"/>
  <c r="AH211" i="12"/>
  <c r="AH154" i="12"/>
  <c r="X85" i="12"/>
  <c r="Y85" i="12" s="1"/>
  <c r="T232" i="12"/>
  <c r="X232" i="12" s="1"/>
  <c r="Y232" i="12" s="1"/>
  <c r="AH232" i="12" s="1"/>
  <c r="AE232" i="12"/>
  <c r="T216" i="12"/>
  <c r="X216" i="12" s="1"/>
  <c r="Y216" i="12" s="1"/>
  <c r="AH216" i="12" s="1"/>
  <c r="AE216" i="12"/>
  <c r="T290" i="12"/>
  <c r="X290" i="12" s="1"/>
  <c r="Y290" i="12" s="1"/>
  <c r="AH290" i="12" s="1"/>
  <c r="AE290" i="12"/>
  <c r="X20" i="12"/>
  <c r="Y20" i="12" s="1"/>
  <c r="X68" i="12"/>
  <c r="Y68" i="12" s="1"/>
  <c r="X84" i="12"/>
  <c r="Y84" i="12" s="1"/>
  <c r="AH84" i="12" s="1"/>
  <c r="T258" i="12"/>
  <c r="X258" i="12" s="1"/>
  <c r="Y258" i="12" s="1"/>
  <c r="AH258" i="12" s="1"/>
  <c r="AE258" i="12"/>
  <c r="T95" i="12"/>
  <c r="X95" i="12" s="1"/>
  <c r="Y95" i="12" s="1"/>
  <c r="AH95" i="12" s="1"/>
  <c r="AH73" i="12"/>
  <c r="X38" i="12"/>
  <c r="Y38" i="12" s="1"/>
  <c r="T31" i="12"/>
  <c r="X31" i="12" s="1"/>
  <c r="Y31" i="12" s="1"/>
  <c r="AH31" i="12" s="1"/>
  <c r="AH9" i="12"/>
  <c r="AH2" i="12"/>
  <c r="T72" i="12"/>
  <c r="AE159" i="12"/>
  <c r="AE136" i="12"/>
  <c r="AE262" i="12"/>
  <c r="AE248" i="12"/>
  <c r="AE212" i="12"/>
  <c r="AE204" i="12"/>
  <c r="AE195" i="12"/>
  <c r="AE173" i="12"/>
  <c r="AE141" i="12"/>
  <c r="AE96" i="12"/>
  <c r="AE76" i="12"/>
  <c r="AE66" i="12"/>
  <c r="AE55" i="12"/>
  <c r="AE51" i="12"/>
  <c r="AH51" i="12" s="1"/>
  <c r="AE41" i="12"/>
  <c r="AE32" i="12"/>
  <c r="AE267" i="12"/>
  <c r="AE246" i="12"/>
  <c r="AH246" i="12" s="1"/>
  <c r="AE166" i="12"/>
  <c r="AE104" i="12"/>
  <c r="AE52" i="12"/>
  <c r="AH52" i="12" s="1"/>
  <c r="AE295" i="12"/>
  <c r="AH295" i="12" s="1"/>
  <c r="AE263" i="12"/>
  <c r="AE240" i="12"/>
  <c r="AE165" i="12"/>
  <c r="AE85" i="12"/>
  <c r="AE28" i="12"/>
  <c r="AE13" i="12"/>
  <c r="AE190" i="12"/>
  <c r="AE175" i="12"/>
  <c r="AH175" i="12" s="1"/>
  <c r="AE161" i="12"/>
  <c r="AE145" i="12"/>
  <c r="AE138" i="12"/>
  <c r="AE119" i="12"/>
  <c r="AE88" i="12"/>
  <c r="AE69" i="12"/>
  <c r="AE42" i="12"/>
  <c r="AH42" i="12" s="1"/>
  <c r="AE279" i="12"/>
  <c r="AH279" i="12" s="1"/>
  <c r="AE250" i="12"/>
  <c r="AE71" i="12"/>
  <c r="AE60" i="12"/>
  <c r="AE288" i="12"/>
  <c r="AE257" i="12"/>
  <c r="AH257" i="12" s="1"/>
  <c r="AE231" i="12"/>
  <c r="AH231" i="12" s="1"/>
  <c r="AE209" i="12"/>
  <c r="AE176" i="12"/>
  <c r="AH176" i="12" s="1"/>
  <c r="AE167" i="12"/>
  <c r="AE121" i="12"/>
  <c r="AE105" i="12"/>
  <c r="AE65" i="12"/>
  <c r="AE53" i="12"/>
  <c r="AE97" i="12"/>
  <c r="AE47" i="12"/>
  <c r="AH225" i="12"/>
  <c r="X210" i="12"/>
  <c r="Y210" i="12" s="1"/>
  <c r="X164" i="12"/>
  <c r="Y164" i="12" s="1"/>
  <c r="AH153" i="12"/>
  <c r="X128" i="12"/>
  <c r="Y128" i="12" s="1"/>
  <c r="AH128" i="12" s="1"/>
  <c r="X183" i="12"/>
  <c r="Y183" i="12" s="1"/>
  <c r="AH300" i="12"/>
  <c r="X93" i="12"/>
  <c r="Y93" i="12" s="1"/>
  <c r="AH93" i="12" s="1"/>
  <c r="X37" i="12"/>
  <c r="Y37" i="12" s="1"/>
  <c r="AH37" i="12" s="1"/>
  <c r="T293" i="12"/>
  <c r="X293" i="12" s="1"/>
  <c r="Y293" i="12" s="1"/>
  <c r="AH293" i="12" s="1"/>
  <c r="AH170" i="12"/>
  <c r="T298" i="12"/>
  <c r="X298" i="12" s="1"/>
  <c r="Y298" i="12" s="1"/>
  <c r="AE298" i="12"/>
  <c r="X145" i="12"/>
  <c r="Y145" i="12" s="1"/>
  <c r="AH145" i="12" s="1"/>
  <c r="AH263" i="12"/>
  <c r="X101" i="12"/>
  <c r="Y101" i="12" s="1"/>
  <c r="AH101" i="12" s="1"/>
  <c r="X45" i="12"/>
  <c r="Y45" i="12" s="1"/>
  <c r="AH45" i="12" s="1"/>
  <c r="X125" i="12"/>
  <c r="Y125" i="12" s="1"/>
  <c r="X71" i="12"/>
  <c r="Y71" i="12" s="1"/>
  <c r="AH71" i="12" s="1"/>
  <c r="AH105" i="12"/>
  <c r="X62" i="12"/>
  <c r="Y62" i="12" s="1"/>
  <c r="AH62" i="12" s="1"/>
  <c r="X245" i="12"/>
  <c r="Y245" i="12" s="1"/>
  <c r="X55" i="12"/>
  <c r="Y55" i="12" s="1"/>
  <c r="AH55" i="12" s="1"/>
  <c r="T157" i="12"/>
  <c r="X157" i="12" s="1"/>
  <c r="Y157" i="12" s="1"/>
  <c r="AH157" i="12" s="1"/>
  <c r="T111" i="12"/>
  <c r="X57" i="12"/>
  <c r="Y57" i="12" s="1"/>
  <c r="AH57" i="12" s="1"/>
  <c r="AH26" i="12"/>
  <c r="T40" i="12"/>
  <c r="AE192" i="12"/>
  <c r="AE152" i="12"/>
  <c r="AE120" i="12"/>
  <c r="AE287" i="12"/>
  <c r="AE228" i="12"/>
  <c r="AH228" i="12" s="1"/>
  <c r="AE218" i="12"/>
  <c r="AE202" i="12"/>
  <c r="AH202" i="12" s="1"/>
  <c r="AE184" i="12"/>
  <c r="AE170" i="12"/>
  <c r="AE151" i="12"/>
  <c r="AE241" i="12"/>
  <c r="AH241" i="12" s="1"/>
  <c r="AE181" i="12"/>
  <c r="AE101" i="12"/>
  <c r="AE93" i="12"/>
  <c r="AE196" i="12"/>
  <c r="AH196" i="12" s="1"/>
  <c r="AE112" i="12"/>
  <c r="AH112" i="12" s="1"/>
  <c r="AE220" i="12"/>
  <c r="AE225" i="12"/>
  <c r="AE210" i="12"/>
  <c r="AE37" i="12"/>
  <c r="AE27" i="12"/>
  <c r="AE276" i="12"/>
  <c r="AE221" i="12"/>
  <c r="AH221" i="12" s="1"/>
  <c r="AE189" i="12"/>
  <c r="AH189" i="12" s="1"/>
  <c r="AE183" i="12"/>
  <c r="AE140" i="12"/>
  <c r="AE124" i="12"/>
  <c r="AH124" i="12" s="1"/>
  <c r="AE99" i="12"/>
  <c r="AE229" i="12"/>
  <c r="AE187" i="12"/>
  <c r="AE174" i="12"/>
  <c r="AE132" i="12"/>
  <c r="AE58" i="12"/>
  <c r="AE70" i="12"/>
  <c r="AE75" i="12"/>
  <c r="AH75" i="12" s="1"/>
  <c r="T233" i="12"/>
  <c r="X233" i="12" s="1"/>
  <c r="Y233" i="12" s="1"/>
  <c r="AE233" i="12"/>
  <c r="AH192" i="12"/>
  <c r="AH144" i="12"/>
  <c r="AH151" i="12"/>
  <c r="AH276" i="12"/>
  <c r="X69" i="12"/>
  <c r="Y69" i="12" s="1"/>
  <c r="AH69" i="12" s="1"/>
  <c r="AH13" i="12"/>
  <c r="X47" i="12"/>
  <c r="Y47" i="12" s="1"/>
  <c r="AH47" i="12" s="1"/>
  <c r="AH10" i="12"/>
  <c r="AH99" i="12"/>
  <c r="AH78" i="12"/>
  <c r="AH30" i="12"/>
  <c r="X215" i="12"/>
  <c r="Y215" i="12" s="1"/>
  <c r="AH215" i="12" s="1"/>
  <c r="X299" i="12"/>
  <c r="Y299" i="12" s="1"/>
  <c r="X110" i="12"/>
  <c r="Y110" i="12" s="1"/>
  <c r="AH110" i="12" s="1"/>
  <c r="T274" i="12"/>
  <c r="X274" i="12" s="1"/>
  <c r="Y274" i="12" s="1"/>
  <c r="AH274" i="12" s="1"/>
  <c r="AE274" i="12"/>
  <c r="X237" i="12"/>
  <c r="Y237" i="12" s="1"/>
  <c r="AH237" i="12" s="1"/>
  <c r="AH218" i="12"/>
  <c r="AH227" i="12"/>
  <c r="X158" i="12"/>
  <c r="Y158" i="12" s="1"/>
  <c r="X148" i="12"/>
  <c r="Y148" i="12" s="1"/>
  <c r="X140" i="12"/>
  <c r="Y140" i="12" s="1"/>
  <c r="AH140" i="12" s="1"/>
  <c r="X132" i="12"/>
  <c r="Y132" i="12" s="1"/>
  <c r="AH132" i="12" s="1"/>
  <c r="X120" i="12"/>
  <c r="Y120" i="12" s="1"/>
  <c r="AH120" i="12" s="1"/>
  <c r="AH165" i="12"/>
  <c r="X181" i="12"/>
  <c r="Y181" i="12" s="1"/>
  <c r="AH181" i="12" s="1"/>
  <c r="X204" i="12"/>
  <c r="Y204" i="12" s="1"/>
  <c r="AH204" i="12" s="1"/>
  <c r="X283" i="12"/>
  <c r="Y283" i="12" s="1"/>
  <c r="AH283" i="12" s="1"/>
  <c r="AH141" i="12"/>
  <c r="X275" i="12"/>
  <c r="Y275" i="12" s="1"/>
  <c r="AH275" i="12" s="1"/>
  <c r="AH261" i="12"/>
  <c r="T127" i="12"/>
  <c r="X127" i="12" s="1"/>
  <c r="Y127" i="12" s="1"/>
  <c r="AH127" i="12" s="1"/>
  <c r="X117" i="12"/>
  <c r="Y117" i="12" s="1"/>
  <c r="X74" i="12"/>
  <c r="Y74" i="12" s="1"/>
  <c r="X113" i="12"/>
  <c r="Y113" i="12" s="1"/>
  <c r="AH113" i="12" s="1"/>
  <c r="X130" i="12"/>
  <c r="Y130" i="12" s="1"/>
  <c r="AH130" i="12" s="1"/>
  <c r="X146" i="12"/>
  <c r="Y146" i="12" s="1"/>
  <c r="AH146" i="12" s="1"/>
  <c r="X188" i="12"/>
  <c r="Y188" i="12" s="1"/>
  <c r="AH188" i="12" s="1"/>
  <c r="X160" i="12"/>
  <c r="Y160" i="12" s="1"/>
  <c r="AH160" i="12" s="1"/>
  <c r="T94" i="12"/>
  <c r="X94" i="12" s="1"/>
  <c r="Y94" i="12" s="1"/>
  <c r="AH94" i="12" s="1"/>
  <c r="X35" i="12"/>
  <c r="Y35" i="12" s="1"/>
  <c r="AH35" i="12" s="1"/>
  <c r="X14" i="12"/>
  <c r="Y14" i="12" s="1"/>
  <c r="AH14" i="12" s="1"/>
  <c r="X12" i="12"/>
  <c r="Y12" i="12" s="1"/>
  <c r="AH12" i="12" s="1"/>
  <c r="X60" i="12"/>
  <c r="Y60" i="12" s="1"/>
  <c r="AH60" i="12" s="1"/>
  <c r="AH250" i="12"/>
  <c r="T249" i="12"/>
  <c r="X249" i="12" s="1"/>
  <c r="Y249" i="12" s="1"/>
  <c r="AE249" i="12"/>
  <c r="X248" i="12"/>
  <c r="Y248" i="12" s="1"/>
  <c r="AH248" i="12" s="1"/>
  <c r="X103" i="12"/>
  <c r="Y103" i="12" s="1"/>
  <c r="X119" i="12"/>
  <c r="Y119" i="12" s="1"/>
  <c r="AH119" i="12" s="1"/>
  <c r="AH97" i="12"/>
  <c r="X70" i="12"/>
  <c r="Y70" i="12" s="1"/>
  <c r="AH70" i="12" s="1"/>
  <c r="T63" i="12"/>
  <c r="X63" i="12" s="1"/>
  <c r="Y63" i="12" s="1"/>
  <c r="AH63" i="12" s="1"/>
  <c r="AH33" i="12"/>
  <c r="T7" i="12"/>
  <c r="X7" i="12" s="1"/>
  <c r="Y7" i="12" s="1"/>
  <c r="AH7" i="12" s="1"/>
  <c r="X23" i="12"/>
  <c r="Y23" i="12" s="1"/>
  <c r="T19" i="12"/>
  <c r="X19" i="12" s="1"/>
  <c r="Y19" i="12" s="1"/>
  <c r="AH19" i="12" s="1"/>
  <c r="AE200" i="12"/>
  <c r="AH200" i="12" s="1"/>
  <c r="AE191" i="12"/>
  <c r="AE139" i="12"/>
  <c r="AE116" i="12"/>
  <c r="AE239" i="12"/>
  <c r="AE294" i="12"/>
  <c r="AE284" i="12"/>
  <c r="AE271" i="12"/>
  <c r="AE237" i="12"/>
  <c r="AE197" i="12"/>
  <c r="AE188" i="12"/>
  <c r="AE182" i="12"/>
  <c r="AH182" i="12" s="1"/>
  <c r="AE158" i="12"/>
  <c r="AE149" i="12"/>
  <c r="AH149" i="12" s="1"/>
  <c r="AE92" i="12"/>
  <c r="AE81" i="12"/>
  <c r="AE61" i="12"/>
  <c r="AE12" i="12"/>
  <c r="AE177" i="12"/>
  <c r="AH177" i="12" s="1"/>
  <c r="AE108" i="12"/>
  <c r="AE90" i="12"/>
  <c r="AH90" i="12" s="1"/>
  <c r="AE82" i="12"/>
  <c r="AE59" i="12"/>
  <c r="AE194" i="12"/>
  <c r="AE103" i="12"/>
  <c r="AE45" i="12"/>
  <c r="AE35" i="12"/>
  <c r="AE254" i="12"/>
  <c r="AE299" i="12"/>
  <c r="AE283" i="12"/>
  <c r="AE222" i="12"/>
  <c r="AH222" i="12" s="1"/>
  <c r="AE169" i="12"/>
  <c r="AE155" i="12"/>
  <c r="AH155" i="12" s="1"/>
  <c r="AE125" i="12"/>
  <c r="AE117" i="12"/>
  <c r="AE80" i="12"/>
  <c r="AE49" i="12"/>
  <c r="AH49" i="12" s="1"/>
  <c r="AE22" i="12"/>
  <c r="AE286" i="12"/>
  <c r="AE245" i="12"/>
  <c r="AE217" i="12"/>
  <c r="AH217" i="12" s="1"/>
  <c r="AE67" i="12"/>
  <c r="AE16" i="12"/>
  <c r="AE275" i="12"/>
  <c r="AE226" i="12"/>
  <c r="AH226" i="12" s="1"/>
  <c r="AE205" i="12"/>
  <c r="AH205" i="12" s="1"/>
  <c r="AE172" i="12"/>
  <c r="AE144" i="12"/>
  <c r="AE123" i="12"/>
  <c r="AE109" i="12"/>
  <c r="AE100" i="12"/>
  <c r="AE68" i="12"/>
  <c r="AE24" i="12"/>
  <c r="X288" i="12"/>
  <c r="Y288" i="12" s="1"/>
  <c r="X136" i="12"/>
  <c r="Y136" i="12" s="1"/>
  <c r="AH136" i="12" s="1"/>
  <c r="X167" i="12"/>
  <c r="Y167" i="12" s="1"/>
  <c r="AH167" i="12" s="1"/>
  <c r="AH166" i="12"/>
  <c r="AH173" i="12"/>
  <c r="T242" i="12"/>
  <c r="X242" i="12" s="1"/>
  <c r="Y242" i="12" s="1"/>
  <c r="AH242" i="12" s="1"/>
  <c r="AE242" i="12"/>
  <c r="AH294" i="12"/>
  <c r="X267" i="12"/>
  <c r="Y267" i="12" s="1"/>
  <c r="AH267" i="12" s="1"/>
  <c r="AH58" i="12"/>
  <c r="T272" i="12"/>
  <c r="X224" i="12"/>
  <c r="Y224" i="12" s="1"/>
  <c r="AH224" i="12" s="1"/>
  <c r="T186" i="12"/>
  <c r="X186" i="12" s="1"/>
  <c r="Y186" i="12" s="1"/>
  <c r="AH186" i="12" s="1"/>
  <c r="AE186" i="12"/>
  <c r="X271" i="12"/>
  <c r="Y271" i="12" s="1"/>
  <c r="AH271" i="12" s="1"/>
  <c r="T273" i="12"/>
  <c r="X273" i="12" s="1"/>
  <c r="Y273" i="12" s="1"/>
  <c r="AH273" i="12" s="1"/>
  <c r="AE273" i="12"/>
  <c r="X287" i="12"/>
  <c r="Y287" i="12" s="1"/>
  <c r="AH287" i="12" s="1"/>
  <c r="T297" i="12"/>
  <c r="X297" i="12" s="1"/>
  <c r="Y297" i="12" s="1"/>
  <c r="AH297" i="12" s="1"/>
  <c r="T289" i="12"/>
  <c r="X289" i="12" s="1"/>
  <c r="Y289" i="12" s="1"/>
  <c r="AH289" i="12" s="1"/>
  <c r="X281" i="12"/>
  <c r="Y281" i="12" s="1"/>
  <c r="AH281" i="12" s="1"/>
  <c r="AH286" i="12"/>
  <c r="X239" i="12"/>
  <c r="Y239" i="12" s="1"/>
  <c r="AH209" i="12"/>
  <c r="X255" i="12"/>
  <c r="Y255" i="12" s="1"/>
  <c r="AH255" i="12" s="1"/>
  <c r="AH116" i="12"/>
  <c r="AH195" i="12"/>
  <c r="T178" i="12"/>
  <c r="X178" i="12" s="1"/>
  <c r="Y178" i="12" s="1"/>
  <c r="AE178" i="12"/>
  <c r="AH194" i="12"/>
  <c r="AH169" i="12"/>
  <c r="X185" i="12"/>
  <c r="Y185" i="12" s="1"/>
  <c r="T201" i="12"/>
  <c r="X201" i="12" s="1"/>
  <c r="Y201" i="12" s="1"/>
  <c r="AH201" i="12" s="1"/>
  <c r="AE201" i="12"/>
  <c r="T282" i="12"/>
  <c r="X282" i="12" s="1"/>
  <c r="Y282" i="12" s="1"/>
  <c r="AE282" i="12"/>
  <c r="X161" i="12"/>
  <c r="Y161" i="12" s="1"/>
  <c r="AH161" i="12" s="1"/>
  <c r="T142" i="12"/>
  <c r="X142" i="12" s="1"/>
  <c r="Y142" i="12" s="1"/>
  <c r="AH142" i="12" s="1"/>
  <c r="X100" i="12"/>
  <c r="Y100" i="12" s="1"/>
  <c r="AH100" i="12" s="1"/>
  <c r="X108" i="12"/>
  <c r="Y108" i="12" s="1"/>
  <c r="AH108" i="12" s="1"/>
  <c r="AH262" i="12"/>
  <c r="T266" i="12"/>
  <c r="X266" i="12" s="1"/>
  <c r="Y266" i="12" s="1"/>
  <c r="AH266" i="12" s="1"/>
  <c r="AE266" i="12"/>
  <c r="T114" i="12"/>
  <c r="X114" i="12" s="1"/>
  <c r="Y114" i="12" s="1"/>
  <c r="AH114" i="12" s="1"/>
  <c r="AE114" i="12"/>
  <c r="AH82" i="12"/>
  <c r="X61" i="12"/>
  <c r="Y61" i="12" s="1"/>
  <c r="AH50" i="12"/>
  <c r="AH29" i="12"/>
  <c r="AH5" i="12"/>
  <c r="X115" i="12"/>
  <c r="Y115" i="12" s="1"/>
  <c r="AH115" i="12" s="1"/>
  <c r="X129" i="12"/>
  <c r="Y129" i="12" s="1"/>
  <c r="AH129" i="12" s="1"/>
  <c r="X109" i="12"/>
  <c r="Y109" i="12" s="1"/>
  <c r="AH109" i="12" s="1"/>
  <c r="X102" i="12"/>
  <c r="Y102" i="12" s="1"/>
  <c r="AH102" i="12" s="1"/>
  <c r="X67" i="12"/>
  <c r="Y67" i="12" s="1"/>
  <c r="AH67" i="12" s="1"/>
  <c r="X46" i="12"/>
  <c r="Y46" i="12" s="1"/>
  <c r="AH46" i="12" s="1"/>
  <c r="AH11" i="12"/>
  <c r="AH16" i="12"/>
  <c r="AH32" i="12"/>
  <c r="X64" i="12"/>
  <c r="Y64" i="12" s="1"/>
  <c r="AH64" i="12" s="1"/>
  <c r="X254" i="12"/>
  <c r="Y254" i="12" s="1"/>
  <c r="AH254" i="12" s="1"/>
  <c r="AH89" i="12"/>
  <c r="AH25" i="12"/>
  <c r="X17" i="12"/>
  <c r="Y17" i="12" s="1"/>
  <c r="AH17" i="12" s="1"/>
  <c r="T98" i="12"/>
  <c r="X98" i="12" s="1"/>
  <c r="Y98" i="12" s="1"/>
  <c r="AH98" i="12" s="1"/>
  <c r="AE199" i="12"/>
  <c r="AH199" i="12" s="1"/>
  <c r="AE163" i="12"/>
  <c r="AH163" i="12" s="1"/>
  <c r="AE300" i="12"/>
  <c r="AE278" i="12"/>
  <c r="AE234" i="12"/>
  <c r="AH234" i="12" s="1"/>
  <c r="AE180" i="12"/>
  <c r="AH180" i="12" s="1"/>
  <c r="AE168" i="12"/>
  <c r="AE162" i="12"/>
  <c r="AH162" i="12" s="1"/>
  <c r="AE156" i="12"/>
  <c r="AE146" i="12"/>
  <c r="AE128" i="12"/>
  <c r="AE89" i="12"/>
  <c r="AE44" i="12"/>
  <c r="AH44" i="12" s="1"/>
  <c r="AE34" i="12"/>
  <c r="AE23" i="12"/>
  <c r="AE9" i="12"/>
  <c r="AE253" i="12"/>
  <c r="AH253" i="12" s="1"/>
  <c r="AE236" i="12"/>
  <c r="AH236" i="12" s="1"/>
  <c r="AE148" i="12"/>
  <c r="AE106" i="12"/>
  <c r="AH106" i="12" s="1"/>
  <c r="AE77" i="12"/>
  <c r="AH77" i="12" s="1"/>
  <c r="AE270" i="12"/>
  <c r="AH270" i="12" s="1"/>
  <c r="AE214" i="12"/>
  <c r="AH214" i="12" s="1"/>
  <c r="AE203" i="12"/>
  <c r="AE179" i="12"/>
  <c r="AH179" i="12" s="1"/>
  <c r="AE57" i="12"/>
  <c r="AE18" i="12"/>
  <c r="AE213" i="12"/>
  <c r="AE206" i="12"/>
  <c r="AH206" i="12" s="1"/>
  <c r="AE164" i="12"/>
  <c r="AE113" i="12"/>
  <c r="AE74" i="12"/>
  <c r="AE20" i="12"/>
  <c r="AE8" i="12"/>
  <c r="AE230" i="12"/>
  <c r="AH230" i="12" s="1"/>
  <c r="AE185" i="12"/>
  <c r="AE133" i="12"/>
  <c r="AH133" i="12" s="1"/>
  <c r="AE291" i="12"/>
  <c r="AH291" i="12" s="1"/>
  <c r="AE238" i="12"/>
  <c r="AH238" i="12" s="1"/>
  <c r="AE198" i="12"/>
  <c r="AH198" i="12" s="1"/>
  <c r="AE171" i="12"/>
  <c r="AE137" i="12"/>
  <c r="AE129" i="12"/>
  <c r="AE107" i="12"/>
  <c r="AE43" i="12"/>
  <c r="AH43" i="12" s="1"/>
  <c r="AE36" i="12"/>
  <c r="AH36" i="12" s="1"/>
  <c r="AE91" i="12"/>
  <c r="AH91" i="12" s="1"/>
  <c r="AE56" i="12"/>
  <c r="AE21" i="12"/>
  <c r="AH21" i="12" s="1"/>
  <c r="AE83" i="12"/>
  <c r="AE38" i="12"/>
  <c r="AH251" i="12"/>
  <c r="AH193" i="12"/>
  <c r="AH139" i="12"/>
  <c r="AH121" i="12"/>
  <c r="AH152" i="12"/>
  <c r="AH123" i="12"/>
  <c r="AH65" i="12"/>
  <c r="AH171" i="12"/>
  <c r="AH187" i="12"/>
  <c r="AH203" i="12"/>
  <c r="AH156" i="12"/>
  <c r="AH92" i="12"/>
  <c r="AH88" i="12"/>
  <c r="AH66" i="12"/>
  <c r="AH34" i="12"/>
  <c r="AH172" i="12"/>
  <c r="AH137" i="12"/>
  <c r="AH27" i="12"/>
  <c r="AH8" i="12"/>
  <c r="AH24" i="12"/>
  <c r="AH41" i="12"/>
  <c r="AH229" i="12"/>
  <c r="AH213" i="12"/>
  <c r="AH184" i="12"/>
  <c r="AH168" i="12"/>
  <c r="AH159" i="12"/>
  <c r="AH191" i="12"/>
  <c r="AH197" i="12"/>
  <c r="AH278" i="12"/>
  <c r="AH107" i="12"/>
  <c r="AH104" i="12"/>
  <c r="AH53" i="12"/>
  <c r="AH18" i="12"/>
  <c r="AH83" i="12"/>
  <c r="AH59" i="12"/>
  <c r="AH3" i="12"/>
  <c r="AH28" i="12"/>
  <c r="AH76" i="12"/>
  <c r="AH81" i="12"/>
  <c r="X220" i="12"/>
  <c r="Y220" i="12" s="1"/>
  <c r="AH220" i="12" s="1"/>
  <c r="X48" i="12"/>
  <c r="Y48" i="12" s="1"/>
  <c r="AH48" i="12" s="1"/>
  <c r="X96" i="12"/>
  <c r="Y96" i="12" s="1"/>
  <c r="X56" i="12"/>
  <c r="Y56" i="12" s="1"/>
  <c r="AH56" i="12" s="1"/>
  <c r="X284" i="12"/>
  <c r="Y284" i="12" s="1"/>
  <c r="AH284" i="12" s="1"/>
  <c r="X268" i="12"/>
  <c r="Y268" i="12" s="1"/>
  <c r="AH268" i="12" s="1"/>
  <c r="X240" i="12"/>
  <c r="Y240" i="12" s="1"/>
  <c r="AH240" i="12" s="1"/>
  <c r="X147" i="12"/>
  <c r="Y147" i="12" s="1"/>
  <c r="AH147" i="12" s="1"/>
  <c r="X111" i="12"/>
  <c r="Y111" i="12" s="1"/>
  <c r="AH111" i="12" s="1"/>
  <c r="X80" i="12"/>
  <c r="Y80" i="12" s="1"/>
  <c r="AH80" i="12" s="1"/>
  <c r="X72" i="12"/>
  <c r="Y72" i="12" s="1"/>
  <c r="AH72" i="12" s="1"/>
  <c r="X40" i="12"/>
  <c r="Y40" i="12" s="1"/>
  <c r="AH40" i="12" s="1"/>
  <c r="X296" i="12"/>
  <c r="Y296" i="12" s="1"/>
  <c r="AH296" i="12" s="1"/>
  <c r="X280" i="12"/>
  <c r="Y280" i="12" s="1"/>
  <c r="AH280" i="12" s="1"/>
  <c r="X264" i="12"/>
  <c r="Y264" i="12" s="1"/>
  <c r="AH264" i="12" s="1"/>
  <c r="X260" i="12"/>
  <c r="Y260" i="12" s="1"/>
  <c r="AH260" i="12" s="1"/>
  <c r="X252" i="12"/>
  <c r="Y252" i="12" s="1"/>
  <c r="AH252" i="12" s="1"/>
  <c r="X244" i="12"/>
  <c r="Y244" i="12" s="1"/>
  <c r="AH244" i="12" s="1"/>
  <c r="X247" i="12"/>
  <c r="Y247" i="12" s="1"/>
  <c r="AH247" i="12" s="1"/>
  <c r="X223" i="12"/>
  <c r="Y223" i="12" s="1"/>
  <c r="AH223" i="12" s="1"/>
  <c r="X207" i="12"/>
  <c r="Y207" i="12" s="1"/>
  <c r="AH207" i="12" s="1"/>
  <c r="X118" i="12"/>
  <c r="Y118" i="12" s="1"/>
  <c r="AH118" i="12" s="1"/>
  <c r="X143" i="12"/>
  <c r="Y143" i="12" s="1"/>
  <c r="AH143" i="12" s="1"/>
  <c r="X86" i="12"/>
  <c r="Y86" i="12" s="1"/>
  <c r="AH86" i="12" s="1"/>
  <c r="X54" i="12"/>
  <c r="Y54" i="12" s="1"/>
  <c r="AH54" i="12" s="1"/>
  <c r="X22" i="12"/>
  <c r="Y22" i="12" s="1"/>
  <c r="AH22" i="12" s="1"/>
  <c r="X135" i="12"/>
  <c r="Y135" i="12" s="1"/>
  <c r="AH135" i="12" s="1"/>
  <c r="X285" i="12"/>
  <c r="Y285" i="12" s="1"/>
  <c r="AH285" i="12" s="1"/>
  <c r="X277" i="12"/>
  <c r="Y277" i="12" s="1"/>
  <c r="AH277" i="12" s="1"/>
  <c r="X269" i="12"/>
  <c r="Y269" i="12" s="1"/>
  <c r="AH269" i="12" s="1"/>
  <c r="X292" i="12"/>
  <c r="Y292" i="12" s="1"/>
  <c r="AH292" i="12" s="1"/>
  <c r="X208" i="12"/>
  <c r="Y208" i="12" s="1"/>
  <c r="AH208" i="12" s="1"/>
  <c r="X259" i="12"/>
  <c r="Y259" i="12" s="1"/>
  <c r="AH259" i="12" s="1"/>
  <c r="X243" i="12"/>
  <c r="Y243" i="12" s="1"/>
  <c r="AH243" i="12" s="1"/>
  <c r="X219" i="12"/>
  <c r="Y219" i="12" s="1"/>
  <c r="AH219" i="12" s="1"/>
  <c r="X174" i="12"/>
  <c r="Y174" i="12" s="1"/>
  <c r="X190" i="12"/>
  <c r="Y190" i="12" s="1"/>
  <c r="AH190" i="12" s="1"/>
  <c r="X150" i="12"/>
  <c r="Y150" i="12" s="1"/>
  <c r="AH150" i="12" s="1"/>
  <c r="X134" i="12"/>
  <c r="Y134" i="12" s="1"/>
  <c r="AH134" i="12" s="1"/>
  <c r="X131" i="12"/>
  <c r="Y131" i="12" s="1"/>
  <c r="AH131" i="12" s="1"/>
  <c r="X87" i="12"/>
  <c r="Y87" i="12" s="1"/>
  <c r="AH87" i="12" s="1"/>
  <c r="X79" i="12"/>
  <c r="Y79" i="12" s="1"/>
  <c r="AH79" i="12" s="1"/>
  <c r="X15" i="12"/>
  <c r="Y15" i="12" s="1"/>
  <c r="AH15" i="12" s="1"/>
  <c r="X272" i="12"/>
  <c r="Y272" i="12" s="1"/>
  <c r="AH272" i="12" s="1"/>
  <c r="X256" i="12"/>
  <c r="Y256" i="12" s="1"/>
  <c r="AH256" i="12" s="1"/>
  <c r="X235" i="12"/>
  <c r="Y235" i="12" s="1"/>
  <c r="AH235" i="12" s="1"/>
  <c r="X212" i="12"/>
  <c r="Y212" i="12" s="1"/>
  <c r="AH212" i="12" s="1"/>
  <c r="X265" i="12"/>
  <c r="Y265" i="12" s="1"/>
  <c r="AH265" i="12" s="1"/>
  <c r="X138" i="12"/>
  <c r="Y138" i="12" s="1"/>
  <c r="AH138" i="12" s="1"/>
  <c r="X126" i="12"/>
  <c r="Y126" i="12" s="1"/>
  <c r="AH126" i="12" s="1"/>
  <c r="X6" i="12"/>
  <c r="Y6" i="12" s="1"/>
  <c r="AH6" i="12" s="1"/>
  <c r="X122" i="12"/>
  <c r="Y122" i="12" s="1"/>
  <c r="AH122" i="12" s="1"/>
  <c r="X39" i="12"/>
  <c r="Y39" i="12" s="1"/>
  <c r="AH39" i="12" s="1"/>
  <c r="W221" i="11"/>
  <c r="X221" i="11" s="1"/>
  <c r="W45" i="11"/>
  <c r="X45" i="11" s="1"/>
  <c r="W23" i="11"/>
  <c r="X23" i="11" s="1"/>
  <c r="W250" i="11"/>
  <c r="X250" i="11" s="1"/>
  <c r="W181" i="11"/>
  <c r="X181" i="11" s="1"/>
  <c r="W133" i="11"/>
  <c r="X133" i="11" s="1"/>
  <c r="W77" i="11"/>
  <c r="X77" i="11" s="1"/>
  <c r="W61" i="11"/>
  <c r="X61" i="11" s="1"/>
  <c r="W7" i="11"/>
  <c r="X7" i="11" s="1"/>
  <c r="W289" i="11"/>
  <c r="X289" i="11" s="1"/>
  <c r="W281" i="11"/>
  <c r="X281" i="11" s="1"/>
  <c r="W277" i="11"/>
  <c r="X277" i="11" s="1"/>
  <c r="W273" i="11"/>
  <c r="X273" i="11" s="1"/>
  <c r="W269" i="11"/>
  <c r="X269" i="11" s="1"/>
  <c r="W265" i="11"/>
  <c r="X265" i="11" s="1"/>
  <c r="W253" i="11"/>
  <c r="X253" i="11" s="1"/>
  <c r="W249" i="11"/>
  <c r="X249" i="11" s="1"/>
  <c r="W237" i="11"/>
  <c r="X237" i="11" s="1"/>
  <c r="W232" i="11"/>
  <c r="X232" i="11" s="1"/>
  <c r="W228" i="11"/>
  <c r="X228" i="11" s="1"/>
  <c r="W208" i="11"/>
  <c r="X208" i="11" s="1"/>
  <c r="W204" i="11"/>
  <c r="X204" i="11" s="1"/>
  <c r="W200" i="11"/>
  <c r="X200" i="11" s="1"/>
  <c r="W192" i="11"/>
  <c r="X192" i="11" s="1"/>
  <c r="W188" i="11"/>
  <c r="X188" i="11" s="1"/>
  <c r="W184" i="11"/>
  <c r="X184" i="11" s="1"/>
  <c r="W176" i="11"/>
  <c r="X176" i="11" s="1"/>
  <c r="W172" i="11"/>
  <c r="X172" i="11" s="1"/>
  <c r="W168" i="11"/>
  <c r="X168" i="11" s="1"/>
  <c r="W160" i="11"/>
  <c r="X160" i="11" s="1"/>
  <c r="W156" i="11"/>
  <c r="X156" i="11" s="1"/>
  <c r="W152" i="11"/>
  <c r="X152" i="11" s="1"/>
  <c r="W144" i="11"/>
  <c r="X144" i="11" s="1"/>
  <c r="W140" i="11"/>
  <c r="X140" i="11" s="1"/>
  <c r="W136" i="11"/>
  <c r="X136" i="11" s="1"/>
  <c r="W128" i="11"/>
  <c r="X128" i="11" s="1"/>
  <c r="W124" i="11"/>
  <c r="X124" i="11" s="1"/>
  <c r="W120" i="11"/>
  <c r="X120" i="11" s="1"/>
  <c r="W112" i="11"/>
  <c r="X112" i="11" s="1"/>
  <c r="W108" i="11"/>
  <c r="X108" i="11" s="1"/>
  <c r="W100" i="11"/>
  <c r="X100" i="11" s="1"/>
  <c r="W96" i="11"/>
  <c r="X96" i="11" s="1"/>
  <c r="W92" i="11"/>
  <c r="X92" i="11" s="1"/>
  <c r="W88" i="11"/>
  <c r="X88" i="11" s="1"/>
  <c r="W84" i="11"/>
  <c r="X84" i="11" s="1"/>
  <c r="W80" i="11"/>
  <c r="X80" i="11" s="1"/>
  <c r="W68" i="11"/>
  <c r="X68" i="11" s="1"/>
  <c r="W64" i="11"/>
  <c r="X64" i="11" s="1"/>
  <c r="W52" i="11"/>
  <c r="X52" i="11" s="1"/>
  <c r="W48" i="11"/>
  <c r="X48" i="11" s="1"/>
  <c r="W36" i="11"/>
  <c r="X36" i="11" s="1"/>
  <c r="W22" i="11"/>
  <c r="X22" i="11" s="1"/>
  <c r="W10" i="11"/>
  <c r="X10" i="11" s="1"/>
  <c r="W6" i="11"/>
  <c r="X6" i="11" s="1"/>
  <c r="W286" i="11"/>
  <c r="X286" i="11" s="1"/>
  <c r="W278" i="11"/>
  <c r="X278" i="11" s="1"/>
  <c r="W266" i="11"/>
  <c r="X266" i="11" s="1"/>
  <c r="W197" i="11"/>
  <c r="X197" i="11" s="1"/>
  <c r="W165" i="11"/>
  <c r="X165" i="11" s="1"/>
  <c r="W149" i="11"/>
  <c r="X149" i="11" s="1"/>
  <c r="W117" i="11"/>
  <c r="X117" i="11" s="1"/>
  <c r="W101" i="11"/>
  <c r="X101" i="11" s="1"/>
  <c r="W292" i="11"/>
  <c r="X292" i="11" s="1"/>
  <c r="W284" i="11"/>
  <c r="X284" i="11" s="1"/>
  <c r="W256" i="11"/>
  <c r="X256" i="11" s="1"/>
  <c r="W248" i="11"/>
  <c r="X248" i="11" s="1"/>
  <c r="W219" i="11"/>
  <c r="X219" i="11" s="1"/>
  <c r="W195" i="11"/>
  <c r="X195" i="11" s="1"/>
  <c r="W179" i="11"/>
  <c r="X179" i="11" s="1"/>
  <c r="W163" i="11"/>
  <c r="X163" i="11" s="1"/>
  <c r="W147" i="11"/>
  <c r="X147" i="11" s="1"/>
  <c r="W131" i="11"/>
  <c r="X131" i="11" s="1"/>
  <c r="W115" i="11"/>
  <c r="X115" i="11" s="1"/>
  <c r="W103" i="11"/>
  <c r="X103" i="11" s="1"/>
  <c r="W99" i="11"/>
  <c r="X99" i="11" s="1"/>
  <c r="W87" i="11"/>
  <c r="X87" i="11" s="1"/>
  <c r="W71" i="11"/>
  <c r="X71" i="11" s="1"/>
  <c r="W55" i="11"/>
  <c r="X55" i="11" s="1"/>
  <c r="W39" i="11"/>
  <c r="X39" i="11" s="1"/>
  <c r="W13" i="11"/>
  <c r="X13" i="11" s="1"/>
  <c r="AJ4" i="13" l="1"/>
  <c r="AK4" i="13" s="1"/>
  <c r="BZ18" i="13"/>
  <c r="BX18" i="13"/>
  <c r="BY18" i="13"/>
  <c r="BW18" i="13"/>
  <c r="CA18" i="13"/>
  <c r="BW17" i="13"/>
  <c r="CA17" i="13"/>
  <c r="BY17" i="13"/>
  <c r="BZ17" i="13"/>
  <c r="BX17" i="13"/>
  <c r="BX16" i="13"/>
  <c r="BZ16" i="13"/>
  <c r="BW16" i="13"/>
  <c r="CA16" i="13"/>
  <c r="BY16" i="13"/>
  <c r="BX22" i="13"/>
  <c r="BY22" i="13"/>
  <c r="BZ22" i="13"/>
  <c r="BW22" i="13"/>
  <c r="CA22" i="13"/>
  <c r="BY27" i="13"/>
  <c r="BZ27" i="13"/>
  <c r="BW27" i="13"/>
  <c r="CA27" i="13"/>
  <c r="BX27" i="13"/>
  <c r="BZ24" i="13"/>
  <c r="BW24" i="13"/>
  <c r="CA24" i="13"/>
  <c r="BX24" i="13"/>
  <c r="BY24" i="13"/>
  <c r="BW25" i="13"/>
  <c r="CA25" i="13"/>
  <c r="BX25" i="13"/>
  <c r="BY25" i="13"/>
  <c r="BZ25" i="13"/>
  <c r="BW9" i="13"/>
  <c r="CA9" i="13"/>
  <c r="BP244" i="13"/>
  <c r="BU244" i="13" s="1"/>
  <c r="BP105" i="13"/>
  <c r="BT105" i="13" s="1"/>
  <c r="BP127" i="13"/>
  <c r="BS127" i="13" s="1"/>
  <c r="BP106" i="13"/>
  <c r="BS106" i="13" s="1"/>
  <c r="BY106" i="13" s="1"/>
  <c r="BP36" i="13"/>
  <c r="BQ36" i="13" s="1"/>
  <c r="BW36" i="13" s="1"/>
  <c r="AH79" i="13"/>
  <c r="AH280" i="13"/>
  <c r="BP68" i="13"/>
  <c r="BS68" i="13" s="1"/>
  <c r="BY68" i="13" s="1"/>
  <c r="BP89" i="13"/>
  <c r="BR89" i="13" s="1"/>
  <c r="BP42" i="13"/>
  <c r="BU42" i="13" s="1"/>
  <c r="CA42" i="13" s="1"/>
  <c r="BS12" i="13"/>
  <c r="BP246" i="13"/>
  <c r="BS246" i="13" s="1"/>
  <c r="AH136" i="13"/>
  <c r="X162" i="13"/>
  <c r="Y162" i="13" s="1"/>
  <c r="AH162" i="13" s="1"/>
  <c r="X205" i="13"/>
  <c r="Y205" i="13" s="1"/>
  <c r="AI205" i="13" s="1"/>
  <c r="AJ205" i="13" s="1"/>
  <c r="AK205" i="13" s="1"/>
  <c r="BQ17" i="13"/>
  <c r="X168" i="13"/>
  <c r="Y168" i="13" s="1"/>
  <c r="AI168" i="13" s="1"/>
  <c r="AJ168" i="13" s="1"/>
  <c r="AK168" i="13" s="1"/>
  <c r="BP214" i="13"/>
  <c r="BS214" i="13" s="1"/>
  <c r="BP132" i="13"/>
  <c r="BS132" i="13" s="1"/>
  <c r="BQ20" i="13"/>
  <c r="X146" i="13"/>
  <c r="Y146" i="13" s="1"/>
  <c r="AH146" i="13" s="1"/>
  <c r="X206" i="13"/>
  <c r="Y206" i="13" s="1"/>
  <c r="AI206" i="13" s="1"/>
  <c r="AJ206" i="13" s="1"/>
  <c r="AK206" i="13" s="1"/>
  <c r="X207" i="13"/>
  <c r="Y207" i="13" s="1"/>
  <c r="AH207" i="13" s="1"/>
  <c r="BP45" i="13"/>
  <c r="BS45" i="13" s="1"/>
  <c r="BP274" i="13"/>
  <c r="BS274" i="13" s="1"/>
  <c r="BP82" i="13"/>
  <c r="BS82" i="13" s="1"/>
  <c r="BY82" i="13" s="1"/>
  <c r="X160" i="13"/>
  <c r="Y160" i="13" s="1"/>
  <c r="AI160" i="13" s="1"/>
  <c r="AJ160" i="13" s="1"/>
  <c r="AK160" i="13" s="1"/>
  <c r="X260" i="13"/>
  <c r="Y260" i="13" s="1"/>
  <c r="AH260" i="13" s="1"/>
  <c r="X173" i="13"/>
  <c r="Y173" i="13" s="1"/>
  <c r="AH173" i="13" s="1"/>
  <c r="X186" i="13"/>
  <c r="Y186" i="13" s="1"/>
  <c r="AI186" i="13" s="1"/>
  <c r="AJ186" i="13" s="1"/>
  <c r="AK186" i="13" s="1"/>
  <c r="X47" i="13"/>
  <c r="Y47" i="13" s="1"/>
  <c r="AI47" i="13" s="1"/>
  <c r="AJ47" i="13" s="1"/>
  <c r="AK47" i="13" s="1"/>
  <c r="BR60" i="13"/>
  <c r="X148" i="13"/>
  <c r="Y148" i="13" s="1"/>
  <c r="AH148" i="13" s="1"/>
  <c r="X290" i="13"/>
  <c r="Y290" i="13" s="1"/>
  <c r="AH290" i="13" s="1"/>
  <c r="X178" i="13"/>
  <c r="Y178" i="13" s="1"/>
  <c r="AI178" i="13" s="1"/>
  <c r="AJ178" i="13" s="1"/>
  <c r="AK178" i="13" s="1"/>
  <c r="X277" i="13"/>
  <c r="Y277" i="13" s="1"/>
  <c r="AI277" i="13" s="1"/>
  <c r="AJ277" i="13" s="1"/>
  <c r="AK277" i="13" s="1"/>
  <c r="X211" i="13"/>
  <c r="Y211" i="13" s="1"/>
  <c r="AI211" i="13" s="1"/>
  <c r="AJ211" i="13" s="1"/>
  <c r="AK211" i="13" s="1"/>
  <c r="X149" i="13"/>
  <c r="Y149" i="13" s="1"/>
  <c r="AH149" i="13" s="1"/>
  <c r="X229" i="13"/>
  <c r="Y229" i="13" s="1"/>
  <c r="AI229" i="13" s="1"/>
  <c r="AJ229" i="13" s="1"/>
  <c r="AK229" i="13" s="1"/>
  <c r="X184" i="13"/>
  <c r="Y184" i="13" s="1"/>
  <c r="AH184" i="13" s="1"/>
  <c r="X51" i="13"/>
  <c r="Y51" i="13" s="1"/>
  <c r="AH51" i="13" s="1"/>
  <c r="X266" i="13"/>
  <c r="Y266" i="13" s="1"/>
  <c r="AH266" i="13" s="1"/>
  <c r="BU65" i="13"/>
  <c r="CA65" i="13" s="1"/>
  <c r="X59" i="13"/>
  <c r="Y59" i="13" s="1"/>
  <c r="AH59" i="13" s="1"/>
  <c r="X298" i="13"/>
  <c r="Y298" i="13" s="1"/>
  <c r="AH298" i="13" s="1"/>
  <c r="X195" i="13"/>
  <c r="Y195" i="13" s="1"/>
  <c r="AI195" i="13" s="1"/>
  <c r="AJ195" i="13" s="1"/>
  <c r="AK195" i="13" s="1"/>
  <c r="AH93" i="13"/>
  <c r="X150" i="13"/>
  <c r="Y150" i="13" s="1"/>
  <c r="AH150" i="13" s="1"/>
  <c r="X116" i="13"/>
  <c r="Y116" i="13" s="1"/>
  <c r="AI116" i="13" s="1"/>
  <c r="AJ116" i="13" s="1"/>
  <c r="AK116" i="13" s="1"/>
  <c r="AH11" i="13"/>
  <c r="BP242" i="13"/>
  <c r="BT242" i="13" s="1"/>
  <c r="BZ242" i="13" s="1"/>
  <c r="BP97" i="13"/>
  <c r="BS97" i="13" s="1"/>
  <c r="X166" i="13"/>
  <c r="Y166" i="13" s="1"/>
  <c r="AH166" i="13" s="1"/>
  <c r="BP34" i="13"/>
  <c r="BR34" i="13" s="1"/>
  <c r="BX34" i="13" s="1"/>
  <c r="BP58" i="13"/>
  <c r="BU58" i="13" s="1"/>
  <c r="BP76" i="13"/>
  <c r="BR76" i="13" s="1"/>
  <c r="BP125" i="13"/>
  <c r="BT125" i="13" s="1"/>
  <c r="BP289" i="13"/>
  <c r="BU289" i="13" s="1"/>
  <c r="CA289" i="13" s="1"/>
  <c r="BP57" i="13"/>
  <c r="BU57" i="13" s="1"/>
  <c r="CA57" i="13" s="1"/>
  <c r="BP140" i="13"/>
  <c r="BU140" i="13" s="1"/>
  <c r="X196" i="13"/>
  <c r="Y196" i="13" s="1"/>
  <c r="AH196" i="13" s="1"/>
  <c r="X176" i="13"/>
  <c r="Y176" i="13" s="1"/>
  <c r="AH176" i="13" s="1"/>
  <c r="X204" i="13"/>
  <c r="Y204" i="13" s="1"/>
  <c r="AI204" i="13" s="1"/>
  <c r="AJ204" i="13" s="1"/>
  <c r="AK204" i="13" s="1"/>
  <c r="BP93" i="13"/>
  <c r="BT93" i="13" s="1"/>
  <c r="BZ93" i="13" s="1"/>
  <c r="BP37" i="13"/>
  <c r="BS37" i="13" s="1"/>
  <c r="BT5" i="13"/>
  <c r="BP41" i="13"/>
  <c r="BR41" i="13" s="1"/>
  <c r="BX41" i="13" s="1"/>
  <c r="BP81" i="13"/>
  <c r="BR81" i="13" s="1"/>
  <c r="BX81" i="13" s="1"/>
  <c r="BT4" i="13"/>
  <c r="BP77" i="13"/>
  <c r="BU77" i="13" s="1"/>
  <c r="BP129" i="13"/>
  <c r="BR129" i="13" s="1"/>
  <c r="BS10" i="13"/>
  <c r="BP137" i="13"/>
  <c r="BS137" i="13" s="1"/>
  <c r="BY137" i="13" s="1"/>
  <c r="BQ9" i="13"/>
  <c r="BP285" i="13"/>
  <c r="BS285" i="13" s="1"/>
  <c r="BY285" i="13" s="1"/>
  <c r="BP114" i="13"/>
  <c r="BS114" i="13" s="1"/>
  <c r="BP232" i="13"/>
  <c r="BU232" i="13" s="1"/>
  <c r="BP288" i="13"/>
  <c r="BR288" i="13" s="1"/>
  <c r="BT18" i="13"/>
  <c r="AI284" i="13"/>
  <c r="AJ284" i="13" s="1"/>
  <c r="AK284" i="13" s="1"/>
  <c r="BR65" i="13"/>
  <c r="BX65" i="13" s="1"/>
  <c r="BS65" i="13"/>
  <c r="BY65" i="13" s="1"/>
  <c r="BP257" i="13"/>
  <c r="BT257" i="13" s="1"/>
  <c r="BP117" i="13"/>
  <c r="BS117" i="13" s="1"/>
  <c r="BY117" i="13" s="1"/>
  <c r="BP238" i="13"/>
  <c r="BS238" i="13" s="1"/>
  <c r="BY238" i="13" s="1"/>
  <c r="BP44" i="13"/>
  <c r="BT44" i="13" s="1"/>
  <c r="BZ44" i="13" s="1"/>
  <c r="BP130" i="13"/>
  <c r="BR130" i="13" s="1"/>
  <c r="AH25" i="13"/>
  <c r="AH49" i="13"/>
  <c r="BY127" i="13"/>
  <c r="AH267" i="13"/>
  <c r="AH109" i="13"/>
  <c r="AH35" i="13"/>
  <c r="AH39" i="13"/>
  <c r="AI11" i="13"/>
  <c r="AJ11" i="13" s="1"/>
  <c r="AK11" i="13" s="1"/>
  <c r="AH17" i="13"/>
  <c r="AH73" i="13"/>
  <c r="AH33" i="13"/>
  <c r="AH85" i="13"/>
  <c r="AH282" i="13"/>
  <c r="AH127" i="13"/>
  <c r="X95" i="13"/>
  <c r="Y95" i="13" s="1"/>
  <c r="AI95" i="13" s="1"/>
  <c r="AJ95" i="13" s="1"/>
  <c r="AK95" i="13" s="1"/>
  <c r="BP92" i="13"/>
  <c r="BU92" i="13" s="1"/>
  <c r="BP100" i="13"/>
  <c r="BT100" i="13" s="1"/>
  <c r="BZ100" i="13" s="1"/>
  <c r="AH63" i="13"/>
  <c r="X279" i="13"/>
  <c r="Y279" i="13" s="1"/>
  <c r="AI279" i="13" s="1"/>
  <c r="AJ279" i="13" s="1"/>
  <c r="AK279" i="13" s="1"/>
  <c r="X189" i="13"/>
  <c r="Y189" i="13" s="1"/>
  <c r="AI189" i="13" s="1"/>
  <c r="AJ189" i="13" s="1"/>
  <c r="AK189" i="13" s="1"/>
  <c r="AH57" i="13"/>
  <c r="X170" i="13"/>
  <c r="Y170" i="13" s="1"/>
  <c r="AH170" i="13" s="1"/>
  <c r="X200" i="13"/>
  <c r="Y200" i="13" s="1"/>
  <c r="AH200" i="13" s="1"/>
  <c r="X213" i="13"/>
  <c r="Y213" i="13" s="1"/>
  <c r="AI213" i="13" s="1"/>
  <c r="AJ213" i="13" s="1"/>
  <c r="AK213" i="13" s="1"/>
  <c r="X174" i="13"/>
  <c r="Y174" i="13" s="1"/>
  <c r="AI174" i="13" s="1"/>
  <c r="AJ174" i="13" s="1"/>
  <c r="AK174" i="13" s="1"/>
  <c r="X269" i="13"/>
  <c r="Y269" i="13" s="1"/>
  <c r="AH269" i="13" s="1"/>
  <c r="BP33" i="13"/>
  <c r="BU33" i="13" s="1"/>
  <c r="CA33" i="13" s="1"/>
  <c r="BP30" i="13"/>
  <c r="BQ30" i="13" s="1"/>
  <c r="BW30" i="13" s="1"/>
  <c r="BT21" i="13"/>
  <c r="BP135" i="13"/>
  <c r="BR135" i="13" s="1"/>
  <c r="BQ13" i="13"/>
  <c r="BP53" i="13"/>
  <c r="BT53" i="13" s="1"/>
  <c r="BP101" i="13"/>
  <c r="BR101" i="13" s="1"/>
  <c r="BX101" i="13" s="1"/>
  <c r="BP108" i="13"/>
  <c r="BQ108" i="13" s="1"/>
  <c r="BP230" i="13"/>
  <c r="BQ230" i="13" s="1"/>
  <c r="BP74" i="13"/>
  <c r="BT74" i="13" s="1"/>
  <c r="BP224" i="13"/>
  <c r="BU224" i="13" s="1"/>
  <c r="BP287" i="13"/>
  <c r="BR287" i="13" s="1"/>
  <c r="BP278" i="13"/>
  <c r="BR278" i="13" s="1"/>
  <c r="BX278" i="13" s="1"/>
  <c r="BP122" i="13"/>
  <c r="BS122" i="13" s="1"/>
  <c r="BP90" i="13"/>
  <c r="BT90" i="13" s="1"/>
  <c r="BZ90" i="13" s="1"/>
  <c r="BP98" i="13"/>
  <c r="BT98" i="13" s="1"/>
  <c r="BZ98" i="13" s="1"/>
  <c r="X237" i="13"/>
  <c r="Y237" i="13" s="1"/>
  <c r="AH237" i="13" s="1"/>
  <c r="X175" i="13"/>
  <c r="Y175" i="13" s="1"/>
  <c r="AH175" i="13" s="1"/>
  <c r="X296" i="13"/>
  <c r="Y296" i="13" s="1"/>
  <c r="AI296" i="13" s="1"/>
  <c r="AJ296" i="13" s="1"/>
  <c r="AK296" i="13" s="1"/>
  <c r="X163" i="13"/>
  <c r="Y163" i="13" s="1"/>
  <c r="AH163" i="13" s="1"/>
  <c r="AH111" i="13"/>
  <c r="X169" i="13"/>
  <c r="Y169" i="13" s="1"/>
  <c r="AH169" i="13" s="1"/>
  <c r="X156" i="13"/>
  <c r="Y156" i="13" s="1"/>
  <c r="AI156" i="13" s="1"/>
  <c r="AJ156" i="13" s="1"/>
  <c r="AK156" i="13" s="1"/>
  <c r="AI256" i="13"/>
  <c r="AJ256" i="13" s="1"/>
  <c r="AK256" i="13" s="1"/>
  <c r="X221" i="13"/>
  <c r="Y221" i="13" s="1"/>
  <c r="AH221" i="13" s="1"/>
  <c r="X145" i="13"/>
  <c r="Y145" i="13" s="1"/>
  <c r="AI145" i="13" s="1"/>
  <c r="AJ145" i="13" s="1"/>
  <c r="AK145" i="13" s="1"/>
  <c r="X152" i="13"/>
  <c r="Y152" i="13" s="1"/>
  <c r="AH152" i="13" s="1"/>
  <c r="X180" i="13"/>
  <c r="Y180" i="13" s="1"/>
  <c r="AH180" i="13" s="1"/>
  <c r="X188" i="13"/>
  <c r="Y188" i="13" s="1"/>
  <c r="AH188" i="13" s="1"/>
  <c r="X198" i="13"/>
  <c r="Y198" i="13" s="1"/>
  <c r="AH198" i="13" s="1"/>
  <c r="X3" i="13"/>
  <c r="Y3" i="13" s="1"/>
  <c r="AH3" i="13" s="1"/>
  <c r="AH126" i="13"/>
  <c r="X219" i="13"/>
  <c r="Y219" i="13" s="1"/>
  <c r="AH219" i="13" s="1"/>
  <c r="X248" i="13"/>
  <c r="Y248" i="13" s="1"/>
  <c r="AH248" i="13" s="1"/>
  <c r="X194" i="13"/>
  <c r="Y194" i="13" s="1"/>
  <c r="AH194" i="13" s="1"/>
  <c r="X297" i="13"/>
  <c r="Y297" i="13" s="1"/>
  <c r="AH297" i="13" s="1"/>
  <c r="AH9" i="13"/>
  <c r="AH65" i="13"/>
  <c r="X209" i="13"/>
  <c r="Y209" i="13" s="1"/>
  <c r="AH209" i="13" s="1"/>
  <c r="BP234" i="13"/>
  <c r="BQ234" i="13" s="1"/>
  <c r="BP61" i="13"/>
  <c r="BT61" i="13" s="1"/>
  <c r="BP133" i="13"/>
  <c r="BS133" i="13" s="1"/>
  <c r="BP2" i="13"/>
  <c r="BR2" i="13" s="1"/>
  <c r="BP236" i="13"/>
  <c r="BS236" i="13" s="1"/>
  <c r="BP131" i="13"/>
  <c r="BT131" i="13" s="1"/>
  <c r="BP50" i="13"/>
  <c r="BR50" i="13" s="1"/>
  <c r="BX50" i="13" s="1"/>
  <c r="BP66" i="13"/>
  <c r="BS66" i="13" s="1"/>
  <c r="BY66" i="13" s="1"/>
  <c r="BP28" i="13"/>
  <c r="BQ28" i="13" s="1"/>
  <c r="BP52" i="13"/>
  <c r="BQ52" i="13" s="1"/>
  <c r="BP69" i="13"/>
  <c r="BT69" i="13" s="1"/>
  <c r="BP265" i="13"/>
  <c r="BR265" i="13" s="1"/>
  <c r="BP118" i="13"/>
  <c r="BU118" i="13" s="1"/>
  <c r="X199" i="13"/>
  <c r="Y199" i="13" s="1"/>
  <c r="AI199" i="13" s="1"/>
  <c r="AJ199" i="13" s="1"/>
  <c r="AK199" i="13" s="1"/>
  <c r="X155" i="13"/>
  <c r="Y155" i="13" s="1"/>
  <c r="AI155" i="13" s="1"/>
  <c r="AJ155" i="13" s="1"/>
  <c r="AK155" i="13" s="1"/>
  <c r="BP212" i="13"/>
  <c r="BS212" i="13" s="1"/>
  <c r="BY212" i="13" s="1"/>
  <c r="AH285" i="13"/>
  <c r="BP276" i="13"/>
  <c r="BQ276" i="13" s="1"/>
  <c r="BW276" i="13" s="1"/>
  <c r="BV276" i="13" s="1" a="1"/>
  <c r="BV276" i="13" s="1"/>
  <c r="BP84" i="13"/>
  <c r="BS84" i="13" s="1"/>
  <c r="BP29" i="13"/>
  <c r="BQ29" i="13" s="1"/>
  <c r="BP123" i="13"/>
  <c r="BU123" i="13" s="1"/>
  <c r="X239" i="13"/>
  <c r="Y239" i="13" s="1"/>
  <c r="AI239" i="13" s="1"/>
  <c r="AJ239" i="13" s="1"/>
  <c r="AK239" i="13" s="1"/>
  <c r="X185" i="13"/>
  <c r="Y185" i="13" s="1"/>
  <c r="AH185" i="13" s="1"/>
  <c r="X254" i="13"/>
  <c r="Y254" i="13" s="1"/>
  <c r="AH254" i="13" s="1"/>
  <c r="X262" i="13"/>
  <c r="Y262" i="13" s="1"/>
  <c r="AH262" i="13" s="1"/>
  <c r="AH41" i="13"/>
  <c r="AH101" i="13"/>
  <c r="X293" i="13"/>
  <c r="Y293" i="13" s="1"/>
  <c r="AH293" i="13" s="1"/>
  <c r="BQ49" i="13"/>
  <c r="BW49" i="13" s="1"/>
  <c r="BT57" i="13"/>
  <c r="BZ57" i="13" s="1"/>
  <c r="AF251" i="13"/>
  <c r="X251" i="13"/>
  <c r="Y251" i="13" s="1"/>
  <c r="AH251" i="13" s="1"/>
  <c r="BP26" i="13"/>
  <c r="BS26" i="13" s="1"/>
  <c r="BP73" i="13"/>
  <c r="BR73" i="13" s="1"/>
  <c r="BX73" i="13" s="1"/>
  <c r="BP139" i="13"/>
  <c r="X225" i="13"/>
  <c r="Y225" i="13" s="1"/>
  <c r="AI225" i="13" s="1"/>
  <c r="AJ225" i="13" s="1"/>
  <c r="AK225" i="13" s="1"/>
  <c r="X193" i="13"/>
  <c r="Y193" i="13" s="1"/>
  <c r="AH193" i="13" s="1"/>
  <c r="X271" i="13"/>
  <c r="Y271" i="13" s="1"/>
  <c r="AH271" i="13" s="1"/>
  <c r="AH157" i="13"/>
  <c r="BP25" i="13"/>
  <c r="X247" i="13"/>
  <c r="Y247" i="13" s="1"/>
  <c r="AI247" i="13" s="1"/>
  <c r="AJ247" i="13" s="1"/>
  <c r="AK247" i="13" s="1"/>
  <c r="X164" i="13"/>
  <c r="Y164" i="13" s="1"/>
  <c r="AH164" i="13" s="1"/>
  <c r="X181" i="13"/>
  <c r="Y181" i="13" s="1"/>
  <c r="AH181" i="13" s="1"/>
  <c r="X153" i="13"/>
  <c r="Y153" i="13" s="1"/>
  <c r="AH153" i="13" s="1"/>
  <c r="BT244" i="13"/>
  <c r="BR244" i="13"/>
  <c r="BP119" i="13"/>
  <c r="BT119" i="13" s="1"/>
  <c r="BP85" i="13"/>
  <c r="BT127" i="13"/>
  <c r="BZ127" i="13" s="1"/>
  <c r="BQ2" i="13"/>
  <c r="BQ127" i="13"/>
  <c r="BW127" i="13" s="1"/>
  <c r="BS105" i="13"/>
  <c r="BS60" i="13"/>
  <c r="BT60" i="13"/>
  <c r="X275" i="13"/>
  <c r="Y275" i="13" s="1"/>
  <c r="AH275" i="13" s="1"/>
  <c r="X124" i="13"/>
  <c r="Y124" i="13" s="1"/>
  <c r="AI124" i="13" s="1"/>
  <c r="AJ124" i="13" s="1"/>
  <c r="AK124" i="13" s="1"/>
  <c r="BP70" i="13"/>
  <c r="BR70" i="13" s="1"/>
  <c r="BP23" i="13"/>
  <c r="BQ23" i="13" s="1"/>
  <c r="BQ285" i="13"/>
  <c r="BW285" i="13" s="1"/>
  <c r="BQ244" i="13"/>
  <c r="BP110" i="13"/>
  <c r="BU110" i="13" s="1"/>
  <c r="CA110" i="13" s="1"/>
  <c r="BQ65" i="13"/>
  <c r="BW65" i="13" s="1"/>
  <c r="AH142" i="13"/>
  <c r="AH81" i="13"/>
  <c r="AH43" i="13"/>
  <c r="AH27" i="13"/>
  <c r="BZ65" i="13"/>
  <c r="AH87" i="13"/>
  <c r="BP277" i="13"/>
  <c r="BS277" i="13" s="1"/>
  <c r="BP205" i="13"/>
  <c r="BQ205" i="13" s="1"/>
  <c r="BP83" i="13"/>
  <c r="BQ83" i="13" s="1"/>
  <c r="BP168" i="13"/>
  <c r="BQ168" i="13" s="1"/>
  <c r="BP187" i="13"/>
  <c r="BP63" i="13"/>
  <c r="BP200" i="13"/>
  <c r="BQ200" i="13" s="1"/>
  <c r="BP209" i="13"/>
  <c r="BT209" i="13" s="1"/>
  <c r="BP157" i="13"/>
  <c r="BR157" i="13" s="1"/>
  <c r="BX157" i="13" s="1"/>
  <c r="BP161" i="13"/>
  <c r="BQ161" i="13" s="1"/>
  <c r="BP255" i="13"/>
  <c r="BT255" i="13" s="1"/>
  <c r="BP260" i="13"/>
  <c r="BT260" i="13" s="1"/>
  <c r="BP134" i="13"/>
  <c r="BU134" i="13" s="1"/>
  <c r="BP231" i="13"/>
  <c r="BT231" i="13" s="1"/>
  <c r="BP202" i="13"/>
  <c r="BT202" i="13" s="1"/>
  <c r="BP206" i="13"/>
  <c r="BT206" i="13" s="1"/>
  <c r="BP138" i="13"/>
  <c r="BQ138" i="13" s="1"/>
  <c r="BP185" i="13"/>
  <c r="BS185" i="13" s="1"/>
  <c r="BP192" i="13"/>
  <c r="BU192" i="13" s="1"/>
  <c r="BP159" i="13"/>
  <c r="BT159" i="13" s="1"/>
  <c r="BP155" i="13"/>
  <c r="BP245" i="13"/>
  <c r="BQ245" i="13" s="1"/>
  <c r="BP172" i="13"/>
  <c r="BT172" i="13" s="1"/>
  <c r="BP169" i="13"/>
  <c r="BQ169" i="13" s="1"/>
  <c r="BP163" i="13"/>
  <c r="BS163" i="13" s="1"/>
  <c r="BP91" i="13"/>
  <c r="BT91" i="13" s="1"/>
  <c r="BP142" i="13"/>
  <c r="BP171" i="13"/>
  <c r="BT171" i="13" s="1"/>
  <c r="BP179" i="13"/>
  <c r="BR179" i="13" s="1"/>
  <c r="BP181" i="13"/>
  <c r="BQ181" i="13" s="1"/>
  <c r="BP190" i="13"/>
  <c r="BS190" i="13" s="1"/>
  <c r="BP55" i="13"/>
  <c r="BR55" i="13" s="1"/>
  <c r="BP176" i="13"/>
  <c r="BT176" i="13" s="1"/>
  <c r="BP182" i="13"/>
  <c r="BT182" i="13" s="1"/>
  <c r="BP162" i="13"/>
  <c r="BQ162" i="13" s="1"/>
  <c r="BP165" i="13"/>
  <c r="BT165" i="13" s="1"/>
  <c r="BP248" i="13"/>
  <c r="BR248" i="13" s="1"/>
  <c r="BP167" i="13"/>
  <c r="BS167" i="13" s="1"/>
  <c r="BP170" i="13"/>
  <c r="BQ170" i="13" s="1"/>
  <c r="BP174" i="13"/>
  <c r="BQ174" i="13" s="1"/>
  <c r="BP178" i="13"/>
  <c r="BP188" i="13"/>
  <c r="BU188" i="13" s="1"/>
  <c r="BP239" i="13"/>
  <c r="BR239" i="13" s="1"/>
  <c r="BP213" i="13"/>
  <c r="BP247" i="13"/>
  <c r="BS247" i="13" s="1"/>
  <c r="BP268" i="13"/>
  <c r="BS268" i="13" s="1"/>
  <c r="BP271" i="13"/>
  <c r="BU271" i="13" s="1"/>
  <c r="BP95" i="13"/>
  <c r="BT95" i="13" s="1"/>
  <c r="BP27" i="13"/>
  <c r="BT27" i="13" s="1"/>
  <c r="BP194" i="13"/>
  <c r="BR194" i="13" s="1"/>
  <c r="BP198" i="13"/>
  <c r="BR198" i="13" s="1"/>
  <c r="BP295" i="13"/>
  <c r="BQ295" i="13" s="1"/>
  <c r="BQ11" i="13"/>
  <c r="BP115" i="13"/>
  <c r="BP199" i="13"/>
  <c r="BQ199" i="13" s="1"/>
  <c r="BR6" i="13"/>
  <c r="BP148" i="13"/>
  <c r="BP189" i="13"/>
  <c r="BQ189" i="13" s="1"/>
  <c r="BP217" i="13"/>
  <c r="BS217" i="13" s="1"/>
  <c r="BP261" i="13"/>
  <c r="BU261" i="13" s="1"/>
  <c r="BP291" i="13"/>
  <c r="BQ291" i="13" s="1"/>
  <c r="BP47" i="13"/>
  <c r="BQ47" i="13" s="1"/>
  <c r="BP197" i="13"/>
  <c r="BR197" i="13" s="1"/>
  <c r="BT263" i="13"/>
  <c r="BP191" i="13"/>
  <c r="BT191" i="13" s="1"/>
  <c r="BP293" i="13"/>
  <c r="BU293" i="13" s="1"/>
  <c r="BP35" i="13"/>
  <c r="BS35" i="13" s="1"/>
  <c r="BY35" i="13" s="1"/>
  <c r="BP120" i="13"/>
  <c r="BT120" i="13" s="1"/>
  <c r="BP149" i="13"/>
  <c r="BR149" i="13" s="1"/>
  <c r="BP160" i="13"/>
  <c r="BU160" i="13" s="1"/>
  <c r="BU22" i="13"/>
  <c r="BP48" i="13"/>
  <c r="BT48" i="13" s="1"/>
  <c r="BZ48" i="13" s="1"/>
  <c r="BR127" i="13"/>
  <c r="BX127" i="13" s="1"/>
  <c r="BP193" i="13"/>
  <c r="BP281" i="13"/>
  <c r="BQ281" i="13" s="1"/>
  <c r="BQ7" i="13"/>
  <c r="BP158" i="13"/>
  <c r="BR158" i="13" s="1"/>
  <c r="BP154" i="13"/>
  <c r="BS154" i="13" s="1"/>
  <c r="BP226" i="13"/>
  <c r="BQ226" i="13" s="1"/>
  <c r="BP264" i="13"/>
  <c r="BU264" i="13" s="1"/>
  <c r="BP282" i="13"/>
  <c r="BT282" i="13" s="1"/>
  <c r="BZ282" i="13" s="1"/>
  <c r="BU127" i="13"/>
  <c r="CA127" i="13" s="1"/>
  <c r="BP207" i="13"/>
  <c r="BT207" i="13" s="1"/>
  <c r="BP229" i="13"/>
  <c r="BR49" i="13"/>
  <c r="BX49" i="13" s="1"/>
  <c r="BP273" i="13"/>
  <c r="BQ273" i="13" s="1"/>
  <c r="BU60" i="13"/>
  <c r="BP183" i="13"/>
  <c r="BR183" i="13" s="1"/>
  <c r="BP275" i="13"/>
  <c r="BT275" i="13" s="1"/>
  <c r="BU105" i="13"/>
  <c r="BT274" i="13"/>
  <c r="BZ274" i="13" s="1"/>
  <c r="BP204" i="13"/>
  <c r="BU204" i="13" s="1"/>
  <c r="X197" i="13"/>
  <c r="Y197" i="13" s="1"/>
  <c r="BP107" i="13"/>
  <c r="BU107" i="13" s="1"/>
  <c r="BP166" i="13"/>
  <c r="BQ166" i="13" s="1"/>
  <c r="BP294" i="13"/>
  <c r="BS294" i="13" s="1"/>
  <c r="BP299" i="13"/>
  <c r="BT299" i="13" s="1"/>
  <c r="BU15" i="13"/>
  <c r="BQ263" i="13"/>
  <c r="BP146" i="13"/>
  <c r="BS146" i="13" s="1"/>
  <c r="BP296" i="13"/>
  <c r="BU296" i="13" s="1"/>
  <c r="BP3" i="13"/>
  <c r="BU3" i="13" s="1"/>
  <c r="BP243" i="13"/>
  <c r="BU243" i="13" s="1"/>
  <c r="BP256" i="13"/>
  <c r="BS256" i="13" s="1"/>
  <c r="BP40" i="13"/>
  <c r="BR40" i="13" s="1"/>
  <c r="BP64" i="13"/>
  <c r="BR64" i="13" s="1"/>
  <c r="BX64" i="13" s="1"/>
  <c r="BP116" i="13"/>
  <c r="BQ41" i="13"/>
  <c r="BW41" i="13" s="1"/>
  <c r="BP103" i="13"/>
  <c r="BS103" i="13" s="1"/>
  <c r="BP111" i="13"/>
  <c r="BQ111" i="13" s="1"/>
  <c r="BW111" i="13" s="1"/>
  <c r="BP195" i="13"/>
  <c r="BR195" i="13" s="1"/>
  <c r="BP300" i="13"/>
  <c r="BT2" i="13"/>
  <c r="BP59" i="13"/>
  <c r="BR59" i="13" s="1"/>
  <c r="BP186" i="13"/>
  <c r="BQ186" i="13" s="1"/>
  <c r="BP211" i="13"/>
  <c r="BU211" i="13" s="1"/>
  <c r="BP46" i="13"/>
  <c r="BQ46" i="13" s="1"/>
  <c r="BP56" i="13"/>
  <c r="BR56" i="13" s="1"/>
  <c r="BX56" i="13" s="1"/>
  <c r="BP144" i="13"/>
  <c r="BR144" i="13" s="1"/>
  <c r="BP222" i="13"/>
  <c r="BP251" i="13"/>
  <c r="BS251" i="13" s="1"/>
  <c r="BP280" i="13"/>
  <c r="BT280" i="13" s="1"/>
  <c r="BZ280" i="13" s="1"/>
  <c r="BP284" i="13"/>
  <c r="BR284" i="13" s="1"/>
  <c r="BP31" i="13"/>
  <c r="BT31" i="13" s="1"/>
  <c r="X75" i="13"/>
  <c r="Y75" i="13" s="1"/>
  <c r="AI75" i="13" s="1"/>
  <c r="AJ75" i="13" s="1"/>
  <c r="AK75" i="13" s="1"/>
  <c r="BP51" i="13"/>
  <c r="BQ51" i="13" s="1"/>
  <c r="BQ8" i="13"/>
  <c r="BT16" i="13"/>
  <c r="BP86" i="13"/>
  <c r="BQ86" i="13" s="1"/>
  <c r="BW86" i="13" s="1"/>
  <c r="BP210" i="13"/>
  <c r="BQ210" i="13" s="1"/>
  <c r="BP219" i="13"/>
  <c r="BR219" i="13" s="1"/>
  <c r="BP270" i="13"/>
  <c r="BS270" i="13" s="1"/>
  <c r="BS49" i="13"/>
  <c r="BY49" i="13" s="1"/>
  <c r="BR105" i="13"/>
  <c r="BP152" i="13"/>
  <c r="BT152" i="13" s="1"/>
  <c r="BS263" i="13"/>
  <c r="X208" i="13"/>
  <c r="Y208" i="13" s="1"/>
  <c r="BP75" i="13"/>
  <c r="BP109" i="13"/>
  <c r="BS109" i="13" s="1"/>
  <c r="BY109" i="13" s="1"/>
  <c r="BP145" i="13"/>
  <c r="BS145" i="13" s="1"/>
  <c r="BP225" i="13"/>
  <c r="BS225" i="13" s="1"/>
  <c r="BP252" i="13"/>
  <c r="BR252" i="13" s="1"/>
  <c r="BU14" i="13"/>
  <c r="BP24" i="13"/>
  <c r="BU24" i="13" s="1"/>
  <c r="BP126" i="13"/>
  <c r="BR126" i="13" s="1"/>
  <c r="BX126" i="13" s="1"/>
  <c r="BP180" i="13"/>
  <c r="BR180" i="13" s="1"/>
  <c r="BP208" i="13"/>
  <c r="BU208" i="13" s="1"/>
  <c r="BP99" i="13"/>
  <c r="BR99" i="13" s="1"/>
  <c r="BP143" i="13"/>
  <c r="BR143" i="13" s="1"/>
  <c r="BX143" i="13" s="1"/>
  <c r="BP203" i="13"/>
  <c r="BR203" i="13" s="1"/>
  <c r="BP223" i="13"/>
  <c r="BU223" i="13" s="1"/>
  <c r="BP80" i="13"/>
  <c r="BS80" i="13" s="1"/>
  <c r="BY80" i="13" s="1"/>
  <c r="BP283" i="13"/>
  <c r="BS283" i="13" s="1"/>
  <c r="BY283" i="13" s="1"/>
  <c r="BP71" i="13"/>
  <c r="BU71" i="13" s="1"/>
  <c r="BP113" i="13"/>
  <c r="BP128" i="13"/>
  <c r="BR128" i="13" s="1"/>
  <c r="BP147" i="13"/>
  <c r="BR147" i="13" s="1"/>
  <c r="BP215" i="13"/>
  <c r="BP249" i="13"/>
  <c r="BU249" i="13" s="1"/>
  <c r="BR263" i="13"/>
  <c r="BP124" i="13"/>
  <c r="BU124" i="13" s="1"/>
  <c r="BP150" i="13"/>
  <c r="BT150" i="13" s="1"/>
  <c r="BP121" i="13"/>
  <c r="BS121" i="13" s="1"/>
  <c r="BY121" i="13" s="1"/>
  <c r="BP141" i="13"/>
  <c r="BQ141" i="13" s="1"/>
  <c r="BW141" i="13" s="1"/>
  <c r="BP218" i="13"/>
  <c r="BU218" i="13" s="1"/>
  <c r="BP258" i="13"/>
  <c r="BT258" i="13" s="1"/>
  <c r="BP62" i="13"/>
  <c r="BU62" i="13" s="1"/>
  <c r="CA62" i="13" s="1"/>
  <c r="BP72" i="13"/>
  <c r="BR72" i="13" s="1"/>
  <c r="BP96" i="13"/>
  <c r="BP216" i="13"/>
  <c r="BU216" i="13" s="1"/>
  <c r="BP241" i="13"/>
  <c r="BQ241" i="13" s="1"/>
  <c r="BP269" i="13"/>
  <c r="BP262" i="13"/>
  <c r="BR262" i="13" s="1"/>
  <c r="BP151" i="13"/>
  <c r="BS151" i="13" s="1"/>
  <c r="BP253" i="13"/>
  <c r="BT253" i="13" s="1"/>
  <c r="BP266" i="13"/>
  <c r="BR266" i="13" s="1"/>
  <c r="BP259" i="13"/>
  <c r="BT259" i="13" s="1"/>
  <c r="BZ259" i="13" s="1"/>
  <c r="BP32" i="13"/>
  <c r="BS32" i="13" s="1"/>
  <c r="BY32" i="13" s="1"/>
  <c r="BP54" i="13"/>
  <c r="BP240" i="13"/>
  <c r="BT240" i="13" s="1"/>
  <c r="BZ240" i="13" s="1"/>
  <c r="BP267" i="13"/>
  <c r="BP290" i="13"/>
  <c r="BP87" i="13"/>
  <c r="BR87" i="13" s="1"/>
  <c r="BX87" i="13" s="1"/>
  <c r="BP43" i="13"/>
  <c r="BQ43" i="13" s="1"/>
  <c r="BW43" i="13" s="1"/>
  <c r="BP237" i="13"/>
  <c r="BR237" i="13" s="1"/>
  <c r="BP102" i="13"/>
  <c r="BQ102" i="13" s="1"/>
  <c r="BP173" i="13"/>
  <c r="BS173" i="13" s="1"/>
  <c r="BP221" i="13"/>
  <c r="BP298" i="13"/>
  <c r="BT298" i="13" s="1"/>
  <c r="BP79" i="13"/>
  <c r="BS79" i="13" s="1"/>
  <c r="BY79" i="13" s="1"/>
  <c r="BP196" i="13"/>
  <c r="BP279" i="13"/>
  <c r="BQ279" i="13" s="1"/>
  <c r="BP164" i="13"/>
  <c r="BR164" i="13" s="1"/>
  <c r="BP175" i="13"/>
  <c r="BP292" i="13"/>
  <c r="BS292" i="13" s="1"/>
  <c r="BP67" i="13"/>
  <c r="BT67" i="13" s="1"/>
  <c r="BP156" i="13"/>
  <c r="BS156" i="13" s="1"/>
  <c r="BP177" i="13"/>
  <c r="BQ177" i="13" s="1"/>
  <c r="BP220" i="13"/>
  <c r="BT220" i="13" s="1"/>
  <c r="BP227" i="13"/>
  <c r="BU227" i="13" s="1"/>
  <c r="BP39" i="13"/>
  <c r="BS39" i="13" s="1"/>
  <c r="BY39" i="13" s="1"/>
  <c r="BT49" i="13"/>
  <c r="BZ49" i="13" s="1"/>
  <c r="BQ105" i="13"/>
  <c r="BP201" i="13"/>
  <c r="BS201" i="13" s="1"/>
  <c r="BP153" i="13"/>
  <c r="BS153" i="13" s="1"/>
  <c r="BP38" i="13"/>
  <c r="BP78" i="13"/>
  <c r="BQ78" i="13" s="1"/>
  <c r="BP88" i="13"/>
  <c r="BR88" i="13" s="1"/>
  <c r="BX88" i="13" s="1"/>
  <c r="BP112" i="13"/>
  <c r="BS112" i="13" s="1"/>
  <c r="BY112" i="13" s="1"/>
  <c r="BP136" i="13"/>
  <c r="BR136" i="13" s="1"/>
  <c r="BX136" i="13" s="1"/>
  <c r="BP228" i="13"/>
  <c r="BR228" i="13" s="1"/>
  <c r="BP250" i="13"/>
  <c r="BP254" i="13"/>
  <c r="BR254" i="13" s="1"/>
  <c r="BP233" i="13"/>
  <c r="BT233" i="13" s="1"/>
  <c r="BP297" i="13"/>
  <c r="BU297" i="13" s="1"/>
  <c r="BP235" i="13"/>
  <c r="BQ235" i="13" s="1"/>
  <c r="BP94" i="13"/>
  <c r="BS94" i="13" s="1"/>
  <c r="BP104" i="13"/>
  <c r="BP272" i="13"/>
  <c r="BP184" i="13"/>
  <c r="BP286" i="13"/>
  <c r="CA49" i="13"/>
  <c r="X210" i="13"/>
  <c r="Y210" i="13" s="1"/>
  <c r="BY274" i="13"/>
  <c r="X2" i="13"/>
  <c r="Y2" i="13" s="1"/>
  <c r="AI2" i="13" s="1"/>
  <c r="AJ2" i="13" s="1"/>
  <c r="AK2" i="13" s="1"/>
  <c r="AH82" i="13"/>
  <c r="AH94" i="13"/>
  <c r="AI94" i="13"/>
  <c r="AJ94" i="13" s="1"/>
  <c r="AK94" i="13" s="1"/>
  <c r="AH91" i="13"/>
  <c r="AI91" i="13"/>
  <c r="AJ91" i="13" s="1"/>
  <c r="AK91" i="13" s="1"/>
  <c r="AH171" i="13"/>
  <c r="AI171" i="13"/>
  <c r="AJ171" i="13" s="1"/>
  <c r="AK171" i="13" s="1"/>
  <c r="AH187" i="13"/>
  <c r="AI187" i="13"/>
  <c r="AJ187" i="13" s="1"/>
  <c r="AK187" i="13" s="1"/>
  <c r="AH299" i="13"/>
  <c r="AI299" i="13"/>
  <c r="AJ299" i="13" s="1"/>
  <c r="AK299" i="13" s="1"/>
  <c r="AH37" i="13"/>
  <c r="AI37" i="13"/>
  <c r="AJ37" i="13" s="1"/>
  <c r="AK37" i="13" s="1"/>
  <c r="AH89" i="13"/>
  <c r="AI89" i="13"/>
  <c r="AJ89" i="13" s="1"/>
  <c r="AK89" i="13" s="1"/>
  <c r="AH84" i="13"/>
  <c r="AI84" i="13"/>
  <c r="AJ84" i="13" s="1"/>
  <c r="AK84" i="13" s="1"/>
  <c r="AH236" i="13"/>
  <c r="AI236" i="13"/>
  <c r="AJ236" i="13" s="1"/>
  <c r="AK236" i="13" s="1"/>
  <c r="AH140" i="13"/>
  <c r="AI140" i="13"/>
  <c r="AJ140" i="13" s="1"/>
  <c r="AK140" i="13" s="1"/>
  <c r="AH60" i="13"/>
  <c r="AI60" i="13"/>
  <c r="AJ60" i="13" s="1"/>
  <c r="AK60" i="13" s="1"/>
  <c r="AH261" i="13"/>
  <c r="AI261" i="13"/>
  <c r="AJ261" i="13" s="1"/>
  <c r="AK261" i="13" s="1"/>
  <c r="AH99" i="13"/>
  <c r="AI99" i="13"/>
  <c r="AJ99" i="13" s="1"/>
  <c r="AK99" i="13" s="1"/>
  <c r="AH249" i="13"/>
  <c r="AI249" i="13"/>
  <c r="AJ249" i="13" s="1"/>
  <c r="AK249" i="13" s="1"/>
  <c r="AH233" i="13"/>
  <c r="AI233" i="13"/>
  <c r="AJ233" i="13" s="1"/>
  <c r="AK233" i="13" s="1"/>
  <c r="AH118" i="13"/>
  <c r="AI118" i="13"/>
  <c r="AJ118" i="13" s="1"/>
  <c r="AK118" i="13" s="1"/>
  <c r="AH102" i="13"/>
  <c r="AI102" i="13"/>
  <c r="AJ102" i="13" s="1"/>
  <c r="AK102" i="13" s="1"/>
  <c r="AH54" i="13"/>
  <c r="AI54" i="13"/>
  <c r="AJ54" i="13" s="1"/>
  <c r="AK54" i="13" s="1"/>
  <c r="AH255" i="13"/>
  <c r="AI255" i="13"/>
  <c r="AJ255" i="13" s="1"/>
  <c r="AK255" i="13" s="1"/>
  <c r="AH268" i="13"/>
  <c r="AI268" i="13"/>
  <c r="AJ268" i="13" s="1"/>
  <c r="AK268" i="13" s="1"/>
  <c r="AH70" i="13"/>
  <c r="AI70" i="13"/>
  <c r="AJ70" i="13" s="1"/>
  <c r="AK70" i="13" s="1"/>
  <c r="AH69" i="13"/>
  <c r="AI69" i="13"/>
  <c r="AJ69" i="13" s="1"/>
  <c r="AK69" i="13" s="1"/>
  <c r="AH46" i="13"/>
  <c r="AI46" i="13"/>
  <c r="AJ46" i="13" s="1"/>
  <c r="AK46" i="13" s="1"/>
  <c r="AH52" i="13"/>
  <c r="AI52" i="13"/>
  <c r="AJ52" i="13" s="1"/>
  <c r="AK52" i="13" s="1"/>
  <c r="AH214" i="13"/>
  <c r="AI214" i="13"/>
  <c r="AJ214" i="13" s="1"/>
  <c r="AK214" i="13" s="1"/>
  <c r="AH257" i="13"/>
  <c r="AI257" i="13"/>
  <c r="AJ257" i="13" s="1"/>
  <c r="AK257" i="13" s="1"/>
  <c r="AH161" i="13"/>
  <c r="AI161" i="13"/>
  <c r="AJ161" i="13" s="1"/>
  <c r="AK161" i="13" s="1"/>
  <c r="AH133" i="13"/>
  <c r="AI133" i="13"/>
  <c r="AJ133" i="13" s="1"/>
  <c r="AK133" i="13" s="1"/>
  <c r="AH78" i="13"/>
  <c r="AI78" i="13"/>
  <c r="AJ78" i="13" s="1"/>
  <c r="AK78" i="13" s="1"/>
  <c r="AH74" i="13"/>
  <c r="AI74" i="13"/>
  <c r="AJ74" i="13" s="1"/>
  <c r="AK74" i="13" s="1"/>
  <c r="AH138" i="13"/>
  <c r="AI138" i="13"/>
  <c r="AJ138" i="13" s="1"/>
  <c r="AK138" i="13" s="1"/>
  <c r="AH232" i="13"/>
  <c r="AI232" i="13"/>
  <c r="AJ232" i="13" s="1"/>
  <c r="AK232" i="13" s="1"/>
  <c r="AH220" i="13"/>
  <c r="AI220" i="13"/>
  <c r="AJ220" i="13" s="1"/>
  <c r="AK220" i="13" s="1"/>
  <c r="AH258" i="13"/>
  <c r="AI258" i="13"/>
  <c r="AJ258" i="13" s="1"/>
  <c r="AK258" i="13" s="1"/>
  <c r="AH182" i="13"/>
  <c r="AI182" i="13"/>
  <c r="AJ182" i="13" s="1"/>
  <c r="AK182" i="13" s="1"/>
  <c r="AH273" i="13"/>
  <c r="AI273" i="13"/>
  <c r="AJ273" i="13" s="1"/>
  <c r="AK273" i="13" s="1"/>
  <c r="AH246" i="13"/>
  <c r="AI246" i="13"/>
  <c r="AJ246" i="13" s="1"/>
  <c r="AK246" i="13" s="1"/>
  <c r="AH286" i="13"/>
  <c r="AI286" i="13"/>
  <c r="AJ286" i="13" s="1"/>
  <c r="AK286" i="13" s="1"/>
  <c r="AH103" i="13"/>
  <c r="AI103" i="13"/>
  <c r="AJ103" i="13" s="1"/>
  <c r="AK103" i="13" s="1"/>
  <c r="AH191" i="13"/>
  <c r="AI191" i="13"/>
  <c r="AJ191" i="13" s="1"/>
  <c r="AK191" i="13" s="1"/>
  <c r="AH71" i="13"/>
  <c r="AI71" i="13"/>
  <c r="AJ71" i="13" s="1"/>
  <c r="AK71" i="13" s="1"/>
  <c r="AH77" i="13"/>
  <c r="AI77" i="13"/>
  <c r="AJ77" i="13" s="1"/>
  <c r="AK77" i="13" s="1"/>
  <c r="AH128" i="13"/>
  <c r="AI128" i="13"/>
  <c r="AJ128" i="13" s="1"/>
  <c r="AK128" i="13" s="1"/>
  <c r="AH130" i="13"/>
  <c r="AI130" i="13"/>
  <c r="AJ130" i="13" s="1"/>
  <c r="AK130" i="13" s="1"/>
  <c r="AH154" i="13"/>
  <c r="AI154" i="13"/>
  <c r="AJ154" i="13" s="1"/>
  <c r="AK154" i="13" s="1"/>
  <c r="AH292" i="13"/>
  <c r="AI292" i="13"/>
  <c r="AJ292" i="13" s="1"/>
  <c r="AK292" i="13" s="1"/>
  <c r="AH76" i="13"/>
  <c r="AI76" i="13"/>
  <c r="AJ76" i="13" s="1"/>
  <c r="AK76" i="13" s="1"/>
  <c r="AH241" i="13"/>
  <c r="AI241" i="13"/>
  <c r="AJ241" i="13" s="1"/>
  <c r="AK241" i="13" s="1"/>
  <c r="AH253" i="13"/>
  <c r="AI253" i="13"/>
  <c r="AJ253" i="13" s="1"/>
  <c r="AK253" i="13" s="1"/>
  <c r="AH123" i="13"/>
  <c r="AI123" i="13"/>
  <c r="AJ123" i="13" s="1"/>
  <c r="AK123" i="13" s="1"/>
  <c r="AH151" i="13"/>
  <c r="AI151" i="13"/>
  <c r="AJ151" i="13" s="1"/>
  <c r="AK151" i="13" s="1"/>
  <c r="AH281" i="13"/>
  <c r="AI281" i="13"/>
  <c r="AJ281" i="13" s="1"/>
  <c r="AK281" i="13" s="1"/>
  <c r="AH131" i="13"/>
  <c r="AI131" i="13"/>
  <c r="AJ131" i="13" s="1"/>
  <c r="AK131" i="13" s="1"/>
  <c r="AH125" i="13"/>
  <c r="AI125" i="13"/>
  <c r="AJ125" i="13" s="1"/>
  <c r="AK125" i="13" s="1"/>
  <c r="AH224" i="13"/>
  <c r="AI224" i="13"/>
  <c r="AJ224" i="13" s="1"/>
  <c r="AK224" i="13" s="1"/>
  <c r="AH234" i="13"/>
  <c r="AI234" i="13"/>
  <c r="AJ234" i="13" s="1"/>
  <c r="AK234" i="13" s="1"/>
  <c r="AH218" i="13"/>
  <c r="AI218" i="13"/>
  <c r="AJ218" i="13" s="1"/>
  <c r="AK218" i="13" s="1"/>
  <c r="AH179" i="13"/>
  <c r="AI179" i="13"/>
  <c r="AJ179" i="13" s="1"/>
  <c r="AK179" i="13" s="1"/>
  <c r="AH291" i="13"/>
  <c r="AI291" i="13"/>
  <c r="AJ291" i="13" s="1"/>
  <c r="AK291" i="13" s="1"/>
  <c r="AH92" i="13"/>
  <c r="AI92" i="13"/>
  <c r="AJ92" i="13" s="1"/>
  <c r="AK92" i="13" s="1"/>
  <c r="AH120" i="13"/>
  <c r="AI120" i="13"/>
  <c r="AJ120" i="13" s="1"/>
  <c r="AK120" i="13" s="1"/>
  <c r="AH107" i="13"/>
  <c r="AI107" i="13"/>
  <c r="AJ107" i="13" s="1"/>
  <c r="AK107" i="13" s="1"/>
  <c r="AH159" i="13"/>
  <c r="AI159" i="13"/>
  <c r="AJ159" i="13" s="1"/>
  <c r="AK159" i="13" s="1"/>
  <c r="AH53" i="13"/>
  <c r="AI53" i="13"/>
  <c r="AJ53" i="13" s="1"/>
  <c r="AK53" i="13" s="1"/>
  <c r="AH272" i="13"/>
  <c r="AI272" i="13"/>
  <c r="AJ272" i="13" s="1"/>
  <c r="AK272" i="13" s="1"/>
  <c r="AH105" i="13"/>
  <c r="AI105" i="13"/>
  <c r="AJ105" i="13" s="1"/>
  <c r="AK105" i="13" s="1"/>
  <c r="AH230" i="13"/>
  <c r="AI230" i="13"/>
  <c r="AJ230" i="13" s="1"/>
  <c r="AK230" i="13" s="1"/>
  <c r="AH228" i="13"/>
  <c r="AI228" i="13"/>
  <c r="AJ228" i="13" s="1"/>
  <c r="AK228" i="13" s="1"/>
  <c r="AH165" i="13"/>
  <c r="AI165" i="13"/>
  <c r="AJ165" i="13" s="1"/>
  <c r="AK165" i="13" s="1"/>
  <c r="AH294" i="13"/>
  <c r="AI294" i="13"/>
  <c r="AJ294" i="13" s="1"/>
  <c r="AK294" i="13" s="1"/>
  <c r="AH26" i="13"/>
  <c r="AI26" i="13"/>
  <c r="AJ26" i="13" s="1"/>
  <c r="AK26" i="13" s="1"/>
  <c r="AH38" i="13"/>
  <c r="AI38" i="13"/>
  <c r="AJ38" i="13" s="1"/>
  <c r="AK38" i="13" s="1"/>
  <c r="AH108" i="13"/>
  <c r="AI108" i="13"/>
  <c r="AJ108" i="13" s="1"/>
  <c r="AK108" i="13" s="1"/>
  <c r="AH244" i="13"/>
  <c r="AI244" i="13"/>
  <c r="AJ244" i="13" s="1"/>
  <c r="AK244" i="13" s="1"/>
  <c r="AH58" i="13"/>
  <c r="AI58" i="13"/>
  <c r="AJ58" i="13" s="1"/>
  <c r="AK58" i="13" s="1"/>
  <c r="AH287" i="13"/>
  <c r="AI287" i="13"/>
  <c r="AJ287" i="13" s="1"/>
  <c r="AK287" i="13" s="1"/>
  <c r="AH216" i="13"/>
  <c r="AI216" i="13"/>
  <c r="AJ216" i="13" s="1"/>
  <c r="AK216" i="13" s="1"/>
  <c r="AH227" i="13"/>
  <c r="AI227" i="13"/>
  <c r="AJ227" i="13" s="1"/>
  <c r="AK227" i="13" s="1"/>
  <c r="AH158" i="13"/>
  <c r="AI158" i="13"/>
  <c r="AJ158" i="13" s="1"/>
  <c r="AK158" i="13" s="1"/>
  <c r="AH172" i="13"/>
  <c r="AI172" i="13"/>
  <c r="AJ172" i="13" s="1"/>
  <c r="AK172" i="13" s="1"/>
  <c r="AH201" i="13"/>
  <c r="AI201" i="13"/>
  <c r="AJ201" i="13" s="1"/>
  <c r="AK201" i="13" s="1"/>
  <c r="AH250" i="13"/>
  <c r="AI250" i="13"/>
  <c r="AJ250" i="13" s="1"/>
  <c r="AK250" i="13" s="1"/>
  <c r="AH295" i="13"/>
  <c r="AI295" i="13"/>
  <c r="AJ295" i="13" s="1"/>
  <c r="AK295" i="13" s="1"/>
  <c r="AH252" i="13"/>
  <c r="AI252" i="13"/>
  <c r="AJ252" i="13" s="1"/>
  <c r="AK252" i="13" s="1"/>
  <c r="AH119" i="13"/>
  <c r="AI119" i="13"/>
  <c r="AJ119" i="13" s="1"/>
  <c r="AK119" i="13" s="1"/>
  <c r="AH226" i="13"/>
  <c r="AI226" i="13"/>
  <c r="AJ226" i="13" s="1"/>
  <c r="AK226" i="13" s="1"/>
  <c r="AH243" i="13"/>
  <c r="AI243" i="13"/>
  <c r="AJ243" i="13" s="1"/>
  <c r="AK243" i="13" s="1"/>
  <c r="AH264" i="13"/>
  <c r="AI264" i="13"/>
  <c r="AJ264" i="13" s="1"/>
  <c r="AK264" i="13" s="1"/>
  <c r="AH288" i="13"/>
  <c r="AI288" i="13"/>
  <c r="AJ288" i="13" s="1"/>
  <c r="AK288" i="13" s="1"/>
  <c r="AH31" i="13"/>
  <c r="AI31" i="13"/>
  <c r="AJ31" i="13" s="1"/>
  <c r="AK31" i="13" s="1"/>
  <c r="AH45" i="13"/>
  <c r="AI45" i="13"/>
  <c r="AJ45" i="13" s="1"/>
  <c r="AK45" i="13" s="1"/>
  <c r="AH97" i="13"/>
  <c r="AI97" i="13"/>
  <c r="AJ97" i="13" s="1"/>
  <c r="AK97" i="13" s="1"/>
  <c r="AH231" i="13"/>
  <c r="AI231" i="13"/>
  <c r="AJ231" i="13" s="1"/>
  <c r="AK231" i="13" s="1"/>
  <c r="AH177" i="13"/>
  <c r="AI177" i="13"/>
  <c r="AJ177" i="13" s="1"/>
  <c r="AK177" i="13" s="1"/>
  <c r="AH192" i="13"/>
  <c r="AI192" i="13"/>
  <c r="AJ192" i="13" s="1"/>
  <c r="AK192" i="13" s="1"/>
  <c r="AH190" i="13"/>
  <c r="AI190" i="13"/>
  <c r="AJ190" i="13" s="1"/>
  <c r="AK190" i="13" s="1"/>
  <c r="AH203" i="13"/>
  <c r="AI203" i="13"/>
  <c r="AJ203" i="13" s="1"/>
  <c r="AK203" i="13" s="1"/>
  <c r="AH122" i="13"/>
  <c r="AI122" i="13"/>
  <c r="AJ122" i="13" s="1"/>
  <c r="AK122" i="13" s="1"/>
  <c r="AH40" i="13"/>
  <c r="AI40" i="13"/>
  <c r="AJ40" i="13" s="1"/>
  <c r="AK40" i="13" s="1"/>
  <c r="AH72" i="13"/>
  <c r="AI72" i="13"/>
  <c r="AJ72" i="13" s="1"/>
  <c r="AK72" i="13" s="1"/>
  <c r="AH104" i="13"/>
  <c r="AI104" i="13"/>
  <c r="AJ104" i="13" s="1"/>
  <c r="AK104" i="13" s="1"/>
  <c r="AH167" i="13"/>
  <c r="AI167" i="13"/>
  <c r="AJ167" i="13" s="1"/>
  <c r="AK167" i="13" s="1"/>
  <c r="AH183" i="13"/>
  <c r="AI183" i="13"/>
  <c r="AJ183" i="13" s="1"/>
  <c r="AK183" i="13" s="1"/>
  <c r="AH265" i="13"/>
  <c r="AI265" i="13"/>
  <c r="AJ265" i="13" s="1"/>
  <c r="AK265" i="13" s="1"/>
  <c r="AH222" i="13"/>
  <c r="AI222" i="13"/>
  <c r="AJ222" i="13" s="1"/>
  <c r="AK222" i="13" s="1"/>
  <c r="AH217" i="13"/>
  <c r="AI217" i="13"/>
  <c r="AJ217" i="13" s="1"/>
  <c r="AK217" i="13" s="1"/>
  <c r="AH29" i="13"/>
  <c r="AI29" i="13"/>
  <c r="AJ29" i="13" s="1"/>
  <c r="AK29" i="13" s="1"/>
  <c r="AH61" i="13"/>
  <c r="AI61" i="13"/>
  <c r="AJ61" i="13" s="1"/>
  <c r="AK61" i="13" s="1"/>
  <c r="AH83" i="13"/>
  <c r="AI83" i="13"/>
  <c r="AJ83" i="13" s="1"/>
  <c r="AK83" i="13" s="1"/>
  <c r="AH147" i="13"/>
  <c r="AI147" i="13"/>
  <c r="AJ147" i="13" s="1"/>
  <c r="AK147" i="13" s="1"/>
  <c r="AH132" i="13"/>
  <c r="AI132" i="13"/>
  <c r="AJ132" i="13" s="1"/>
  <c r="AK132" i="13" s="1"/>
  <c r="AH202" i="13"/>
  <c r="AI202" i="13"/>
  <c r="AJ202" i="13" s="1"/>
  <c r="AK202" i="13" s="1"/>
  <c r="AH263" i="13"/>
  <c r="AI263" i="13"/>
  <c r="AJ263" i="13" s="1"/>
  <c r="AK263" i="13" s="1"/>
  <c r="CA263" i="13" s="1"/>
  <c r="AH134" i="13"/>
  <c r="AI134" i="13"/>
  <c r="AJ134" i="13" s="1"/>
  <c r="AK134" i="13" s="1"/>
  <c r="AH270" i="13"/>
  <c r="AI270" i="13"/>
  <c r="AJ270" i="13" s="1"/>
  <c r="AK270" i="13" s="1"/>
  <c r="AH129" i="13"/>
  <c r="AI129" i="13"/>
  <c r="AJ129" i="13" s="1"/>
  <c r="AK129" i="13" s="1"/>
  <c r="AH67" i="13"/>
  <c r="AI67" i="13"/>
  <c r="AJ67" i="13" s="1"/>
  <c r="AK67" i="13" s="1"/>
  <c r="AH235" i="13"/>
  <c r="AI235" i="13"/>
  <c r="AJ235" i="13" s="1"/>
  <c r="AK235" i="13" s="1"/>
  <c r="AH223" i="13"/>
  <c r="AI223" i="13"/>
  <c r="AJ223" i="13" s="1"/>
  <c r="AK223" i="13" s="1"/>
  <c r="AH215" i="13"/>
  <c r="AI215" i="13"/>
  <c r="AJ215" i="13" s="1"/>
  <c r="AK215" i="13" s="1"/>
  <c r="AH245" i="13"/>
  <c r="AI245" i="13"/>
  <c r="AJ245" i="13" s="1"/>
  <c r="AK245" i="13" s="1"/>
  <c r="AH300" i="13"/>
  <c r="AI300" i="13"/>
  <c r="AJ300" i="13" s="1"/>
  <c r="AK300" i="13" s="1"/>
  <c r="AH135" i="13"/>
  <c r="AI135" i="13"/>
  <c r="AJ135" i="13" s="1"/>
  <c r="AK135" i="13" s="1"/>
  <c r="AH55" i="13"/>
  <c r="AI55" i="13"/>
  <c r="AJ55" i="13" s="1"/>
  <c r="AK55" i="13" s="1"/>
  <c r="AH28" i="13"/>
  <c r="AI28" i="13"/>
  <c r="AJ28" i="13" s="1"/>
  <c r="AK28" i="13" s="1"/>
  <c r="AH115" i="13"/>
  <c r="AI115" i="13"/>
  <c r="AJ115" i="13" s="1"/>
  <c r="AK115" i="13" s="1"/>
  <c r="AH144" i="13"/>
  <c r="AI144" i="13"/>
  <c r="AJ144" i="13" s="1"/>
  <c r="AK144" i="13" s="1"/>
  <c r="AH114" i="13"/>
  <c r="AI114" i="13"/>
  <c r="AJ114" i="13" s="1"/>
  <c r="AK114" i="13" s="1"/>
  <c r="AH14" i="13"/>
  <c r="AI14" i="13"/>
  <c r="AJ14" i="13" s="1"/>
  <c r="AK14" i="13" s="1"/>
  <c r="AH12" i="13"/>
  <c r="AI12" i="13"/>
  <c r="AJ12" i="13" s="1"/>
  <c r="AK12" i="13" s="1"/>
  <c r="AH21" i="13"/>
  <c r="AI21" i="13"/>
  <c r="AJ21" i="13" s="1"/>
  <c r="AK21" i="13" s="1"/>
  <c r="AH23" i="13"/>
  <c r="AI23" i="13"/>
  <c r="AJ23" i="13" s="1"/>
  <c r="AK23" i="13" s="1"/>
  <c r="AH19" i="13"/>
  <c r="AI19" i="13"/>
  <c r="AJ19" i="13" s="1"/>
  <c r="AK19" i="13" s="1"/>
  <c r="AH20" i="13"/>
  <c r="AI20" i="13"/>
  <c r="AJ20" i="13" s="1"/>
  <c r="AK20" i="13" s="1"/>
  <c r="AH13" i="13"/>
  <c r="AI13" i="13"/>
  <c r="AJ13" i="13" s="1"/>
  <c r="AK13" i="13" s="1"/>
  <c r="AH15" i="13"/>
  <c r="AI15" i="13"/>
  <c r="AJ15" i="13" s="1"/>
  <c r="AK15" i="13" s="1"/>
  <c r="AH8" i="13"/>
  <c r="AI8" i="13"/>
  <c r="AJ8" i="13" s="1"/>
  <c r="AK8" i="13" s="1"/>
  <c r="AH6" i="13"/>
  <c r="AI6" i="13"/>
  <c r="AJ6" i="13" s="1"/>
  <c r="AK6" i="13" s="1"/>
  <c r="AH7" i="13"/>
  <c r="AI7" i="13"/>
  <c r="AJ7" i="13" s="1"/>
  <c r="AK7" i="13" s="1"/>
  <c r="AH5" i="13"/>
  <c r="AI5" i="13"/>
  <c r="AJ5" i="13" s="1"/>
  <c r="AH10" i="13"/>
  <c r="AI10" i="13"/>
  <c r="AJ10" i="13" s="1"/>
  <c r="AK10" i="13" s="1"/>
  <c r="AH274" i="13"/>
  <c r="AH283" i="13"/>
  <c r="AH117" i="13"/>
  <c r="AH137" i="13"/>
  <c r="AH44" i="13"/>
  <c r="AH98" i="13"/>
  <c r="AH90" i="13"/>
  <c r="AH141" i="13"/>
  <c r="AH289" i="13"/>
  <c r="AH276" i="13"/>
  <c r="AH139" i="13"/>
  <c r="AH121" i="13"/>
  <c r="AH34" i="13"/>
  <c r="AH32" i="13"/>
  <c r="AH64" i="13"/>
  <c r="AH96" i="13"/>
  <c r="AH50" i="13"/>
  <c r="AH66" i="13"/>
  <c r="AH62" i="13"/>
  <c r="AH30" i="13"/>
  <c r="AH42" i="13"/>
  <c r="AH24" i="13"/>
  <c r="AH56" i="13"/>
  <c r="AH88" i="13"/>
  <c r="AH240" i="13"/>
  <c r="AH212" i="13"/>
  <c r="AH4" i="13"/>
  <c r="AH36" i="13"/>
  <c r="AH68" i="13"/>
  <c r="AH100" i="13"/>
  <c r="AH22" i="13"/>
  <c r="AH278" i="13"/>
  <c r="AH242" i="13"/>
  <c r="AH259" i="13"/>
  <c r="AH110" i="13"/>
  <c r="AH18" i="13"/>
  <c r="AH143" i="13"/>
  <c r="AH86" i="13"/>
  <c r="AH238" i="13"/>
  <c r="AH16" i="13"/>
  <c r="AH48" i="13"/>
  <c r="AH80" i="13"/>
  <c r="AH112" i="13"/>
  <c r="AH106" i="13"/>
  <c r="AH299" i="12"/>
  <c r="AH210" i="12"/>
  <c r="AH158" i="12"/>
  <c r="AH61" i="12"/>
  <c r="AH282" i="12"/>
  <c r="AH185" i="12"/>
  <c r="AH178" i="12"/>
  <c r="AH239" i="12"/>
  <c r="AH249" i="12"/>
  <c r="AH74" i="12"/>
  <c r="AH298" i="12"/>
  <c r="AH68" i="12"/>
  <c r="AH174" i="12"/>
  <c r="AH288" i="12"/>
  <c r="AH23" i="12"/>
  <c r="AH103" i="12"/>
  <c r="AH117" i="12"/>
  <c r="AH245" i="12"/>
  <c r="AH125" i="12"/>
  <c r="AH164" i="12"/>
  <c r="AH38" i="12"/>
  <c r="AH20" i="12"/>
  <c r="AH96" i="12"/>
  <c r="AH148" i="12"/>
  <c r="AH233" i="12"/>
  <c r="AH183" i="12"/>
  <c r="AH85" i="12"/>
  <c r="BW4" i="13" l="1"/>
  <c r="CA4" i="13"/>
  <c r="BZ4" i="13"/>
  <c r="BW13" i="13"/>
  <c r="CA13" i="13"/>
  <c r="BY13" i="13"/>
  <c r="BZ13" i="13"/>
  <c r="BX13" i="13"/>
  <c r="BZ14" i="13"/>
  <c r="BW14" i="13"/>
  <c r="CA14" i="13"/>
  <c r="BX14" i="13"/>
  <c r="BY14" i="13"/>
  <c r="BY15" i="13"/>
  <c r="BW15" i="13"/>
  <c r="CA15" i="13"/>
  <c r="BX15" i="13"/>
  <c r="BZ15" i="13"/>
  <c r="BV22" i="13" a="1"/>
  <c r="BV22" i="13" s="1"/>
  <c r="BW21" i="13"/>
  <c r="CA21" i="13"/>
  <c r="BX21" i="13"/>
  <c r="BY21" i="13"/>
  <c r="BZ21" i="13"/>
  <c r="BV25" i="13" a="1"/>
  <c r="BV25" i="13" s="1"/>
  <c r="BV24" i="13" a="1"/>
  <c r="BV24" i="13" s="1"/>
  <c r="BV27" i="13" a="1"/>
  <c r="BV27" i="13" s="1"/>
  <c r="BY19" i="13"/>
  <c r="BZ19" i="13"/>
  <c r="BW19" i="13"/>
  <c r="CA19" i="13"/>
  <c r="BX19" i="13"/>
  <c r="BX26" i="13"/>
  <c r="BY26" i="13"/>
  <c r="BZ26" i="13"/>
  <c r="BW26" i="13"/>
  <c r="CA26" i="13"/>
  <c r="BX20" i="13"/>
  <c r="BY20" i="13"/>
  <c r="BZ20" i="13"/>
  <c r="BW20" i="13"/>
  <c r="CA20" i="13"/>
  <c r="BY23" i="13"/>
  <c r="BZ23" i="13"/>
  <c r="BW23" i="13"/>
  <c r="CA23" i="13"/>
  <c r="BX23" i="13"/>
  <c r="BW10" i="13"/>
  <c r="CA10" i="13"/>
  <c r="BW8" i="13"/>
  <c r="CA8" i="13"/>
  <c r="BW11" i="13"/>
  <c r="CA11" i="13"/>
  <c r="BW7" i="13"/>
  <c r="CA7" i="13"/>
  <c r="BW12" i="13"/>
  <c r="CA12" i="13"/>
  <c r="BW6" i="13"/>
  <c r="CA6" i="13"/>
  <c r="BV65" i="13" a="1"/>
  <c r="BV65" i="13" s="1"/>
  <c r="BV127" i="13" a="1"/>
  <c r="BV127" i="13" s="1"/>
  <c r="BV49" i="13" a="1"/>
  <c r="BV49" i="13" s="1"/>
  <c r="BU5" i="13"/>
  <c r="BR106" i="13"/>
  <c r="BX106" i="13" s="1"/>
  <c r="BU287" i="13"/>
  <c r="BS244" i="13"/>
  <c r="BR274" i="13"/>
  <c r="BX274" i="13" s="1"/>
  <c r="BT89" i="13"/>
  <c r="BZ89" i="13" s="1"/>
  <c r="BU89" i="13"/>
  <c r="BU106" i="13"/>
  <c r="CA106" i="13" s="1"/>
  <c r="BQ106" i="13"/>
  <c r="BW106" i="13" s="1"/>
  <c r="BT106" i="13"/>
  <c r="BZ106" i="13" s="1"/>
  <c r="BS36" i="13"/>
  <c r="BY36" i="13" s="1"/>
  <c r="BR36" i="13"/>
  <c r="BX36" i="13" s="1"/>
  <c r="BQ44" i="13"/>
  <c r="BW44" i="13" s="1"/>
  <c r="BQ89" i="13"/>
  <c r="BW89" i="13" s="1"/>
  <c r="BQ274" i="13"/>
  <c r="BW274" i="13" s="1"/>
  <c r="BT36" i="13"/>
  <c r="BZ36" i="13" s="1"/>
  <c r="BS89" i="13"/>
  <c r="BY89" i="13" s="1"/>
  <c r="BU36" i="13"/>
  <c r="CA36" i="13" s="1"/>
  <c r="BT232" i="13"/>
  <c r="BZ232" i="13" s="1"/>
  <c r="BS125" i="13"/>
  <c r="BU274" i="13"/>
  <c r="CA274" i="13" s="1"/>
  <c r="BR42" i="13"/>
  <c r="BX42" i="13" s="1"/>
  <c r="BQ288" i="13"/>
  <c r="BR5" i="13"/>
  <c r="BT158" i="13"/>
  <c r="BZ158" i="13" s="1"/>
  <c r="CA77" i="13"/>
  <c r="BQ82" i="13"/>
  <c r="BW82" i="13" s="1"/>
  <c r="BS138" i="13"/>
  <c r="BR82" i="13"/>
  <c r="BX82" i="13" s="1"/>
  <c r="BS42" i="13"/>
  <c r="BY42" i="13" s="1"/>
  <c r="BT34" i="13"/>
  <c r="BZ34" i="13" s="1"/>
  <c r="BU242" i="13"/>
  <c r="CA242" i="13" s="1"/>
  <c r="BR58" i="13"/>
  <c r="BX58" i="13" s="1"/>
  <c r="BR57" i="13"/>
  <c r="BX57" i="13" s="1"/>
  <c r="BS58" i="13"/>
  <c r="BY58" i="13" s="1"/>
  <c r="BS242" i="13"/>
  <c r="BY242" i="13" s="1"/>
  <c r="BS129" i="13"/>
  <c r="BY129" i="13" s="1"/>
  <c r="BT132" i="13"/>
  <c r="BZ132" i="13" s="1"/>
  <c r="BR132" i="13"/>
  <c r="BX132" i="13" s="1"/>
  <c r="BU41" i="13"/>
  <c r="CA41" i="13" s="1"/>
  <c r="BQ242" i="13"/>
  <c r="BW242" i="13" s="1"/>
  <c r="BU168" i="13"/>
  <c r="CA168" i="13" s="1"/>
  <c r="BU4" i="13"/>
  <c r="BT12" i="13"/>
  <c r="BZ12" i="13" s="1"/>
  <c r="CA232" i="13"/>
  <c r="BQ12" i="13"/>
  <c r="BT82" i="13"/>
  <c r="BZ82" i="13" s="1"/>
  <c r="BU151" i="13"/>
  <c r="AH205" i="13"/>
  <c r="BU82" i="13"/>
  <c r="CA82" i="13" s="1"/>
  <c r="BR242" i="13"/>
  <c r="BX242" i="13" s="1"/>
  <c r="BT41" i="13"/>
  <c r="BZ41" i="13" s="1"/>
  <c r="BU285" i="13"/>
  <c r="CA285" i="13" s="1"/>
  <c r="BQ132" i="13"/>
  <c r="BW132" i="13" s="1"/>
  <c r="BR214" i="13"/>
  <c r="BX214" i="13" s="1"/>
  <c r="BT42" i="13"/>
  <c r="BZ42" i="13" s="1"/>
  <c r="BU132" i="13"/>
  <c r="CA132" i="13" s="1"/>
  <c r="BS57" i="13"/>
  <c r="BY57" i="13" s="1"/>
  <c r="BS100" i="13"/>
  <c r="BY100" i="13" s="1"/>
  <c r="AI162" i="13"/>
  <c r="AJ162" i="13" s="1"/>
  <c r="AK162" i="13" s="1"/>
  <c r="BW162" i="13" s="1"/>
  <c r="BU12" i="13"/>
  <c r="BQ214" i="13"/>
  <c r="BW214" i="13" s="1"/>
  <c r="BU214" i="13"/>
  <c r="CA214" i="13" s="1"/>
  <c r="BT277" i="13"/>
  <c r="BT214" i="13"/>
  <c r="BZ214" i="13" s="1"/>
  <c r="BQ42" i="13"/>
  <c r="BW42" i="13" s="1"/>
  <c r="BT58" i="13"/>
  <c r="BZ58" i="13" s="1"/>
  <c r="BQ57" i="13"/>
  <c r="BW57" i="13" s="1"/>
  <c r="BR137" i="13"/>
  <c r="BX137" i="13" s="1"/>
  <c r="BR12" i="13"/>
  <c r="BX12" i="13" s="1"/>
  <c r="BU17" i="13"/>
  <c r="BQ110" i="13"/>
  <c r="BW110" i="13" s="1"/>
  <c r="BQ84" i="13"/>
  <c r="BW84" i="13" s="1"/>
  <c r="BU101" i="13"/>
  <c r="CA101" i="13" s="1"/>
  <c r="BQ97" i="13"/>
  <c r="BW97" i="13" s="1"/>
  <c r="BT101" i="13"/>
  <c r="BZ101" i="13" s="1"/>
  <c r="BU97" i="13"/>
  <c r="CA97" i="13" s="1"/>
  <c r="BQ246" i="13"/>
  <c r="BW246" i="13" s="1"/>
  <c r="BR108" i="13"/>
  <c r="BX108" i="13" s="1"/>
  <c r="BS224" i="13"/>
  <c r="BY224" i="13" s="1"/>
  <c r="BS98" i="13"/>
  <c r="BY98" i="13" s="1"/>
  <c r="BT37" i="13"/>
  <c r="BZ37" i="13" s="1"/>
  <c r="BT64" i="13"/>
  <c r="BZ64" i="13" s="1"/>
  <c r="BS90" i="13"/>
  <c r="BY90" i="13" s="1"/>
  <c r="BT17" i="13"/>
  <c r="BQ90" i="13"/>
  <c r="BW90" i="13" s="1"/>
  <c r="BR98" i="13"/>
  <c r="BX98" i="13" s="1"/>
  <c r="BR282" i="13"/>
  <c r="BX282" i="13" s="1"/>
  <c r="CA140" i="13"/>
  <c r="BS230" i="13"/>
  <c r="BY230" i="13" s="1"/>
  <c r="BR271" i="13"/>
  <c r="BQ45" i="13"/>
  <c r="BW45" i="13" s="1"/>
  <c r="BT20" i="13"/>
  <c r="BU246" i="13"/>
  <c r="CA246" i="13" s="1"/>
  <c r="BU114" i="13"/>
  <c r="CA114" i="13" s="1"/>
  <c r="BT97" i="13"/>
  <c r="BR74" i="13"/>
  <c r="BX74" i="13" s="1"/>
  <c r="BT246" i="13"/>
  <c r="BZ246" i="13" s="1"/>
  <c r="BT278" i="13"/>
  <c r="BZ278" i="13" s="1"/>
  <c r="BR68" i="13"/>
  <c r="BX68" i="13" s="1"/>
  <c r="BQ76" i="13"/>
  <c r="BW76" i="13" s="1"/>
  <c r="BU20" i="13"/>
  <c r="BS17" i="13"/>
  <c r="BS81" i="13"/>
  <c r="BY81" i="13" s="1"/>
  <c r="BT73" i="13"/>
  <c r="BZ73" i="13" s="1"/>
  <c r="BT45" i="13"/>
  <c r="BZ45" i="13" s="1"/>
  <c r="BQ140" i="13"/>
  <c r="BW140" i="13" s="1"/>
  <c r="BQ238" i="13"/>
  <c r="BW238" i="13" s="1"/>
  <c r="BR212" i="13"/>
  <c r="BX212" i="13" s="1"/>
  <c r="BT68" i="13"/>
  <c r="BZ68" i="13" s="1"/>
  <c r="BU238" i="13"/>
  <c r="CA238" i="13" s="1"/>
  <c r="BU68" i="13"/>
  <c r="CA68" i="13" s="1"/>
  <c r="BR17" i="13"/>
  <c r="BR246" i="13"/>
  <c r="BX246" i="13" s="1"/>
  <c r="BR45" i="13"/>
  <c r="BX45" i="13" s="1"/>
  <c r="BU76" i="13"/>
  <c r="CA76" i="13" s="1"/>
  <c r="BU45" i="13"/>
  <c r="CA45" i="13" s="1"/>
  <c r="BR84" i="13"/>
  <c r="BX84" i="13" s="1"/>
  <c r="BQ68" i="13"/>
  <c r="BW68" i="13" s="1"/>
  <c r="AK5" i="13"/>
  <c r="CA5" i="13" s="1"/>
  <c r="AH168" i="13"/>
  <c r="AI266" i="13"/>
  <c r="AJ266" i="13" s="1"/>
  <c r="AK266" i="13" s="1"/>
  <c r="BX266" i="13" s="1"/>
  <c r="AH47" i="13"/>
  <c r="AH186" i="13"/>
  <c r="BW186" i="13"/>
  <c r="BZ206" i="13"/>
  <c r="AH206" i="13"/>
  <c r="AI59" i="13"/>
  <c r="AJ59" i="13" s="1"/>
  <c r="AK59" i="13" s="1"/>
  <c r="BX59" i="13" s="1"/>
  <c r="AH247" i="13"/>
  <c r="AI146" i="13"/>
  <c r="AJ146" i="13" s="1"/>
  <c r="AK146" i="13" s="1"/>
  <c r="BY146" i="13" s="1"/>
  <c r="AI51" i="13"/>
  <c r="AJ51" i="13" s="1"/>
  <c r="AK51" i="13" s="1"/>
  <c r="AH239" i="13"/>
  <c r="AI166" i="13"/>
  <c r="AJ166" i="13" s="1"/>
  <c r="AK166" i="13" s="1"/>
  <c r="AI148" i="13"/>
  <c r="AJ148" i="13" s="1"/>
  <c r="AK148" i="13" s="1"/>
  <c r="AI150" i="13"/>
  <c r="AJ150" i="13" s="1"/>
  <c r="AK150" i="13" s="1"/>
  <c r="BZ150" i="13" s="1"/>
  <c r="AI173" i="13"/>
  <c r="AJ173" i="13" s="1"/>
  <c r="AK173" i="13" s="1"/>
  <c r="BY173" i="13" s="1"/>
  <c r="AI196" i="13"/>
  <c r="AJ196" i="13" s="1"/>
  <c r="AK196" i="13" s="1"/>
  <c r="AH211" i="13"/>
  <c r="AH277" i="13"/>
  <c r="AI184" i="13"/>
  <c r="AJ184" i="13" s="1"/>
  <c r="AK184" i="13" s="1"/>
  <c r="AH155" i="13"/>
  <c r="CA58" i="13"/>
  <c r="BQ158" i="13"/>
  <c r="BW158" i="13" s="1"/>
  <c r="BQ93" i="13"/>
  <c r="BW93" i="13" s="1"/>
  <c r="BS93" i="13"/>
  <c r="BY93" i="13" s="1"/>
  <c r="BQ58" i="13"/>
  <c r="BW58" i="13" s="1"/>
  <c r="BS20" i="13"/>
  <c r="BU144" i="13"/>
  <c r="CA144" i="13" s="1"/>
  <c r="BS50" i="13"/>
  <c r="BY50" i="13" s="1"/>
  <c r="BS169" i="13"/>
  <c r="BU236" i="13"/>
  <c r="CA236" i="13" s="1"/>
  <c r="BQ114" i="13"/>
  <c r="BU265" i="13"/>
  <c r="CA265" i="13" s="1"/>
  <c r="BQ130" i="13"/>
  <c r="BW130" i="13" s="1"/>
  <c r="BS288" i="13"/>
  <c r="BY288" i="13" s="1"/>
  <c r="BS5" i="13"/>
  <c r="BU93" i="13"/>
  <c r="CA93" i="13" s="1"/>
  <c r="BR20" i="13"/>
  <c r="BS168" i="13"/>
  <c r="BY168" i="13" s="1"/>
  <c r="BU64" i="13"/>
  <c r="CA64" i="13" s="1"/>
  <c r="BR168" i="13"/>
  <c r="BX168" i="13" s="1"/>
  <c r="BT238" i="13"/>
  <c r="BZ238" i="13" s="1"/>
  <c r="BS280" i="13"/>
  <c r="BY280" i="13" s="1"/>
  <c r="BS158" i="13"/>
  <c r="BY158" i="13" s="1"/>
  <c r="BQ282" i="13"/>
  <c r="BW282" i="13" s="1"/>
  <c r="BR236" i="13"/>
  <c r="BX236" i="13" s="1"/>
  <c r="BR276" i="13"/>
  <c r="BX276" i="13" s="1"/>
  <c r="AH204" i="13"/>
  <c r="AI260" i="13"/>
  <c r="AJ260" i="13" s="1"/>
  <c r="AK260" i="13" s="1"/>
  <c r="BZ260" i="13" s="1"/>
  <c r="BW47" i="13"/>
  <c r="AH160" i="13"/>
  <c r="AI149" i="13"/>
  <c r="AJ149" i="13" s="1"/>
  <c r="AK149" i="13" s="1"/>
  <c r="BX149" i="13" s="1"/>
  <c r="AI207" i="13"/>
  <c r="AJ207" i="13" s="1"/>
  <c r="AK207" i="13" s="1"/>
  <c r="BZ207" i="13" s="1"/>
  <c r="AH229" i="13"/>
  <c r="AI176" i="13"/>
  <c r="AJ176" i="13" s="1"/>
  <c r="AK176" i="13" s="1"/>
  <c r="AH178" i="13"/>
  <c r="AI290" i="13"/>
  <c r="AJ290" i="13" s="1"/>
  <c r="AK290" i="13" s="1"/>
  <c r="BR169" i="13"/>
  <c r="BU157" i="13"/>
  <c r="CA157" i="13" s="1"/>
  <c r="BQ18" i="13"/>
  <c r="BS140" i="13"/>
  <c r="BY140" i="13" s="1"/>
  <c r="BT76" i="13"/>
  <c r="BZ76" i="13" s="1"/>
  <c r="BQ262" i="13"/>
  <c r="BU18" i="13"/>
  <c r="BT140" i="13"/>
  <c r="BZ140" i="13" s="1"/>
  <c r="BS41" i="13"/>
  <c r="BY41" i="13" s="1"/>
  <c r="BR97" i="13"/>
  <c r="BX97" i="13" s="1"/>
  <c r="BR285" i="13"/>
  <c r="BX285" i="13" s="1"/>
  <c r="BS76" i="13"/>
  <c r="BY76" i="13" s="1"/>
  <c r="BR18" i="13"/>
  <c r="BR289" i="13"/>
  <c r="BX289" i="13" s="1"/>
  <c r="BS34" i="13"/>
  <c r="BY34" i="13" s="1"/>
  <c r="BR4" i="13"/>
  <c r="BX4" i="13" s="1"/>
  <c r="BQ137" i="13"/>
  <c r="BW137" i="13" s="1"/>
  <c r="BR44" i="13"/>
  <c r="BX44" i="13" s="1"/>
  <c r="AH195" i="13"/>
  <c r="BS204" i="13"/>
  <c r="BY204" i="13" s="1"/>
  <c r="BQ289" i="13"/>
  <c r="BW289" i="13" s="1"/>
  <c r="BQ37" i="13"/>
  <c r="BW37" i="13" s="1"/>
  <c r="BS44" i="13"/>
  <c r="BY44" i="13" s="1"/>
  <c r="BR232" i="13"/>
  <c r="BX232" i="13" s="1"/>
  <c r="BT137" i="13"/>
  <c r="BZ137" i="13" s="1"/>
  <c r="BS4" i="13"/>
  <c r="BY4" i="13" s="1"/>
  <c r="AI298" i="13"/>
  <c r="AJ298" i="13" s="1"/>
  <c r="AK298" i="13" s="1"/>
  <c r="BZ298" i="13" s="1"/>
  <c r="AH95" i="13"/>
  <c r="BQ287" i="13"/>
  <c r="BW287" i="13" s="1"/>
  <c r="BT276" i="13"/>
  <c r="BZ276" i="13" s="1"/>
  <c r="BR125" i="13"/>
  <c r="BX125" i="13" s="1"/>
  <c r="BU81" i="13"/>
  <c r="CA81" i="13" s="1"/>
  <c r="BT81" i="13"/>
  <c r="BZ81" i="13" s="1"/>
  <c r="BT10" i="13"/>
  <c r="BZ10" i="13" s="1"/>
  <c r="BR37" i="13"/>
  <c r="BX37" i="13" s="1"/>
  <c r="BU125" i="13"/>
  <c r="CA125" i="13" s="1"/>
  <c r="BQ4" i="13"/>
  <c r="BQ81" i="13"/>
  <c r="BW81" i="13" s="1"/>
  <c r="BQ34" i="13"/>
  <c r="BW34" i="13" s="1"/>
  <c r="BU37" i="13"/>
  <c r="CA37" i="13" s="1"/>
  <c r="BU44" i="13"/>
  <c r="CA44" i="13" s="1"/>
  <c r="BS205" i="13"/>
  <c r="BY205" i="13" s="1"/>
  <c r="BU135" i="13"/>
  <c r="CA135" i="13" s="1"/>
  <c r="BQ125" i="13"/>
  <c r="BW125" i="13" s="1"/>
  <c r="BR13" i="13"/>
  <c r="BS232" i="13"/>
  <c r="BY232" i="13" s="1"/>
  <c r="BQ10" i="13"/>
  <c r="BS289" i="13"/>
  <c r="BY289" i="13" s="1"/>
  <c r="BU34" i="13"/>
  <c r="CA34" i="13" s="1"/>
  <c r="BR238" i="13"/>
  <c r="BX238" i="13" s="1"/>
  <c r="BU137" i="13"/>
  <c r="CA137" i="13" s="1"/>
  <c r="BR93" i="13"/>
  <c r="BX93" i="13" s="1"/>
  <c r="AH116" i="13"/>
  <c r="AH296" i="13"/>
  <c r="AH189" i="13"/>
  <c r="BT129" i="13"/>
  <c r="BZ129" i="13" s="1"/>
  <c r="BR204" i="13"/>
  <c r="BX204" i="13" s="1"/>
  <c r="BT262" i="13"/>
  <c r="BU129" i="13"/>
  <c r="CA129" i="13" s="1"/>
  <c r="BS108" i="13"/>
  <c r="BY108" i="13" s="1"/>
  <c r="BR10" i="13"/>
  <c r="BX10" i="13" s="1"/>
  <c r="BS23" i="13"/>
  <c r="BT230" i="13"/>
  <c r="BZ230" i="13" s="1"/>
  <c r="BU10" i="13"/>
  <c r="BT169" i="13"/>
  <c r="BU90" i="13"/>
  <c r="CA90" i="13" s="1"/>
  <c r="BT285" i="13"/>
  <c r="BZ285" i="13" s="1"/>
  <c r="BU108" i="13"/>
  <c r="CA108" i="13" s="1"/>
  <c r="BT212" i="13"/>
  <c r="BZ212" i="13" s="1"/>
  <c r="BS13" i="13"/>
  <c r="BU98" i="13"/>
  <c r="CA98" i="13" s="1"/>
  <c r="BS28" i="13"/>
  <c r="BY28" i="13" s="1"/>
  <c r="BQ119" i="13"/>
  <c r="BW119" i="13" s="1"/>
  <c r="BR140" i="13"/>
  <c r="BX140" i="13" s="1"/>
  <c r="BR114" i="13"/>
  <c r="BX114" i="13" s="1"/>
  <c r="BS18" i="13"/>
  <c r="BQ265" i="13"/>
  <c r="BW265" i="13" s="1"/>
  <c r="BQ129" i="13"/>
  <c r="BW129" i="13" s="1"/>
  <c r="BU212" i="13"/>
  <c r="CA212" i="13" s="1"/>
  <c r="BQ232" i="13"/>
  <c r="BW232" i="13" s="1"/>
  <c r="BS287" i="13"/>
  <c r="BY287" i="13" s="1"/>
  <c r="BT289" i="13"/>
  <c r="BZ289" i="13" s="1"/>
  <c r="BT108" i="13"/>
  <c r="BZ108" i="13" s="1"/>
  <c r="BT114" i="13"/>
  <c r="BZ114" i="13" s="1"/>
  <c r="BS119" i="13"/>
  <c r="BY119" i="13" s="1"/>
  <c r="BT126" i="13"/>
  <c r="BZ126" i="13" s="1"/>
  <c r="BS126" i="13"/>
  <c r="BY126" i="13" s="1"/>
  <c r="BT77" i="13"/>
  <c r="BZ77" i="13" s="1"/>
  <c r="BU46" i="13"/>
  <c r="CA46" i="13" s="1"/>
  <c r="BS74" i="13"/>
  <c r="BY74" i="13" s="1"/>
  <c r="BT130" i="13"/>
  <c r="BZ130" i="13" s="1"/>
  <c r="BS9" i="13"/>
  <c r="BY9" i="13" s="1"/>
  <c r="BU288" i="13"/>
  <c r="CA288" i="13" s="1"/>
  <c r="BQ26" i="13"/>
  <c r="BU252" i="13"/>
  <c r="CA252" i="13" s="1"/>
  <c r="BU9" i="13"/>
  <c r="BT9" i="13"/>
  <c r="BZ9" i="13" s="1"/>
  <c r="BS30" i="13"/>
  <c r="BY30" i="13" s="1"/>
  <c r="BU159" i="13"/>
  <c r="CA159" i="13" s="1"/>
  <c r="BS130" i="13"/>
  <c r="BY130" i="13" s="1"/>
  <c r="BR30" i="13"/>
  <c r="BX30" i="13" s="1"/>
  <c r="BT264" i="13"/>
  <c r="BZ264" i="13" s="1"/>
  <c r="BX284" i="13"/>
  <c r="BR77" i="13"/>
  <c r="BX77" i="13" s="1"/>
  <c r="BQ77" i="13"/>
  <c r="BQ53" i="13"/>
  <c r="BW53" i="13" s="1"/>
  <c r="BR9" i="13"/>
  <c r="BX9" i="13" s="1"/>
  <c r="BT288" i="13"/>
  <c r="BZ288" i="13" s="1"/>
  <c r="BQ5" i="13"/>
  <c r="BS77" i="13"/>
  <c r="BT168" i="13"/>
  <c r="BZ168" i="13" s="1"/>
  <c r="BR257" i="13"/>
  <c r="BX257" i="13" s="1"/>
  <c r="BR119" i="13"/>
  <c r="BX119" i="13" s="1"/>
  <c r="BR53" i="13"/>
  <c r="CA224" i="13"/>
  <c r="BT291" i="13"/>
  <c r="BZ291" i="13" s="1"/>
  <c r="BR117" i="13"/>
  <c r="BX117" i="13" s="1"/>
  <c r="BU202" i="13"/>
  <c r="CA202" i="13" s="1"/>
  <c r="BS21" i="13"/>
  <c r="BU291" i="13"/>
  <c r="CA291" i="13" s="1"/>
  <c r="BU50" i="13"/>
  <c r="CA50" i="13" s="1"/>
  <c r="BU239" i="13"/>
  <c r="CA239" i="13" s="1"/>
  <c r="BS144" i="13"/>
  <c r="BY144" i="13" s="1"/>
  <c r="BU170" i="13"/>
  <c r="BR21" i="13"/>
  <c r="BU100" i="13"/>
  <c r="CA100" i="13" s="1"/>
  <c r="BU103" i="13"/>
  <c r="CA103" i="13" s="1"/>
  <c r="BU257" i="13"/>
  <c r="CA257" i="13" s="1"/>
  <c r="BR46" i="13"/>
  <c r="BX46" i="13" s="1"/>
  <c r="BR255" i="13"/>
  <c r="BX255" i="13" s="1"/>
  <c r="BS64" i="13"/>
  <c r="BY64" i="13" s="1"/>
  <c r="BS257" i="13"/>
  <c r="BY257" i="13" s="1"/>
  <c r="BU122" i="13"/>
  <c r="CA122" i="13" s="1"/>
  <c r="BT117" i="13"/>
  <c r="BZ117" i="13" s="1"/>
  <c r="BR245" i="13"/>
  <c r="BX245" i="13" s="1"/>
  <c r="BU117" i="13"/>
  <c r="CA117" i="13" s="1"/>
  <c r="BT22" i="13"/>
  <c r="BR131" i="13"/>
  <c r="BX131" i="13" s="1"/>
  <c r="BU23" i="13"/>
  <c r="BQ133" i="13"/>
  <c r="BW133" i="13" s="1"/>
  <c r="BR224" i="13"/>
  <c r="BX224" i="13" s="1"/>
  <c r="BQ100" i="13"/>
  <c r="BW100" i="13" s="1"/>
  <c r="BU30" i="13"/>
  <c r="CA30" i="13" s="1"/>
  <c r="BS179" i="13"/>
  <c r="BY179" i="13" s="1"/>
  <c r="BS188" i="13"/>
  <c r="BU119" i="13"/>
  <c r="CA119" i="13" s="1"/>
  <c r="BR23" i="13"/>
  <c r="BR200" i="13"/>
  <c r="BQ131" i="13"/>
  <c r="BW131" i="13" s="1"/>
  <c r="BQ21" i="13"/>
  <c r="BU130" i="13"/>
  <c r="CA130" i="13" s="1"/>
  <c r="BT224" i="13"/>
  <c r="BZ224" i="13" s="1"/>
  <c r="BU74" i="13"/>
  <c r="CA74" i="13" s="1"/>
  <c r="BS101" i="13"/>
  <c r="BY101" i="13" s="1"/>
  <c r="BQ74" i="13"/>
  <c r="BW74" i="13" s="1"/>
  <c r="BQ101" i="13"/>
  <c r="BW101" i="13" s="1"/>
  <c r="BS123" i="13"/>
  <c r="BY123" i="13" s="1"/>
  <c r="BU53" i="13"/>
  <c r="CA53" i="13" s="1"/>
  <c r="BU21" i="13"/>
  <c r="BS69" i="13"/>
  <c r="BY69" i="13" s="1"/>
  <c r="BR100" i="13"/>
  <c r="BX100" i="13" s="1"/>
  <c r="CA89" i="13"/>
  <c r="BS291" i="13"/>
  <c r="BY291" i="13" s="1"/>
  <c r="BT252" i="13"/>
  <c r="BZ252" i="13" s="1"/>
  <c r="BQ122" i="13"/>
  <c r="BW122" i="13" s="1"/>
  <c r="BU32" i="13"/>
  <c r="CA32" i="13" s="1"/>
  <c r="BQ257" i="13"/>
  <c r="BW257" i="13" s="1"/>
  <c r="BR273" i="13"/>
  <c r="BX273" i="13" s="1"/>
  <c r="BT296" i="13"/>
  <c r="BZ296" i="13" s="1"/>
  <c r="BU165" i="13"/>
  <c r="CA165" i="13" s="1"/>
  <c r="BR90" i="13"/>
  <c r="BX90" i="13" s="1"/>
  <c r="BS276" i="13"/>
  <c r="BY276" i="13" s="1"/>
  <c r="BR122" i="13"/>
  <c r="BX122" i="13" s="1"/>
  <c r="BQ118" i="13"/>
  <c r="BW118" i="13" s="1"/>
  <c r="BR291" i="13"/>
  <c r="BX291" i="13" s="1"/>
  <c r="BQ117" i="13"/>
  <c r="BW117" i="13" s="1"/>
  <c r="BU131" i="13"/>
  <c r="CA131" i="13" s="1"/>
  <c r="BT30" i="13"/>
  <c r="BZ30" i="13" s="1"/>
  <c r="BU167" i="13"/>
  <c r="CA167" i="13" s="1"/>
  <c r="BQ224" i="13"/>
  <c r="BW224" i="13" s="1"/>
  <c r="BT122" i="13"/>
  <c r="BZ122" i="13" s="1"/>
  <c r="BS53" i="13"/>
  <c r="BY53" i="13" s="1"/>
  <c r="AI3" i="13"/>
  <c r="AJ3" i="13" s="1"/>
  <c r="AI297" i="13"/>
  <c r="AJ297" i="13" s="1"/>
  <c r="AK297" i="13" s="1"/>
  <c r="CA297" i="13" s="1"/>
  <c r="AI269" i="13"/>
  <c r="AJ269" i="13" s="1"/>
  <c r="AK269" i="13" s="1"/>
  <c r="AI271" i="13"/>
  <c r="AJ271" i="13" s="1"/>
  <c r="AK271" i="13" s="1"/>
  <c r="CA271" i="13" s="1"/>
  <c r="AI153" i="13"/>
  <c r="AJ153" i="13" s="1"/>
  <c r="AK153" i="13" s="1"/>
  <c r="BY153" i="13" s="1"/>
  <c r="AH199" i="13"/>
  <c r="AI163" i="13"/>
  <c r="AJ163" i="13" s="1"/>
  <c r="AK163" i="13" s="1"/>
  <c r="BY163" i="13" s="1"/>
  <c r="AH213" i="13"/>
  <c r="AI188" i="13"/>
  <c r="AJ188" i="13" s="1"/>
  <c r="AK188" i="13" s="1"/>
  <c r="CA188" i="13" s="1"/>
  <c r="BY256" i="13"/>
  <c r="AH156" i="13"/>
  <c r="AI200" i="13"/>
  <c r="AJ200" i="13" s="1"/>
  <c r="AK200" i="13" s="1"/>
  <c r="BW200" i="13" s="1"/>
  <c r="AI248" i="13"/>
  <c r="AJ248" i="13" s="1"/>
  <c r="AK248" i="13" s="1"/>
  <c r="BX248" i="13" s="1"/>
  <c r="AI185" i="13"/>
  <c r="AJ185" i="13" s="1"/>
  <c r="AK185" i="13" s="1"/>
  <c r="BY185" i="13" s="1"/>
  <c r="AI194" i="13"/>
  <c r="AJ194" i="13" s="1"/>
  <c r="AK194" i="13" s="1"/>
  <c r="BX194" i="13" s="1"/>
  <c r="AH145" i="13"/>
  <c r="AI164" i="13"/>
  <c r="AJ164" i="13" s="1"/>
  <c r="AK164" i="13" s="1"/>
  <c r="BX164" i="13" s="1"/>
  <c r="AH174" i="13"/>
  <c r="AI209" i="13"/>
  <c r="AJ209" i="13" s="1"/>
  <c r="AK209" i="13" s="1"/>
  <c r="BZ209" i="13" s="1"/>
  <c r="AH225" i="13"/>
  <c r="AI237" i="13"/>
  <c r="AJ237" i="13" s="1"/>
  <c r="AK237" i="13" s="1"/>
  <c r="BX237" i="13" s="1"/>
  <c r="AH279" i="13"/>
  <c r="AI193" i="13"/>
  <c r="AJ193" i="13" s="1"/>
  <c r="AK193" i="13" s="1"/>
  <c r="BS92" i="13"/>
  <c r="BY92" i="13" s="1"/>
  <c r="AI219" i="13"/>
  <c r="AJ219" i="13" s="1"/>
  <c r="AK219" i="13" s="1"/>
  <c r="AI221" i="13"/>
  <c r="AJ221" i="13" s="1"/>
  <c r="AK221" i="13" s="1"/>
  <c r="BU2" i="13"/>
  <c r="CA2" i="13" s="1"/>
  <c r="BS7" i="13"/>
  <c r="BY7" i="13" s="1"/>
  <c r="BT66" i="13"/>
  <c r="BZ66" i="13" s="1"/>
  <c r="BR230" i="13"/>
  <c r="BX230" i="13" s="1"/>
  <c r="BU138" i="13"/>
  <c r="CA138" i="13" s="1"/>
  <c r="BT234" i="13"/>
  <c r="BZ234" i="13" s="1"/>
  <c r="BS255" i="13"/>
  <c r="BY255" i="13" s="1"/>
  <c r="BT92" i="13"/>
  <c r="BZ92" i="13" s="1"/>
  <c r="BU66" i="13"/>
  <c r="CA66" i="13" s="1"/>
  <c r="BU278" i="13"/>
  <c r="CA278" i="13" s="1"/>
  <c r="BQ278" i="13"/>
  <c r="BW278" i="13" s="1"/>
  <c r="BU69" i="13"/>
  <c r="CA69" i="13" s="1"/>
  <c r="AI293" i="13"/>
  <c r="AJ293" i="13" s="1"/>
  <c r="AK293" i="13" s="1"/>
  <c r="CA293" i="13" s="1"/>
  <c r="AI181" i="13"/>
  <c r="AJ181" i="13" s="1"/>
  <c r="AK181" i="13" s="1"/>
  <c r="BW181" i="13" s="1"/>
  <c r="AI254" i="13"/>
  <c r="AJ254" i="13" s="1"/>
  <c r="AK254" i="13" s="1"/>
  <c r="BX254" i="13" s="1"/>
  <c r="AI170" i="13"/>
  <c r="AJ170" i="13" s="1"/>
  <c r="AK170" i="13" s="1"/>
  <c r="BQ92" i="13"/>
  <c r="BW92" i="13" s="1"/>
  <c r="AI180" i="13"/>
  <c r="AJ180" i="13" s="1"/>
  <c r="AK180" i="13" s="1"/>
  <c r="AI152" i="13"/>
  <c r="AJ152" i="13" s="1"/>
  <c r="AK152" i="13" s="1"/>
  <c r="CA244" i="13"/>
  <c r="BU283" i="13"/>
  <c r="CA283" i="13" s="1"/>
  <c r="BS2" i="13"/>
  <c r="BY2" i="13" s="1"/>
  <c r="BT138" i="13"/>
  <c r="BZ138" i="13" s="1"/>
  <c r="BS192" i="13"/>
  <c r="BY192" i="13" s="1"/>
  <c r="BR283" i="13"/>
  <c r="BX283" i="13" s="1"/>
  <c r="BU217" i="13"/>
  <c r="CA217" i="13" s="1"/>
  <c r="BS259" i="13"/>
  <c r="BY259" i="13" s="1"/>
  <c r="BU133" i="13"/>
  <c r="CA133" i="13" s="1"/>
  <c r="BR234" i="13"/>
  <c r="BX234" i="13" s="1"/>
  <c r="BS172" i="13"/>
  <c r="BY172" i="13" s="1"/>
  <c r="BS216" i="13"/>
  <c r="BY216" i="13" s="1"/>
  <c r="BU206" i="13"/>
  <c r="CA206" i="13" s="1"/>
  <c r="BT133" i="13"/>
  <c r="BZ133" i="13" s="1"/>
  <c r="BT200" i="13"/>
  <c r="BT198" i="13"/>
  <c r="BR51" i="13"/>
  <c r="BS234" i="13"/>
  <c r="BY234" i="13" s="1"/>
  <c r="BQ98" i="13"/>
  <c r="BW98" i="13" s="1"/>
  <c r="BT50" i="13"/>
  <c r="BZ50" i="13" s="1"/>
  <c r="BR35" i="13"/>
  <c r="BX35" i="13" s="1"/>
  <c r="BQ69" i="13"/>
  <c r="BW69" i="13" s="1"/>
  <c r="BR231" i="13"/>
  <c r="BX231" i="13" s="1"/>
  <c r="BQ50" i="13"/>
  <c r="BW50" i="13" s="1"/>
  <c r="BR176" i="13"/>
  <c r="BT33" i="13"/>
  <c r="BZ33" i="13" s="1"/>
  <c r="BR69" i="13"/>
  <c r="BX69" i="13" s="1"/>
  <c r="BR133" i="13"/>
  <c r="BX133" i="13" s="1"/>
  <c r="BU11" i="13"/>
  <c r="BT23" i="13"/>
  <c r="BU234" i="13"/>
  <c r="CA234" i="13" s="1"/>
  <c r="BS200" i="13"/>
  <c r="BQ135" i="13"/>
  <c r="BW135" i="13" s="1"/>
  <c r="BS135" i="13"/>
  <c r="BY135" i="13" s="1"/>
  <c r="BS33" i="13"/>
  <c r="BY33" i="13" s="1"/>
  <c r="BT287" i="13"/>
  <c r="BZ287" i="13" s="1"/>
  <c r="BR33" i="13"/>
  <c r="BX33" i="13" s="1"/>
  <c r="CA92" i="13"/>
  <c r="BS124" i="13"/>
  <c r="BY124" i="13" s="1"/>
  <c r="BU35" i="13"/>
  <c r="CA35" i="13" s="1"/>
  <c r="AH124" i="13"/>
  <c r="BU48" i="13"/>
  <c r="CA48" i="13" s="1"/>
  <c r="BT270" i="13"/>
  <c r="BZ270" i="13" s="1"/>
  <c r="BR109" i="13"/>
  <c r="BX109" i="13" s="1"/>
  <c r="BU226" i="13"/>
  <c r="CA226" i="13" s="1"/>
  <c r="BR15" i="13"/>
  <c r="BS198" i="13"/>
  <c r="BT35" i="13"/>
  <c r="BZ35" i="13" s="1"/>
  <c r="BS281" i="13"/>
  <c r="BY281" i="13" s="1"/>
  <c r="BR110" i="13"/>
  <c r="BX110" i="13" s="1"/>
  <c r="BR138" i="13"/>
  <c r="BX138" i="13" s="1"/>
  <c r="BQ71" i="13"/>
  <c r="BW71" i="13" s="1"/>
  <c r="BT109" i="13"/>
  <c r="BZ109" i="13" s="1"/>
  <c r="BS48" i="13"/>
  <c r="BY48" i="13" s="1"/>
  <c r="BU13" i="13"/>
  <c r="BU231" i="13"/>
  <c r="CA231" i="13" s="1"/>
  <c r="BT13" i="13"/>
  <c r="BU169" i="13"/>
  <c r="BU230" i="13"/>
  <c r="CA230" i="13" s="1"/>
  <c r="BU255" i="13"/>
  <c r="CA255" i="13" s="1"/>
  <c r="BS231" i="13"/>
  <c r="BY231" i="13" s="1"/>
  <c r="BQ231" i="13"/>
  <c r="BW231" i="13" s="1"/>
  <c r="BQ255" i="13"/>
  <c r="BW255" i="13" s="1"/>
  <c r="BR92" i="13"/>
  <c r="BX92" i="13" s="1"/>
  <c r="BT135" i="13"/>
  <c r="BZ135" i="13" s="1"/>
  <c r="BQ33" i="13"/>
  <c r="BW33" i="13" s="1"/>
  <c r="BS278" i="13"/>
  <c r="BY278" i="13" s="1"/>
  <c r="BS118" i="13"/>
  <c r="BY118" i="13" s="1"/>
  <c r="BQ67" i="13"/>
  <c r="BW67" i="13" s="1"/>
  <c r="BT199" i="13"/>
  <c r="BZ199" i="13" s="1"/>
  <c r="BU52" i="13"/>
  <c r="CA52" i="13" s="1"/>
  <c r="BQ249" i="13"/>
  <c r="BW249" i="13" s="1"/>
  <c r="BR185" i="13"/>
  <c r="BU195" i="13"/>
  <c r="CA195" i="13" s="1"/>
  <c r="BU245" i="13"/>
  <c r="CA245" i="13" s="1"/>
  <c r="BR199" i="13"/>
  <c r="BX199" i="13" s="1"/>
  <c r="BQ268" i="13"/>
  <c r="BW268" i="13" s="1"/>
  <c r="BR61" i="13"/>
  <c r="BX61" i="13" s="1"/>
  <c r="BU61" i="13"/>
  <c r="CA61" i="13" s="1"/>
  <c r="BS61" i="13"/>
  <c r="BY61" i="13" s="1"/>
  <c r="BR118" i="13"/>
  <c r="BX118" i="13" s="1"/>
  <c r="AI262" i="13"/>
  <c r="AJ262" i="13" s="1"/>
  <c r="AK262" i="13" s="1"/>
  <c r="BX262" i="13" s="1"/>
  <c r="AI175" i="13"/>
  <c r="AJ175" i="13" s="1"/>
  <c r="AK175" i="13" s="1"/>
  <c r="CA105" i="13"/>
  <c r="AI169" i="13"/>
  <c r="AJ169" i="13" s="1"/>
  <c r="AK169" i="13" s="1"/>
  <c r="AI198" i="13"/>
  <c r="AJ198" i="13" s="1"/>
  <c r="AK198" i="13" s="1"/>
  <c r="CA261" i="13"/>
  <c r="BT141" i="13"/>
  <c r="BZ141" i="13" s="1"/>
  <c r="BS273" i="13"/>
  <c r="BY273" i="13" s="1"/>
  <c r="BR206" i="13"/>
  <c r="BX206" i="13" s="1"/>
  <c r="BT102" i="13"/>
  <c r="BZ102" i="13" s="1"/>
  <c r="BU259" i="13"/>
  <c r="CA259" i="13" s="1"/>
  <c r="BR43" i="13"/>
  <c r="BX43" i="13" s="1"/>
  <c r="BS249" i="13"/>
  <c r="BY249" i="13" s="1"/>
  <c r="BS202" i="13"/>
  <c r="BY202" i="13" s="1"/>
  <c r="BR256" i="13"/>
  <c r="BX256" i="13" s="1"/>
  <c r="BU141" i="13"/>
  <c r="CA141" i="13" s="1"/>
  <c r="BT281" i="13"/>
  <c r="BZ281" i="13" s="1"/>
  <c r="BU189" i="13"/>
  <c r="CA189" i="13" s="1"/>
  <c r="BU109" i="13"/>
  <c r="CA109" i="13" s="1"/>
  <c r="BR181" i="13"/>
  <c r="BQ109" i="13"/>
  <c r="BW109" i="13" s="1"/>
  <c r="BR202" i="13"/>
  <c r="BX202" i="13" s="1"/>
  <c r="BQ236" i="13"/>
  <c r="BW236" i="13" s="1"/>
  <c r="BT28" i="13"/>
  <c r="BZ28" i="13" s="1"/>
  <c r="BT261" i="13"/>
  <c r="BZ261" i="13" s="1"/>
  <c r="BU205" i="13"/>
  <c r="CA205" i="13" s="1"/>
  <c r="BT268" i="13"/>
  <c r="BZ268" i="13" s="1"/>
  <c r="BQ167" i="13"/>
  <c r="BW167" i="13" s="1"/>
  <c r="BT245" i="13"/>
  <c r="BZ245" i="13" s="1"/>
  <c r="BS110" i="13"/>
  <c r="BY110" i="13" s="1"/>
  <c r="BQ212" i="13"/>
  <c r="BW212" i="13" s="1"/>
  <c r="BT52" i="13"/>
  <c r="BZ52" i="13" s="1"/>
  <c r="BQ61" i="13"/>
  <c r="BW61" i="13" s="1"/>
  <c r="BT265" i="13"/>
  <c r="BZ265" i="13" s="1"/>
  <c r="BT118" i="13"/>
  <c r="BZ118" i="13" s="1"/>
  <c r="BR52" i="13"/>
  <c r="BX52" i="13" s="1"/>
  <c r="BR66" i="13"/>
  <c r="BX66" i="13" s="1"/>
  <c r="BQ66" i="13"/>
  <c r="BW66" i="13" s="1"/>
  <c r="BR151" i="13"/>
  <c r="BX151" i="13" s="1"/>
  <c r="BT228" i="13"/>
  <c r="BZ228" i="13" s="1"/>
  <c r="BR71" i="13"/>
  <c r="BX71" i="13" s="1"/>
  <c r="BR189" i="13"/>
  <c r="BX189" i="13" s="1"/>
  <c r="BS102" i="13"/>
  <c r="BY102" i="13" s="1"/>
  <c r="BU43" i="13"/>
  <c r="CA43" i="13" s="1"/>
  <c r="BS241" i="13"/>
  <c r="BY241" i="13" s="1"/>
  <c r="BT189" i="13"/>
  <c r="BZ189" i="13" s="1"/>
  <c r="BU241" i="13"/>
  <c r="CA241" i="13" s="1"/>
  <c r="BU91" i="13"/>
  <c r="CA91" i="13" s="1"/>
  <c r="BQ32" i="13"/>
  <c r="BW32" i="13" s="1"/>
  <c r="BT204" i="13"/>
  <c r="BZ204" i="13" s="1"/>
  <c r="BU199" i="13"/>
  <c r="CA199" i="13" s="1"/>
  <c r="BS51" i="13"/>
  <c r="BQ283" i="13"/>
  <c r="BW283" i="13" s="1"/>
  <c r="BT110" i="13"/>
  <c r="BZ110" i="13" s="1"/>
  <c r="BU16" i="13"/>
  <c r="BU273" i="13"/>
  <c r="CA273" i="13" s="1"/>
  <c r="BS170" i="13"/>
  <c r="BR28" i="13"/>
  <c r="BX28" i="13" s="1"/>
  <c r="BU73" i="13"/>
  <c r="CA73" i="13" s="1"/>
  <c r="BQ15" i="13"/>
  <c r="BT194" i="13"/>
  <c r="BQ107" i="13"/>
  <c r="BW107" i="13" s="1"/>
  <c r="BS131" i="13"/>
  <c r="BY131" i="13" s="1"/>
  <c r="BT219" i="13"/>
  <c r="BT236" i="13"/>
  <c r="BZ236" i="13" s="1"/>
  <c r="BU28" i="13"/>
  <c r="CA28" i="13" s="1"/>
  <c r="BQ35" i="13"/>
  <c r="BW35" i="13" s="1"/>
  <c r="BS206" i="13"/>
  <c r="BY206" i="13" s="1"/>
  <c r="BQ206" i="13"/>
  <c r="BW206" i="13" s="1"/>
  <c r="BQ73" i="13"/>
  <c r="BW73" i="13" s="1"/>
  <c r="BS52" i="13"/>
  <c r="BY52" i="13" s="1"/>
  <c r="BS265" i="13"/>
  <c r="BY265" i="13" s="1"/>
  <c r="AI251" i="13"/>
  <c r="AJ251" i="13" s="1"/>
  <c r="AK251" i="13" s="1"/>
  <c r="BY251" i="13" s="1"/>
  <c r="AI275" i="13"/>
  <c r="AJ275" i="13" s="1"/>
  <c r="AK275" i="13" s="1"/>
  <c r="CA123" i="13"/>
  <c r="CA60" i="13"/>
  <c r="BS180" i="13"/>
  <c r="BT145" i="13"/>
  <c r="BZ145" i="13" s="1"/>
  <c r="BU161" i="13"/>
  <c r="CA161" i="13" s="1"/>
  <c r="BU149" i="13"/>
  <c r="BR86" i="13"/>
  <c r="BX86" i="13" s="1"/>
  <c r="BT24" i="13"/>
  <c r="BS134" i="13"/>
  <c r="BY134" i="13" s="1"/>
  <c r="BT43" i="13"/>
  <c r="BZ43" i="13" s="1"/>
  <c r="BS72" i="13"/>
  <c r="BY72" i="13" s="1"/>
  <c r="BQ16" i="13"/>
  <c r="BS24" i="13"/>
  <c r="BU183" i="13"/>
  <c r="CA183" i="13" s="1"/>
  <c r="BQ294" i="13"/>
  <c r="BT72" i="13"/>
  <c r="BZ72" i="13" s="1"/>
  <c r="BQ149" i="13"/>
  <c r="BR161" i="13"/>
  <c r="BX161" i="13" s="1"/>
  <c r="BQ198" i="13"/>
  <c r="BR293" i="13"/>
  <c r="BT170" i="13"/>
  <c r="BT83" i="13"/>
  <c r="BZ83" i="13" s="1"/>
  <c r="BQ159" i="13"/>
  <c r="BQ192" i="13"/>
  <c r="BW192" i="13" s="1"/>
  <c r="BU84" i="13"/>
  <c r="CA84" i="13" s="1"/>
  <c r="BT84" i="13"/>
  <c r="BZ84" i="13" s="1"/>
  <c r="BS73" i="13"/>
  <c r="BY73" i="13" s="1"/>
  <c r="BU276" i="13"/>
  <c r="CA276" i="13" s="1"/>
  <c r="BT154" i="13"/>
  <c r="BZ154" i="13" s="1"/>
  <c r="BQ25" i="13"/>
  <c r="BS25" i="13"/>
  <c r="BR25" i="13"/>
  <c r="BT25" i="13"/>
  <c r="BR139" i="13"/>
  <c r="BX139" i="13" s="1"/>
  <c r="BU139" i="13"/>
  <c r="CA139" i="13" s="1"/>
  <c r="BT29" i="13"/>
  <c r="BZ29" i="13" s="1"/>
  <c r="BS29" i="13"/>
  <c r="BY29" i="13" s="1"/>
  <c r="BU29" i="13"/>
  <c r="CA29" i="13" s="1"/>
  <c r="BR29" i="13"/>
  <c r="BU25" i="13"/>
  <c r="BS11" i="13"/>
  <c r="BY11" i="13" s="1"/>
  <c r="BT192" i="13"/>
  <c r="BZ192" i="13" s="1"/>
  <c r="BS86" i="13"/>
  <c r="BY86" i="13" s="1"/>
  <c r="BU275" i="13"/>
  <c r="BS243" i="13"/>
  <c r="BY243" i="13" s="1"/>
  <c r="BS149" i="13"/>
  <c r="BT11" i="13"/>
  <c r="BZ11" i="13" s="1"/>
  <c r="BS176" i="13"/>
  <c r="BT149" i="13"/>
  <c r="BR299" i="13"/>
  <c r="BX299" i="13" s="1"/>
  <c r="BS183" i="13"/>
  <c r="BY183" i="13" s="1"/>
  <c r="BR172" i="13"/>
  <c r="BX172" i="13" s="1"/>
  <c r="BR171" i="13"/>
  <c r="BX171" i="13" s="1"/>
  <c r="BT161" i="13"/>
  <c r="BZ161" i="13" s="1"/>
  <c r="BS171" i="13"/>
  <c r="BY171" i="13" s="1"/>
  <c r="BR208" i="13"/>
  <c r="BU26" i="13"/>
  <c r="BT26" i="13"/>
  <c r="CA134" i="13"/>
  <c r="CA218" i="13"/>
  <c r="CA151" i="13"/>
  <c r="BT183" i="13"/>
  <c r="BZ183" i="13" s="1"/>
  <c r="BQ139" i="13"/>
  <c r="BW139" i="13" s="1"/>
  <c r="BT177" i="13"/>
  <c r="BZ177" i="13" s="1"/>
  <c r="BU180" i="13"/>
  <c r="BU270" i="13"/>
  <c r="CA270" i="13" s="1"/>
  <c r="BR216" i="13"/>
  <c r="BX216" i="13" s="1"/>
  <c r="BU72" i="13"/>
  <c r="CA72" i="13" s="1"/>
  <c r="BQ79" i="13"/>
  <c r="BW79" i="13" s="1"/>
  <c r="BT139" i="13"/>
  <c r="BZ139" i="13" s="1"/>
  <c r="BS220" i="13"/>
  <c r="BY220" i="13" s="1"/>
  <c r="BQ72" i="13"/>
  <c r="BQ147" i="13"/>
  <c r="BW147" i="13" s="1"/>
  <c r="BS194" i="13"/>
  <c r="BR192" i="13"/>
  <c r="BX192" i="13" s="1"/>
  <c r="BQ270" i="13"/>
  <c r="BW270" i="13" s="1"/>
  <c r="BT147" i="13"/>
  <c r="BZ147" i="13" s="1"/>
  <c r="BQ64" i="13"/>
  <c r="BW64" i="13" s="1"/>
  <c r="BQ256" i="13"/>
  <c r="BW256" i="13" s="1"/>
  <c r="BQ183" i="13"/>
  <c r="BW183" i="13" s="1"/>
  <c r="BR217" i="13"/>
  <c r="BX217" i="13" s="1"/>
  <c r="BT217" i="13"/>
  <c r="BZ217" i="13" s="1"/>
  <c r="BU83" i="13"/>
  <c r="CA83" i="13" s="1"/>
  <c r="BQ217" i="13"/>
  <c r="BW217" i="13" s="1"/>
  <c r="BU194" i="13"/>
  <c r="BS245" i="13"/>
  <c r="BY245" i="13" s="1"/>
  <c r="BR159" i="13"/>
  <c r="BX159" i="13" s="1"/>
  <c r="BT197" i="13"/>
  <c r="BQ179" i="13"/>
  <c r="BW179" i="13" s="1"/>
  <c r="BS161" i="13"/>
  <c r="BY161" i="13" s="1"/>
  <c r="BT273" i="13"/>
  <c r="BZ273" i="13" s="1"/>
  <c r="BU158" i="13"/>
  <c r="CA158" i="13" s="1"/>
  <c r="BT241" i="13"/>
  <c r="BZ241" i="13" s="1"/>
  <c r="BS239" i="13"/>
  <c r="BY239" i="13" s="1"/>
  <c r="BS139" i="13"/>
  <c r="BY139" i="13" s="1"/>
  <c r="BR26" i="13"/>
  <c r="BT123" i="13"/>
  <c r="BZ123" i="13" s="1"/>
  <c r="BQ123" i="13"/>
  <c r="BW123" i="13" s="1"/>
  <c r="BR123" i="13"/>
  <c r="BX123" i="13" s="1"/>
  <c r="BR250" i="13"/>
  <c r="BX250" i="13" s="1"/>
  <c r="BS250" i="13"/>
  <c r="BY250" i="13" s="1"/>
  <c r="BS38" i="13"/>
  <c r="BY38" i="13" s="1"/>
  <c r="BU38" i="13"/>
  <c r="CA38" i="13" s="1"/>
  <c r="BS175" i="13"/>
  <c r="BU175" i="13"/>
  <c r="BR175" i="13"/>
  <c r="BS223" i="13"/>
  <c r="BY223" i="13" s="1"/>
  <c r="BT223" i="13"/>
  <c r="BZ223" i="13" s="1"/>
  <c r="BQ223" i="13"/>
  <c r="BW223" i="13" s="1"/>
  <c r="BS75" i="13"/>
  <c r="BY75" i="13" s="1"/>
  <c r="BR75" i="13"/>
  <c r="BX75" i="13" s="1"/>
  <c r="BT300" i="13"/>
  <c r="BZ300" i="13" s="1"/>
  <c r="BR300" i="13"/>
  <c r="BX300" i="13" s="1"/>
  <c r="BQ300" i="13"/>
  <c r="BW300" i="13" s="1"/>
  <c r="BV300" i="13" s="1" a="1"/>
  <c r="BV300" i="13" s="1"/>
  <c r="BU193" i="13"/>
  <c r="BT193" i="13"/>
  <c r="BQ6" i="13"/>
  <c r="BT6" i="13"/>
  <c r="BZ6" i="13" s="1"/>
  <c r="BS6" i="13"/>
  <c r="BY6" i="13" s="1"/>
  <c r="BQ115" i="13"/>
  <c r="BW115" i="13" s="1"/>
  <c r="BU115" i="13"/>
  <c r="CA115" i="13" s="1"/>
  <c r="BQ19" i="13"/>
  <c r="BT19" i="13"/>
  <c r="BU19" i="13"/>
  <c r="BQ157" i="13"/>
  <c r="BW157" i="13" s="1"/>
  <c r="BV157" i="13" s="1" a="1"/>
  <c r="BV157" i="13" s="1"/>
  <c r="BS157" i="13"/>
  <c r="BY157" i="13" s="1"/>
  <c r="BT157" i="13"/>
  <c r="BZ157" i="13" s="1"/>
  <c r="BR187" i="13"/>
  <c r="BX187" i="13" s="1"/>
  <c r="BS187" i="13"/>
  <c r="BY187" i="13" s="1"/>
  <c r="BQ187" i="13"/>
  <c r="BW187" i="13" s="1"/>
  <c r="BT187" i="13"/>
  <c r="BZ187" i="13" s="1"/>
  <c r="BQ112" i="13"/>
  <c r="BW112" i="13" s="1"/>
  <c r="BQ153" i="13"/>
  <c r="BT153" i="13"/>
  <c r="BU153" i="13"/>
  <c r="BR153" i="13"/>
  <c r="BT254" i="13"/>
  <c r="BT156" i="13"/>
  <c r="BZ156" i="13" s="1"/>
  <c r="BR156" i="13"/>
  <c r="BX156" i="13" s="1"/>
  <c r="BR67" i="13"/>
  <c r="BX67" i="13" s="1"/>
  <c r="BU67" i="13"/>
  <c r="CA67" i="13" s="1"/>
  <c r="BT279" i="13"/>
  <c r="BZ279" i="13" s="1"/>
  <c r="BR279" i="13"/>
  <c r="BX279" i="13" s="1"/>
  <c r="BQ196" i="13"/>
  <c r="BR196" i="13"/>
  <c r="BU196" i="13"/>
  <c r="BS196" i="13"/>
  <c r="BQ298" i="13"/>
  <c r="BS67" i="13"/>
  <c r="BY67" i="13" s="1"/>
  <c r="BT290" i="13"/>
  <c r="BQ290" i="13"/>
  <c r="BT235" i="13"/>
  <c r="BZ235" i="13" s="1"/>
  <c r="BT151" i="13"/>
  <c r="BZ151" i="13" s="1"/>
  <c r="BQ151" i="13"/>
  <c r="BW151" i="13" s="1"/>
  <c r="BR62" i="13"/>
  <c r="BX62" i="13" s="1"/>
  <c r="BQ62" i="13"/>
  <c r="BW62" i="13" s="1"/>
  <c r="BR218" i="13"/>
  <c r="BX218" i="13" s="1"/>
  <c r="BQ218" i="13"/>
  <c r="BW218" i="13" s="1"/>
  <c r="BT218" i="13"/>
  <c r="BZ218" i="13" s="1"/>
  <c r="BT229" i="13"/>
  <c r="BZ229" i="13" s="1"/>
  <c r="BS229" i="13"/>
  <c r="BY229" i="13" s="1"/>
  <c r="BU229" i="13"/>
  <c r="CA229" i="13" s="1"/>
  <c r="BR229" i="13"/>
  <c r="BX229" i="13" s="1"/>
  <c r="BQ229" i="13"/>
  <c r="BW229" i="13" s="1"/>
  <c r="BR22" i="13"/>
  <c r="BQ22" i="13"/>
  <c r="BS22" i="13"/>
  <c r="BQ163" i="13"/>
  <c r="BT163" i="13"/>
  <c r="BU163" i="13"/>
  <c r="BR163" i="13"/>
  <c r="BT155" i="13"/>
  <c r="BZ155" i="13" s="1"/>
  <c r="BQ155" i="13"/>
  <c r="BW155" i="13" s="1"/>
  <c r="BS155" i="13"/>
  <c r="BY155" i="13" s="1"/>
  <c r="BR277" i="13"/>
  <c r="BX277" i="13" s="1"/>
  <c r="BQ277" i="13"/>
  <c r="BW277" i="13" s="1"/>
  <c r="BU277" i="13"/>
  <c r="CA277" i="13" s="1"/>
  <c r="BS184" i="13"/>
  <c r="BR184" i="13"/>
  <c r="BQ104" i="13"/>
  <c r="BW104" i="13" s="1"/>
  <c r="BR104" i="13"/>
  <c r="BX104" i="13" s="1"/>
  <c r="BS104" i="13"/>
  <c r="BY104" i="13" s="1"/>
  <c r="BT38" i="13"/>
  <c r="BZ38" i="13" s="1"/>
  <c r="BT184" i="13"/>
  <c r="BS266" i="13"/>
  <c r="BQ266" i="13"/>
  <c r="BT269" i="13"/>
  <c r="BR269" i="13"/>
  <c r="BU187" i="13"/>
  <c r="CA187" i="13" s="1"/>
  <c r="BU116" i="13"/>
  <c r="CA116" i="13" s="1"/>
  <c r="BT116" i="13"/>
  <c r="BZ116" i="13" s="1"/>
  <c r="BQ116" i="13"/>
  <c r="BW116" i="13" s="1"/>
  <c r="BU104" i="13"/>
  <c r="CA104" i="13" s="1"/>
  <c r="BQ261" i="13"/>
  <c r="BW261" i="13" s="1"/>
  <c r="BR261" i="13"/>
  <c r="BX261" i="13" s="1"/>
  <c r="BS261" i="13"/>
  <c r="BY261" i="13" s="1"/>
  <c r="BQ182" i="13"/>
  <c r="BW182" i="13" s="1"/>
  <c r="BU182" i="13"/>
  <c r="CA182" i="13" s="1"/>
  <c r="BR182" i="13"/>
  <c r="BX182" i="13" s="1"/>
  <c r="BS182" i="13"/>
  <c r="BY182" i="13" s="1"/>
  <c r="BQ134" i="13"/>
  <c r="BW134" i="13" s="1"/>
  <c r="BR134" i="13"/>
  <c r="BX134" i="13" s="1"/>
  <c r="BT134" i="13"/>
  <c r="BZ134" i="13" s="1"/>
  <c r="BQ70" i="13"/>
  <c r="BW70" i="13" s="1"/>
  <c r="BS70" i="13"/>
  <c r="BY70" i="13" s="1"/>
  <c r="BT70" i="13"/>
  <c r="BZ70" i="13" s="1"/>
  <c r="BU70" i="13"/>
  <c r="CA70" i="13" s="1"/>
  <c r="BR54" i="13"/>
  <c r="BX54" i="13" s="1"/>
  <c r="BU54" i="13"/>
  <c r="CA54" i="13" s="1"/>
  <c r="BS54" i="13"/>
  <c r="BY54" i="13" s="1"/>
  <c r="BU113" i="13"/>
  <c r="CA113" i="13" s="1"/>
  <c r="BR113" i="13"/>
  <c r="BX113" i="13" s="1"/>
  <c r="BS143" i="13"/>
  <c r="BY143" i="13" s="1"/>
  <c r="BQ143" i="13"/>
  <c r="BW143" i="13" s="1"/>
  <c r="BT143" i="13"/>
  <c r="BZ143" i="13" s="1"/>
  <c r="BQ184" i="13"/>
  <c r="BT272" i="13"/>
  <c r="BZ272" i="13" s="1"/>
  <c r="BR272" i="13"/>
  <c r="BX272" i="13" s="1"/>
  <c r="BQ94" i="13"/>
  <c r="BW94" i="13" s="1"/>
  <c r="BS115" i="13"/>
  <c r="BY115" i="13" s="1"/>
  <c r="BQ254" i="13"/>
  <c r="BQ250" i="13"/>
  <c r="BW250" i="13" s="1"/>
  <c r="BQ38" i="13"/>
  <c r="BW38" i="13" s="1"/>
  <c r="BR223" i="13"/>
  <c r="BX223" i="13" s="1"/>
  <c r="BS19" i="13"/>
  <c r="BR177" i="13"/>
  <c r="BX177" i="13" s="1"/>
  <c r="BS177" i="13"/>
  <c r="BY177" i="13" s="1"/>
  <c r="BU177" i="13"/>
  <c r="CA177" i="13" s="1"/>
  <c r="BR115" i="13"/>
  <c r="BX115" i="13" s="1"/>
  <c r="BT292" i="13"/>
  <c r="BZ292" i="13" s="1"/>
  <c r="BU292" i="13"/>
  <c r="CA292" i="13" s="1"/>
  <c r="BU221" i="13"/>
  <c r="BS221" i="13"/>
  <c r="BT221" i="13"/>
  <c r="BQ221" i="13"/>
  <c r="BR116" i="13"/>
  <c r="BX116" i="13" s="1"/>
  <c r="BU6" i="13"/>
  <c r="BT115" i="13"/>
  <c r="BZ115" i="13" s="1"/>
  <c r="BR19" i="13"/>
  <c r="BU215" i="13"/>
  <c r="CA215" i="13" s="1"/>
  <c r="BQ215" i="13"/>
  <c r="BW215" i="13" s="1"/>
  <c r="BT215" i="13"/>
  <c r="BZ215" i="13" s="1"/>
  <c r="BR215" i="13"/>
  <c r="BX215" i="13" s="1"/>
  <c r="BT128" i="13"/>
  <c r="BZ128" i="13" s="1"/>
  <c r="BU128" i="13"/>
  <c r="CA128" i="13" s="1"/>
  <c r="BS128" i="13"/>
  <c r="BY128" i="13" s="1"/>
  <c r="BQ128" i="13"/>
  <c r="BW128" i="13" s="1"/>
  <c r="BU235" i="13"/>
  <c r="CA235" i="13" s="1"/>
  <c r="BU156" i="13"/>
  <c r="CA156" i="13" s="1"/>
  <c r="BT99" i="13"/>
  <c r="BZ99" i="13" s="1"/>
  <c r="BQ99" i="13"/>
  <c r="BW99" i="13" s="1"/>
  <c r="BS99" i="13"/>
  <c r="BY99" i="13" s="1"/>
  <c r="BU126" i="13"/>
  <c r="CA126" i="13" s="1"/>
  <c r="BQ126" i="13"/>
  <c r="BW126" i="13" s="1"/>
  <c r="BT284" i="13"/>
  <c r="BZ284" i="13" s="1"/>
  <c r="BU284" i="13"/>
  <c r="CA284" i="13" s="1"/>
  <c r="BQ284" i="13"/>
  <c r="BW284" i="13" s="1"/>
  <c r="BT103" i="13"/>
  <c r="BZ103" i="13" s="1"/>
  <c r="BQ103" i="13"/>
  <c r="BW103" i="13" s="1"/>
  <c r="BR103" i="13"/>
  <c r="BX103" i="13" s="1"/>
  <c r="BU143" i="13"/>
  <c r="CA143" i="13" s="1"/>
  <c r="BS207" i="13"/>
  <c r="BQ207" i="13"/>
  <c r="BU207" i="13"/>
  <c r="BT104" i="13"/>
  <c r="BZ104" i="13" s="1"/>
  <c r="BQ120" i="13"/>
  <c r="BW120" i="13" s="1"/>
  <c r="BR120" i="13"/>
  <c r="BX120" i="13" s="1"/>
  <c r="BS120" i="13"/>
  <c r="BY120" i="13" s="1"/>
  <c r="BU120" i="13"/>
  <c r="CA120" i="13" s="1"/>
  <c r="BU191" i="13"/>
  <c r="CA191" i="13" s="1"/>
  <c r="BQ191" i="13"/>
  <c r="BW191" i="13" s="1"/>
  <c r="BS191" i="13"/>
  <c r="BY191" i="13" s="1"/>
  <c r="BQ148" i="13"/>
  <c r="BR148" i="13"/>
  <c r="BT148" i="13"/>
  <c r="BU201" i="13"/>
  <c r="CA201" i="13" s="1"/>
  <c r="BS213" i="13"/>
  <c r="BY213" i="13" s="1"/>
  <c r="BQ213" i="13"/>
  <c r="BW213" i="13" s="1"/>
  <c r="BU213" i="13"/>
  <c r="CA213" i="13" s="1"/>
  <c r="BR213" i="13"/>
  <c r="BX213" i="13" s="1"/>
  <c r="BU178" i="13"/>
  <c r="CA178" i="13" s="1"/>
  <c r="BQ178" i="13"/>
  <c r="BW178" i="13" s="1"/>
  <c r="BQ55" i="13"/>
  <c r="BW55" i="13" s="1"/>
  <c r="BS55" i="13"/>
  <c r="BY55" i="13" s="1"/>
  <c r="BT55" i="13"/>
  <c r="BZ55" i="13" s="1"/>
  <c r="BU55" i="13"/>
  <c r="CA55" i="13" s="1"/>
  <c r="BU190" i="13"/>
  <c r="CA190" i="13" s="1"/>
  <c r="BR190" i="13"/>
  <c r="BX190" i="13" s="1"/>
  <c r="BQ190" i="13"/>
  <c r="BW190" i="13" s="1"/>
  <c r="BT190" i="13"/>
  <c r="BZ190" i="13" s="1"/>
  <c r="BU142" i="13"/>
  <c r="CA142" i="13" s="1"/>
  <c r="BR142" i="13"/>
  <c r="BX142" i="13" s="1"/>
  <c r="BQ142" i="13"/>
  <c r="BW142" i="13" s="1"/>
  <c r="BS142" i="13"/>
  <c r="BY142" i="13" s="1"/>
  <c r="BT142" i="13"/>
  <c r="BZ142" i="13" s="1"/>
  <c r="BU300" i="13"/>
  <c r="CA300" i="13" s="1"/>
  <c r="BU99" i="13"/>
  <c r="CA99" i="13" s="1"/>
  <c r="BR178" i="13"/>
  <c r="BX178" i="13" s="1"/>
  <c r="BQ63" i="13"/>
  <c r="BW63" i="13" s="1"/>
  <c r="BR63" i="13"/>
  <c r="BX63" i="13" s="1"/>
  <c r="BS43" i="13"/>
  <c r="BY43" i="13" s="1"/>
  <c r="BS253" i="13"/>
  <c r="BY253" i="13" s="1"/>
  <c r="CA124" i="13"/>
  <c r="BR280" i="13"/>
  <c r="BX280" i="13" s="1"/>
  <c r="BT124" i="13"/>
  <c r="BZ124" i="13" s="1"/>
  <c r="BS262" i="13"/>
  <c r="BT71" i="13"/>
  <c r="BZ71" i="13" s="1"/>
  <c r="BT283" i="13"/>
  <c r="BZ283" i="13" s="1"/>
  <c r="BU299" i="13"/>
  <c r="CA299" i="13" s="1"/>
  <c r="BU256" i="13"/>
  <c r="CA256" i="13" s="1"/>
  <c r="BR11" i="13"/>
  <c r="BX11" i="13" s="1"/>
  <c r="BR241" i="13"/>
  <c r="BX241" i="13" s="1"/>
  <c r="BR247" i="13"/>
  <c r="BX247" i="13" s="1"/>
  <c r="BT107" i="13"/>
  <c r="BZ107" i="13" s="1"/>
  <c r="BR296" i="13"/>
  <c r="BX296" i="13" s="1"/>
  <c r="BQ194" i="13"/>
  <c r="BQ95" i="13"/>
  <c r="BW95" i="13" s="1"/>
  <c r="BQ271" i="13"/>
  <c r="BS91" i="13"/>
  <c r="BY91" i="13" s="1"/>
  <c r="BR249" i="13"/>
  <c r="BX249" i="13" s="1"/>
  <c r="BT271" i="13"/>
  <c r="BT239" i="13"/>
  <c r="BZ239" i="13" s="1"/>
  <c r="BT188" i="13"/>
  <c r="BQ91" i="13"/>
  <c r="BW91" i="13" s="1"/>
  <c r="BS189" i="13"/>
  <c r="BY189" i="13" s="1"/>
  <c r="BR225" i="13"/>
  <c r="BX225" i="13" s="1"/>
  <c r="BU179" i="13"/>
  <c r="CA179" i="13" s="1"/>
  <c r="BQ202" i="13"/>
  <c r="BW202" i="13" s="1"/>
  <c r="BS293" i="13"/>
  <c r="BS159" i="13"/>
  <c r="BY159" i="13" s="1"/>
  <c r="BT181" i="13"/>
  <c r="BT40" i="13"/>
  <c r="BZ40" i="13" s="1"/>
  <c r="BT51" i="13"/>
  <c r="BS40" i="13"/>
  <c r="BY40" i="13" s="1"/>
  <c r="BR146" i="13"/>
  <c r="BS147" i="13"/>
  <c r="BY147" i="13" s="1"/>
  <c r="BR16" i="13"/>
  <c r="BU147" i="13"/>
  <c r="CA147" i="13" s="1"/>
  <c r="BS197" i="13"/>
  <c r="BR170" i="13"/>
  <c r="BU268" i="13"/>
  <c r="CA268" i="13" s="1"/>
  <c r="BQ40" i="13"/>
  <c r="BW40" i="13" s="1"/>
  <c r="BU51" i="13"/>
  <c r="BQ296" i="13"/>
  <c r="BW296" i="13" s="1"/>
  <c r="BV296" i="13" s="1" a="1"/>
  <c r="BV296" i="13" s="1"/>
  <c r="BQ299" i="13"/>
  <c r="BW299" i="13" s="1"/>
  <c r="BV299" i="13" s="1" a="1"/>
  <c r="BV299" i="13" s="1"/>
  <c r="BR243" i="13"/>
  <c r="BX243" i="13" s="1"/>
  <c r="BR270" i="13"/>
  <c r="BX270" i="13" s="1"/>
  <c r="BS141" i="13"/>
  <c r="BY141" i="13" s="1"/>
  <c r="BR154" i="13"/>
  <c r="BX154" i="13" s="1"/>
  <c r="BQ197" i="13"/>
  <c r="BU95" i="13"/>
  <c r="CA95" i="13" s="1"/>
  <c r="BR141" i="13"/>
  <c r="BX141" i="13" s="1"/>
  <c r="BT208" i="13"/>
  <c r="BU172" i="13"/>
  <c r="CA172" i="13" s="1"/>
  <c r="BS208" i="13"/>
  <c r="BT146" i="13"/>
  <c r="BS237" i="13"/>
  <c r="BU200" i="13"/>
  <c r="BQ85" i="13"/>
  <c r="BW85" i="13" s="1"/>
  <c r="BU85" i="13"/>
  <c r="CA85" i="13" s="1"/>
  <c r="BS85" i="13"/>
  <c r="BY85" i="13" s="1"/>
  <c r="BT85" i="13"/>
  <c r="BZ85" i="13" s="1"/>
  <c r="BR85" i="13"/>
  <c r="BX85" i="13" s="1"/>
  <c r="AH75" i="13"/>
  <c r="BU96" i="13"/>
  <c r="CA96" i="13" s="1"/>
  <c r="BT96" i="13"/>
  <c r="BZ96" i="13" s="1"/>
  <c r="BT39" i="13"/>
  <c r="BZ39" i="13" s="1"/>
  <c r="AI208" i="13"/>
  <c r="AJ208" i="13" s="1"/>
  <c r="AK208" i="13" s="1"/>
  <c r="AH208" i="13"/>
  <c r="BR222" i="13"/>
  <c r="BX222" i="13" s="1"/>
  <c r="BS222" i="13"/>
  <c r="BY222" i="13" s="1"/>
  <c r="BU173" i="13"/>
  <c r="BT210" i="13"/>
  <c r="BS203" i="13"/>
  <c r="BY203" i="13" s="1"/>
  <c r="BU145" i="13"/>
  <c r="CA145" i="13" s="1"/>
  <c r="BR166" i="13"/>
  <c r="BU111" i="13"/>
  <c r="CA111" i="13" s="1"/>
  <c r="BT295" i="13"/>
  <c r="BZ295" i="13" s="1"/>
  <c r="BR227" i="13"/>
  <c r="BX227" i="13" s="1"/>
  <c r="BR27" i="13"/>
  <c r="BR3" i="13"/>
  <c r="BT247" i="13"/>
  <c r="BZ247" i="13" s="1"/>
  <c r="BS164" i="13"/>
  <c r="BS166" i="13"/>
  <c r="BU247" i="13"/>
  <c r="CA247" i="13" s="1"/>
  <c r="BT166" i="13"/>
  <c r="BT136" i="13"/>
  <c r="BZ136" i="13" s="1"/>
  <c r="BR173" i="13"/>
  <c r="BS240" i="13"/>
  <c r="BY240" i="13" s="1"/>
  <c r="BU136" i="13"/>
  <c r="CA136" i="13" s="1"/>
  <c r="BS258" i="13"/>
  <c r="BY258" i="13" s="1"/>
  <c r="BR150" i="13"/>
  <c r="BU269" i="13"/>
  <c r="CA264" i="13"/>
  <c r="AI210" i="13"/>
  <c r="AJ210" i="13" s="1"/>
  <c r="AK210" i="13" s="1"/>
  <c r="AH210" i="13"/>
  <c r="BS199" i="13"/>
  <c r="BY199" i="13" s="1"/>
  <c r="BQ136" i="13"/>
  <c r="BW136" i="13" s="1"/>
  <c r="BT78" i="13"/>
  <c r="BZ78" i="13" s="1"/>
  <c r="BS78" i="13"/>
  <c r="BY78" i="13" s="1"/>
  <c r="BS275" i="13"/>
  <c r="BR165" i="13"/>
  <c r="BX165" i="13" s="1"/>
  <c r="BU87" i="13"/>
  <c r="CA87" i="13" s="1"/>
  <c r="BQ227" i="13"/>
  <c r="BW227" i="13" s="1"/>
  <c r="BR186" i="13"/>
  <c r="BX186" i="13" s="1"/>
  <c r="BR297" i="13"/>
  <c r="BQ164" i="13"/>
  <c r="BR209" i="13"/>
  <c r="BQ173" i="13"/>
  <c r="BS186" i="13"/>
  <c r="BY186" i="13" s="1"/>
  <c r="BQ240" i="13"/>
  <c r="BW240" i="13" s="1"/>
  <c r="BT121" i="13"/>
  <c r="BZ121" i="13" s="1"/>
  <c r="BS165" i="13"/>
  <c r="BY165" i="13" s="1"/>
  <c r="BQ269" i="13"/>
  <c r="BS162" i="13"/>
  <c r="BQ96" i="13"/>
  <c r="BW96" i="13" s="1"/>
  <c r="BQ121" i="13"/>
  <c r="BW121" i="13" s="1"/>
  <c r="BS233" i="13"/>
  <c r="BY233" i="13" s="1"/>
  <c r="BT227" i="13"/>
  <c r="BZ227" i="13" s="1"/>
  <c r="BQ80" i="13"/>
  <c r="BW80" i="13" s="1"/>
  <c r="BQ203" i="13"/>
  <c r="BW203" i="13" s="1"/>
  <c r="BU233" i="13"/>
  <c r="CA233" i="13" s="1"/>
  <c r="BR260" i="13"/>
  <c r="BS113" i="13"/>
  <c r="BY113" i="13" s="1"/>
  <c r="BU295" i="13"/>
  <c r="CA295" i="13" s="1"/>
  <c r="BU251" i="13"/>
  <c r="BU186" i="13"/>
  <c r="CA186" i="13" s="1"/>
  <c r="BQ145" i="13"/>
  <c r="BW145" i="13" s="1"/>
  <c r="BQ152" i="13"/>
  <c r="BU290" i="13"/>
  <c r="BR96" i="13"/>
  <c r="BX96" i="13" s="1"/>
  <c r="BS248" i="13"/>
  <c r="BU79" i="13"/>
  <c r="CA79" i="13" s="1"/>
  <c r="BQ251" i="13"/>
  <c r="BS219" i="13"/>
  <c r="BR94" i="13"/>
  <c r="BX94" i="13" s="1"/>
  <c r="BQ56" i="13"/>
  <c r="BW56" i="13" s="1"/>
  <c r="BR145" i="13"/>
  <c r="BX145" i="13" s="1"/>
  <c r="BQ59" i="13"/>
  <c r="BU266" i="13"/>
  <c r="BQ195" i="13"/>
  <c r="BW195" i="13" s="1"/>
  <c r="BT94" i="13"/>
  <c r="BZ94" i="13" s="1"/>
  <c r="BS14" i="13"/>
  <c r="BQ3" i="13"/>
  <c r="BS264" i="13"/>
  <c r="BY264" i="13" s="1"/>
  <c r="BR205" i="13"/>
  <c r="BX205" i="13" s="1"/>
  <c r="BS111" i="13"/>
  <c r="BY111" i="13" s="1"/>
  <c r="BS193" i="13"/>
  <c r="BS8" i="13"/>
  <c r="BY8" i="13" s="1"/>
  <c r="BU27" i="13"/>
  <c r="BT266" i="13"/>
  <c r="BQ204" i="13"/>
  <c r="BW204" i="13" s="1"/>
  <c r="BS15" i="13"/>
  <c r="BU210" i="13"/>
  <c r="BR258" i="13"/>
  <c r="BX258" i="13" s="1"/>
  <c r="BQ275" i="13"/>
  <c r="BU94" i="13"/>
  <c r="CA94" i="13" s="1"/>
  <c r="BQ264" i="13"/>
  <c r="BW264" i="13" s="1"/>
  <c r="BT195" i="13"/>
  <c r="BZ195" i="13" s="1"/>
  <c r="BS31" i="13"/>
  <c r="BY31" i="13" s="1"/>
  <c r="BS295" i="13"/>
  <c r="BY295" i="13" s="1"/>
  <c r="BQ193" i="13"/>
  <c r="BT243" i="13"/>
  <c r="BZ243" i="13" s="1"/>
  <c r="BS59" i="13"/>
  <c r="BR264" i="13"/>
  <c r="BX264" i="13" s="1"/>
  <c r="BU254" i="13"/>
  <c r="BT15" i="13"/>
  <c r="BU166" i="13"/>
  <c r="BU59" i="13"/>
  <c r="BS279" i="13"/>
  <c r="BY279" i="13" s="1"/>
  <c r="BS47" i="13"/>
  <c r="BY47" i="13" s="1"/>
  <c r="BQ27" i="13"/>
  <c r="BS260" i="13"/>
  <c r="BT164" i="13"/>
  <c r="BT297" i="13"/>
  <c r="BQ248" i="13"/>
  <c r="BQ165" i="13"/>
  <c r="BW165" i="13" s="1"/>
  <c r="BR193" i="13"/>
  <c r="BR295" i="13"/>
  <c r="BX295" i="13" s="1"/>
  <c r="BT205" i="13"/>
  <c r="BZ205" i="13" s="1"/>
  <c r="BR174" i="13"/>
  <c r="BX174" i="13" s="1"/>
  <c r="BT167" i="13"/>
  <c r="BZ167" i="13" s="1"/>
  <c r="BR201" i="13"/>
  <c r="BX201" i="13" s="1"/>
  <c r="BR251" i="13"/>
  <c r="BQ260" i="13"/>
  <c r="BU237" i="13"/>
  <c r="BU164" i="13"/>
  <c r="BS181" i="13"/>
  <c r="BQ209" i="13"/>
  <c r="BR91" i="13"/>
  <c r="BX91" i="13" s="1"/>
  <c r="BS150" i="13"/>
  <c r="BS178" i="13"/>
  <c r="BY178" i="13" s="1"/>
  <c r="BS136" i="13"/>
  <c r="BY136" i="13" s="1"/>
  <c r="BT87" i="13"/>
  <c r="BZ87" i="13" s="1"/>
  <c r="BU240" i="13"/>
  <c r="CA240" i="13" s="1"/>
  <c r="CA223" i="13"/>
  <c r="CA296" i="13"/>
  <c r="CA243" i="13"/>
  <c r="CA216" i="13"/>
  <c r="CA249" i="13"/>
  <c r="BU286" i="13"/>
  <c r="CA286" i="13" s="1"/>
  <c r="BQ286" i="13"/>
  <c r="BW286" i="13" s="1"/>
  <c r="BT286" i="13"/>
  <c r="BZ286" i="13" s="1"/>
  <c r="BS286" i="13"/>
  <c r="BY286" i="13" s="1"/>
  <c r="BR31" i="13"/>
  <c r="BX31" i="13" s="1"/>
  <c r="BU80" i="13"/>
  <c r="CA80" i="13" s="1"/>
  <c r="BQ297" i="13"/>
  <c r="BQ233" i="13"/>
  <c r="BW233" i="13" s="1"/>
  <c r="BT201" i="13"/>
  <c r="BZ201" i="13" s="1"/>
  <c r="BR152" i="13"/>
  <c r="BS228" i="13"/>
  <c r="BY228" i="13" s="1"/>
  <c r="BU228" i="13"/>
  <c r="CA228" i="13" s="1"/>
  <c r="BS88" i="13"/>
  <c r="BY88" i="13" s="1"/>
  <c r="BT88" i="13"/>
  <c r="BZ88" i="13" s="1"/>
  <c r="BR24" i="13"/>
  <c r="BS235" i="13"/>
  <c r="BY235" i="13" s="1"/>
  <c r="BS297" i="13"/>
  <c r="BQ201" i="13"/>
  <c r="BW201" i="13" s="1"/>
  <c r="BS152" i="13"/>
  <c r="BT7" i="13"/>
  <c r="BZ7" i="13" s="1"/>
  <c r="BT8" i="13"/>
  <c r="BZ8" i="13" s="1"/>
  <c r="BT225" i="13"/>
  <c r="BZ225" i="13" s="1"/>
  <c r="BT248" i="13"/>
  <c r="BQ175" i="13"/>
  <c r="BR162" i="13"/>
  <c r="BQ237" i="13"/>
  <c r="BS174" i="13"/>
  <c r="BY174" i="13" s="1"/>
  <c r="BR121" i="13"/>
  <c r="BX121" i="13" s="1"/>
  <c r="BU272" i="13"/>
  <c r="CA272" i="13" s="1"/>
  <c r="BR220" i="13"/>
  <c r="BX220" i="13" s="1"/>
  <c r="BT54" i="13"/>
  <c r="BZ54" i="13" s="1"/>
  <c r="BQ54" i="13"/>
  <c r="BW54" i="13" s="1"/>
  <c r="BU152" i="13"/>
  <c r="BS290" i="13"/>
  <c r="BQ216" i="13"/>
  <c r="BW216" i="13" s="1"/>
  <c r="BT62" i="13"/>
  <c r="BZ62" i="13" s="1"/>
  <c r="BS62" i="13"/>
  <c r="BY62" i="13" s="1"/>
  <c r="BU8" i="13"/>
  <c r="BQ113" i="13"/>
  <c r="BW113" i="13" s="1"/>
  <c r="BU294" i="13"/>
  <c r="CA294" i="13" s="1"/>
  <c r="BS269" i="13"/>
  <c r="BU220" i="13"/>
  <c r="CA220" i="13" s="1"/>
  <c r="BT173" i="13"/>
  <c r="BT175" i="13"/>
  <c r="BR124" i="13"/>
  <c r="BX124" i="13" s="1"/>
  <c r="BQ180" i="13"/>
  <c r="BT79" i="13"/>
  <c r="BZ79" i="13" s="1"/>
  <c r="BR290" i="13"/>
  <c r="BS227" i="13"/>
  <c r="BY227" i="13" s="1"/>
  <c r="BQ24" i="13"/>
  <c r="BQ225" i="13"/>
  <c r="BW225" i="13" s="1"/>
  <c r="BU121" i="13"/>
  <c r="CA121" i="13" s="1"/>
  <c r="BR275" i="13"/>
  <c r="BS254" i="13"/>
  <c r="BQ219" i="13"/>
  <c r="BR7" i="13"/>
  <c r="BX7" i="13" s="1"/>
  <c r="BQ280" i="13"/>
  <c r="BW280" i="13" s="1"/>
  <c r="BV280" i="13" s="1" a="1"/>
  <c r="BV280" i="13" s="1"/>
  <c r="BR240" i="13"/>
  <c r="BX240" i="13" s="1"/>
  <c r="BS210" i="13"/>
  <c r="BQ144" i="13"/>
  <c r="BW144" i="13" s="1"/>
  <c r="BR80" i="13"/>
  <c r="BX80" i="13" s="1"/>
  <c r="BQ211" i="13"/>
  <c r="BW211" i="13" s="1"/>
  <c r="BS83" i="13"/>
  <c r="BY83" i="13" s="1"/>
  <c r="BU248" i="13"/>
  <c r="BT196" i="13"/>
  <c r="BS272" i="13"/>
  <c r="BY272" i="13" s="1"/>
  <c r="BT222" i="13"/>
  <c r="BZ222" i="13" s="1"/>
  <c r="BU185" i="13"/>
  <c r="BR78" i="13"/>
  <c r="BX78" i="13" s="1"/>
  <c r="BS282" i="13"/>
  <c r="BY282" i="13" s="1"/>
  <c r="BQ243" i="13"/>
  <c r="BW243" i="13" s="1"/>
  <c r="BV243" i="13" s="1" a="1"/>
  <c r="BV243" i="13" s="1"/>
  <c r="BT203" i="13"/>
  <c r="BZ203" i="13" s="1"/>
  <c r="BS27" i="13"/>
  <c r="BR253" i="13"/>
  <c r="BX253" i="13" s="1"/>
  <c r="BS195" i="13"/>
  <c r="BY195" i="13" s="1"/>
  <c r="BQ146" i="13"/>
  <c r="BU181" i="13"/>
  <c r="BR259" i="13"/>
  <c r="BX259" i="13" s="1"/>
  <c r="BR235" i="13"/>
  <c r="BX235" i="13" s="1"/>
  <c r="BR83" i="13"/>
  <c r="BX83" i="13" s="1"/>
  <c r="BS3" i="13"/>
  <c r="BS299" i="13"/>
  <c r="BY299" i="13" s="1"/>
  <c r="BT250" i="13"/>
  <c r="BZ250" i="13" s="1"/>
  <c r="BT144" i="13"/>
  <c r="BZ144" i="13" s="1"/>
  <c r="BU279" i="13"/>
  <c r="CA279" i="13" s="1"/>
  <c r="BU184" i="13"/>
  <c r="BR111" i="13"/>
  <c r="BX111" i="13" s="1"/>
  <c r="BR39" i="13"/>
  <c r="BX39" i="13" s="1"/>
  <c r="BT294" i="13"/>
  <c r="BZ294" i="13" s="1"/>
  <c r="BT251" i="13"/>
  <c r="BT80" i="13"/>
  <c r="BZ80" i="13" s="1"/>
  <c r="BT256" i="13"/>
  <c r="BZ256" i="13" s="1"/>
  <c r="BT211" i="13"/>
  <c r="BZ211" i="13" s="1"/>
  <c r="BT59" i="13"/>
  <c r="BS300" i="13"/>
  <c r="BY300" i="13" s="1"/>
  <c r="BQ154" i="13"/>
  <c r="BW154" i="13" s="1"/>
  <c r="BT180" i="13"/>
  <c r="BT111" i="13"/>
  <c r="BZ111" i="13" s="1"/>
  <c r="BU88" i="13"/>
  <c r="CA88" i="13" s="1"/>
  <c r="BQ48" i="13"/>
  <c r="BW48" i="13" s="1"/>
  <c r="BR8" i="13"/>
  <c r="BX8" i="13" s="1"/>
  <c r="BQ160" i="13"/>
  <c r="BW160" i="13" s="1"/>
  <c r="BT3" i="13"/>
  <c r="BU253" i="13"/>
  <c r="CA253" i="13" s="1"/>
  <c r="BU146" i="13"/>
  <c r="BS215" i="13"/>
  <c r="BY215" i="13" s="1"/>
  <c r="BU176" i="13"/>
  <c r="BS71" i="13"/>
  <c r="BY71" i="13" s="1"/>
  <c r="BU222" i="13"/>
  <c r="CA222" i="13" s="1"/>
  <c r="BT56" i="13"/>
  <c r="BZ56" i="13" s="1"/>
  <c r="BS218" i="13"/>
  <c r="BY218" i="13" s="1"/>
  <c r="BT178" i="13"/>
  <c r="BZ178" i="13" s="1"/>
  <c r="BT249" i="13"/>
  <c r="BZ249" i="13" s="1"/>
  <c r="BU203" i="13"/>
  <c r="CA203" i="13" s="1"/>
  <c r="BR160" i="13"/>
  <c r="BX160" i="13" s="1"/>
  <c r="BU75" i="13"/>
  <c r="CA75" i="13" s="1"/>
  <c r="BT237" i="13"/>
  <c r="BQ239" i="13"/>
  <c r="BW239" i="13" s="1"/>
  <c r="BQ188" i="13"/>
  <c r="BR155" i="13"/>
  <c r="BX155" i="13" s="1"/>
  <c r="BS148" i="13"/>
  <c r="BR207" i="13"/>
  <c r="BU162" i="13"/>
  <c r="BQ176" i="13"/>
  <c r="BU154" i="13"/>
  <c r="CA154" i="13" s="1"/>
  <c r="BT160" i="13"/>
  <c r="BZ160" i="13" s="1"/>
  <c r="BR95" i="13"/>
  <c r="BX95" i="13" s="1"/>
  <c r="BU260" i="13"/>
  <c r="BR167" i="13"/>
  <c r="BX167" i="13" s="1"/>
  <c r="BU148" i="13"/>
  <c r="BS63" i="13"/>
  <c r="BY63" i="13" s="1"/>
  <c r="BU7" i="13"/>
  <c r="BR221" i="13"/>
  <c r="BQ172" i="13"/>
  <c r="BW172" i="13" s="1"/>
  <c r="BS271" i="13"/>
  <c r="BU171" i="13"/>
  <c r="CA171" i="13" s="1"/>
  <c r="BS209" i="13"/>
  <c r="BQ185" i="13"/>
  <c r="BR292" i="13"/>
  <c r="BX292" i="13" s="1"/>
  <c r="BU198" i="13"/>
  <c r="BT213" i="13"/>
  <c r="BZ213" i="13" s="1"/>
  <c r="BT179" i="13"/>
  <c r="BZ179" i="13" s="1"/>
  <c r="BU174" i="13"/>
  <c r="CA174" i="13" s="1"/>
  <c r="BT63" i="13"/>
  <c r="BZ63" i="13" s="1"/>
  <c r="BR107" i="13"/>
  <c r="BX107" i="13" s="1"/>
  <c r="BR211" i="13"/>
  <c r="BX211" i="13" s="1"/>
  <c r="BT293" i="13"/>
  <c r="BR191" i="13"/>
  <c r="BX191" i="13" s="1"/>
  <c r="BT174" i="13"/>
  <c r="BZ174" i="13" s="1"/>
  <c r="CA204" i="13"/>
  <c r="CA192" i="13"/>
  <c r="CA227" i="13"/>
  <c r="CA287" i="13"/>
  <c r="CA107" i="13"/>
  <c r="CA211" i="13"/>
  <c r="CA71" i="13"/>
  <c r="CA160" i="13"/>
  <c r="CA118" i="13"/>
  <c r="BS298" i="13"/>
  <c r="BQ272" i="13"/>
  <c r="BW272" i="13" s="1"/>
  <c r="BS56" i="13"/>
  <c r="BY56" i="13" s="1"/>
  <c r="BR298" i="13"/>
  <c r="BQ228" i="13"/>
  <c r="BW228" i="13" s="1"/>
  <c r="BR112" i="13"/>
  <c r="BX112" i="13" s="1"/>
  <c r="BT112" i="13"/>
  <c r="BZ112" i="13" s="1"/>
  <c r="BU112" i="13"/>
  <c r="CA112" i="13" s="1"/>
  <c r="BQ88" i="13"/>
  <c r="BW88" i="13" s="1"/>
  <c r="BR48" i="13"/>
  <c r="BX48" i="13" s="1"/>
  <c r="BT14" i="13"/>
  <c r="BQ39" i="13"/>
  <c r="BW39" i="13" s="1"/>
  <c r="BR294" i="13"/>
  <c r="BX294" i="13" s="1"/>
  <c r="BQ220" i="13"/>
  <c r="BW220" i="13" s="1"/>
  <c r="BS211" i="13"/>
  <c r="BY211" i="13" s="1"/>
  <c r="BQ156" i="13"/>
  <c r="BW156" i="13" s="1"/>
  <c r="BQ292" i="13"/>
  <c r="BW292" i="13" s="1"/>
  <c r="BV292" i="13" s="1" a="1"/>
  <c r="BV292" i="13" s="1"/>
  <c r="BR233" i="13"/>
  <c r="BX233" i="13" s="1"/>
  <c r="BT47" i="13"/>
  <c r="BZ47" i="13" s="1"/>
  <c r="BT185" i="13"/>
  <c r="BR102" i="13"/>
  <c r="BX102" i="13" s="1"/>
  <c r="BU102" i="13"/>
  <c r="CA102" i="13" s="1"/>
  <c r="BS160" i="13"/>
  <c r="BY160" i="13" s="1"/>
  <c r="BQ87" i="13"/>
  <c r="BW87" i="13" s="1"/>
  <c r="BU298" i="13"/>
  <c r="BQ267" i="13"/>
  <c r="BW267" i="13" s="1"/>
  <c r="BV267" i="13" s="1" a="1"/>
  <c r="BV267" i="13" s="1"/>
  <c r="BT267" i="13"/>
  <c r="BZ267" i="13" s="1"/>
  <c r="BR267" i="13"/>
  <c r="BX267" i="13" s="1"/>
  <c r="BT216" i="13"/>
  <c r="BZ216" i="13" s="1"/>
  <c r="BR32" i="13"/>
  <c r="BX32" i="13" s="1"/>
  <c r="BT32" i="13"/>
  <c r="BZ32" i="13" s="1"/>
  <c r="BQ259" i="13"/>
  <c r="BW259" i="13" s="1"/>
  <c r="BV259" i="13" s="1" a="1"/>
  <c r="BV259" i="13" s="1"/>
  <c r="BT186" i="13"/>
  <c r="BZ186" i="13" s="1"/>
  <c r="BQ253" i="13"/>
  <c r="BW253" i="13" s="1"/>
  <c r="BU47" i="13"/>
  <c r="CA47" i="13" s="1"/>
  <c r="BQ258" i="13"/>
  <c r="BW258" i="13" s="1"/>
  <c r="BV258" i="13" s="1" a="1"/>
  <c r="BV258" i="13" s="1"/>
  <c r="BQ150" i="13"/>
  <c r="BQ124" i="13"/>
  <c r="BW124" i="13" s="1"/>
  <c r="BS95" i="13"/>
  <c r="BY95" i="13" s="1"/>
  <c r="BR47" i="13"/>
  <c r="BX47" i="13" s="1"/>
  <c r="BT162" i="13"/>
  <c r="BS96" i="13"/>
  <c r="BY96" i="13" s="1"/>
  <c r="BU56" i="13"/>
  <c r="CA56" i="13" s="1"/>
  <c r="BQ208" i="13"/>
  <c r="BU209" i="13"/>
  <c r="BU31" i="13"/>
  <c r="CA31" i="13" s="1"/>
  <c r="BU280" i="13"/>
  <c r="CA280" i="13" s="1"/>
  <c r="BR210" i="13"/>
  <c r="BQ14" i="13"/>
  <c r="BQ252" i="13"/>
  <c r="BW252" i="13" s="1"/>
  <c r="BQ75" i="13"/>
  <c r="BW75" i="13" s="1"/>
  <c r="BU39" i="13"/>
  <c r="CA39" i="13" s="1"/>
  <c r="BT86" i="13"/>
  <c r="BZ86" i="13" s="1"/>
  <c r="BU86" i="13"/>
  <c r="CA86" i="13" s="1"/>
  <c r="BT113" i="13"/>
  <c r="BZ113" i="13" s="1"/>
  <c r="BQ31" i="13"/>
  <c r="BW31" i="13" s="1"/>
  <c r="BS267" i="13"/>
  <c r="BY267" i="13" s="1"/>
  <c r="BQ222" i="13"/>
  <c r="BW222" i="13" s="1"/>
  <c r="BS46" i="13"/>
  <c r="BY46" i="13" s="1"/>
  <c r="BT46" i="13"/>
  <c r="BZ46" i="13" s="1"/>
  <c r="BU258" i="13"/>
  <c r="CA258" i="13" s="1"/>
  <c r="BU150" i="13"/>
  <c r="BR79" i="13"/>
  <c r="BX79" i="13" s="1"/>
  <c r="BU267" i="13"/>
  <c r="CA267" i="13" s="1"/>
  <c r="BU219" i="13"/>
  <c r="BU63" i="13"/>
  <c r="CA63" i="13" s="1"/>
  <c r="BS252" i="13"/>
  <c r="BY252" i="13" s="1"/>
  <c r="BT75" i="13"/>
  <c r="BZ75" i="13" s="1"/>
  <c r="AI197" i="13"/>
  <c r="AJ197" i="13" s="1"/>
  <c r="AK197" i="13" s="1"/>
  <c r="AH197" i="13"/>
  <c r="BS116" i="13"/>
  <c r="BY116" i="13" s="1"/>
  <c r="BR14" i="13"/>
  <c r="BS87" i="13"/>
  <c r="BY87" i="13" s="1"/>
  <c r="BS284" i="13"/>
  <c r="BY284" i="13" s="1"/>
  <c r="BS16" i="13"/>
  <c r="BT226" i="13"/>
  <c r="BZ226" i="13" s="1"/>
  <c r="BR226" i="13"/>
  <c r="BX226" i="13" s="1"/>
  <c r="BS226" i="13"/>
  <c r="BY226" i="13" s="1"/>
  <c r="BR286" i="13"/>
  <c r="BX286" i="13" s="1"/>
  <c r="BR281" i="13"/>
  <c r="BX281" i="13" s="1"/>
  <c r="BU281" i="13"/>
  <c r="CA281" i="13" s="1"/>
  <c r="BU250" i="13"/>
  <c r="CA250" i="13" s="1"/>
  <c r="BU78" i="13"/>
  <c r="CA78" i="13" s="1"/>
  <c r="BR38" i="13"/>
  <c r="BX38" i="13" s="1"/>
  <c r="BU282" i="13"/>
  <c r="CA282" i="13" s="1"/>
  <c r="BQ293" i="13"/>
  <c r="BU40" i="13"/>
  <c r="CA40" i="13" s="1"/>
  <c r="BU262" i="13"/>
  <c r="BU225" i="13"/>
  <c r="CA225" i="13" s="1"/>
  <c r="BQ247" i="13"/>
  <c r="BW247" i="13" s="1"/>
  <c r="BS107" i="13"/>
  <c r="BY107" i="13" s="1"/>
  <c r="BS296" i="13"/>
  <c r="BY296" i="13" s="1"/>
  <c r="BQ171" i="13"/>
  <c r="BW171" i="13" s="1"/>
  <c r="BU155" i="13"/>
  <c r="CA155" i="13" s="1"/>
  <c r="BR268" i="13"/>
  <c r="BX268" i="13" s="1"/>
  <c r="BU197" i="13"/>
  <c r="BR188" i="13"/>
  <c r="BZ202" i="13"/>
  <c r="BZ231" i="13"/>
  <c r="BY10" i="13"/>
  <c r="BY145" i="13"/>
  <c r="BY247" i="13"/>
  <c r="BZ119" i="13"/>
  <c r="BY201" i="13"/>
  <c r="BZ120" i="13"/>
  <c r="BY151" i="13"/>
  <c r="BY292" i="13"/>
  <c r="BY77" i="13"/>
  <c r="BZ191" i="13"/>
  <c r="BY246" i="13"/>
  <c r="BY138" i="13"/>
  <c r="BY133" i="13"/>
  <c r="BY268" i="13"/>
  <c r="BY114" i="13"/>
  <c r="BZ67" i="13"/>
  <c r="BY270" i="13"/>
  <c r="BY132" i="13"/>
  <c r="BZ61" i="13"/>
  <c r="BY217" i="13"/>
  <c r="BY122" i="13"/>
  <c r="BY190" i="13"/>
  <c r="BY97" i="13"/>
  <c r="BZ97" i="13"/>
  <c r="BZ172" i="13"/>
  <c r="BZ165" i="13"/>
  <c r="BY105" i="13"/>
  <c r="BZ105" i="13"/>
  <c r="BZ53" i="13"/>
  <c r="BY125" i="13"/>
  <c r="BZ125" i="13"/>
  <c r="BY154" i="13"/>
  <c r="BY277" i="13"/>
  <c r="BZ277" i="13"/>
  <c r="BZ258" i="13"/>
  <c r="BY214" i="13"/>
  <c r="BZ255" i="13"/>
  <c r="BZ233" i="13"/>
  <c r="BY60" i="13"/>
  <c r="BZ60" i="13"/>
  <c r="BY236" i="13"/>
  <c r="BZ95" i="13"/>
  <c r="BY37" i="13"/>
  <c r="BZ91" i="13"/>
  <c r="BY12" i="13"/>
  <c r="BY263" i="13"/>
  <c r="BZ263" i="13"/>
  <c r="BY167" i="13"/>
  <c r="BY45" i="13"/>
  <c r="BZ31" i="13"/>
  <c r="BY156" i="13"/>
  <c r="BY244" i="13"/>
  <c r="BZ244" i="13"/>
  <c r="BY294" i="13"/>
  <c r="BZ159" i="13"/>
  <c r="BZ131" i="13"/>
  <c r="BZ253" i="13"/>
  <c r="BY225" i="13"/>
  <c r="BY103" i="13"/>
  <c r="BZ182" i="13"/>
  <c r="BZ220" i="13"/>
  <c r="BZ74" i="13"/>
  <c r="BZ257" i="13"/>
  <c r="BZ69" i="13"/>
  <c r="BY84" i="13"/>
  <c r="BZ299" i="13"/>
  <c r="BZ171" i="13"/>
  <c r="BY94" i="13"/>
  <c r="AH2" i="13"/>
  <c r="BX6" i="13"/>
  <c r="BW199" i="13"/>
  <c r="BW245" i="13"/>
  <c r="BX147" i="13"/>
  <c r="BW29" i="13"/>
  <c r="BX29" i="13"/>
  <c r="BW72" i="13"/>
  <c r="BX72" i="13"/>
  <c r="BX252" i="13"/>
  <c r="BW77" i="13"/>
  <c r="BW189" i="13"/>
  <c r="BW52" i="13"/>
  <c r="BW168" i="13"/>
  <c r="BX89" i="13"/>
  <c r="BX55" i="13"/>
  <c r="BW263" i="13"/>
  <c r="BX263" i="13"/>
  <c r="BW83" i="13"/>
  <c r="BX239" i="13"/>
  <c r="BW177" i="13"/>
  <c r="BW159" i="13"/>
  <c r="BW241" i="13"/>
  <c r="BX130" i="13"/>
  <c r="BW102" i="13"/>
  <c r="BW279" i="13"/>
  <c r="BX99" i="13"/>
  <c r="BW114" i="13"/>
  <c r="BW174" i="13"/>
  <c r="BW28" i="13"/>
  <c r="BX135" i="13"/>
  <c r="BW235" i="13"/>
  <c r="BX265" i="13"/>
  <c r="BX183" i="13"/>
  <c r="BX40" i="13"/>
  <c r="BW288" i="13"/>
  <c r="BX288" i="13"/>
  <c r="BW226" i="13"/>
  <c r="BW295" i="13"/>
  <c r="BV295" i="13" s="1" a="1"/>
  <c r="BV295" i="13" s="1"/>
  <c r="BX287" i="13"/>
  <c r="BW108" i="13"/>
  <c r="BX228" i="13"/>
  <c r="BW105" i="13"/>
  <c r="BX105" i="13"/>
  <c r="BX53" i="13"/>
  <c r="BW291" i="13"/>
  <c r="BV291" i="13" s="1" a="1"/>
  <c r="BV291" i="13" s="1"/>
  <c r="BX179" i="13"/>
  <c r="BW234" i="13"/>
  <c r="BW281" i="13"/>
  <c r="BX76" i="13"/>
  <c r="BX128" i="13"/>
  <c r="BW273" i="13"/>
  <c r="BW78" i="13"/>
  <c r="BW161" i="13"/>
  <c r="BW46" i="13"/>
  <c r="BX70" i="13"/>
  <c r="BW60" i="13"/>
  <c r="BX60" i="13"/>
  <c r="BX144" i="13"/>
  <c r="BX195" i="13"/>
  <c r="BX129" i="13"/>
  <c r="BX203" i="13"/>
  <c r="BX158" i="13"/>
  <c r="BW244" i="13"/>
  <c r="BX244" i="13"/>
  <c r="BW294" i="13"/>
  <c r="BV294" i="13" s="1" a="1"/>
  <c r="BV294" i="13" s="1"/>
  <c r="BW230" i="13"/>
  <c r="BW138" i="13"/>
  <c r="BW205" i="13"/>
  <c r="BZ2" i="13"/>
  <c r="BW2" i="13"/>
  <c r="BX2" i="13"/>
  <c r="BV26" i="13" l="1" a="1"/>
  <c r="BV26" i="13" s="1"/>
  <c r="BV23" i="13" a="1"/>
  <c r="BV23" i="13" s="1"/>
  <c r="BV234" i="13" a="1"/>
  <c r="BV234" i="13" s="1"/>
  <c r="BV138" i="13" a="1"/>
  <c r="BV138" i="13" s="1"/>
  <c r="BV114" i="13" a="1"/>
  <c r="BV114" i="13" s="1"/>
  <c r="BV273" i="13" a="1"/>
  <c r="BV273" i="13" s="1"/>
  <c r="BV244" i="13" a="1"/>
  <c r="BV244" i="13" s="1"/>
  <c r="BV235" i="13" a="1"/>
  <c r="BV235" i="13" s="1"/>
  <c r="BV288" i="13" a="1"/>
  <c r="BV288" i="13" s="1"/>
  <c r="BV100" i="13" a="1"/>
  <c r="BV100" i="13" s="1"/>
  <c r="BV241" i="13" a="1"/>
  <c r="BV241" i="13" s="1"/>
  <c r="BV72" i="13" a="1"/>
  <c r="BV72" i="13" s="1"/>
  <c r="BV46" i="13" a="1"/>
  <c r="BV46" i="13" s="1"/>
  <c r="BV165" i="13" a="1"/>
  <c r="BV165" i="13" s="1"/>
  <c r="BV56" i="13" a="1"/>
  <c r="BV56" i="13" s="1"/>
  <c r="BV50" i="13" a="1"/>
  <c r="BV50" i="13" s="1"/>
  <c r="BV83" i="13" a="1"/>
  <c r="BV83" i="13" s="1"/>
  <c r="BV222" i="13" a="1"/>
  <c r="BV222" i="13" s="1"/>
  <c r="BV30" i="13" a="1"/>
  <c r="BV30" i="13" s="1"/>
  <c r="BV245" i="13" a="1"/>
  <c r="BV245" i="13" s="1"/>
  <c r="BV205" i="13" a="1"/>
  <c r="BV205" i="13" s="1"/>
  <c r="BV108" i="13" a="1"/>
  <c r="BV108" i="13" s="1"/>
  <c r="BV263" i="13" a="1"/>
  <c r="BV263" i="13" s="1"/>
  <c r="BV111" i="13" a="1"/>
  <c r="BV111" i="13" s="1"/>
  <c r="BW59" i="13"/>
  <c r="BY162" i="13"/>
  <c r="BX173" i="13"/>
  <c r="CA173" i="13"/>
  <c r="BV141" i="13" a="1"/>
  <c r="BV141" i="13" s="1"/>
  <c r="BW184" i="13"/>
  <c r="BZ184" i="13"/>
  <c r="BV73" i="13" a="1"/>
  <c r="BV73" i="13" s="1"/>
  <c r="BV66" i="13" a="1"/>
  <c r="BV66" i="13" s="1"/>
  <c r="BV98" i="13" a="1"/>
  <c r="BV98" i="13" s="1"/>
  <c r="BV285" i="13" a="1"/>
  <c r="BV285" i="13" s="1"/>
  <c r="BZ5" i="13"/>
  <c r="BW5" i="13"/>
  <c r="BV36" i="13" a="1"/>
  <c r="BV36" i="13" s="1"/>
  <c r="BV119" i="13" a="1"/>
  <c r="BV119" i="13" s="1"/>
  <c r="BV289" i="13" a="1"/>
  <c r="BV289" i="13" s="1"/>
  <c r="BV137" i="13" a="1"/>
  <c r="BV137" i="13" s="1"/>
  <c r="BV41" i="13" a="1"/>
  <c r="BV41" i="13" s="1"/>
  <c r="BV47" i="13" a="1"/>
  <c r="BV47" i="13" s="1"/>
  <c r="BV58" i="13" a="1"/>
  <c r="BV58" i="13" s="1"/>
  <c r="BV90" i="13" a="1"/>
  <c r="BV90" i="13" s="1"/>
  <c r="BV42" i="13" a="1"/>
  <c r="BV42" i="13" s="1"/>
  <c r="BV214" i="13" a="1"/>
  <c r="BV214" i="13" s="1"/>
  <c r="BV89" i="13" a="1"/>
  <c r="BV89" i="13" s="1"/>
  <c r="BV189" i="13" a="1"/>
  <c r="BV189" i="13" s="1"/>
  <c r="BV247" i="13" a="1"/>
  <c r="BV247" i="13" s="1"/>
  <c r="BV86" i="13" a="1"/>
  <c r="BV86" i="13" s="1"/>
  <c r="BV252" i="13" a="1"/>
  <c r="BV252" i="13" s="1"/>
  <c r="BV124" i="13" a="1"/>
  <c r="BV124" i="13" s="1"/>
  <c r="BV272" i="13" a="1"/>
  <c r="BV272" i="13" s="1"/>
  <c r="BV203" i="13" a="1"/>
  <c r="BV203" i="13" s="1"/>
  <c r="BV121" i="13" a="1"/>
  <c r="BV121" i="13" s="1"/>
  <c r="BV40" i="13" a="1"/>
  <c r="BV40" i="13" s="1"/>
  <c r="BV178" i="13" a="1"/>
  <c r="BV178" i="13" s="1"/>
  <c r="BV120" i="13" a="1"/>
  <c r="BV120" i="13" s="1"/>
  <c r="BV126" i="13" a="1"/>
  <c r="BV126" i="13" s="1"/>
  <c r="BV143" i="13" a="1"/>
  <c r="BV143" i="13" s="1"/>
  <c r="BV261" i="13" a="1"/>
  <c r="BV261" i="13" s="1"/>
  <c r="BV218" i="13" a="1"/>
  <c r="BV218" i="13" s="1"/>
  <c r="BV187" i="13" a="1"/>
  <c r="BV187" i="13" s="1"/>
  <c r="BV123" i="13" a="1"/>
  <c r="BV123" i="13" s="1"/>
  <c r="BV64" i="13" a="1"/>
  <c r="BV64" i="13" s="1"/>
  <c r="BV43" i="13" a="1"/>
  <c r="BV43" i="13" s="1"/>
  <c r="BV268" i="13" a="1"/>
  <c r="BV268" i="13" s="1"/>
  <c r="BV67" i="13" a="1"/>
  <c r="BV67" i="13" s="1"/>
  <c r="BV135" i="13" a="1"/>
  <c r="BV135" i="13" s="1"/>
  <c r="BV224" i="13" a="1"/>
  <c r="BV224" i="13" s="1"/>
  <c r="BV117" i="13" a="1"/>
  <c r="BV117" i="13" s="1"/>
  <c r="BV101" i="13" a="1"/>
  <c r="BV101" i="13" s="1"/>
  <c r="BV232" i="13" a="1"/>
  <c r="BV232" i="13" s="1"/>
  <c r="BV242" i="13" a="1"/>
  <c r="BV242" i="13" s="1"/>
  <c r="BV220" i="13" a="1"/>
  <c r="BV220" i="13" s="1"/>
  <c r="BV151" i="13" a="1"/>
  <c r="BV151" i="13" s="1"/>
  <c r="BV265" i="13" a="1"/>
  <c r="BV265" i="13" s="1"/>
  <c r="BV287" i="13" a="1"/>
  <c r="BV287" i="13" s="1"/>
  <c r="BV230" i="13" a="1"/>
  <c r="BV230" i="13" s="1"/>
  <c r="BV105" i="13" a="1"/>
  <c r="BV105" i="13" s="1"/>
  <c r="BV279" i="13" a="1"/>
  <c r="BV279" i="13" s="1"/>
  <c r="BV159" i="13" a="1"/>
  <c r="BV159" i="13" s="1"/>
  <c r="BV77" i="13" a="1"/>
  <c r="BV77" i="13" s="1"/>
  <c r="BV199" i="13" a="1"/>
  <c r="BV199" i="13" s="1"/>
  <c r="BV171" i="13" a="1"/>
  <c r="BV171" i="13" s="1"/>
  <c r="BV88" i="13" a="1"/>
  <c r="BV88" i="13" s="1"/>
  <c r="BV228" i="13" a="1"/>
  <c r="BV228" i="13" s="1"/>
  <c r="BV48" i="13" a="1"/>
  <c r="BV48" i="13" s="1"/>
  <c r="BV154" i="13" a="1"/>
  <c r="BV154" i="13" s="1"/>
  <c r="BV144" i="13" a="1"/>
  <c r="BV144" i="13" s="1"/>
  <c r="BV54" i="13" a="1"/>
  <c r="BV54" i="13" s="1"/>
  <c r="BV233" i="13" a="1"/>
  <c r="BV233" i="13" s="1"/>
  <c r="BV204" i="13" a="1"/>
  <c r="BV204" i="13" s="1"/>
  <c r="BV145" i="13" a="1"/>
  <c r="BV145" i="13" s="1"/>
  <c r="BV80" i="13" a="1"/>
  <c r="BV80" i="13" s="1"/>
  <c r="BV96" i="13" a="1"/>
  <c r="BV96" i="13" s="1"/>
  <c r="BV227" i="13" a="1"/>
  <c r="BV227" i="13" s="1"/>
  <c r="BV95" i="13" a="1"/>
  <c r="BV95" i="13" s="1"/>
  <c r="BV142" i="13" a="1"/>
  <c r="BV142" i="13" s="1"/>
  <c r="BV190" i="13" a="1"/>
  <c r="BV190" i="13" s="1"/>
  <c r="BV284" i="13" a="1"/>
  <c r="BV284" i="13" s="1"/>
  <c r="BV215" i="13" a="1"/>
  <c r="BV215" i="13" s="1"/>
  <c r="BV134" i="13" a="1"/>
  <c r="BV134" i="13" s="1"/>
  <c r="BV182" i="13" a="1"/>
  <c r="BV182" i="13" s="1"/>
  <c r="BV155" i="13" a="1"/>
  <c r="BV155" i="13" s="1"/>
  <c r="BV223" i="13" a="1"/>
  <c r="BV223" i="13" s="1"/>
  <c r="BV179" i="13" a="1"/>
  <c r="BV179" i="13" s="1"/>
  <c r="BV147" i="13" a="1"/>
  <c r="BV147" i="13" s="1"/>
  <c r="BV79" i="13" a="1"/>
  <c r="BV79" i="13" s="1"/>
  <c r="BV35" i="13" a="1"/>
  <c r="BV35" i="13" s="1"/>
  <c r="BV212" i="13" a="1"/>
  <c r="BV212" i="13" s="1"/>
  <c r="BV236" i="13" a="1"/>
  <c r="BV236" i="13" s="1"/>
  <c r="BV249" i="13" a="1"/>
  <c r="BV249" i="13" s="1"/>
  <c r="BV71" i="13" a="1"/>
  <c r="BV71" i="13" s="1"/>
  <c r="BV278" i="13" a="1"/>
  <c r="BV278" i="13" s="1"/>
  <c r="BV257" i="13" a="1"/>
  <c r="BV257" i="13" s="1"/>
  <c r="BV74" i="13" a="1"/>
  <c r="BV74" i="13" s="1"/>
  <c r="BV125" i="13" a="1"/>
  <c r="BV125" i="13" s="1"/>
  <c r="BV282" i="13" a="1"/>
  <c r="BV282" i="13" s="1"/>
  <c r="BV186" i="13" a="1"/>
  <c r="BV186" i="13" s="1"/>
  <c r="BV76" i="13" a="1"/>
  <c r="BV76" i="13" s="1"/>
  <c r="BV84" i="13" a="1"/>
  <c r="BV84" i="13" s="1"/>
  <c r="BV44" i="13" a="1"/>
  <c r="BV44" i="13" s="1"/>
  <c r="BV106" i="13" a="1"/>
  <c r="BV106" i="13" s="1"/>
  <c r="BV213" i="13" a="1"/>
  <c r="BV213" i="13" s="1"/>
  <c r="BV130" i="13" a="1"/>
  <c r="BV130" i="13" s="1"/>
  <c r="BV246" i="13" a="1"/>
  <c r="BV246" i="13" s="1"/>
  <c r="BV132" i="13" a="1"/>
  <c r="BV132" i="13" s="1"/>
  <c r="BV28" i="13" a="1"/>
  <c r="BV28" i="13" s="1"/>
  <c r="BV102" i="13" a="1"/>
  <c r="BV102" i="13" s="1"/>
  <c r="BV168" i="13" a="1"/>
  <c r="BV168" i="13" s="1"/>
  <c r="BV29" i="13" a="1"/>
  <c r="BV29" i="13" s="1"/>
  <c r="BV31" i="13" a="1"/>
  <c r="BV31" i="13" s="1"/>
  <c r="BV87" i="13" a="1"/>
  <c r="BV87" i="13" s="1"/>
  <c r="BV156" i="13" a="1"/>
  <c r="BV156" i="13" s="1"/>
  <c r="BV39" i="13" a="1"/>
  <c r="BV39" i="13" s="1"/>
  <c r="BV225" i="13" a="1"/>
  <c r="BV225" i="13" s="1"/>
  <c r="BV113" i="13" a="1"/>
  <c r="BV113" i="13" s="1"/>
  <c r="BV216" i="13" a="1"/>
  <c r="BV216" i="13" s="1"/>
  <c r="BV240" i="13" a="1"/>
  <c r="BV240" i="13" s="1"/>
  <c r="BV202" i="13" a="1"/>
  <c r="BV202" i="13" s="1"/>
  <c r="BV91" i="13" a="1"/>
  <c r="BV91" i="13" s="1"/>
  <c r="BV70" i="13" a="1"/>
  <c r="BV70" i="13" s="1"/>
  <c r="BV116" i="13" a="1"/>
  <c r="BV116" i="13" s="1"/>
  <c r="BV104" i="13" a="1"/>
  <c r="BV104" i="13" s="1"/>
  <c r="BV277" i="13" a="1"/>
  <c r="BV277" i="13" s="1"/>
  <c r="BV229" i="13" a="1"/>
  <c r="BV229" i="13" s="1"/>
  <c r="BV62" i="13" a="1"/>
  <c r="BV62" i="13" s="1"/>
  <c r="BV112" i="13" a="1"/>
  <c r="BV112" i="13" s="1"/>
  <c r="BV115" i="13" a="1"/>
  <c r="BV115" i="13" s="1"/>
  <c r="BV217" i="13" a="1"/>
  <c r="BV217" i="13" s="1"/>
  <c r="BV183" i="13" a="1"/>
  <c r="BV183" i="13" s="1"/>
  <c r="BV270" i="13" a="1"/>
  <c r="BV270" i="13" s="1"/>
  <c r="BV192" i="13" a="1"/>
  <c r="BV192" i="13" s="1"/>
  <c r="BV107" i="13" a="1"/>
  <c r="BV107" i="13" s="1"/>
  <c r="BV255" i="13" a="1"/>
  <c r="BV255" i="13" s="1"/>
  <c r="BV118" i="13" a="1"/>
  <c r="BV118" i="13" s="1"/>
  <c r="BV53" i="13" a="1"/>
  <c r="BV53" i="13" s="1"/>
  <c r="BV34" i="13" a="1"/>
  <c r="BV34" i="13" s="1"/>
  <c r="BV93" i="13" a="1"/>
  <c r="BV93" i="13" s="1"/>
  <c r="BV238" i="13" a="1"/>
  <c r="BV238" i="13" s="1"/>
  <c r="BV45" i="13" a="1"/>
  <c r="BV45" i="13" s="1"/>
  <c r="BV110" i="13" a="1"/>
  <c r="BV110" i="13" s="1"/>
  <c r="BV57" i="13" a="1"/>
  <c r="BV57" i="13" s="1"/>
  <c r="BV253" i="13" a="1"/>
  <c r="BV253" i="13" s="1"/>
  <c r="BV195" i="13" a="1"/>
  <c r="BV195" i="13" s="1"/>
  <c r="BV250" i="13" a="1"/>
  <c r="BV250" i="13" s="1"/>
  <c r="BV167" i="13" a="1"/>
  <c r="BV167" i="13" s="1"/>
  <c r="BV133" i="13" a="1"/>
  <c r="BV133" i="13" s="1"/>
  <c r="BV161" i="13" a="1"/>
  <c r="BV161" i="13" s="1"/>
  <c r="BV226" i="13" a="1"/>
  <c r="BV226" i="13" s="1"/>
  <c r="BV177" i="13" a="1"/>
  <c r="BV177" i="13" s="1"/>
  <c r="BV60" i="13" a="1"/>
  <c r="BV60" i="13" s="1"/>
  <c r="BV78" i="13" a="1"/>
  <c r="BV78" i="13" s="1"/>
  <c r="BV281" i="13" a="1"/>
  <c r="BV281" i="13" s="1"/>
  <c r="BV174" i="13" a="1"/>
  <c r="BV174" i="13" s="1"/>
  <c r="BV52" i="13" a="1"/>
  <c r="BV52" i="13" s="1"/>
  <c r="BV75" i="13" a="1"/>
  <c r="BV75" i="13" s="1"/>
  <c r="BV172" i="13" a="1"/>
  <c r="BV172" i="13" s="1"/>
  <c r="BV239" i="13" a="1"/>
  <c r="BV239" i="13" s="1"/>
  <c r="BV160" i="13" a="1"/>
  <c r="BV160" i="13" s="1"/>
  <c r="BV211" i="13" a="1"/>
  <c r="BV211" i="13" s="1"/>
  <c r="BV201" i="13" a="1"/>
  <c r="BV201" i="13" s="1"/>
  <c r="BV286" i="13" a="1"/>
  <c r="BV286" i="13" s="1"/>
  <c r="BV264" i="13" a="1"/>
  <c r="BV264" i="13" s="1"/>
  <c r="BV136" i="13" a="1"/>
  <c r="BV136" i="13" s="1"/>
  <c r="BV85" i="13" a="1"/>
  <c r="BV85" i="13" s="1"/>
  <c r="BV63" i="13" a="1"/>
  <c r="BV63" i="13" s="1"/>
  <c r="BV55" i="13" a="1"/>
  <c r="BV55" i="13" s="1"/>
  <c r="BV191" i="13" a="1"/>
  <c r="BV191" i="13" s="1"/>
  <c r="BV103" i="13" a="1"/>
  <c r="BV103" i="13" s="1"/>
  <c r="BV99" i="13" a="1"/>
  <c r="BV99" i="13" s="1"/>
  <c r="BV128" i="13" a="1"/>
  <c r="BV128" i="13" s="1"/>
  <c r="BV38" i="13" a="1"/>
  <c r="BV38" i="13" s="1"/>
  <c r="BV94" i="13" a="1"/>
  <c r="BV94" i="13" s="1"/>
  <c r="BV256" i="13" a="1"/>
  <c r="BV256" i="13" s="1"/>
  <c r="BV139" i="13" a="1"/>
  <c r="BV139" i="13" s="1"/>
  <c r="BV206" i="13" a="1"/>
  <c r="BV206" i="13" s="1"/>
  <c r="BV283" i="13" a="1"/>
  <c r="BV283" i="13" s="1"/>
  <c r="BV32" i="13" a="1"/>
  <c r="BV32" i="13" s="1"/>
  <c r="BV61" i="13" a="1"/>
  <c r="BV61" i="13" s="1"/>
  <c r="BV109" i="13" a="1"/>
  <c r="BV109" i="13" s="1"/>
  <c r="BV33" i="13" a="1"/>
  <c r="BV33" i="13" s="1"/>
  <c r="BV231" i="13" a="1"/>
  <c r="BV231" i="13" s="1"/>
  <c r="BV69" i="13" a="1"/>
  <c r="BV69" i="13" s="1"/>
  <c r="BV92" i="13" a="1"/>
  <c r="BV92" i="13" s="1"/>
  <c r="BV122" i="13" a="1"/>
  <c r="BV122" i="13" s="1"/>
  <c r="BV131" i="13" a="1"/>
  <c r="BV131" i="13" s="1"/>
  <c r="BV129" i="13" a="1"/>
  <c r="BV129" i="13" s="1"/>
  <c r="BV81" i="13" a="1"/>
  <c r="BV81" i="13" s="1"/>
  <c r="BV37" i="13" a="1"/>
  <c r="BV37" i="13" s="1"/>
  <c r="BV158" i="13" a="1"/>
  <c r="BV158" i="13" s="1"/>
  <c r="BV68" i="13" a="1"/>
  <c r="BV68" i="13" s="1"/>
  <c r="BV140" i="13" a="1"/>
  <c r="BV140" i="13" s="1"/>
  <c r="BV97" i="13" a="1"/>
  <c r="BV97" i="13" s="1"/>
  <c r="BV82" i="13" a="1"/>
  <c r="BV82" i="13" s="1"/>
  <c r="BV274" i="13" a="1"/>
  <c r="BV274" i="13" s="1"/>
  <c r="BY5" i="13"/>
  <c r="BX162" i="13"/>
  <c r="BZ162" i="13"/>
  <c r="BX5" i="13"/>
  <c r="CA162" i="13"/>
  <c r="BZ196" i="13"/>
  <c r="CA51" i="13"/>
  <c r="BY198" i="13"/>
  <c r="BY196" i="13"/>
  <c r="BX146" i="13"/>
  <c r="BZ148" i="13"/>
  <c r="BW207" i="13"/>
  <c r="CA290" i="13"/>
  <c r="BW266" i="13"/>
  <c r="CA148" i="13"/>
  <c r="BX207" i="13"/>
  <c r="BY290" i="13"/>
  <c r="BW260" i="13"/>
  <c r="BY260" i="13"/>
  <c r="BX148" i="13"/>
  <c r="BX51" i="13"/>
  <c r="CA266" i="13"/>
  <c r="BZ166" i="13"/>
  <c r="BZ266" i="13"/>
  <c r="CA184" i="13"/>
  <c r="AK3" i="13"/>
  <c r="CA3" i="13" s="1"/>
  <c r="BZ59" i="13"/>
  <c r="CA59" i="13"/>
  <c r="BY59" i="13"/>
  <c r="BW166" i="13"/>
  <c r="BY266" i="13"/>
  <c r="CA146" i="13"/>
  <c r="BW146" i="13"/>
  <c r="BZ146" i="13"/>
  <c r="BW51" i="13"/>
  <c r="BV2" i="13" a="1"/>
  <c r="BV2" i="13" s="1"/>
  <c r="CA176" i="13"/>
  <c r="BZ173" i="13"/>
  <c r="BW173" i="13"/>
  <c r="BY51" i="13"/>
  <c r="BY184" i="13"/>
  <c r="BX184" i="13"/>
  <c r="CA181" i="13"/>
  <c r="BZ51" i="13"/>
  <c r="CA166" i="13"/>
  <c r="BY166" i="13"/>
  <c r="BX166" i="13"/>
  <c r="CA196" i="13"/>
  <c r="BZ153" i="13"/>
  <c r="BY149" i="13"/>
  <c r="BX196" i="13"/>
  <c r="BZ149" i="13"/>
  <c r="BW149" i="13"/>
  <c r="BW196" i="13"/>
  <c r="BY176" i="13"/>
  <c r="CA150" i="13"/>
  <c r="BY148" i="13"/>
  <c r="CA269" i="13"/>
  <c r="BW148" i="13"/>
  <c r="BW150" i="13"/>
  <c r="CA260" i="13"/>
  <c r="BY150" i="13"/>
  <c r="BX260" i="13"/>
  <c r="BX150" i="13"/>
  <c r="CA207" i="13"/>
  <c r="BZ290" i="13"/>
  <c r="CA149" i="13"/>
  <c r="CA170" i="13"/>
  <c r="BY207" i="13"/>
  <c r="BX176" i="13"/>
  <c r="BZ176" i="13"/>
  <c r="BW176" i="13"/>
  <c r="BZ188" i="13"/>
  <c r="BX298" i="13"/>
  <c r="BX290" i="13"/>
  <c r="BY248" i="13"/>
  <c r="BW298" i="13"/>
  <c r="BV298" i="13" s="1" a="1"/>
  <c r="BV298" i="13" s="1"/>
  <c r="BX153" i="13"/>
  <c r="CA298" i="13"/>
  <c r="BY298" i="13"/>
  <c r="BZ237" i="13"/>
  <c r="BY164" i="13"/>
  <c r="BW153" i="13"/>
  <c r="BW290" i="13"/>
  <c r="CA153" i="13"/>
  <c r="BX181" i="13"/>
  <c r="BZ169" i="13"/>
  <c r="BY271" i="13"/>
  <c r="BZ181" i="13"/>
  <c r="CA200" i="13"/>
  <c r="BX163" i="13"/>
  <c r="CA193" i="13"/>
  <c r="BX175" i="13"/>
  <c r="BW269" i="13"/>
  <c r="CA194" i="13"/>
  <c r="BZ180" i="13"/>
  <c r="BW219" i="13"/>
  <c r="BW297" i="13"/>
  <c r="BV297" i="13" s="1" a="1"/>
  <c r="BV297" i="13" s="1"/>
  <c r="BW262" i="13"/>
  <c r="BZ269" i="13"/>
  <c r="BW163" i="13"/>
  <c r="CA175" i="13"/>
  <c r="BY297" i="13"/>
  <c r="BY181" i="13"/>
  <c r="BZ248" i="13"/>
  <c r="BZ297" i="13"/>
  <c r="BW271" i="13"/>
  <c r="BX297" i="13"/>
  <c r="BY152" i="13"/>
  <c r="BZ221" i="13"/>
  <c r="BW193" i="13"/>
  <c r="BZ163" i="13"/>
  <c r="BZ152" i="13"/>
  <c r="BX271" i="13"/>
  <c r="BZ271" i="13"/>
  <c r="BX200" i="13"/>
  <c r="BX251" i="13"/>
  <c r="BZ200" i="13"/>
  <c r="BW209" i="13"/>
  <c r="BW152" i="13"/>
  <c r="BW194" i="13"/>
  <c r="CA163" i="13"/>
  <c r="BY194" i="13"/>
  <c r="BZ194" i="13"/>
  <c r="BZ193" i="13"/>
  <c r="BY200" i="13"/>
  <c r="BY209" i="13"/>
  <c r="BX221" i="13"/>
  <c r="BY269" i="13"/>
  <c r="CA152" i="13"/>
  <c r="BX269" i="13"/>
  <c r="BW248" i="13"/>
  <c r="BY262" i="13"/>
  <c r="CA248" i="13"/>
  <c r="CA164" i="13"/>
  <c r="BW164" i="13"/>
  <c r="BX188" i="13"/>
  <c r="CA237" i="13"/>
  <c r="BZ164" i="13"/>
  <c r="BY237" i="13"/>
  <c r="BW169" i="13"/>
  <c r="BW188" i="13"/>
  <c r="BY188" i="13"/>
  <c r="BW237" i="13"/>
  <c r="BX185" i="13"/>
  <c r="CA185" i="13"/>
  <c r="CA180" i="13"/>
  <c r="BW185" i="13"/>
  <c r="BZ254" i="13"/>
  <c r="BZ185" i="13"/>
  <c r="BW170" i="13"/>
  <c r="BZ170" i="13"/>
  <c r="BZ293" i="13"/>
  <c r="BX275" i="13"/>
  <c r="BY275" i="13"/>
  <c r="BY293" i="13"/>
  <c r="BW293" i="13"/>
  <c r="BV293" i="13" s="1" a="1"/>
  <c r="BV293" i="13" s="1"/>
  <c r="BX170" i="13"/>
  <c r="BX293" i="13"/>
  <c r="BY170" i="13"/>
  <c r="BY180" i="13"/>
  <c r="BX180" i="13"/>
  <c r="BW251" i="13"/>
  <c r="BY193" i="13"/>
  <c r="BZ251" i="13"/>
  <c r="BX209" i="13"/>
  <c r="CA209" i="13"/>
  <c r="BX152" i="13"/>
  <c r="BX193" i="13"/>
  <c r="CA251" i="13"/>
  <c r="BZ219" i="13"/>
  <c r="CA219" i="13"/>
  <c r="BY219" i="13"/>
  <c r="BX219" i="13"/>
  <c r="BY254" i="13"/>
  <c r="BW180" i="13"/>
  <c r="CA254" i="13"/>
  <c r="BW254" i="13"/>
  <c r="BW221" i="13"/>
  <c r="CA198" i="13"/>
  <c r="BZ175" i="13"/>
  <c r="BW175" i="13"/>
  <c r="CA169" i="13"/>
  <c r="BX198" i="13"/>
  <c r="BZ198" i="13"/>
  <c r="BY221" i="13"/>
  <c r="BY175" i="13"/>
  <c r="BW275" i="13"/>
  <c r="BW198" i="13"/>
  <c r="CA221" i="13"/>
  <c r="BX169" i="13"/>
  <c r="BY169" i="13"/>
  <c r="BZ262" i="13"/>
  <c r="CA262" i="13"/>
  <c r="CA275" i="13"/>
  <c r="BZ275" i="13"/>
  <c r="CA197" i="13"/>
  <c r="BZ197" i="13"/>
  <c r="BX197" i="13"/>
  <c r="BY197" i="13"/>
  <c r="BW197" i="13"/>
  <c r="CA208" i="13"/>
  <c r="BY208" i="13"/>
  <c r="BW208" i="13"/>
  <c r="BZ208" i="13"/>
  <c r="BX208" i="13"/>
  <c r="CA210" i="13"/>
  <c r="BZ210" i="13"/>
  <c r="BW210" i="13"/>
  <c r="BX210" i="13"/>
  <c r="BY210" i="13"/>
  <c r="BV184" i="13" l="1" a="1"/>
  <c r="BV184" i="13" s="1"/>
  <c r="BV251" i="13" a="1"/>
  <c r="BV251" i="13" s="1"/>
  <c r="BV262" i="13" a="1"/>
  <c r="BV262" i="13" s="1"/>
  <c r="BV153" i="13" a="1"/>
  <c r="BV153" i="13" s="1"/>
  <c r="BV173" i="13" a="1"/>
  <c r="BV173" i="13" s="1"/>
  <c r="BV200" i="13" a="1"/>
  <c r="BV200" i="13" s="1"/>
  <c r="BV271" i="13" a="1"/>
  <c r="BV271" i="13" s="1"/>
  <c r="BV148" i="13" a="1"/>
  <c r="BV148" i="13" s="1"/>
  <c r="BV51" i="13" a="1"/>
  <c r="BV51" i="13" s="1"/>
  <c r="BV59" i="13" a="1"/>
  <c r="BV59" i="13" s="1"/>
  <c r="BV221" i="13" a="1"/>
  <c r="BV221" i="13" s="1"/>
  <c r="BV193" i="13" a="1"/>
  <c r="BV193" i="13" s="1"/>
  <c r="BV181" i="13" a="1"/>
  <c r="BV181" i="13" s="1"/>
  <c r="BX3" i="13"/>
  <c r="BW3" i="13"/>
  <c r="BV170" i="13" a="1"/>
  <c r="BV170" i="13" s="1"/>
  <c r="BV198" i="13" a="1"/>
  <c r="BV198" i="13" s="1"/>
  <c r="BV146" i="13" a="1"/>
  <c r="BV146" i="13" s="1"/>
  <c r="BV162" i="13" a="1"/>
  <c r="BV162" i="13" s="1"/>
  <c r="BV175" i="13" a="1"/>
  <c r="BV175" i="13" s="1"/>
  <c r="BV254" i="13" a="1"/>
  <c r="BV254" i="13" s="1"/>
  <c r="BV188" i="13" a="1"/>
  <c r="BV188" i="13" s="1"/>
  <c r="BV269" i="13" a="1"/>
  <c r="BV269" i="13" s="1"/>
  <c r="BV196" i="13" a="1"/>
  <c r="BV196" i="13" s="1"/>
  <c r="BV166" i="13" a="1"/>
  <c r="BV166" i="13" s="1"/>
  <c r="BV260" i="13" a="1"/>
  <c r="BV260" i="13" s="1"/>
  <c r="BV266" i="13" a="1"/>
  <c r="BV266" i="13" s="1"/>
  <c r="BV209" i="13" a="1"/>
  <c r="BV209" i="13" s="1"/>
  <c r="BV210" i="13" a="1"/>
  <c r="BV210" i="13" s="1"/>
  <c r="BV197" i="13" a="1"/>
  <c r="BV197" i="13" s="1"/>
  <c r="BV169" i="13" a="1"/>
  <c r="BV169" i="13" s="1"/>
  <c r="BV163" i="13" a="1"/>
  <c r="BV163" i="13" s="1"/>
  <c r="BV149" i="13" a="1"/>
  <c r="BV149" i="13" s="1"/>
  <c r="BV194" i="13" a="1"/>
  <c r="BV194" i="13" s="1"/>
  <c r="BV219" i="13" a="1"/>
  <c r="BV219" i="13" s="1"/>
  <c r="BV208" i="13" a="1"/>
  <c r="BV208" i="13" s="1"/>
  <c r="BV275" i="13" a="1"/>
  <c r="BV275" i="13" s="1"/>
  <c r="BV180" i="13" a="1"/>
  <c r="BV180" i="13" s="1"/>
  <c r="BV185" i="13" a="1"/>
  <c r="BV185" i="13" s="1"/>
  <c r="BV237" i="13" a="1"/>
  <c r="BV237" i="13" s="1"/>
  <c r="BV164" i="13" a="1"/>
  <c r="BV164" i="13" s="1"/>
  <c r="BV248" i="13" a="1"/>
  <c r="BV248" i="13" s="1"/>
  <c r="BV152" i="13" a="1"/>
  <c r="BV152" i="13" s="1"/>
  <c r="BV290" i="13" a="1"/>
  <c r="BV290" i="13" s="1"/>
  <c r="BV176" i="13" a="1"/>
  <c r="BV176" i="13" s="1"/>
  <c r="BV150" i="13" a="1"/>
  <c r="BV150" i="13" s="1"/>
  <c r="BV207" i="13" a="1"/>
  <c r="BV207" i="13" s="1"/>
  <c r="BZ3" i="13"/>
  <c r="BY3" i="13"/>
</calcChain>
</file>

<file path=xl/sharedStrings.xml><?xml version="1.0" encoding="utf-8"?>
<sst xmlns="http://schemas.openxmlformats.org/spreadsheetml/2006/main" count="4979" uniqueCount="426">
  <si>
    <t>MRP</t>
  </si>
  <si>
    <t>Markdown %</t>
  </si>
  <si>
    <t>Category</t>
  </si>
  <si>
    <t>Season</t>
  </si>
  <si>
    <t>Style code</t>
  </si>
  <si>
    <t>Days in store</t>
  </si>
  <si>
    <t>Sales Qty</t>
  </si>
  <si>
    <t>Cost price</t>
  </si>
  <si>
    <t>Category Avg ROS</t>
  </si>
  <si>
    <t>Stock Cover</t>
  </si>
  <si>
    <t>Gross Margin%</t>
  </si>
  <si>
    <t>Early-sell through%</t>
  </si>
  <si>
    <t>Launch date</t>
  </si>
  <si>
    <t>Opening stock (Qty ordered)</t>
  </si>
  <si>
    <t>Closing Stock</t>
  </si>
  <si>
    <t>Vendor</t>
  </si>
  <si>
    <t>A25M-CLBOTN354</t>
  </si>
  <si>
    <t>A25M-CLBOTN355</t>
  </si>
  <si>
    <t>A25M-CLLKUN231</t>
  </si>
  <si>
    <t>A25M-CLFABN109</t>
  </si>
  <si>
    <t>A25M-CLFABN115</t>
  </si>
  <si>
    <t>A25M-CLFABN116</t>
  </si>
  <si>
    <t>A25M-CLFABN121</t>
  </si>
  <si>
    <t>A25M-CLFABN213</t>
  </si>
  <si>
    <t>A25M-CLFABN214</t>
  </si>
  <si>
    <t>A25M-CLFABN215</t>
  </si>
  <si>
    <t>A25M-CLFABN216</t>
  </si>
  <si>
    <t>A25M-CLLKUN232</t>
  </si>
  <si>
    <t>A25M-CLLKUN233</t>
  </si>
  <si>
    <t>A25M-CLLKUN234</t>
  </si>
  <si>
    <t>A25M-CLPOLK062</t>
  </si>
  <si>
    <t>A25M-CLPOLK063</t>
  </si>
  <si>
    <t>A25M-CLPOLK064</t>
  </si>
  <si>
    <t>A25M-CLPOLK065</t>
  </si>
  <si>
    <t>A25M-CLPOLK314</t>
  </si>
  <si>
    <t>A25M-CLPOLK315</t>
  </si>
  <si>
    <t>A25M-CLPOLK316</t>
  </si>
  <si>
    <t>A25M-CLPOLK317</t>
  </si>
  <si>
    <t>A25M-CLSHIK002</t>
  </si>
  <si>
    <t>A25M-CLSHIK003</t>
  </si>
  <si>
    <t>A25M-CLSHIK004</t>
  </si>
  <si>
    <t>A25M-CLSHIK005</t>
  </si>
  <si>
    <t>A25M-CLSHIK006</t>
  </si>
  <si>
    <t>A25M-CLSHIK007</t>
  </si>
  <si>
    <t>A25M-CLSHIK008</t>
  </si>
  <si>
    <t>A25M-CLSHIK009</t>
  </si>
  <si>
    <t>A25M-CLSHIK010</t>
  </si>
  <si>
    <t>A25M-CLSHIK011</t>
  </si>
  <si>
    <t>A25M-CLSHIK014</t>
  </si>
  <si>
    <t>A25M-CLSHIK015</t>
  </si>
  <si>
    <t>A25M-CLSHIK016</t>
  </si>
  <si>
    <t>A25M-CLSHIK017</t>
  </si>
  <si>
    <t>A25M-CLSHIK018</t>
  </si>
  <si>
    <t>A25M-CLSHIK019</t>
  </si>
  <si>
    <t>A25M-CLSHIK021</t>
  </si>
  <si>
    <t>A25M-CLSHIK022</t>
  </si>
  <si>
    <t>A25M-CLSHIK044</t>
  </si>
  <si>
    <t>A25M-CLSHIK045</t>
  </si>
  <si>
    <t>A25M-CLSHIK046</t>
  </si>
  <si>
    <t>A25M-CLSHIK047</t>
  </si>
  <si>
    <t>A25M-CLSHIK050</t>
  </si>
  <si>
    <t>A25M-CLSHIK051</t>
  </si>
  <si>
    <t>A25M-CLSHIN209</t>
  </si>
  <si>
    <t>A25M-CLSHIK052</t>
  </si>
  <si>
    <t>A25M-CLSHIK053</t>
  </si>
  <si>
    <t>A25M-CLSHIK054</t>
  </si>
  <si>
    <t>A25M-CLSHIK055</t>
  </si>
  <si>
    <t>A25M-CLSHIK056</t>
  </si>
  <si>
    <t>A25M-CLSHIK057</t>
  </si>
  <si>
    <t>A25M-CLSHIN094</t>
  </si>
  <si>
    <t>A25M-CLSHIN095</t>
  </si>
  <si>
    <t>A25M-CLSHIN098</t>
  </si>
  <si>
    <t>A25M-CLSHIN099</t>
  </si>
  <si>
    <t>A25M-CLSHIN102</t>
  </si>
  <si>
    <t>A25M-CLSHIN103</t>
  </si>
  <si>
    <t>A25M-CLSHIN105</t>
  </si>
  <si>
    <t>A25M-CLSHIN107</t>
  </si>
  <si>
    <t>A25M-CLSHIN111</t>
  </si>
  <si>
    <t>A25M-CLSHIN113</t>
  </si>
  <si>
    <t>A25M-CLSHIN117</t>
  </si>
  <si>
    <t>A25M-CLSHIN119</t>
  </si>
  <si>
    <t>A25M-CLSHIN120</t>
  </si>
  <si>
    <t>A25M-CLSHIN123</t>
  </si>
  <si>
    <t>A25M-CLSHIN126</t>
  </si>
  <si>
    <t>A25M-CLSHIN127</t>
  </si>
  <si>
    <t>A25M-CLSHIN207</t>
  </si>
  <si>
    <t>A25M-CLSHIN208</t>
  </si>
  <si>
    <t>A25M-CLSHIN210</t>
  </si>
  <si>
    <t>A25M-CLSHIN211</t>
  </si>
  <si>
    <t>A25M-CLSHIN212</t>
  </si>
  <si>
    <t>A25M-CLSKUK031</t>
  </si>
  <si>
    <t>A25M-CLSKUK033</t>
  </si>
  <si>
    <t>A25M-CLSKUK034</t>
  </si>
  <si>
    <t>A25M-CLSKUK035</t>
  </si>
  <si>
    <t>A25M-CLSKUK036</t>
  </si>
  <si>
    <t>A25M-CLSKUK037</t>
  </si>
  <si>
    <t>A25M-CLSKUK038</t>
  </si>
  <si>
    <t>A25M-CLSKUK040</t>
  </si>
  <si>
    <t>A25M-CLSKUK042</t>
  </si>
  <si>
    <t>A25M-COSWSRN165</t>
  </si>
  <si>
    <t>A25M-COSWSRN166</t>
  </si>
  <si>
    <t>A25M-COSWSRN167</t>
  </si>
  <si>
    <t>A25M-COSWSRN168</t>
  </si>
  <si>
    <t>A25M-FOSHIK326</t>
  </si>
  <si>
    <t>A25M-FOSHIK328</t>
  </si>
  <si>
    <t>A25M-FOSHIK329</t>
  </si>
  <si>
    <t>A25M-FOSHIK330</t>
  </si>
  <si>
    <t>A25M-FOSHIK331</t>
  </si>
  <si>
    <t>A25M-FOSHIK332</t>
  </si>
  <si>
    <t>A25M-FOSHIK333</t>
  </si>
  <si>
    <t>A25M-FOSHIK334</t>
  </si>
  <si>
    <t>A25M-FOSHIK335</t>
  </si>
  <si>
    <t>A25M-FOSHIK336</t>
  </si>
  <si>
    <t>A25M-FOSHIK337</t>
  </si>
  <si>
    <t>A25M-FOSHIK338</t>
  </si>
  <si>
    <t>A25M-FOSHIK339</t>
  </si>
  <si>
    <t>A25M-FOSHIK340</t>
  </si>
  <si>
    <t>A25M-FOSHIK341</t>
  </si>
  <si>
    <t>A25M-FOSHIK343</t>
  </si>
  <si>
    <t>A25M-FOSHIK344</t>
  </si>
  <si>
    <t>A25M-FOSHIK345</t>
  </si>
  <si>
    <t>A25M-FOTROK346</t>
  </si>
  <si>
    <t>A25M-FOTROK347</t>
  </si>
  <si>
    <t>A25M-FOTROK348</t>
  </si>
  <si>
    <t>A25M-FOTROK349</t>
  </si>
  <si>
    <t>A25M-FOTROK350</t>
  </si>
  <si>
    <t>A25M-FOTROK351</t>
  </si>
  <si>
    <t>A25M-TRCRON101</t>
  </si>
  <si>
    <t>A25M-TRCRON107</t>
  </si>
  <si>
    <t>A25M-TRCRON119</t>
  </si>
  <si>
    <t>A25M-TRJENN110</t>
  </si>
  <si>
    <t>A25M-TRJENN113</t>
  </si>
  <si>
    <t>A25M-TRJENN122</t>
  </si>
  <si>
    <t>A25M-TRJENN131</t>
  </si>
  <si>
    <t>A25M-TRJENN134</t>
  </si>
  <si>
    <t>A25M-TRPOLN102</t>
  </si>
  <si>
    <t>A25M-TRPOLN124</t>
  </si>
  <si>
    <t>A25M-TRPOLN126</t>
  </si>
  <si>
    <t>A25M-TRSHIN065</t>
  </si>
  <si>
    <t>A25M-TRSHIN066</t>
  </si>
  <si>
    <t>A25M-TRSHIN069</t>
  </si>
  <si>
    <t>A25M-TRSHIN072</t>
  </si>
  <si>
    <t>A25M-TRSHIN073</t>
  </si>
  <si>
    <t>A25M-TRSHIN074</t>
  </si>
  <si>
    <t>A25M-TRSHIN075</t>
  </si>
  <si>
    <t>A25M-TRSHIN076</t>
  </si>
  <si>
    <t>A25M-TRSHIN077</t>
  </si>
  <si>
    <t>A25M-TRSHIN078</t>
  </si>
  <si>
    <t>A25M-TRSHIN080</t>
  </si>
  <si>
    <t>A25M-TRSHIN099</t>
  </si>
  <si>
    <t>A25M-TRSHIN114</t>
  </si>
  <si>
    <t>A25M-TRSHIN120</t>
  </si>
  <si>
    <t>A25M-TRSHIN123</t>
  </si>
  <si>
    <t>A25M-TRSHIN133</t>
  </si>
  <si>
    <t>A25M-TRSHIN136</t>
  </si>
  <si>
    <t>A25M-TRSHIN138</t>
  </si>
  <si>
    <t>A25M-TRSHIN140</t>
  </si>
  <si>
    <t>A25M-TRSHIN142</t>
  </si>
  <si>
    <t>A25M-TRSHIN225</t>
  </si>
  <si>
    <t>A25M-TRSHIN226</t>
  </si>
  <si>
    <t>A25M-TRSHIN227</t>
  </si>
  <si>
    <t>A25M-TRSHIN228</t>
  </si>
  <si>
    <t>A25M-TRSHIN280</t>
  </si>
  <si>
    <t>A25M-TRSHON093</t>
  </si>
  <si>
    <t>A25M-TRSHON094</t>
  </si>
  <si>
    <t>A25M-TRSHON116</t>
  </si>
  <si>
    <t>A25M-TRSHON128</t>
  </si>
  <si>
    <t>A25M-TRSWSRW061</t>
  </si>
  <si>
    <t>A25M-TRSWSRW062</t>
  </si>
  <si>
    <t>A25M-TRSWSRW063</t>
  </si>
  <si>
    <t>A25M-TRSWSRW064</t>
  </si>
  <si>
    <t>A25M-TRSWSRW130</t>
  </si>
  <si>
    <t>A25M-TRTSHK001</t>
  </si>
  <si>
    <t>A25M-TRTSHK002</t>
  </si>
  <si>
    <t>A25M-TRTSHK003</t>
  </si>
  <si>
    <t>A25M-TRTSHK004</t>
  </si>
  <si>
    <t>A25M-TRTSHK005</t>
  </si>
  <si>
    <t>A25M-TRTSHK006</t>
  </si>
  <si>
    <t>A25M-TRTSHK007</t>
  </si>
  <si>
    <t>A25M-TRTSHK008</t>
  </si>
  <si>
    <t>A25M-TRTSHK009</t>
  </si>
  <si>
    <t>A25M-TRTSHK010</t>
  </si>
  <si>
    <t>A25M-TRTSHK011</t>
  </si>
  <si>
    <t>A25M-TRTSHK012</t>
  </si>
  <si>
    <t>A25M-TRTSHK014</t>
  </si>
  <si>
    <t>A25M-TRTSHK015</t>
  </si>
  <si>
    <t>A25M-TRTSHK016</t>
  </si>
  <si>
    <t>A25M-TRTSHK017</t>
  </si>
  <si>
    <t>A25M-TRTSHK018</t>
  </si>
  <si>
    <t>A25M-TRTSHK019</t>
  </si>
  <si>
    <t>A25M-TRTSHK020</t>
  </si>
  <si>
    <t>A25M-TRTSHK021</t>
  </si>
  <si>
    <t>A25M-TRTSHK023</t>
  </si>
  <si>
    <t>A25M-TRTSHK024</t>
  </si>
  <si>
    <t>A25M-TRTSHK026</t>
  </si>
  <si>
    <t>A25M-TRTSHK028</t>
  </si>
  <si>
    <t>A25M-TRTSHK029</t>
  </si>
  <si>
    <t>A25M-TRTSHK031</t>
  </si>
  <si>
    <t>A25M-TRTSHK032</t>
  </si>
  <si>
    <t>A25M-TRTSHK033</t>
  </si>
  <si>
    <t>A25M-TRTSHK037</t>
  </si>
  <si>
    <t>A25M-TRTSHK038</t>
  </si>
  <si>
    <t>A25M-TRTSHK039</t>
  </si>
  <si>
    <t>A25M-TRTSHK040</t>
  </si>
  <si>
    <t>A25M-TRTSHK041</t>
  </si>
  <si>
    <t>A25M-TRTSHK043</t>
  </si>
  <si>
    <t>A25M-TRTSHK044</t>
  </si>
  <si>
    <t>A25M-TRTSHK046</t>
  </si>
  <si>
    <t>A25M-TRTSHK047</t>
  </si>
  <si>
    <t>A25M-TRTSHK048</t>
  </si>
  <si>
    <t>A25M-TRTSHN091</t>
  </si>
  <si>
    <t>A25M-TRTSHN092</t>
  </si>
  <si>
    <t>A25M-TRTSHN100</t>
  </si>
  <si>
    <t>A25M-TRTSHN108</t>
  </si>
  <si>
    <t>A25M-TRTSHN109</t>
  </si>
  <si>
    <t>A25M-TRTSHN115</t>
  </si>
  <si>
    <t>A25M-TRTSHN117</t>
  </si>
  <si>
    <t>A25M-TRTSHN118</t>
  </si>
  <si>
    <t>A25M-TRTSHN129</t>
  </si>
  <si>
    <t>A25M-TRTSHN135</t>
  </si>
  <si>
    <t>A25M-TRTSHN137</t>
  </si>
  <si>
    <t>A25M-TRTSHN139</t>
  </si>
  <si>
    <t>A25M-TRTSHN278</t>
  </si>
  <si>
    <t>A25M-URBOTN173</t>
  </si>
  <si>
    <t>A25M-URBOTN174</t>
  </si>
  <si>
    <t>A25M-URBOTN175</t>
  </si>
  <si>
    <t>A25M-URBOTN176</t>
  </si>
  <si>
    <t>A25M-URBOTN271</t>
  </si>
  <si>
    <t>A25M-URBOTN272</t>
  </si>
  <si>
    <t>A25M-URSHIN155</t>
  </si>
  <si>
    <t>A25M-URSHIN158</t>
  </si>
  <si>
    <t>A25M-URSHIN159</t>
  </si>
  <si>
    <t>A25M-URSHIN164</t>
  </si>
  <si>
    <t>A25M-URSHIN165</t>
  </si>
  <si>
    <t>A25M-URSHIN167</t>
  </si>
  <si>
    <t>A25M-URSHIN168</t>
  </si>
  <si>
    <t>A25M-URSHIN170</t>
  </si>
  <si>
    <t>A25M-URSHIN181</t>
  </si>
  <si>
    <t>A25M-URSHIN182</t>
  </si>
  <si>
    <t>A25M-URSHIN183</t>
  </si>
  <si>
    <t>A25M-URSHIN184</t>
  </si>
  <si>
    <t>A25M-URSHIN185</t>
  </si>
  <si>
    <t>A25M-URSHIN186</t>
  </si>
  <si>
    <t>A25M-URSHIN187</t>
  </si>
  <si>
    <t>A25M-URSHIN189</t>
  </si>
  <si>
    <t>A25M-URSHIN190</t>
  </si>
  <si>
    <t>A25M-URSHIN191</t>
  </si>
  <si>
    <t>A25M-URSHIN192</t>
  </si>
  <si>
    <t>A25M-URSHIN193</t>
  </si>
  <si>
    <t>A25M-URSHIN275</t>
  </si>
  <si>
    <t>A25M-URSHON177</t>
  </si>
  <si>
    <t>A25M-URSHON178</t>
  </si>
  <si>
    <t>A25M-URTSHN157</t>
  </si>
  <si>
    <t>A25M-URTSHN161</t>
  </si>
  <si>
    <t>A25M-URTSHN166</t>
  </si>
  <si>
    <t>A25M-URTSHN171</t>
  </si>
  <si>
    <t>A25M-TRJACW298</t>
  </si>
  <si>
    <t>A25M-CLPOLK066</t>
  </si>
  <si>
    <t>A25M-CLPOLK067</t>
  </si>
  <si>
    <t>A25M-CLPOLK068</t>
  </si>
  <si>
    <t>A25M-CLPOLK069</t>
  </si>
  <si>
    <t>A25M-CLPOLK074</t>
  </si>
  <si>
    <t>A25M-CLPOLK075</t>
  </si>
  <si>
    <t>A25M-CLPOLK076</t>
  </si>
  <si>
    <t>A25M-CLPOLK077</t>
  </si>
  <si>
    <t>A25M-CLPOLN108</t>
  </si>
  <si>
    <t>A25M-CLPOLN114</t>
  </si>
  <si>
    <t>A25M-CLPOLN124</t>
  </si>
  <si>
    <t>A25M-CLPOLN125</t>
  </si>
  <si>
    <t>A25M-CLSHIN096</t>
  </si>
  <si>
    <t>A25M-CLSHIN097</t>
  </si>
  <si>
    <t>A25M-CLSHIN100</t>
  </si>
  <si>
    <t>A25M-CLSHIN101</t>
  </si>
  <si>
    <t>A25M-COJOGN185</t>
  </si>
  <si>
    <t>A25M-COJOGN186</t>
  </si>
  <si>
    <t>A25M-COSHON157</t>
  </si>
  <si>
    <t>A25M-COSHON171</t>
  </si>
  <si>
    <t>A25M-COSHON172</t>
  </si>
  <si>
    <t>A25M-COSHON173</t>
  </si>
  <si>
    <t>A25M-COSHON174</t>
  </si>
  <si>
    <t>A25M-COSWSRN181</t>
  </si>
  <si>
    <t>A25M-COSWSRN183</t>
  </si>
  <si>
    <t>A25M-COSWSRN184</t>
  </si>
  <si>
    <t>A25M-COSWSRN273</t>
  </si>
  <si>
    <t>A25M-COSWSRN274</t>
  </si>
  <si>
    <t>A25M-COSWSRN356</t>
  </si>
  <si>
    <t>A25M-COSWSRN276</t>
  </si>
  <si>
    <t>A25M-COTSHN154</t>
  </si>
  <si>
    <t>A25M-COTSHN182</t>
  </si>
  <si>
    <t>A25M-TRJACN081</t>
  </si>
  <si>
    <t>A25M-TRJACN082</t>
  </si>
  <si>
    <t>A25M-TRJACN083</t>
  </si>
  <si>
    <t>A25M-TRJACN084</t>
  </si>
  <si>
    <t>A25M-TRSWSRW291</t>
  </si>
  <si>
    <t>A25M-TRTSHN103</t>
  </si>
  <si>
    <t>A25M-TRTSHN106</t>
  </si>
  <si>
    <t>A25M-TRTSHN127</t>
  </si>
  <si>
    <t>A25M-URSHIN156</t>
  </si>
  <si>
    <t>A25M-URSHON201</t>
  </si>
  <si>
    <t>A25M-URSHON202</t>
  </si>
  <si>
    <t>A25M-URTSHN199</t>
  </si>
  <si>
    <t>A25M-URTSHN200</t>
  </si>
  <si>
    <t>A25M-URTSHN281</t>
  </si>
  <si>
    <t>A25M-URTSHN282</t>
  </si>
  <si>
    <t>A25M-TRTSHK304</t>
  </si>
  <si>
    <t>A25M-TRTSHK305</t>
  </si>
  <si>
    <t>A25M-TRTSHK306</t>
  </si>
  <si>
    <t>A25M-TRTSHK307</t>
  </si>
  <si>
    <t>A25M-TRTSHK308</t>
  </si>
  <si>
    <t>A25M-TRTSHK310</t>
  </si>
  <si>
    <t>A25M-TRTSHK313</t>
  </si>
  <si>
    <t>A25M-TRTSHK314</t>
  </si>
  <si>
    <t>A25M-TRTSHK317</t>
  </si>
  <si>
    <t>A25M-TRTSHK319</t>
  </si>
  <si>
    <t>SHARDA CLOTHING</t>
  </si>
  <si>
    <t>RAMA OVERSEAS</t>
  </si>
  <si>
    <t xml:space="preserve">Kashvi Exports </t>
  </si>
  <si>
    <t>Pack Pack</t>
  </si>
  <si>
    <t>MPM Fashion Private Limited</t>
  </si>
  <si>
    <t>WIN WIN TEXTILE</t>
  </si>
  <si>
    <t>LAXMI GARMENTS</t>
  </si>
  <si>
    <t xml:space="preserve">Arihant Enterprises </t>
  </si>
  <si>
    <t>Pinky Fashion</t>
  </si>
  <si>
    <t>KARTAR FASHIONS PRIVATE LIMITED</t>
  </si>
  <si>
    <t>KOKSUN</t>
  </si>
  <si>
    <t>GEECEE SILK MILLS</t>
  </si>
  <si>
    <t>SDS FASHION</t>
  </si>
  <si>
    <t>ASAANJO STYLES AND FASHION PVT LTD</t>
  </si>
  <si>
    <t>BON &amp; CO</t>
  </si>
  <si>
    <t>Revamp Clothing Pvt Ltd</t>
  </si>
  <si>
    <t>PRIME OVERSEAS GARMENTS PVT LTD</t>
  </si>
  <si>
    <t>STARLINE APPARELS</t>
  </si>
  <si>
    <t>Gentle look Fashion</t>
  </si>
  <si>
    <t>TOP EDGE</t>
  </si>
  <si>
    <t>INDRA HOSIERY</t>
  </si>
  <si>
    <t>ANSH FABRICS</t>
  </si>
  <si>
    <t xml:space="preserve">Creative Clothing </t>
  </si>
  <si>
    <t>Classic Creation</t>
  </si>
  <si>
    <t xml:space="preserve">PRUTHI INTERNATIONAL </t>
  </si>
  <si>
    <t xml:space="preserve">CREATIVE CLOTHING </t>
  </si>
  <si>
    <t>Tex Win win</t>
  </si>
  <si>
    <t>CLASSY</t>
  </si>
  <si>
    <t>TRENDY</t>
  </si>
  <si>
    <t>COMFORT</t>
  </si>
  <si>
    <t>FORMAL</t>
  </si>
  <si>
    <t>URBAN</t>
  </si>
  <si>
    <t>AU25</t>
  </si>
  <si>
    <t>ROS of week 4 (82 stores)</t>
  </si>
  <si>
    <t>Weekly sale</t>
  </si>
  <si>
    <t>ROS SCORE</t>
  </si>
  <si>
    <t>STOCK COVER</t>
  </si>
  <si>
    <t>MARGIN SCORE</t>
  </si>
  <si>
    <t>MARKDOWN SCORE</t>
  </si>
  <si>
    <t>BUYING SCORE</t>
  </si>
  <si>
    <t>DECISION</t>
  </si>
  <si>
    <t>Seasin End Date</t>
  </si>
  <si>
    <t>Remaining  season week</t>
  </si>
  <si>
    <t>Sales Stability chcek</t>
  </si>
  <si>
    <t>Velocity Qlfy</t>
  </si>
  <si>
    <t>Stock Risk</t>
  </si>
  <si>
    <t>Stock feasibility</t>
  </si>
  <si>
    <t>Vendor Lead time (Weeks)</t>
  </si>
  <si>
    <t>Decision Date</t>
  </si>
  <si>
    <t xml:space="preserve">Launch date (no) </t>
  </si>
  <si>
    <t>RE-BUY DECISION</t>
  </si>
  <si>
    <t>Future Demand</t>
  </si>
  <si>
    <t>Re-buy Qty</t>
  </si>
  <si>
    <t>Safety factor</t>
  </si>
  <si>
    <t>M</t>
  </si>
  <si>
    <t>L</t>
  </si>
  <si>
    <t>XL</t>
  </si>
  <si>
    <t>XXL</t>
  </si>
  <si>
    <t>Re-Buy M</t>
  </si>
  <si>
    <t>Re-Buy L</t>
  </si>
  <si>
    <t>Re-Buy XL</t>
  </si>
  <si>
    <t>Re-Buy XXL</t>
  </si>
  <si>
    <t>Closing stock S</t>
  </si>
  <si>
    <t>Weekly sale S</t>
  </si>
  <si>
    <t>Weekly sale M</t>
  </si>
  <si>
    <t>Weekly sale L</t>
  </si>
  <si>
    <t>Weekly sale XL</t>
  </si>
  <si>
    <t>Weekly sale XXL</t>
  </si>
  <si>
    <t>Stocker Cover M</t>
  </si>
  <si>
    <t>Stocker Cover L</t>
  </si>
  <si>
    <t>Stocker Cover XL</t>
  </si>
  <si>
    <t>Stocker Cover XXL</t>
  </si>
  <si>
    <t>Size pressure S</t>
  </si>
  <si>
    <t>Total pressure</t>
  </si>
  <si>
    <t>Re-buy % S</t>
  </si>
  <si>
    <t>Size % S</t>
  </si>
  <si>
    <t>Stock Cover S</t>
  </si>
  <si>
    <t>Size pressure M</t>
  </si>
  <si>
    <t>Size pressure L</t>
  </si>
  <si>
    <t>Size pressure XL</t>
  </si>
  <si>
    <t>Size pressure XXL</t>
  </si>
  <si>
    <t>Size Re-buy Qty</t>
  </si>
  <si>
    <t>Demand weight S</t>
  </si>
  <si>
    <t>Demand weight M</t>
  </si>
  <si>
    <t>Demand weight L</t>
  </si>
  <si>
    <t>Demand weight XL</t>
  </si>
  <si>
    <t>Demand weight XXL</t>
  </si>
  <si>
    <t>BUY RATIO &amp; QTY</t>
  </si>
  <si>
    <t>Re-buy % M</t>
  </si>
  <si>
    <t>Re-buy % L</t>
  </si>
  <si>
    <t>Re-buy % XL</t>
  </si>
  <si>
    <t>Re-buy % XXL</t>
  </si>
  <si>
    <t>1:2:1:2:1 | -2584</t>
  </si>
  <si>
    <t>1:3:1:2:1 | 806</t>
  </si>
  <si>
    <t>1:3:1:2:1 | 810</t>
  </si>
  <si>
    <t>1:3:1:2:1 | 816</t>
  </si>
  <si>
    <t>1:3:1:2:1 | 818</t>
  </si>
  <si>
    <t>1:3:1:2:1 | 820</t>
  </si>
  <si>
    <t>1:3:1:2:1 | 823</t>
  </si>
  <si>
    <t>1:1:1:2:1 | 2156</t>
  </si>
  <si>
    <t>1:3:3:2:1 | 808</t>
  </si>
  <si>
    <t>1:1:2:1:1 | 1021</t>
  </si>
  <si>
    <t>1:1:1:2:1 | 956</t>
  </si>
  <si>
    <t>1:3:1:2:1 | 1467</t>
  </si>
  <si>
    <t>1:3:1:2:1 | 1436</t>
  </si>
  <si>
    <t>1:2:1:2:1 | 1743</t>
  </si>
  <si>
    <t>1:1:1:2:1 | 1815</t>
  </si>
  <si>
    <t>1:1:1:2:1 | 1817</t>
  </si>
  <si>
    <t>1:3:1:2:1 | 1819</t>
  </si>
  <si>
    <t>1:3:1:2:1 | 1221</t>
  </si>
  <si>
    <t>1:3:1:2:1 | 2122</t>
  </si>
  <si>
    <t xml:space="preserve">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</si>
</sst>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409]d/mmm/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12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2" fillId="2" borderId="2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164" fontId="6" fillId="0" borderId="1" xfId="0" applyNumberFormat="1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11" fillId="0" borderId="0" xfId="0" applyFont="1"/>
    <xf numFmtId="1" fontId="8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6" fillId="4" borderId="0" xfId="0" applyNumberFormat="1" applyFont="1" applyFill="1" applyAlignment="1" applyProtection="1">
      <alignment horizontal="center" vertical="center"/>
      <protection locked="0"/>
    </xf>
    <xf numFmtId="1" fontId="6" fillId="0" borderId="0" xfId="0" applyNumberFormat="1" applyFont="1" applyAlignment="1" applyProtection="1">
      <alignment horizontal="center" vertical="center"/>
      <protection locked="0"/>
    </xf>
    <xf numFmtId="2" fontId="6" fillId="4" borderId="0" xfId="0" applyNumberFormat="1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0" fillId="0" borderId="1" xfId="1" applyNumberFormat="1" applyFont="1" applyBorder="1"/>
    <xf numFmtId="0" fontId="0" fillId="0" borderId="1" xfId="0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5" xfId="0" applyNumberFormat="1" applyBorder="1"/>
    <xf numFmtId="165" fontId="0" fillId="0" borderId="1" xfId="0" applyNumberFormat="1" applyBorder="1"/>
    <xf numFmtId="1" fontId="0" fillId="0" borderId="5" xfId="1" applyNumberFormat="1" applyFont="1" applyBorder="1" applyAlignment="1">
      <alignment horizontal="center"/>
    </xf>
    <xf numFmtId="0" fontId="0" fillId="0" borderId="6" xfId="0" applyBorder="1"/>
    <xf numFmtId="0" fontId="12" fillId="6" borderId="1" xfId="0" applyFont="1" applyFill="1" applyBorder="1" applyAlignment="1">
      <alignment horizontal="center" vertical="center"/>
    </xf>
    <xf numFmtId="0" fontId="0" fillId="7" borderId="0" xfId="0" applyFill="1"/>
    <xf numFmtId="0" fontId="12" fillId="7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1" fillId="3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1" fontId="11" fillId="7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2" borderId="1" xfId="0" applyFont="1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wrapText="1"/>
    </xf>
    <xf numFmtId="0" fontId="1" fillId="3" borderId="1" xfId="0" applyFont="1" applyFill="1" applyBorder="1"/>
    <xf numFmtId="165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" fontId="11" fillId="7" borderId="1" xfId="0" applyNumberFormat="1" applyFont="1" applyFill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9" fontId="13" fillId="5" borderId="1" xfId="0" applyNumberFormat="1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5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F581-0852-4293-B0D6-5EFF4851F3DE}">
  <dimension ref="A1:ER1264"/>
  <sheetViews>
    <sheetView tabSelected="1" zoomScale="77" zoomScaleNormal="55" workbookViewId="0">
      <selection activeCell="U3" sqref="U3"/>
    </sheetView>
  </sheetViews>
  <sheetFormatPr defaultRowHeight="14.5" x14ac:dyDescent="0.35"/>
  <cols>
    <col min="1" max="1" width="21.08984375" style="76" customWidth="1"/>
    <col min="2" max="2" width="21.26953125" style="12" customWidth="1"/>
    <col min="3" max="3" width="15.1796875" style="12" customWidth="1"/>
    <col min="4" max="4" width="11.81640625" style="12" customWidth="1"/>
    <col min="5" max="6" width="14.81640625" style="111" bestFit="1" customWidth="1"/>
    <col min="7" max="7" width="14.7265625" style="13" customWidth="1"/>
    <col min="8" max="8" width="12.26953125" style="12" bestFit="1" customWidth="1"/>
    <col min="9" max="9" width="12.90625" style="12" customWidth="1"/>
    <col min="10" max="10" width="18.1796875" style="13" bestFit="1" customWidth="1"/>
    <col min="11" max="11" width="16.90625" style="12" customWidth="1"/>
    <col min="12" max="12" width="16.26953125" style="93" customWidth="1"/>
    <col min="13" max="13" width="11.81640625" style="12" customWidth="1"/>
    <col min="14" max="14" width="20.36328125" style="12" bestFit="1" customWidth="1"/>
    <col min="15" max="16" width="21.453125" style="12" customWidth="1"/>
    <col min="17" max="17" width="15.1796875" style="12" customWidth="1"/>
    <col min="18" max="18" width="13.7265625" style="12" customWidth="1"/>
    <col min="19" max="19" width="18" style="12" customWidth="1"/>
    <col min="20" max="20" width="21.453125" style="12" customWidth="1"/>
    <col min="21" max="21" width="14.26953125" style="12" customWidth="1"/>
    <col min="22" max="22" width="16.453125" style="12" customWidth="1"/>
    <col min="23" max="23" width="19.36328125" style="12" bestFit="1" customWidth="1"/>
    <col min="24" max="24" width="21.81640625" style="12" bestFit="1" customWidth="1"/>
    <col min="25" max="25" width="20.6328125" style="109" customWidth="1"/>
    <col min="26" max="26" width="25.36328125" style="12" bestFit="1" customWidth="1"/>
    <col min="27" max="27" width="17" style="12" customWidth="1"/>
    <col min="28" max="28" width="12.7265625" style="12" customWidth="1"/>
    <col min="29" max="29" width="23.36328125" style="12" bestFit="1" customWidth="1"/>
    <col min="30" max="30" width="16.54296875" style="93" bestFit="1" customWidth="1"/>
    <col min="31" max="31" width="18.81640625" style="93" customWidth="1"/>
    <col min="32" max="32" width="14.453125" style="93" customWidth="1"/>
    <col min="33" max="33" width="22.54296875" style="93" customWidth="1"/>
    <col min="34" max="34" width="24.54296875" style="109" customWidth="1"/>
    <col min="35" max="35" width="22.08984375" style="12" customWidth="1"/>
    <col min="36" max="36" width="13.54296875" style="12" customWidth="1"/>
    <col min="37" max="37" width="11.81640625" style="12" customWidth="1"/>
    <col min="38" max="42" width="8.7265625" style="12"/>
    <col min="43" max="43" width="13.6328125" style="12" customWidth="1"/>
    <col min="44" max="44" width="13.26953125" style="12" customWidth="1"/>
    <col min="45" max="45" width="13.90625" style="12" customWidth="1"/>
    <col min="46" max="46" width="15.453125" style="12" customWidth="1"/>
    <col min="47" max="52" width="15.6328125" style="12" customWidth="1"/>
    <col min="53" max="53" width="11.08984375" style="12" bestFit="1" customWidth="1"/>
    <col min="54" max="54" width="11.6328125" style="12" bestFit="1" customWidth="1"/>
    <col min="55" max="55" width="11.08984375" style="12" bestFit="1" customWidth="1"/>
    <col min="56" max="56" width="12.54296875" style="12" bestFit="1" customWidth="1"/>
    <col min="57" max="57" width="13.81640625" style="12" bestFit="1" customWidth="1"/>
    <col min="58" max="58" width="13.1796875" style="12" customWidth="1"/>
    <col min="59" max="59" width="13.7265625" style="12" bestFit="1" customWidth="1"/>
    <col min="60" max="60" width="13.1796875" style="12" bestFit="1" customWidth="1"/>
    <col min="61" max="61" width="14.54296875" style="12" bestFit="1" customWidth="1"/>
    <col min="62" max="62" width="15.90625" style="12" bestFit="1" customWidth="1"/>
    <col min="63" max="63" width="12.26953125" style="12" bestFit="1" customWidth="1"/>
    <col min="64" max="64" width="12.81640625" style="12" bestFit="1" customWidth="1"/>
    <col min="65" max="65" width="12.26953125" style="12" customWidth="1"/>
    <col min="66" max="66" width="13.6328125" style="12" bestFit="1" customWidth="1"/>
    <col min="67" max="67" width="14.90625" style="12" bestFit="1" customWidth="1"/>
    <col min="68" max="68" width="11.36328125" style="12" customWidth="1"/>
    <col min="69" max="69" width="9.81640625" style="12" bestFit="1" customWidth="1"/>
    <col min="70" max="73" width="8.7265625" style="12"/>
    <col min="74" max="74" width="23.6328125" style="109" customWidth="1"/>
    <col min="75" max="75" width="13.1796875" style="110" customWidth="1"/>
    <col min="76" max="77" width="13.1796875" style="110" bestFit="1" customWidth="1"/>
    <col min="78" max="78" width="13.1796875" style="110" customWidth="1"/>
    <col min="79" max="79" width="13.1796875" style="110" bestFit="1" customWidth="1"/>
    <col min="80" max="16384" width="8.7265625" style="12"/>
  </cols>
  <sheetData>
    <row r="1" spans="1:79" s="103" customFormat="1" ht="13" x14ac:dyDescent="0.35">
      <c r="A1" s="94" t="s">
        <v>4</v>
      </c>
      <c r="B1" s="94" t="s">
        <v>15</v>
      </c>
      <c r="C1" s="94" t="s">
        <v>2</v>
      </c>
      <c r="D1" s="94" t="s">
        <v>3</v>
      </c>
      <c r="E1" s="95" t="s">
        <v>12</v>
      </c>
      <c r="F1" s="95" t="s">
        <v>363</v>
      </c>
      <c r="G1" s="82" t="s">
        <v>5</v>
      </c>
      <c r="H1" s="96" t="s">
        <v>0</v>
      </c>
      <c r="I1" s="97" t="s">
        <v>7</v>
      </c>
      <c r="J1" s="82" t="s">
        <v>14</v>
      </c>
      <c r="K1" s="96" t="s">
        <v>13</v>
      </c>
      <c r="L1" s="83" t="s">
        <v>6</v>
      </c>
      <c r="M1" s="82" t="s">
        <v>1</v>
      </c>
      <c r="N1" s="80" t="s">
        <v>8</v>
      </c>
      <c r="O1" s="80" t="s">
        <v>347</v>
      </c>
      <c r="P1" s="80" t="s">
        <v>348</v>
      </c>
      <c r="Q1" s="80" t="s">
        <v>9</v>
      </c>
      <c r="R1" s="98" t="s">
        <v>10</v>
      </c>
      <c r="S1" s="99" t="s">
        <v>11</v>
      </c>
      <c r="T1" s="60" t="s">
        <v>349</v>
      </c>
      <c r="U1" s="60" t="s">
        <v>350</v>
      </c>
      <c r="V1" s="60" t="s">
        <v>351</v>
      </c>
      <c r="W1" s="60" t="s">
        <v>352</v>
      </c>
      <c r="X1" s="60" t="s">
        <v>353</v>
      </c>
      <c r="Y1" s="80" t="s">
        <v>354</v>
      </c>
      <c r="Z1" s="74" t="s">
        <v>361</v>
      </c>
      <c r="AA1" s="74" t="s">
        <v>355</v>
      </c>
      <c r="AB1" s="74" t="s">
        <v>362</v>
      </c>
      <c r="AC1" s="74" t="s">
        <v>356</v>
      </c>
      <c r="AD1" s="100" t="s">
        <v>357</v>
      </c>
      <c r="AE1" s="101" t="s">
        <v>358</v>
      </c>
      <c r="AF1" s="100" t="s">
        <v>359</v>
      </c>
      <c r="AG1" s="100" t="s">
        <v>360</v>
      </c>
      <c r="AH1" s="80" t="s">
        <v>364</v>
      </c>
      <c r="AI1" s="74" t="s">
        <v>365</v>
      </c>
      <c r="AJ1" s="74" t="s">
        <v>366</v>
      </c>
      <c r="AK1" s="74" t="s">
        <v>367</v>
      </c>
      <c r="AL1" s="74" t="s">
        <v>389</v>
      </c>
      <c r="AM1" s="74" t="s">
        <v>368</v>
      </c>
      <c r="AN1" s="74" t="s">
        <v>369</v>
      </c>
      <c r="AO1" s="74" t="s">
        <v>370</v>
      </c>
      <c r="AP1" s="74" t="s">
        <v>371</v>
      </c>
      <c r="AQ1" s="74" t="s">
        <v>376</v>
      </c>
      <c r="AR1" s="74" t="s">
        <v>372</v>
      </c>
      <c r="AS1" s="74" t="s">
        <v>373</v>
      </c>
      <c r="AT1" s="74" t="s">
        <v>374</v>
      </c>
      <c r="AU1" s="74" t="s">
        <v>375</v>
      </c>
      <c r="AV1" s="74" t="s">
        <v>396</v>
      </c>
      <c r="AW1" s="74" t="s">
        <v>397</v>
      </c>
      <c r="AX1" s="74" t="s">
        <v>398</v>
      </c>
      <c r="AY1" s="74" t="s">
        <v>399</v>
      </c>
      <c r="AZ1" s="74" t="s">
        <v>400</v>
      </c>
      <c r="BA1" s="74" t="s">
        <v>377</v>
      </c>
      <c r="BB1" s="74" t="s">
        <v>378</v>
      </c>
      <c r="BC1" s="74" t="s">
        <v>379</v>
      </c>
      <c r="BD1" s="74" t="s">
        <v>380</v>
      </c>
      <c r="BE1" s="74" t="s">
        <v>381</v>
      </c>
      <c r="BF1" s="74" t="s">
        <v>390</v>
      </c>
      <c r="BG1" s="74" t="s">
        <v>382</v>
      </c>
      <c r="BH1" s="74" t="s">
        <v>383</v>
      </c>
      <c r="BI1" s="74" t="s">
        <v>384</v>
      </c>
      <c r="BJ1" s="74" t="s">
        <v>385</v>
      </c>
      <c r="BK1" s="74" t="s">
        <v>386</v>
      </c>
      <c r="BL1" s="74" t="s">
        <v>391</v>
      </c>
      <c r="BM1" s="74" t="s">
        <v>392</v>
      </c>
      <c r="BN1" s="74" t="s">
        <v>393</v>
      </c>
      <c r="BO1" s="74" t="s">
        <v>394</v>
      </c>
      <c r="BP1" s="74" t="s">
        <v>387</v>
      </c>
      <c r="BQ1" s="74" t="s">
        <v>388</v>
      </c>
      <c r="BR1" s="74" t="s">
        <v>402</v>
      </c>
      <c r="BS1" s="74" t="s">
        <v>403</v>
      </c>
      <c r="BT1" s="74" t="s">
        <v>404</v>
      </c>
      <c r="BU1" s="74" t="s">
        <v>405</v>
      </c>
      <c r="BV1" s="84" t="s">
        <v>401</v>
      </c>
      <c r="BW1" s="102" t="s">
        <v>395</v>
      </c>
      <c r="BX1" s="102" t="s">
        <v>395</v>
      </c>
      <c r="BY1" s="102" t="s">
        <v>395</v>
      </c>
      <c r="BZ1" s="102" t="s">
        <v>395</v>
      </c>
      <c r="CA1" s="102" t="s">
        <v>395</v>
      </c>
    </row>
    <row r="2" spans="1:79" x14ac:dyDescent="0.35">
      <c r="A2" s="25" t="s">
        <v>16</v>
      </c>
      <c r="B2" s="10" t="s">
        <v>314</v>
      </c>
      <c r="C2" s="10" t="s">
        <v>341</v>
      </c>
      <c r="D2" s="10" t="s">
        <v>346</v>
      </c>
      <c r="E2" s="11">
        <v>45892</v>
      </c>
      <c r="F2" s="17">
        <v>45892</v>
      </c>
      <c r="G2" s="14">
        <f ca="1">TODAY()-F2</f>
        <v>207</v>
      </c>
      <c r="H2" s="17">
        <v>399</v>
      </c>
      <c r="I2" s="17">
        <v>230</v>
      </c>
      <c r="J2" s="75">
        <f>K2-L2</f>
        <v>1518</v>
      </c>
      <c r="K2" s="17">
        <v>3200</v>
      </c>
      <c r="L2" s="85">
        <v>1682</v>
      </c>
      <c r="M2" s="86">
        <f ca="1">L2/G2</f>
        <v>8.1256038647343001</v>
      </c>
      <c r="N2" s="86">
        <f>AVERAGEIFS(O:O,C:C,C2)</f>
        <v>0.92883099285538351</v>
      </c>
      <c r="O2" s="86">
        <f>L2/328</f>
        <v>5.1280487804878048</v>
      </c>
      <c r="P2" s="87">
        <f>O2*82</f>
        <v>420.5</v>
      </c>
      <c r="Q2" s="104">
        <f>J2/P2</f>
        <v>3.6099881093935791</v>
      </c>
      <c r="R2" s="88">
        <f>(H2-I2)/H2*100</f>
        <v>42.355889724310778</v>
      </c>
      <c r="S2" s="88">
        <f>L2/K2*100</f>
        <v>52.5625</v>
      </c>
      <c r="T2" s="13">
        <f>IF(O2&gt;=N2,3,IF(O2&gt;=0.8*N2,2,1))</f>
        <v>3</v>
      </c>
      <c r="U2" s="13">
        <f t="shared" ref="U2:U66" si="0">IF(Q2&lt;=4,3,IF(Q2&lt;=6,2,1))</f>
        <v>3</v>
      </c>
      <c r="V2" s="13">
        <f>IF(R2&gt;=60,3,IF(R2&gt;=45,2,1))</f>
        <v>1</v>
      </c>
      <c r="W2" s="13">
        <f ca="1">IF(M2&lt;=10,3,IF(M2&lt;=25,2,1))</f>
        <v>3</v>
      </c>
      <c r="X2" s="13">
        <f ca="1">T2+U2+V2+W2</f>
        <v>10</v>
      </c>
      <c r="Y2" s="81" t="str">
        <f ca="1">IFERROR(IF(X2&gt;=9,"RE-BUY",IF(X2&gt;=6,"MONITOR","EXIT")),"EXIT")</f>
        <v>RE-BUY</v>
      </c>
      <c r="Z2" s="13">
        <v>14</v>
      </c>
      <c r="AA2" s="75">
        <v>46059</v>
      </c>
      <c r="AB2" s="75">
        <f>F2+28</f>
        <v>45920</v>
      </c>
      <c r="AC2" s="88">
        <f>(AA2-AB2)/7</f>
        <v>19.857142857142858</v>
      </c>
      <c r="AD2" s="89" t="str">
        <f ca="1">IF(G2&gt;=21,"STABLE","TOO EARLY")</f>
        <v>STABLE</v>
      </c>
      <c r="AE2" s="89" t="str">
        <f>IF(O2&gt;=N2,"FAST SELLING","SLOW SELLING")</f>
        <v>FAST SELLING</v>
      </c>
      <c r="AF2" s="89" t="str">
        <f>IF(U2&lt;=Z2,"AT RISK","SAFE")</f>
        <v>AT RISK</v>
      </c>
      <c r="AG2" s="89" t="str">
        <f>IF(Z2&lt;=AC2,"FEASIBLE","NOT FEASIBLE")</f>
        <v>FEASIBLE</v>
      </c>
      <c r="AH2" s="81" t="str">
        <f ca="1">IF(AND(Y2="RE-BUY",AD2="STABLE",AE2="FAST SELLING",AG2="FEASIBLE"),"IMMEDIATE REBUY","MONITOR")</f>
        <v>IMMEDIATE REBUY</v>
      </c>
      <c r="AI2" s="75">
        <f ca="1">IF(Y2="RE-BUY",O2*82*AC2*0.6,0)</f>
        <v>5009.9571428571435</v>
      </c>
      <c r="AJ2" s="75">
        <f ca="1">MAX(AI2-J2)</f>
        <v>3491.9571428571435</v>
      </c>
      <c r="AK2" s="13">
        <f ca="1">ROUND(AJ2*1.2,0)</f>
        <v>4190</v>
      </c>
      <c r="AL2" s="79">
        <v>0.1</v>
      </c>
      <c r="AM2" s="79">
        <v>0.3</v>
      </c>
      <c r="AN2" s="79">
        <v>0.3</v>
      </c>
      <c r="AO2" s="79">
        <v>0.1</v>
      </c>
      <c r="AP2" s="79">
        <v>0.1</v>
      </c>
      <c r="AQ2" s="75">
        <f>J2*AL2</f>
        <v>151.80000000000001</v>
      </c>
      <c r="AR2" s="75">
        <f>J2*AM2</f>
        <v>455.4</v>
      </c>
      <c r="AS2" s="75">
        <f>J2*AN2</f>
        <v>455.4</v>
      </c>
      <c r="AT2" s="75">
        <f>J2*AO2</f>
        <v>151.80000000000001</v>
      </c>
      <c r="AU2" s="75">
        <f>J2*AP2</f>
        <v>151.80000000000001</v>
      </c>
      <c r="AV2" s="13">
        <v>0.8</v>
      </c>
      <c r="AW2" s="13">
        <v>1.2</v>
      </c>
      <c r="AX2" s="13">
        <v>1.3</v>
      </c>
      <c r="AY2" s="13">
        <v>1</v>
      </c>
      <c r="AZ2" s="13">
        <v>0.7</v>
      </c>
      <c r="BA2" s="105">
        <f>P2*AL2*AV2</f>
        <v>33.640000000000008</v>
      </c>
      <c r="BB2" s="13">
        <f>P2*AM2*AW2</f>
        <v>151.38</v>
      </c>
      <c r="BC2" s="13">
        <f>P2*AN2*AX2</f>
        <v>163.995</v>
      </c>
      <c r="BD2" s="13">
        <f>P2*AO2*AY2</f>
        <v>42.050000000000004</v>
      </c>
      <c r="BE2" s="13">
        <f>P2*AP2*AZ2</f>
        <v>29.435000000000002</v>
      </c>
      <c r="BF2" s="88">
        <f>AQ2/BA2</f>
        <v>4.5124851367419732</v>
      </c>
      <c r="BG2" s="88">
        <f>AR2/BB2</f>
        <v>3.0083234244946491</v>
      </c>
      <c r="BH2" s="88">
        <f>AS2/BC2</f>
        <v>2.776913930302753</v>
      </c>
      <c r="BI2" s="88">
        <f>AT2/BD2</f>
        <v>3.6099881093935791</v>
      </c>
      <c r="BJ2" s="88">
        <f>AU2/BE2</f>
        <v>5.1571258705622558</v>
      </c>
      <c r="BK2" s="105">
        <f>1/BF2</f>
        <v>0.22160737812911729</v>
      </c>
      <c r="BL2" s="105">
        <f>1/BG2</f>
        <v>0.33241106719367591</v>
      </c>
      <c r="BM2" s="105">
        <f>1/BH2</f>
        <v>0.36011198945981554</v>
      </c>
      <c r="BN2" s="105">
        <f>1/BI2</f>
        <v>0.27700922266139655</v>
      </c>
      <c r="BO2" s="105">
        <f>1/BJ2</f>
        <v>0.19390645586297761</v>
      </c>
      <c r="BP2" s="105">
        <f>BK2+BL2+BM2+BN2+BO2</f>
        <v>1.3850461133069829</v>
      </c>
      <c r="BQ2" s="79">
        <f>BK2/BP2</f>
        <v>0.16000000000000003</v>
      </c>
      <c r="BR2" s="79">
        <f>BL2/BP2</f>
        <v>0.24000000000000002</v>
      </c>
      <c r="BS2" s="79">
        <f>BM2/BP2</f>
        <v>0.26</v>
      </c>
      <c r="BT2" s="79">
        <f>BN2/BP2</f>
        <v>0.19999999999999998</v>
      </c>
      <c r="BU2" s="79">
        <f>BO2/BP2</f>
        <v>0.14000000000000001</v>
      </c>
      <c r="BV2" s="90" t="str">
        <f t="array" aca="1" ref="BV2" ca="1">_xlfn.TEXTJOIN(" ",TRUE,
_xlfn.TEXTJOIN(":",TRUE,ROUND(BK2:BO2/MIN(IF(BK2:BO2&gt;0,BK2:BO2)),0)),
"|",
ROUND(SUM(BW2:CA2),0))</f>
        <v>1:2:2:1:1 | 4190</v>
      </c>
      <c r="BW2" s="106">
        <f ca="1">AK2*BQ2</f>
        <v>670.40000000000009</v>
      </c>
      <c r="BX2" s="106">
        <f t="shared" ref="BX2:BX65" ca="1" si="1">AK2*BR2</f>
        <v>1005.6</v>
      </c>
      <c r="BY2" s="106">
        <f t="shared" ref="BY2:BY65" ca="1" si="2">AK2*BS2</f>
        <v>1089.4000000000001</v>
      </c>
      <c r="BZ2" s="106">
        <f t="shared" ref="BZ2:BZ65" ca="1" si="3">AK2*BT2</f>
        <v>837.99999999999989</v>
      </c>
      <c r="CA2" s="106">
        <f ca="1">AK2*BU2</f>
        <v>586.6</v>
      </c>
    </row>
    <row r="3" spans="1:79" x14ac:dyDescent="0.35">
      <c r="A3" s="25" t="s">
        <v>17</v>
      </c>
      <c r="B3" s="10" t="s">
        <v>314</v>
      </c>
      <c r="C3" s="10" t="s">
        <v>341</v>
      </c>
      <c r="D3" s="10" t="s">
        <v>346</v>
      </c>
      <c r="E3" s="11">
        <v>45892</v>
      </c>
      <c r="F3" s="17">
        <v>45892</v>
      </c>
      <c r="G3" s="14">
        <f t="shared" ref="G3:G66" ca="1" si="4">TODAY()-F3</f>
        <v>207</v>
      </c>
      <c r="H3" s="17">
        <v>399</v>
      </c>
      <c r="I3" s="17">
        <v>230</v>
      </c>
      <c r="J3" s="75">
        <f t="shared" ref="J3:J66" si="5">K3-L3</f>
        <v>2153</v>
      </c>
      <c r="K3" s="17">
        <v>3200</v>
      </c>
      <c r="L3" s="85">
        <v>1047</v>
      </c>
      <c r="M3" s="86">
        <f t="shared" ref="M3:M66" ca="1" si="6">L3/G3</f>
        <v>5.0579710144927539</v>
      </c>
      <c r="N3" s="86">
        <f t="shared" ref="N3:N66" si="7">AVERAGEIFS(O:O,C:C,C3)</f>
        <v>0.92883099285538351</v>
      </c>
      <c r="O3" s="86">
        <f t="shared" ref="O3:O66" si="8">L3/328</f>
        <v>3.1920731707317072</v>
      </c>
      <c r="P3" s="87">
        <f t="shared" ref="P3:P66" si="9">O3*82</f>
        <v>261.75</v>
      </c>
      <c r="Q3" s="104">
        <f t="shared" ref="Q3:Q66" si="10">J3/P3</f>
        <v>8.2254059216809932</v>
      </c>
      <c r="R3" s="88">
        <f t="shared" ref="R3:R66" si="11">(H3-I3)/H3*100</f>
        <v>42.355889724310778</v>
      </c>
      <c r="S3" s="88">
        <f t="shared" ref="S3:S66" si="12">L3/K3*100</f>
        <v>32.71875</v>
      </c>
      <c r="T3" s="13">
        <f t="shared" ref="T3:T66" si="13">IF(O3&gt;=N3,3,IF(O3&gt;=0.8*N3,2,1))</f>
        <v>3</v>
      </c>
      <c r="U3" s="13">
        <f t="shared" si="0"/>
        <v>1</v>
      </c>
      <c r="V3" s="13">
        <f t="shared" ref="V3:V66" si="14">IF(R3&gt;=60,3,IF(R3&gt;=45,2,1))</f>
        <v>1</v>
      </c>
      <c r="W3" s="13">
        <f t="shared" ref="W3:W66" ca="1" si="15">IF(M3&lt;=10,3,IF(M3&lt;=25,2,1))</f>
        <v>3</v>
      </c>
      <c r="X3" s="13">
        <f t="shared" ref="X3:X66" ca="1" si="16">T3+U3+V3+W3</f>
        <v>8</v>
      </c>
      <c r="Y3" s="81" t="str">
        <f t="shared" ref="Y3:Y66" ca="1" si="17">IFERROR(IF(X3&gt;=9,"RE-BUY",IF(X3&gt;=6,"MONITOR","EXIT")),"EXIT")</f>
        <v>MONITOR</v>
      </c>
      <c r="Z3" s="13">
        <v>14</v>
      </c>
      <c r="AA3" s="75">
        <v>46059</v>
      </c>
      <c r="AB3" s="75">
        <f t="shared" ref="AB3:AB66" si="18">F3+28</f>
        <v>45920</v>
      </c>
      <c r="AC3" s="88">
        <f t="shared" ref="AC3:AC66" si="19">(AA3-AB3)/7</f>
        <v>19.857142857142858</v>
      </c>
      <c r="AD3" s="89" t="str">
        <f t="shared" ref="AD3:AD66" ca="1" si="20">IF(G3&gt;=21,"STABLE","TOO EARLY")</f>
        <v>STABLE</v>
      </c>
      <c r="AE3" s="89" t="str">
        <f t="shared" ref="AE3:AE66" si="21">IF(O3&gt;=N3,"FAST SELLING","SLOW SELLING")</f>
        <v>FAST SELLING</v>
      </c>
      <c r="AF3" s="89" t="str">
        <f t="shared" ref="AF3:AF66" si="22">IF(U3&lt;=Z3,"AT RISK","SAFE")</f>
        <v>AT RISK</v>
      </c>
      <c r="AG3" s="89" t="str">
        <f t="shared" ref="AG3:AG66" si="23">IF(Z3&lt;=AC3,"FEASIBLE","NOT FEASIBLE")</f>
        <v>FEASIBLE</v>
      </c>
      <c r="AH3" s="81" t="str">
        <f t="shared" ref="AH3:AH66" ca="1" si="24">IF(AND(Y3="RE-BUY",AD3="STABLE",AE3="FAST SELLING",AG3="FEASIBLE"),"IMMEDIATE REBUY","MONITOR")</f>
        <v>MONITOR</v>
      </c>
      <c r="AI3" s="75">
        <f t="shared" ref="AI3:AI66" ca="1" si="25">IF(Y3="RE-BUY",O3*82*AC3*0.6,0)</f>
        <v>0</v>
      </c>
      <c r="AJ3" s="75">
        <f t="shared" ref="AJ3:AJ66" ca="1" si="26">MAX(AI3-J3)</f>
        <v>-2153</v>
      </c>
      <c r="AK3" s="13">
        <f t="shared" ref="AK3:AK11" ca="1" si="27">ROUND(AJ3*1.2,0)</f>
        <v>-2584</v>
      </c>
      <c r="AL3" s="79">
        <v>0.1</v>
      </c>
      <c r="AM3" s="79">
        <v>0.3</v>
      </c>
      <c r="AN3" s="79">
        <v>0.3</v>
      </c>
      <c r="AO3" s="79">
        <v>0.1</v>
      </c>
      <c r="AP3" s="79">
        <v>0.1</v>
      </c>
      <c r="AQ3" s="75">
        <f t="shared" ref="AQ3:AQ66" si="28">J3*AL3</f>
        <v>215.3</v>
      </c>
      <c r="AR3" s="75">
        <f t="shared" ref="AR3:AR66" si="29">J3*AM3</f>
        <v>645.9</v>
      </c>
      <c r="AS3" s="75">
        <f t="shared" ref="AS3:AS66" si="30">J3*AN3</f>
        <v>645.9</v>
      </c>
      <c r="AT3" s="75">
        <f t="shared" ref="AT3:AT66" si="31">J3*AO3</f>
        <v>215.3</v>
      </c>
      <c r="AU3" s="75">
        <f t="shared" ref="AU3:AU29" si="32">J3*AP3</f>
        <v>215.3</v>
      </c>
      <c r="AV3" s="13">
        <v>0.8</v>
      </c>
      <c r="AW3" s="13">
        <v>1.2</v>
      </c>
      <c r="AX3" s="13">
        <v>1.3</v>
      </c>
      <c r="AY3" s="13">
        <v>1</v>
      </c>
      <c r="AZ3" s="13">
        <v>0.7</v>
      </c>
      <c r="BA3" s="105">
        <f t="shared" ref="BA3:BA66" si="33">P3*AL3*AV3</f>
        <v>20.94</v>
      </c>
      <c r="BB3" s="13">
        <f t="shared" ref="BB3:BB66" si="34">P3*AM3*AW3</f>
        <v>94.22999999999999</v>
      </c>
      <c r="BC3" s="13">
        <f t="shared" ref="BC3:BC66" si="35">P3*AN3*AX3</f>
        <v>102.0825</v>
      </c>
      <c r="BD3" s="13">
        <f t="shared" ref="BD3:BD66" si="36">P3*AO3*AY3</f>
        <v>26.175000000000001</v>
      </c>
      <c r="BE3" s="13">
        <f t="shared" ref="BE3:BE66" si="37">P3*AP3*AZ3</f>
        <v>18.322499999999998</v>
      </c>
      <c r="BF3" s="88">
        <f t="shared" ref="BF3:BF66" si="38">AQ3/BA3</f>
        <v>10.281757402101242</v>
      </c>
      <c r="BG3" s="88">
        <f t="shared" ref="BG3:BG66" si="39">AR3/BB3</f>
        <v>6.8545049347341616</v>
      </c>
      <c r="BH3" s="88">
        <f t="shared" ref="BH3:BH66" si="40">AS3/BC3</f>
        <v>6.3272353243699948</v>
      </c>
      <c r="BI3" s="88">
        <f t="shared" ref="BI3:BI66" si="41">AT3/BD3</f>
        <v>8.2254059216809932</v>
      </c>
      <c r="BJ3" s="88">
        <f t="shared" ref="BJ3:BJ66" si="42">AU3/BE3</f>
        <v>11.750579888115707</v>
      </c>
      <c r="BK3" s="105">
        <f t="shared" ref="BK3:BK66" si="43">1/BF3</f>
        <v>9.7259637714816535E-2</v>
      </c>
      <c r="BL3" s="105">
        <f t="shared" ref="BL3:BL66" si="44">1/BG3</f>
        <v>0.1458894565722248</v>
      </c>
      <c r="BM3" s="105">
        <f t="shared" ref="BM3:BM25" si="45">1/BH3</f>
        <v>0.15804691128657686</v>
      </c>
      <c r="BN3" s="105">
        <f t="shared" ref="BN3:BN18" si="46">1/BI3</f>
        <v>0.12157454714352067</v>
      </c>
      <c r="BO3" s="105">
        <f t="shared" ref="BO3:BO27" si="47">1/BJ3</f>
        <v>8.5102183000464446E-2</v>
      </c>
      <c r="BP3" s="105">
        <f t="shared" ref="BP3:BP66" si="48">BK3+BL3+BM3+BN3+BO3</f>
        <v>0.60787273571760336</v>
      </c>
      <c r="BQ3" s="79">
        <f t="shared" ref="BQ3:BQ66" si="49">BK3/BP3</f>
        <v>0.16</v>
      </c>
      <c r="BR3" s="79">
        <f t="shared" ref="BR3:BR66" si="50">BL3/BP3</f>
        <v>0.24</v>
      </c>
      <c r="BS3" s="79">
        <f t="shared" ref="BS3:BS66" si="51">BM3/BP3</f>
        <v>0.25999999999999995</v>
      </c>
      <c r="BT3" s="79">
        <f t="shared" ref="BT3:BT66" si="52">BN3/BP3</f>
        <v>0.2</v>
      </c>
      <c r="BU3" s="79">
        <f t="shared" ref="BU3:BU66" si="53">BO3/BP3</f>
        <v>0.13999999999999996</v>
      </c>
      <c r="BV3" s="90" t="s">
        <v>406</v>
      </c>
      <c r="BW3" s="106">
        <f t="shared" ref="BW3:BW12" ca="1" si="54">AK3*BQ3</f>
        <v>-413.44</v>
      </c>
      <c r="BX3" s="106">
        <f t="shared" ca="1" si="1"/>
        <v>-620.16</v>
      </c>
      <c r="BY3" s="106">
        <f t="shared" ca="1" si="2"/>
        <v>-671.83999999999992</v>
      </c>
      <c r="BZ3" s="106">
        <f t="shared" ca="1" si="3"/>
        <v>-516.80000000000007</v>
      </c>
      <c r="CA3" s="106">
        <f t="shared" ref="CA3:CA20" ca="1" si="55">AK3*BU3</f>
        <v>-361.75999999999988</v>
      </c>
    </row>
    <row r="4" spans="1:79" x14ac:dyDescent="0.35">
      <c r="A4" s="25" t="s">
        <v>18</v>
      </c>
      <c r="B4" s="10" t="s">
        <v>314</v>
      </c>
      <c r="C4" s="10" t="s">
        <v>341</v>
      </c>
      <c r="D4" s="10" t="s">
        <v>346</v>
      </c>
      <c r="E4" s="11">
        <v>45920</v>
      </c>
      <c r="F4" s="17">
        <v>45892</v>
      </c>
      <c r="G4" s="14">
        <f t="shared" ca="1" si="4"/>
        <v>207</v>
      </c>
      <c r="H4" s="17">
        <v>799</v>
      </c>
      <c r="I4" s="17">
        <v>400</v>
      </c>
      <c r="J4" s="75">
        <f t="shared" si="5"/>
        <v>505</v>
      </c>
      <c r="K4" s="17">
        <v>900</v>
      </c>
      <c r="L4" s="85">
        <v>395</v>
      </c>
      <c r="M4" s="86">
        <f t="shared" ca="1" si="6"/>
        <v>1.9082125603864735</v>
      </c>
      <c r="N4" s="86">
        <f t="shared" si="7"/>
        <v>0.92883099285538351</v>
      </c>
      <c r="O4" s="86">
        <f t="shared" si="8"/>
        <v>1.2042682926829269</v>
      </c>
      <c r="P4" s="87">
        <f t="shared" si="9"/>
        <v>98.75</v>
      </c>
      <c r="Q4" s="104">
        <f t="shared" si="10"/>
        <v>5.1139240506329111</v>
      </c>
      <c r="R4" s="88">
        <f t="shared" si="11"/>
        <v>49.937421777221523</v>
      </c>
      <c r="S4" s="88">
        <f t="shared" si="12"/>
        <v>43.888888888888886</v>
      </c>
      <c r="T4" s="13">
        <f t="shared" si="13"/>
        <v>3</v>
      </c>
      <c r="U4" s="13">
        <f t="shared" si="0"/>
        <v>2</v>
      </c>
      <c r="V4" s="13">
        <f t="shared" si="14"/>
        <v>2</v>
      </c>
      <c r="W4" s="13">
        <f t="shared" ca="1" si="15"/>
        <v>3</v>
      </c>
      <c r="X4" s="13">
        <f t="shared" ca="1" si="16"/>
        <v>10</v>
      </c>
      <c r="Y4" s="81" t="str">
        <f t="shared" ca="1" si="17"/>
        <v>RE-BUY</v>
      </c>
      <c r="Z4" s="13">
        <v>14</v>
      </c>
      <c r="AA4" s="75">
        <v>46059</v>
      </c>
      <c r="AB4" s="75">
        <f t="shared" si="18"/>
        <v>45920</v>
      </c>
      <c r="AC4" s="88">
        <f t="shared" si="19"/>
        <v>19.857142857142858</v>
      </c>
      <c r="AD4" s="89" t="str">
        <f t="shared" ca="1" si="20"/>
        <v>STABLE</v>
      </c>
      <c r="AE4" s="89" t="str">
        <f t="shared" si="21"/>
        <v>FAST SELLING</v>
      </c>
      <c r="AF4" s="89" t="str">
        <f t="shared" si="22"/>
        <v>AT RISK</v>
      </c>
      <c r="AG4" s="89" t="str">
        <f t="shared" si="23"/>
        <v>FEASIBLE</v>
      </c>
      <c r="AH4" s="81" t="str">
        <f t="shared" ca="1" si="24"/>
        <v>IMMEDIATE REBUY</v>
      </c>
      <c r="AI4" s="75">
        <f t="shared" ca="1" si="25"/>
        <v>1176.5357142857142</v>
      </c>
      <c r="AJ4" s="75">
        <f t="shared" ca="1" si="26"/>
        <v>671.53571428571422</v>
      </c>
      <c r="AK4" s="13">
        <f t="shared" ca="1" si="27"/>
        <v>806</v>
      </c>
      <c r="AL4" s="79">
        <v>0.1</v>
      </c>
      <c r="AM4" s="79">
        <v>0.3</v>
      </c>
      <c r="AN4" s="79">
        <v>0.3</v>
      </c>
      <c r="AO4" s="79">
        <v>0.1</v>
      </c>
      <c r="AP4" s="79">
        <v>0.1</v>
      </c>
      <c r="AQ4" s="75">
        <f t="shared" si="28"/>
        <v>50.5</v>
      </c>
      <c r="AR4" s="75">
        <f t="shared" si="29"/>
        <v>151.5</v>
      </c>
      <c r="AS4" s="75">
        <f t="shared" si="30"/>
        <v>151.5</v>
      </c>
      <c r="AT4" s="75">
        <f t="shared" si="31"/>
        <v>50.5</v>
      </c>
      <c r="AU4" s="75">
        <f t="shared" si="32"/>
        <v>50.5</v>
      </c>
      <c r="AV4" s="13">
        <v>0.8</v>
      </c>
      <c r="AW4" s="13">
        <v>1.2</v>
      </c>
      <c r="AX4" s="13">
        <v>1.3</v>
      </c>
      <c r="AY4" s="13">
        <v>1</v>
      </c>
      <c r="AZ4" s="13">
        <v>0.7</v>
      </c>
      <c r="BA4" s="105">
        <f t="shared" si="33"/>
        <v>7.9</v>
      </c>
      <c r="BB4" s="13">
        <f t="shared" si="34"/>
        <v>35.549999999999997</v>
      </c>
      <c r="BC4" s="13">
        <f t="shared" si="35"/>
        <v>38.512500000000003</v>
      </c>
      <c r="BD4" s="13">
        <f t="shared" si="36"/>
        <v>9.875</v>
      </c>
      <c r="BE4" s="13">
        <f t="shared" si="37"/>
        <v>6.9124999999999996</v>
      </c>
      <c r="BF4" s="88">
        <f t="shared" si="38"/>
        <v>6.3924050632911387</v>
      </c>
      <c r="BG4" s="88">
        <f t="shared" si="39"/>
        <v>4.2616033755274261</v>
      </c>
      <c r="BH4" s="88">
        <f t="shared" si="40"/>
        <v>3.9337877312560856</v>
      </c>
      <c r="BI4" s="88">
        <f t="shared" si="41"/>
        <v>5.1139240506329111</v>
      </c>
      <c r="BJ4" s="88">
        <f t="shared" si="42"/>
        <v>7.305605786618445</v>
      </c>
      <c r="BK4" s="105">
        <f t="shared" si="43"/>
        <v>0.15643564356435644</v>
      </c>
      <c r="BL4" s="105">
        <f t="shared" si="44"/>
        <v>0.23465346534653467</v>
      </c>
      <c r="BM4" s="105">
        <f t="shared" si="45"/>
        <v>0.25420792079207921</v>
      </c>
      <c r="BN4" s="105">
        <f t="shared" si="46"/>
        <v>0.19554455445544555</v>
      </c>
      <c r="BO4" s="105">
        <f t="shared" si="47"/>
        <v>0.13688118811881189</v>
      </c>
      <c r="BP4" s="105">
        <f t="shared" si="48"/>
        <v>0.9777227722772277</v>
      </c>
      <c r="BQ4" s="79">
        <f t="shared" si="49"/>
        <v>0.16</v>
      </c>
      <c r="BR4" s="79">
        <f t="shared" si="50"/>
        <v>0.24000000000000002</v>
      </c>
      <c r="BS4" s="79">
        <f t="shared" si="51"/>
        <v>0.26</v>
      </c>
      <c r="BT4" s="79">
        <f t="shared" si="52"/>
        <v>0.2</v>
      </c>
      <c r="BU4" s="79">
        <f t="shared" si="53"/>
        <v>0.14000000000000001</v>
      </c>
      <c r="BV4" s="90" t="s">
        <v>407</v>
      </c>
      <c r="BW4" s="106">
        <f t="shared" ca="1" si="54"/>
        <v>128.96</v>
      </c>
      <c r="BX4" s="106">
        <f t="shared" ca="1" si="1"/>
        <v>193.44000000000003</v>
      </c>
      <c r="BY4" s="106">
        <f t="shared" ca="1" si="2"/>
        <v>209.56</v>
      </c>
      <c r="BZ4" s="106">
        <f t="shared" ca="1" si="3"/>
        <v>161.20000000000002</v>
      </c>
      <c r="CA4" s="106">
        <f t="shared" ca="1" si="55"/>
        <v>112.84000000000002</v>
      </c>
    </row>
    <row r="5" spans="1:79" x14ac:dyDescent="0.35">
      <c r="A5" s="25" t="s">
        <v>19</v>
      </c>
      <c r="B5" s="10" t="s">
        <v>315</v>
      </c>
      <c r="C5" s="10" t="s">
        <v>341</v>
      </c>
      <c r="D5" s="10" t="s">
        <v>346</v>
      </c>
      <c r="E5" s="11">
        <v>45920</v>
      </c>
      <c r="F5" s="17">
        <v>45892</v>
      </c>
      <c r="G5" s="14">
        <f t="shared" ca="1" si="4"/>
        <v>207</v>
      </c>
      <c r="H5" s="17">
        <v>999</v>
      </c>
      <c r="I5" s="17">
        <v>520</v>
      </c>
      <c r="J5" s="75">
        <f t="shared" si="5"/>
        <v>1163</v>
      </c>
      <c r="K5" s="17">
        <v>1200</v>
      </c>
      <c r="L5" s="85">
        <v>37</v>
      </c>
      <c r="M5" s="86">
        <f t="shared" ca="1" si="6"/>
        <v>0.17874396135265699</v>
      </c>
      <c r="N5" s="86">
        <f t="shared" si="7"/>
        <v>0.92883099285538351</v>
      </c>
      <c r="O5" s="86">
        <f t="shared" si="8"/>
        <v>0.11280487804878049</v>
      </c>
      <c r="P5" s="87">
        <f t="shared" si="9"/>
        <v>9.25</v>
      </c>
      <c r="Q5" s="104">
        <f t="shared" si="10"/>
        <v>125.72972972972973</v>
      </c>
      <c r="R5" s="88">
        <f t="shared" si="11"/>
        <v>47.947947947947952</v>
      </c>
      <c r="S5" s="88">
        <f t="shared" si="12"/>
        <v>3.0833333333333335</v>
      </c>
      <c r="T5" s="13">
        <f t="shared" si="13"/>
        <v>1</v>
      </c>
      <c r="U5" s="13">
        <f t="shared" si="0"/>
        <v>1</v>
      </c>
      <c r="V5" s="13">
        <f t="shared" si="14"/>
        <v>2</v>
      </c>
      <c r="W5" s="13">
        <f t="shared" ca="1" si="15"/>
        <v>3</v>
      </c>
      <c r="X5" s="13">
        <f t="shared" ca="1" si="16"/>
        <v>7</v>
      </c>
      <c r="Y5" s="81" t="str">
        <f t="shared" ca="1" si="17"/>
        <v>MONITOR</v>
      </c>
      <c r="Z5" s="13">
        <v>14</v>
      </c>
      <c r="AA5" s="75">
        <v>46059</v>
      </c>
      <c r="AB5" s="75">
        <f t="shared" si="18"/>
        <v>45920</v>
      </c>
      <c r="AC5" s="88">
        <f t="shared" si="19"/>
        <v>19.857142857142858</v>
      </c>
      <c r="AD5" s="89" t="str">
        <f t="shared" ca="1" si="20"/>
        <v>STABLE</v>
      </c>
      <c r="AE5" s="89" t="str">
        <f t="shared" si="21"/>
        <v>SLOW SELLING</v>
      </c>
      <c r="AF5" s="89" t="str">
        <f t="shared" si="22"/>
        <v>AT RISK</v>
      </c>
      <c r="AG5" s="89" t="str">
        <f t="shared" si="23"/>
        <v>FEASIBLE</v>
      </c>
      <c r="AH5" s="81" t="str">
        <f t="shared" ca="1" si="24"/>
        <v>MONITOR</v>
      </c>
      <c r="AI5" s="75">
        <f t="shared" ca="1" si="25"/>
        <v>0</v>
      </c>
      <c r="AJ5" s="75">
        <f t="shared" ca="1" si="26"/>
        <v>-1163</v>
      </c>
      <c r="AK5" s="13">
        <f t="shared" ca="1" si="27"/>
        <v>-1396</v>
      </c>
      <c r="AL5" s="79">
        <v>0.1</v>
      </c>
      <c r="AM5" s="79">
        <v>0.3</v>
      </c>
      <c r="AN5" s="79">
        <v>0.3</v>
      </c>
      <c r="AO5" s="79">
        <v>0.1</v>
      </c>
      <c r="AP5" s="79">
        <v>0.1</v>
      </c>
      <c r="AQ5" s="75">
        <f t="shared" si="28"/>
        <v>116.30000000000001</v>
      </c>
      <c r="AR5" s="75">
        <f t="shared" si="29"/>
        <v>348.9</v>
      </c>
      <c r="AS5" s="75">
        <f t="shared" si="30"/>
        <v>348.9</v>
      </c>
      <c r="AT5" s="75">
        <f t="shared" si="31"/>
        <v>116.30000000000001</v>
      </c>
      <c r="AU5" s="75">
        <f t="shared" si="32"/>
        <v>116.30000000000001</v>
      </c>
      <c r="AV5" s="13">
        <v>0.8</v>
      </c>
      <c r="AW5" s="13">
        <v>1.2</v>
      </c>
      <c r="AX5" s="13">
        <v>1.3</v>
      </c>
      <c r="AY5" s="13">
        <v>1</v>
      </c>
      <c r="AZ5" s="13">
        <v>0.7</v>
      </c>
      <c r="BA5" s="105">
        <f t="shared" si="33"/>
        <v>0.7400000000000001</v>
      </c>
      <c r="BB5" s="13">
        <f t="shared" si="34"/>
        <v>3.3299999999999996</v>
      </c>
      <c r="BC5" s="13">
        <f t="shared" si="35"/>
        <v>3.6074999999999999</v>
      </c>
      <c r="BD5" s="13">
        <f t="shared" si="36"/>
        <v>0.92500000000000004</v>
      </c>
      <c r="BE5" s="13">
        <f t="shared" si="37"/>
        <v>0.64749999999999996</v>
      </c>
      <c r="BF5" s="88">
        <f t="shared" si="38"/>
        <v>157.16216216216216</v>
      </c>
      <c r="BG5" s="88">
        <f t="shared" si="39"/>
        <v>104.77477477477478</v>
      </c>
      <c r="BH5" s="88">
        <f t="shared" si="40"/>
        <v>96.71517671517671</v>
      </c>
      <c r="BI5" s="88">
        <f t="shared" si="41"/>
        <v>125.72972972972974</v>
      </c>
      <c r="BJ5" s="88">
        <f t="shared" si="42"/>
        <v>179.61389961389963</v>
      </c>
      <c r="BK5" s="105">
        <f t="shared" si="43"/>
        <v>6.3628546861564921E-3</v>
      </c>
      <c r="BL5" s="105">
        <f t="shared" si="44"/>
        <v>9.5442820292347373E-3</v>
      </c>
      <c r="BM5" s="105">
        <f t="shared" si="45"/>
        <v>1.0339638865004299E-2</v>
      </c>
      <c r="BN5" s="105">
        <f t="shared" si="46"/>
        <v>7.9535683576956138E-3</v>
      </c>
      <c r="BO5" s="105">
        <f t="shared" si="47"/>
        <v>5.5674978503869295E-3</v>
      </c>
      <c r="BP5" s="105">
        <f t="shared" si="48"/>
        <v>3.9767841788478073E-2</v>
      </c>
      <c r="BQ5" s="79">
        <f t="shared" si="49"/>
        <v>0.16</v>
      </c>
      <c r="BR5" s="79">
        <f t="shared" si="50"/>
        <v>0.24</v>
      </c>
      <c r="BS5" s="79">
        <f t="shared" si="51"/>
        <v>0.26</v>
      </c>
      <c r="BT5" s="79">
        <f t="shared" si="52"/>
        <v>0.19999999999999998</v>
      </c>
      <c r="BU5" s="79">
        <f t="shared" si="53"/>
        <v>0.13999999999999999</v>
      </c>
      <c r="BV5" s="90" t="s">
        <v>413</v>
      </c>
      <c r="BW5" s="106">
        <f t="shared" ca="1" si="54"/>
        <v>-223.36</v>
      </c>
      <c r="BX5" s="106">
        <f t="shared" ca="1" si="1"/>
        <v>-335.03999999999996</v>
      </c>
      <c r="BY5" s="106">
        <f t="shared" ca="1" si="2"/>
        <v>-362.96000000000004</v>
      </c>
      <c r="BZ5" s="106">
        <f t="shared" ca="1" si="3"/>
        <v>-279.2</v>
      </c>
      <c r="CA5" s="106">
        <f t="shared" ca="1" si="55"/>
        <v>-195.43999999999997</v>
      </c>
    </row>
    <row r="6" spans="1:79" x14ac:dyDescent="0.35">
      <c r="A6" s="25" t="s">
        <v>20</v>
      </c>
      <c r="B6" s="10" t="s">
        <v>316</v>
      </c>
      <c r="C6" s="10" t="s">
        <v>341</v>
      </c>
      <c r="D6" s="10" t="s">
        <v>346</v>
      </c>
      <c r="E6" s="11">
        <v>45871</v>
      </c>
      <c r="F6" s="17">
        <v>45892</v>
      </c>
      <c r="G6" s="14">
        <f t="shared" ca="1" si="4"/>
        <v>207</v>
      </c>
      <c r="H6" s="17">
        <v>999</v>
      </c>
      <c r="I6" s="17">
        <v>450</v>
      </c>
      <c r="J6" s="75">
        <f t="shared" si="5"/>
        <v>785</v>
      </c>
      <c r="K6" s="17">
        <v>1000</v>
      </c>
      <c r="L6" s="85">
        <v>215</v>
      </c>
      <c r="M6" s="86">
        <f t="shared" ca="1" si="6"/>
        <v>1.038647342995169</v>
      </c>
      <c r="N6" s="86">
        <f t="shared" si="7"/>
        <v>0.92883099285538351</v>
      </c>
      <c r="O6" s="86">
        <f t="shared" si="8"/>
        <v>0.65548780487804881</v>
      </c>
      <c r="P6" s="87">
        <f t="shared" si="9"/>
        <v>53.75</v>
      </c>
      <c r="Q6" s="104">
        <f t="shared" si="10"/>
        <v>14.604651162790697</v>
      </c>
      <c r="R6" s="88">
        <f t="shared" si="11"/>
        <v>54.954954954954957</v>
      </c>
      <c r="S6" s="88">
        <f t="shared" si="12"/>
        <v>21.5</v>
      </c>
      <c r="T6" s="13">
        <f t="shared" si="13"/>
        <v>1</v>
      </c>
      <c r="U6" s="13">
        <f t="shared" si="0"/>
        <v>1</v>
      </c>
      <c r="V6" s="13">
        <f t="shared" si="14"/>
        <v>2</v>
      </c>
      <c r="W6" s="13">
        <f t="shared" ca="1" si="15"/>
        <v>3</v>
      </c>
      <c r="X6" s="13">
        <f t="shared" ca="1" si="16"/>
        <v>7</v>
      </c>
      <c r="Y6" s="81" t="str">
        <f t="shared" ca="1" si="17"/>
        <v>MONITOR</v>
      </c>
      <c r="Z6" s="13">
        <v>14</v>
      </c>
      <c r="AA6" s="75">
        <v>46059</v>
      </c>
      <c r="AB6" s="75">
        <f t="shared" si="18"/>
        <v>45920</v>
      </c>
      <c r="AC6" s="88">
        <f t="shared" si="19"/>
        <v>19.857142857142858</v>
      </c>
      <c r="AD6" s="89" t="str">
        <f t="shared" ca="1" si="20"/>
        <v>STABLE</v>
      </c>
      <c r="AE6" s="89" t="str">
        <f t="shared" si="21"/>
        <v>SLOW SELLING</v>
      </c>
      <c r="AF6" s="89" t="str">
        <f t="shared" si="22"/>
        <v>AT RISK</v>
      </c>
      <c r="AG6" s="89" t="str">
        <f t="shared" si="23"/>
        <v>FEASIBLE</v>
      </c>
      <c r="AH6" s="81" t="str">
        <f t="shared" ca="1" si="24"/>
        <v>MONITOR</v>
      </c>
      <c r="AI6" s="75">
        <f t="shared" ca="1" si="25"/>
        <v>0</v>
      </c>
      <c r="AJ6" s="75">
        <f t="shared" ca="1" si="26"/>
        <v>-785</v>
      </c>
      <c r="AK6" s="13">
        <f t="shared" ca="1" si="27"/>
        <v>-942</v>
      </c>
      <c r="AL6" s="79">
        <v>0.1</v>
      </c>
      <c r="AM6" s="79">
        <v>0.3</v>
      </c>
      <c r="AN6" s="79">
        <v>0.3</v>
      </c>
      <c r="AO6" s="79">
        <v>0.1</v>
      </c>
      <c r="AP6" s="79">
        <v>0.1</v>
      </c>
      <c r="AQ6" s="75">
        <f t="shared" si="28"/>
        <v>78.5</v>
      </c>
      <c r="AR6" s="75">
        <f t="shared" si="29"/>
        <v>235.5</v>
      </c>
      <c r="AS6" s="75">
        <f t="shared" si="30"/>
        <v>235.5</v>
      </c>
      <c r="AT6" s="75">
        <f t="shared" si="31"/>
        <v>78.5</v>
      </c>
      <c r="AU6" s="75">
        <f t="shared" si="32"/>
        <v>78.5</v>
      </c>
      <c r="AV6" s="13">
        <v>0.8</v>
      </c>
      <c r="AW6" s="13">
        <v>1.2</v>
      </c>
      <c r="AX6" s="13">
        <v>1.3</v>
      </c>
      <c r="AY6" s="13">
        <v>1</v>
      </c>
      <c r="AZ6" s="13">
        <v>0.7</v>
      </c>
      <c r="BA6" s="105">
        <f t="shared" si="33"/>
        <v>4.3</v>
      </c>
      <c r="BB6" s="13">
        <f t="shared" si="34"/>
        <v>19.349999999999998</v>
      </c>
      <c r="BC6" s="13">
        <f t="shared" si="35"/>
        <v>20.962500000000002</v>
      </c>
      <c r="BD6" s="13">
        <f t="shared" si="36"/>
        <v>5.375</v>
      </c>
      <c r="BE6" s="13">
        <f t="shared" si="37"/>
        <v>3.7624999999999997</v>
      </c>
      <c r="BF6" s="88">
        <f t="shared" si="38"/>
        <v>18.255813953488374</v>
      </c>
      <c r="BG6" s="88">
        <f t="shared" si="39"/>
        <v>12.170542635658917</v>
      </c>
      <c r="BH6" s="88">
        <f t="shared" si="40"/>
        <v>11.234347048300535</v>
      </c>
      <c r="BI6" s="88">
        <f t="shared" si="41"/>
        <v>14.604651162790697</v>
      </c>
      <c r="BJ6" s="88">
        <f t="shared" si="42"/>
        <v>20.863787375415285</v>
      </c>
      <c r="BK6" s="105">
        <f t="shared" si="43"/>
        <v>5.4777070063694262E-2</v>
      </c>
      <c r="BL6" s="105">
        <f t="shared" si="44"/>
        <v>8.2165605095541383E-2</v>
      </c>
      <c r="BM6" s="105">
        <f t="shared" si="45"/>
        <v>8.9012738853503207E-2</v>
      </c>
      <c r="BN6" s="105">
        <f t="shared" si="46"/>
        <v>6.8471337579617833E-2</v>
      </c>
      <c r="BO6" s="105">
        <f t="shared" si="47"/>
        <v>4.792993630573248E-2</v>
      </c>
      <c r="BP6" s="105">
        <f t="shared" si="48"/>
        <v>0.34235668789808915</v>
      </c>
      <c r="BQ6" s="79">
        <f t="shared" si="49"/>
        <v>0.16</v>
      </c>
      <c r="BR6" s="79">
        <f t="shared" si="50"/>
        <v>0.23999999999999996</v>
      </c>
      <c r="BS6" s="79">
        <f t="shared" si="51"/>
        <v>0.26000000000000006</v>
      </c>
      <c r="BT6" s="79">
        <f t="shared" si="52"/>
        <v>0.2</v>
      </c>
      <c r="BU6" s="79">
        <f t="shared" si="53"/>
        <v>0.13999999999999999</v>
      </c>
      <c r="BV6" s="90" t="s">
        <v>414</v>
      </c>
      <c r="BW6" s="106">
        <f t="shared" ca="1" si="54"/>
        <v>-150.72</v>
      </c>
      <c r="BX6" s="106">
        <f t="shared" ca="1" si="1"/>
        <v>-226.07999999999996</v>
      </c>
      <c r="BY6" s="106">
        <f t="shared" ca="1" si="2"/>
        <v>-244.92000000000007</v>
      </c>
      <c r="BZ6" s="106">
        <f t="shared" ca="1" si="3"/>
        <v>-188.4</v>
      </c>
      <c r="CA6" s="106">
        <f t="shared" ca="1" si="55"/>
        <v>-131.88</v>
      </c>
    </row>
    <row r="7" spans="1:79" x14ac:dyDescent="0.35">
      <c r="A7" s="25" t="s">
        <v>21</v>
      </c>
      <c r="B7" s="10" t="s">
        <v>315</v>
      </c>
      <c r="C7" s="10" t="s">
        <v>341</v>
      </c>
      <c r="D7" s="10" t="s">
        <v>346</v>
      </c>
      <c r="E7" s="11">
        <v>45920</v>
      </c>
      <c r="F7" s="17">
        <v>45892</v>
      </c>
      <c r="G7" s="14">
        <f t="shared" ca="1" si="4"/>
        <v>207</v>
      </c>
      <c r="H7" s="17">
        <v>999</v>
      </c>
      <c r="I7" s="17">
        <v>475</v>
      </c>
      <c r="J7" s="75">
        <f t="shared" si="5"/>
        <v>794</v>
      </c>
      <c r="K7" s="17">
        <v>1100</v>
      </c>
      <c r="L7" s="85">
        <v>306</v>
      </c>
      <c r="M7" s="86">
        <f t="shared" ca="1" si="6"/>
        <v>1.4782608695652173</v>
      </c>
      <c r="N7" s="86">
        <f t="shared" si="7"/>
        <v>0.92883099285538351</v>
      </c>
      <c r="O7" s="86">
        <f t="shared" si="8"/>
        <v>0.93292682926829273</v>
      </c>
      <c r="P7" s="87">
        <f t="shared" si="9"/>
        <v>76.5</v>
      </c>
      <c r="Q7" s="104">
        <f t="shared" si="10"/>
        <v>10.379084967320262</v>
      </c>
      <c r="R7" s="88">
        <f t="shared" si="11"/>
        <v>52.452452452452448</v>
      </c>
      <c r="S7" s="88">
        <f t="shared" si="12"/>
        <v>27.81818181818182</v>
      </c>
      <c r="T7" s="13">
        <f t="shared" si="13"/>
        <v>3</v>
      </c>
      <c r="U7" s="13">
        <f t="shared" si="0"/>
        <v>1</v>
      </c>
      <c r="V7" s="13">
        <f t="shared" si="14"/>
        <v>2</v>
      </c>
      <c r="W7" s="13">
        <f t="shared" ca="1" si="15"/>
        <v>3</v>
      </c>
      <c r="X7" s="13">
        <f t="shared" ca="1" si="16"/>
        <v>9</v>
      </c>
      <c r="Y7" s="81" t="str">
        <f t="shared" ca="1" si="17"/>
        <v>RE-BUY</v>
      </c>
      <c r="Z7" s="13">
        <v>14</v>
      </c>
      <c r="AA7" s="75">
        <v>46059</v>
      </c>
      <c r="AB7" s="75">
        <f t="shared" si="18"/>
        <v>45920</v>
      </c>
      <c r="AC7" s="88">
        <f t="shared" si="19"/>
        <v>19.857142857142858</v>
      </c>
      <c r="AD7" s="89" t="str">
        <f t="shared" ca="1" si="20"/>
        <v>STABLE</v>
      </c>
      <c r="AE7" s="89" t="str">
        <f t="shared" si="21"/>
        <v>FAST SELLING</v>
      </c>
      <c r="AF7" s="89" t="str">
        <f t="shared" si="22"/>
        <v>AT RISK</v>
      </c>
      <c r="AG7" s="89" t="str">
        <f t="shared" si="23"/>
        <v>FEASIBLE</v>
      </c>
      <c r="AH7" s="81" t="str">
        <f t="shared" ca="1" si="24"/>
        <v>IMMEDIATE REBUY</v>
      </c>
      <c r="AI7" s="75">
        <f t="shared" ca="1" si="25"/>
        <v>911.44285714285718</v>
      </c>
      <c r="AJ7" s="75">
        <f t="shared" ca="1" si="26"/>
        <v>117.44285714285718</v>
      </c>
      <c r="AK7" s="13">
        <f t="shared" ca="1" si="27"/>
        <v>141</v>
      </c>
      <c r="AL7" s="79">
        <v>0.1</v>
      </c>
      <c r="AM7" s="79">
        <v>0.3</v>
      </c>
      <c r="AN7" s="79">
        <v>0.3</v>
      </c>
      <c r="AO7" s="79">
        <v>0.1</v>
      </c>
      <c r="AP7" s="79">
        <v>0.1</v>
      </c>
      <c r="AQ7" s="75">
        <f t="shared" si="28"/>
        <v>79.400000000000006</v>
      </c>
      <c r="AR7" s="75">
        <f t="shared" si="29"/>
        <v>238.2</v>
      </c>
      <c r="AS7" s="75">
        <f t="shared" si="30"/>
        <v>238.2</v>
      </c>
      <c r="AT7" s="75">
        <f t="shared" si="31"/>
        <v>79.400000000000006</v>
      </c>
      <c r="AU7" s="75">
        <f t="shared" si="32"/>
        <v>79.400000000000006</v>
      </c>
      <c r="AV7" s="13">
        <v>0.8</v>
      </c>
      <c r="AW7" s="13">
        <v>1.2</v>
      </c>
      <c r="AX7" s="13">
        <v>1.3</v>
      </c>
      <c r="AY7" s="13">
        <v>1</v>
      </c>
      <c r="AZ7" s="13">
        <v>0.7</v>
      </c>
      <c r="BA7" s="105">
        <f t="shared" si="33"/>
        <v>6.120000000000001</v>
      </c>
      <c r="BB7" s="13">
        <f t="shared" si="34"/>
        <v>27.54</v>
      </c>
      <c r="BC7" s="13">
        <f t="shared" si="35"/>
        <v>29.835000000000001</v>
      </c>
      <c r="BD7" s="13">
        <f t="shared" si="36"/>
        <v>7.65</v>
      </c>
      <c r="BE7" s="13">
        <f t="shared" si="37"/>
        <v>5.3549999999999995</v>
      </c>
      <c r="BF7" s="88">
        <f t="shared" si="38"/>
        <v>12.973856209150325</v>
      </c>
      <c r="BG7" s="88">
        <f t="shared" si="39"/>
        <v>8.6492374727668846</v>
      </c>
      <c r="BH7" s="88">
        <f t="shared" si="40"/>
        <v>7.9839115133232772</v>
      </c>
      <c r="BI7" s="88">
        <f t="shared" si="41"/>
        <v>10.379084967320262</v>
      </c>
      <c r="BJ7" s="88">
        <f t="shared" si="42"/>
        <v>14.827264239028947</v>
      </c>
      <c r="BK7" s="105">
        <f t="shared" si="43"/>
        <v>7.7078085642317384E-2</v>
      </c>
      <c r="BL7" s="105">
        <f t="shared" si="44"/>
        <v>0.11561712846347608</v>
      </c>
      <c r="BM7" s="105">
        <f t="shared" si="45"/>
        <v>0.12525188916876576</v>
      </c>
      <c r="BN7" s="105">
        <f t="shared" si="46"/>
        <v>9.6347607052896717E-2</v>
      </c>
      <c r="BO7" s="105">
        <f t="shared" si="47"/>
        <v>6.744332493702769E-2</v>
      </c>
      <c r="BP7" s="105">
        <f t="shared" si="48"/>
        <v>0.48173803526448361</v>
      </c>
      <c r="BQ7" s="79">
        <f t="shared" si="49"/>
        <v>0.16</v>
      </c>
      <c r="BR7" s="79">
        <f t="shared" si="50"/>
        <v>0.24000000000000002</v>
      </c>
      <c r="BS7" s="79">
        <f t="shared" si="51"/>
        <v>0.26000000000000006</v>
      </c>
      <c r="BT7" s="79">
        <f t="shared" si="52"/>
        <v>0.19999999999999998</v>
      </c>
      <c r="BU7" s="79">
        <f t="shared" si="53"/>
        <v>0.13999999999999996</v>
      </c>
      <c r="BV7" s="90" t="s">
        <v>415</v>
      </c>
      <c r="BW7" s="106">
        <f t="shared" ca="1" si="54"/>
        <v>22.56</v>
      </c>
      <c r="BX7" s="106">
        <f t="shared" ca="1" si="1"/>
        <v>33.840000000000003</v>
      </c>
      <c r="BY7" s="106">
        <f t="shared" ca="1" si="2"/>
        <v>36.660000000000011</v>
      </c>
      <c r="BZ7" s="106">
        <f t="shared" ca="1" si="3"/>
        <v>28.2</v>
      </c>
      <c r="CA7" s="106">
        <f t="shared" ca="1" si="55"/>
        <v>19.739999999999995</v>
      </c>
    </row>
    <row r="8" spans="1:79" x14ac:dyDescent="0.35">
      <c r="A8" s="25" t="s">
        <v>22</v>
      </c>
      <c r="B8" s="10" t="s">
        <v>315</v>
      </c>
      <c r="C8" s="10" t="s">
        <v>341</v>
      </c>
      <c r="D8" s="10" t="s">
        <v>346</v>
      </c>
      <c r="E8" s="11">
        <v>45920</v>
      </c>
      <c r="F8" s="17">
        <v>45892</v>
      </c>
      <c r="G8" s="14">
        <f t="shared" ca="1" si="4"/>
        <v>207</v>
      </c>
      <c r="H8" s="17">
        <v>999</v>
      </c>
      <c r="I8" s="17">
        <v>475</v>
      </c>
      <c r="J8" s="75">
        <f t="shared" si="5"/>
        <v>866</v>
      </c>
      <c r="K8" s="17">
        <v>1100</v>
      </c>
      <c r="L8" s="85">
        <v>234</v>
      </c>
      <c r="M8" s="86">
        <f t="shared" ca="1" si="6"/>
        <v>1.1304347826086956</v>
      </c>
      <c r="N8" s="86">
        <f t="shared" si="7"/>
        <v>0.92883099285538351</v>
      </c>
      <c r="O8" s="86">
        <f t="shared" si="8"/>
        <v>0.71341463414634143</v>
      </c>
      <c r="P8" s="87">
        <f t="shared" si="9"/>
        <v>58.5</v>
      </c>
      <c r="Q8" s="104">
        <f t="shared" si="10"/>
        <v>14.803418803418804</v>
      </c>
      <c r="R8" s="88">
        <f t="shared" si="11"/>
        <v>52.452452452452448</v>
      </c>
      <c r="S8" s="88">
        <f t="shared" si="12"/>
        <v>21.272727272727273</v>
      </c>
      <c r="T8" s="13">
        <f t="shared" si="13"/>
        <v>1</v>
      </c>
      <c r="U8" s="13">
        <f t="shared" si="0"/>
        <v>1</v>
      </c>
      <c r="V8" s="13">
        <f t="shared" si="14"/>
        <v>2</v>
      </c>
      <c r="W8" s="13">
        <f t="shared" ca="1" si="15"/>
        <v>3</v>
      </c>
      <c r="X8" s="13">
        <f t="shared" ca="1" si="16"/>
        <v>7</v>
      </c>
      <c r="Y8" s="81" t="str">
        <f t="shared" ca="1" si="17"/>
        <v>MONITOR</v>
      </c>
      <c r="Z8" s="13">
        <v>14</v>
      </c>
      <c r="AA8" s="75">
        <v>46059</v>
      </c>
      <c r="AB8" s="75">
        <f t="shared" si="18"/>
        <v>45920</v>
      </c>
      <c r="AC8" s="88">
        <f t="shared" si="19"/>
        <v>19.857142857142858</v>
      </c>
      <c r="AD8" s="89" t="str">
        <f t="shared" ca="1" si="20"/>
        <v>STABLE</v>
      </c>
      <c r="AE8" s="89" t="str">
        <f t="shared" si="21"/>
        <v>SLOW SELLING</v>
      </c>
      <c r="AF8" s="89" t="str">
        <f t="shared" si="22"/>
        <v>AT RISK</v>
      </c>
      <c r="AG8" s="89" t="str">
        <f t="shared" si="23"/>
        <v>FEASIBLE</v>
      </c>
      <c r="AH8" s="81" t="str">
        <f t="shared" ca="1" si="24"/>
        <v>MONITOR</v>
      </c>
      <c r="AI8" s="75">
        <f t="shared" ca="1" si="25"/>
        <v>0</v>
      </c>
      <c r="AJ8" s="75">
        <f t="shared" ca="1" si="26"/>
        <v>-866</v>
      </c>
      <c r="AK8" s="13">
        <f t="shared" ca="1" si="27"/>
        <v>-1039</v>
      </c>
      <c r="AL8" s="79">
        <v>0.1</v>
      </c>
      <c r="AM8" s="79">
        <v>0.3</v>
      </c>
      <c r="AN8" s="79">
        <v>0.3</v>
      </c>
      <c r="AO8" s="79">
        <v>0.1</v>
      </c>
      <c r="AP8" s="79">
        <v>0.1</v>
      </c>
      <c r="AQ8" s="75">
        <f t="shared" si="28"/>
        <v>86.600000000000009</v>
      </c>
      <c r="AR8" s="75">
        <f t="shared" si="29"/>
        <v>259.8</v>
      </c>
      <c r="AS8" s="75">
        <f t="shared" si="30"/>
        <v>259.8</v>
      </c>
      <c r="AT8" s="75">
        <f t="shared" si="31"/>
        <v>86.600000000000009</v>
      </c>
      <c r="AU8" s="75">
        <f t="shared" si="32"/>
        <v>86.600000000000009</v>
      </c>
      <c r="AV8" s="13">
        <v>0.8</v>
      </c>
      <c r="AW8" s="13">
        <v>1.2</v>
      </c>
      <c r="AX8" s="13">
        <v>1.3</v>
      </c>
      <c r="AY8" s="13">
        <v>1</v>
      </c>
      <c r="AZ8" s="13">
        <v>0.7</v>
      </c>
      <c r="BA8" s="105">
        <f t="shared" si="33"/>
        <v>4.6800000000000006</v>
      </c>
      <c r="BB8" s="13">
        <f t="shared" si="34"/>
        <v>21.06</v>
      </c>
      <c r="BC8" s="13">
        <f t="shared" si="35"/>
        <v>22.815000000000001</v>
      </c>
      <c r="BD8" s="13">
        <f t="shared" si="36"/>
        <v>5.8500000000000005</v>
      </c>
      <c r="BE8" s="13">
        <f t="shared" si="37"/>
        <v>4.0949999999999998</v>
      </c>
      <c r="BF8" s="88">
        <f t="shared" si="38"/>
        <v>18.504273504273502</v>
      </c>
      <c r="BG8" s="88">
        <f t="shared" si="39"/>
        <v>12.336182336182338</v>
      </c>
      <c r="BH8" s="88">
        <f t="shared" si="40"/>
        <v>11.38724523339908</v>
      </c>
      <c r="BI8" s="88">
        <f t="shared" si="41"/>
        <v>14.803418803418804</v>
      </c>
      <c r="BJ8" s="88">
        <f t="shared" si="42"/>
        <v>21.147741147741151</v>
      </c>
      <c r="BK8" s="105">
        <f t="shared" si="43"/>
        <v>5.4041570438799084E-2</v>
      </c>
      <c r="BL8" s="105">
        <f t="shared" si="44"/>
        <v>8.1062355658198609E-2</v>
      </c>
      <c r="BM8" s="105">
        <f t="shared" si="45"/>
        <v>8.7817551963048496E-2</v>
      </c>
      <c r="BN8" s="105">
        <f t="shared" si="46"/>
        <v>6.7551963048498836E-2</v>
      </c>
      <c r="BO8" s="105">
        <f t="shared" si="47"/>
        <v>4.7286374133949184E-2</v>
      </c>
      <c r="BP8" s="105">
        <f t="shared" si="48"/>
        <v>0.33775981524249421</v>
      </c>
      <c r="BQ8" s="79">
        <f t="shared" si="49"/>
        <v>0.16000000000000003</v>
      </c>
      <c r="BR8" s="79">
        <f t="shared" si="50"/>
        <v>0.24</v>
      </c>
      <c r="BS8" s="79">
        <f t="shared" si="51"/>
        <v>0.26</v>
      </c>
      <c r="BT8" s="79">
        <f t="shared" si="52"/>
        <v>0.19999999999999998</v>
      </c>
      <c r="BU8" s="79">
        <f t="shared" si="53"/>
        <v>0.13999999999999999</v>
      </c>
      <c r="BV8" s="90" t="s">
        <v>408</v>
      </c>
      <c r="BW8" s="106">
        <f t="shared" ca="1" si="54"/>
        <v>-166.24000000000004</v>
      </c>
      <c r="BX8" s="106">
        <f t="shared" ca="1" si="1"/>
        <v>-249.35999999999999</v>
      </c>
      <c r="BY8" s="106">
        <f t="shared" ca="1" si="2"/>
        <v>-270.14</v>
      </c>
      <c r="BZ8" s="106">
        <f t="shared" ca="1" si="3"/>
        <v>-207.79999999999998</v>
      </c>
      <c r="CA8" s="106">
        <f t="shared" ca="1" si="55"/>
        <v>-145.45999999999998</v>
      </c>
    </row>
    <row r="9" spans="1:79" x14ac:dyDescent="0.35">
      <c r="A9" s="25" t="s">
        <v>23</v>
      </c>
      <c r="B9" s="10" t="s">
        <v>317</v>
      </c>
      <c r="C9" s="10" t="s">
        <v>341</v>
      </c>
      <c r="D9" s="10" t="s">
        <v>346</v>
      </c>
      <c r="E9" s="11">
        <v>45871</v>
      </c>
      <c r="F9" s="17">
        <v>45892</v>
      </c>
      <c r="G9" s="14">
        <f t="shared" ca="1" si="4"/>
        <v>207</v>
      </c>
      <c r="H9" s="17">
        <v>999</v>
      </c>
      <c r="I9" s="17">
        <v>550</v>
      </c>
      <c r="J9" s="75">
        <f t="shared" si="5"/>
        <v>836</v>
      </c>
      <c r="K9" s="17">
        <v>1000</v>
      </c>
      <c r="L9" s="85">
        <v>164</v>
      </c>
      <c r="M9" s="86">
        <f t="shared" ca="1" si="6"/>
        <v>0.79227053140096615</v>
      </c>
      <c r="N9" s="86">
        <f t="shared" si="7"/>
        <v>0.92883099285538351</v>
      </c>
      <c r="O9" s="86">
        <f t="shared" si="8"/>
        <v>0.5</v>
      </c>
      <c r="P9" s="87">
        <f t="shared" si="9"/>
        <v>41</v>
      </c>
      <c r="Q9" s="104">
        <f t="shared" si="10"/>
        <v>20.390243902439025</v>
      </c>
      <c r="R9" s="88">
        <f t="shared" si="11"/>
        <v>44.944944944944943</v>
      </c>
      <c r="S9" s="88">
        <f t="shared" si="12"/>
        <v>16.400000000000002</v>
      </c>
      <c r="T9" s="13">
        <f t="shared" si="13"/>
        <v>1</v>
      </c>
      <c r="U9" s="13">
        <f t="shared" si="0"/>
        <v>1</v>
      </c>
      <c r="V9" s="13">
        <f t="shared" si="14"/>
        <v>1</v>
      </c>
      <c r="W9" s="13">
        <f t="shared" ca="1" si="15"/>
        <v>3</v>
      </c>
      <c r="X9" s="13">
        <f t="shared" ca="1" si="16"/>
        <v>6</v>
      </c>
      <c r="Y9" s="81" t="str">
        <f t="shared" ca="1" si="17"/>
        <v>MONITOR</v>
      </c>
      <c r="Z9" s="13">
        <v>14</v>
      </c>
      <c r="AA9" s="75">
        <v>46059</v>
      </c>
      <c r="AB9" s="75">
        <f t="shared" si="18"/>
        <v>45920</v>
      </c>
      <c r="AC9" s="88">
        <f t="shared" si="19"/>
        <v>19.857142857142858</v>
      </c>
      <c r="AD9" s="89" t="str">
        <f t="shared" ca="1" si="20"/>
        <v>STABLE</v>
      </c>
      <c r="AE9" s="89" t="str">
        <f t="shared" si="21"/>
        <v>SLOW SELLING</v>
      </c>
      <c r="AF9" s="89" t="str">
        <f t="shared" si="22"/>
        <v>AT RISK</v>
      </c>
      <c r="AG9" s="89" t="str">
        <f t="shared" si="23"/>
        <v>FEASIBLE</v>
      </c>
      <c r="AH9" s="81" t="str">
        <f t="shared" ca="1" si="24"/>
        <v>MONITOR</v>
      </c>
      <c r="AI9" s="75">
        <f t="shared" ca="1" si="25"/>
        <v>0</v>
      </c>
      <c r="AJ9" s="75">
        <f t="shared" ca="1" si="26"/>
        <v>-836</v>
      </c>
      <c r="AK9" s="13">
        <f t="shared" ca="1" si="27"/>
        <v>-1003</v>
      </c>
      <c r="AL9" s="79">
        <v>0.1</v>
      </c>
      <c r="AM9" s="79">
        <v>0.3</v>
      </c>
      <c r="AN9" s="79">
        <v>0.3</v>
      </c>
      <c r="AO9" s="79">
        <v>0.1</v>
      </c>
      <c r="AP9" s="79">
        <v>0.1</v>
      </c>
      <c r="AQ9" s="75">
        <f t="shared" si="28"/>
        <v>83.600000000000009</v>
      </c>
      <c r="AR9" s="75">
        <f t="shared" si="29"/>
        <v>250.79999999999998</v>
      </c>
      <c r="AS9" s="75">
        <f t="shared" si="30"/>
        <v>250.79999999999998</v>
      </c>
      <c r="AT9" s="75">
        <f t="shared" si="31"/>
        <v>83.600000000000009</v>
      </c>
      <c r="AU9" s="75">
        <f t="shared" si="32"/>
        <v>83.600000000000009</v>
      </c>
      <c r="AV9" s="13">
        <v>0.8</v>
      </c>
      <c r="AW9" s="13">
        <v>1.2</v>
      </c>
      <c r="AX9" s="13">
        <v>1.3</v>
      </c>
      <c r="AY9" s="13">
        <v>1</v>
      </c>
      <c r="AZ9" s="13">
        <v>0.7</v>
      </c>
      <c r="BA9" s="105">
        <f t="shared" si="33"/>
        <v>3.2800000000000007</v>
      </c>
      <c r="BB9" s="13">
        <f t="shared" si="34"/>
        <v>14.759999999999998</v>
      </c>
      <c r="BC9" s="13">
        <f t="shared" si="35"/>
        <v>15.989999999999998</v>
      </c>
      <c r="BD9" s="13">
        <f t="shared" si="36"/>
        <v>4.1000000000000005</v>
      </c>
      <c r="BE9" s="13">
        <f t="shared" si="37"/>
        <v>2.87</v>
      </c>
      <c r="BF9" s="88">
        <f t="shared" si="38"/>
        <v>25.487804878048777</v>
      </c>
      <c r="BG9" s="88">
        <f t="shared" si="39"/>
        <v>16.991869918699187</v>
      </c>
      <c r="BH9" s="88">
        <f t="shared" si="40"/>
        <v>15.684803001876173</v>
      </c>
      <c r="BI9" s="88">
        <f t="shared" si="41"/>
        <v>20.390243902439025</v>
      </c>
      <c r="BJ9" s="88">
        <f t="shared" si="42"/>
        <v>29.128919860627178</v>
      </c>
      <c r="BK9" s="105">
        <f t="shared" si="43"/>
        <v>3.9234449760765552E-2</v>
      </c>
      <c r="BL9" s="105">
        <f t="shared" si="44"/>
        <v>5.8851674641148322E-2</v>
      </c>
      <c r="BM9" s="105">
        <f t="shared" si="45"/>
        <v>6.3755980861244024E-2</v>
      </c>
      <c r="BN9" s="105">
        <f t="shared" si="46"/>
        <v>4.9043062200956937E-2</v>
      </c>
      <c r="BO9" s="105">
        <f t="shared" si="47"/>
        <v>3.4330143540669857E-2</v>
      </c>
      <c r="BP9" s="105">
        <f t="shared" si="48"/>
        <v>0.24521531100478469</v>
      </c>
      <c r="BQ9" s="79">
        <f t="shared" si="49"/>
        <v>0.16</v>
      </c>
      <c r="BR9" s="79">
        <f t="shared" si="50"/>
        <v>0.24</v>
      </c>
      <c r="BS9" s="79">
        <f t="shared" si="51"/>
        <v>0.26</v>
      </c>
      <c r="BT9" s="79">
        <f t="shared" si="52"/>
        <v>0.19999999999999998</v>
      </c>
      <c r="BU9" s="79">
        <f t="shared" si="53"/>
        <v>0.13999999999999999</v>
      </c>
      <c r="BV9" s="90" t="s">
        <v>416</v>
      </c>
      <c r="BW9" s="106">
        <f t="shared" ca="1" si="54"/>
        <v>-160.47999999999999</v>
      </c>
      <c r="BX9" s="106">
        <f t="shared" ca="1" si="1"/>
        <v>-240.72</v>
      </c>
      <c r="BY9" s="106">
        <f t="shared" ca="1" si="2"/>
        <v>-260.78000000000003</v>
      </c>
      <c r="BZ9" s="106">
        <f t="shared" ca="1" si="3"/>
        <v>-200.6</v>
      </c>
      <c r="CA9" s="106">
        <f t="shared" ca="1" si="55"/>
        <v>-140.41999999999999</v>
      </c>
    </row>
    <row r="10" spans="1:79" x14ac:dyDescent="0.35">
      <c r="A10" s="25" t="s">
        <v>24</v>
      </c>
      <c r="B10" s="10" t="s">
        <v>317</v>
      </c>
      <c r="C10" s="10" t="s">
        <v>341</v>
      </c>
      <c r="D10" s="10" t="s">
        <v>346</v>
      </c>
      <c r="E10" s="11">
        <v>45871</v>
      </c>
      <c r="F10" s="17">
        <v>45892</v>
      </c>
      <c r="G10" s="14">
        <f t="shared" ca="1" si="4"/>
        <v>207</v>
      </c>
      <c r="H10" s="17">
        <v>999</v>
      </c>
      <c r="I10" s="17">
        <v>550</v>
      </c>
      <c r="J10" s="75">
        <f t="shared" si="5"/>
        <v>904</v>
      </c>
      <c r="K10" s="17">
        <v>1000</v>
      </c>
      <c r="L10" s="85">
        <v>96</v>
      </c>
      <c r="M10" s="86">
        <f t="shared" ca="1" si="6"/>
        <v>0.46376811594202899</v>
      </c>
      <c r="N10" s="86">
        <f t="shared" si="7"/>
        <v>0.92883099285538351</v>
      </c>
      <c r="O10" s="86">
        <f t="shared" si="8"/>
        <v>0.29268292682926828</v>
      </c>
      <c r="P10" s="87">
        <f t="shared" si="9"/>
        <v>24</v>
      </c>
      <c r="Q10" s="104">
        <f t="shared" si="10"/>
        <v>37.666666666666664</v>
      </c>
      <c r="R10" s="88">
        <f t="shared" si="11"/>
        <v>44.944944944944943</v>
      </c>
      <c r="S10" s="88">
        <f t="shared" si="12"/>
        <v>9.6</v>
      </c>
      <c r="T10" s="13">
        <f t="shared" si="13"/>
        <v>1</v>
      </c>
      <c r="U10" s="13">
        <f t="shared" si="0"/>
        <v>1</v>
      </c>
      <c r="V10" s="13">
        <f t="shared" si="14"/>
        <v>1</v>
      </c>
      <c r="W10" s="13">
        <f t="shared" ca="1" si="15"/>
        <v>3</v>
      </c>
      <c r="X10" s="13">
        <f t="shared" ca="1" si="16"/>
        <v>6</v>
      </c>
      <c r="Y10" s="81" t="str">
        <f t="shared" ca="1" si="17"/>
        <v>MONITOR</v>
      </c>
      <c r="Z10" s="13">
        <v>14</v>
      </c>
      <c r="AA10" s="75">
        <v>46059</v>
      </c>
      <c r="AB10" s="75">
        <f t="shared" si="18"/>
        <v>45920</v>
      </c>
      <c r="AC10" s="88">
        <f t="shared" si="19"/>
        <v>19.857142857142858</v>
      </c>
      <c r="AD10" s="89" t="str">
        <f t="shared" ca="1" si="20"/>
        <v>STABLE</v>
      </c>
      <c r="AE10" s="89" t="str">
        <f t="shared" si="21"/>
        <v>SLOW SELLING</v>
      </c>
      <c r="AF10" s="89" t="str">
        <f t="shared" si="22"/>
        <v>AT RISK</v>
      </c>
      <c r="AG10" s="89" t="str">
        <f t="shared" si="23"/>
        <v>FEASIBLE</v>
      </c>
      <c r="AH10" s="81" t="str">
        <f t="shared" ca="1" si="24"/>
        <v>MONITOR</v>
      </c>
      <c r="AI10" s="75">
        <f t="shared" ca="1" si="25"/>
        <v>0</v>
      </c>
      <c r="AJ10" s="75">
        <f t="shared" ca="1" si="26"/>
        <v>-904</v>
      </c>
      <c r="AK10" s="13">
        <f t="shared" ca="1" si="27"/>
        <v>-1085</v>
      </c>
      <c r="AL10" s="79">
        <v>0.1</v>
      </c>
      <c r="AM10" s="79">
        <v>0.3</v>
      </c>
      <c r="AN10" s="79">
        <v>0.3</v>
      </c>
      <c r="AO10" s="79">
        <v>0.1</v>
      </c>
      <c r="AP10" s="79">
        <v>0.1</v>
      </c>
      <c r="AQ10" s="75">
        <f t="shared" si="28"/>
        <v>90.4</v>
      </c>
      <c r="AR10" s="75">
        <f t="shared" si="29"/>
        <v>271.2</v>
      </c>
      <c r="AS10" s="75">
        <f t="shared" si="30"/>
        <v>271.2</v>
      </c>
      <c r="AT10" s="75">
        <f t="shared" si="31"/>
        <v>90.4</v>
      </c>
      <c r="AU10" s="75">
        <f t="shared" si="32"/>
        <v>90.4</v>
      </c>
      <c r="AV10" s="13">
        <v>0.8</v>
      </c>
      <c r="AW10" s="13">
        <v>1.2</v>
      </c>
      <c r="AX10" s="13">
        <v>1.3</v>
      </c>
      <c r="AY10" s="13">
        <v>1</v>
      </c>
      <c r="AZ10" s="13">
        <v>0.7</v>
      </c>
      <c r="BA10" s="105">
        <f t="shared" si="33"/>
        <v>1.9200000000000004</v>
      </c>
      <c r="BB10" s="13">
        <f t="shared" si="34"/>
        <v>8.6399999999999988</v>
      </c>
      <c r="BC10" s="13">
        <f t="shared" si="35"/>
        <v>9.36</v>
      </c>
      <c r="BD10" s="13">
        <f t="shared" si="36"/>
        <v>2.4000000000000004</v>
      </c>
      <c r="BE10" s="13">
        <f t="shared" si="37"/>
        <v>1.6800000000000002</v>
      </c>
      <c r="BF10" s="88">
        <f t="shared" si="38"/>
        <v>47.083333333333329</v>
      </c>
      <c r="BG10" s="88">
        <f t="shared" si="39"/>
        <v>31.388888888888893</v>
      </c>
      <c r="BH10" s="88">
        <f t="shared" si="40"/>
        <v>28.974358974358974</v>
      </c>
      <c r="BI10" s="88">
        <f t="shared" si="41"/>
        <v>37.666666666666664</v>
      </c>
      <c r="BJ10" s="88">
        <f t="shared" si="42"/>
        <v>53.80952380952381</v>
      </c>
      <c r="BK10" s="105">
        <f t="shared" si="43"/>
        <v>2.1238938053097348E-2</v>
      </c>
      <c r="BL10" s="105">
        <f t="shared" si="44"/>
        <v>3.185840707964601E-2</v>
      </c>
      <c r="BM10" s="105">
        <f t="shared" si="45"/>
        <v>3.4513274336283185E-2</v>
      </c>
      <c r="BN10" s="105">
        <f t="shared" si="46"/>
        <v>2.6548672566371685E-2</v>
      </c>
      <c r="BO10" s="105">
        <f t="shared" si="47"/>
        <v>1.8584070796460177E-2</v>
      </c>
      <c r="BP10" s="105">
        <f t="shared" si="48"/>
        <v>0.13274336283185839</v>
      </c>
      <c r="BQ10" s="79">
        <f t="shared" si="49"/>
        <v>0.16000000000000003</v>
      </c>
      <c r="BR10" s="79">
        <f t="shared" si="50"/>
        <v>0.23999999999999996</v>
      </c>
      <c r="BS10" s="79">
        <f t="shared" si="51"/>
        <v>0.26</v>
      </c>
      <c r="BT10" s="79">
        <f t="shared" si="52"/>
        <v>0.20000000000000004</v>
      </c>
      <c r="BU10" s="79">
        <f t="shared" si="53"/>
        <v>0.14000000000000001</v>
      </c>
      <c r="BV10" s="90" t="s">
        <v>417</v>
      </c>
      <c r="BW10" s="106">
        <f t="shared" ca="1" si="54"/>
        <v>-173.60000000000002</v>
      </c>
      <c r="BX10" s="106">
        <f t="shared" ca="1" si="1"/>
        <v>-260.39999999999998</v>
      </c>
      <c r="BY10" s="106">
        <f t="shared" ca="1" si="2"/>
        <v>-282.10000000000002</v>
      </c>
      <c r="BZ10" s="106">
        <f t="shared" ca="1" si="3"/>
        <v>-217.00000000000003</v>
      </c>
      <c r="CA10" s="106">
        <f t="shared" ca="1" si="55"/>
        <v>-151.9</v>
      </c>
    </row>
    <row r="11" spans="1:79" x14ac:dyDescent="0.35">
      <c r="A11" s="25" t="s">
        <v>25</v>
      </c>
      <c r="B11" s="10" t="s">
        <v>317</v>
      </c>
      <c r="C11" s="10" t="s">
        <v>341</v>
      </c>
      <c r="D11" s="10" t="s">
        <v>346</v>
      </c>
      <c r="E11" s="11">
        <v>45976</v>
      </c>
      <c r="F11" s="17">
        <v>45892</v>
      </c>
      <c r="G11" s="14">
        <f t="shared" ca="1" si="4"/>
        <v>207</v>
      </c>
      <c r="H11" s="17">
        <v>999</v>
      </c>
      <c r="I11" s="17">
        <v>540</v>
      </c>
      <c r="J11" s="75">
        <f t="shared" si="5"/>
        <v>857</v>
      </c>
      <c r="K11" s="17">
        <v>1000</v>
      </c>
      <c r="L11" s="85">
        <v>143</v>
      </c>
      <c r="M11" s="86">
        <f t="shared" ca="1" si="6"/>
        <v>0.6908212560386473</v>
      </c>
      <c r="N11" s="86">
        <f t="shared" si="7"/>
        <v>0.92883099285538351</v>
      </c>
      <c r="O11" s="86">
        <f t="shared" si="8"/>
        <v>0.43597560975609756</v>
      </c>
      <c r="P11" s="87">
        <f t="shared" si="9"/>
        <v>35.75</v>
      </c>
      <c r="Q11" s="104">
        <f t="shared" si="10"/>
        <v>23.972027972027973</v>
      </c>
      <c r="R11" s="88">
        <f t="shared" si="11"/>
        <v>45.945945945945951</v>
      </c>
      <c r="S11" s="88">
        <f t="shared" si="12"/>
        <v>14.299999999999999</v>
      </c>
      <c r="T11" s="13">
        <f t="shared" si="13"/>
        <v>1</v>
      </c>
      <c r="U11" s="13">
        <f t="shared" si="0"/>
        <v>1</v>
      </c>
      <c r="V11" s="13">
        <f t="shared" si="14"/>
        <v>2</v>
      </c>
      <c r="W11" s="13">
        <f t="shared" ca="1" si="15"/>
        <v>3</v>
      </c>
      <c r="X11" s="13">
        <f t="shared" ca="1" si="16"/>
        <v>7</v>
      </c>
      <c r="Y11" s="81" t="str">
        <f t="shared" ca="1" si="17"/>
        <v>MONITOR</v>
      </c>
      <c r="Z11" s="13">
        <v>14</v>
      </c>
      <c r="AA11" s="75">
        <v>46059</v>
      </c>
      <c r="AB11" s="75">
        <f t="shared" si="18"/>
        <v>45920</v>
      </c>
      <c r="AC11" s="88">
        <f t="shared" si="19"/>
        <v>19.857142857142858</v>
      </c>
      <c r="AD11" s="89" t="str">
        <f t="shared" ca="1" si="20"/>
        <v>STABLE</v>
      </c>
      <c r="AE11" s="89" t="str">
        <f t="shared" si="21"/>
        <v>SLOW SELLING</v>
      </c>
      <c r="AF11" s="89" t="str">
        <f t="shared" si="22"/>
        <v>AT RISK</v>
      </c>
      <c r="AG11" s="89" t="str">
        <f t="shared" si="23"/>
        <v>FEASIBLE</v>
      </c>
      <c r="AH11" s="81" t="str">
        <f t="shared" ca="1" si="24"/>
        <v>MONITOR</v>
      </c>
      <c r="AI11" s="75">
        <f t="shared" ca="1" si="25"/>
        <v>0</v>
      </c>
      <c r="AJ11" s="75">
        <f t="shared" ca="1" si="26"/>
        <v>-857</v>
      </c>
      <c r="AK11" s="13">
        <f t="shared" ca="1" si="27"/>
        <v>-1028</v>
      </c>
      <c r="AL11" s="79">
        <v>0.1</v>
      </c>
      <c r="AM11" s="79">
        <v>0.3</v>
      </c>
      <c r="AN11" s="79">
        <v>0.3</v>
      </c>
      <c r="AO11" s="79">
        <v>0.1</v>
      </c>
      <c r="AP11" s="79">
        <v>0.1</v>
      </c>
      <c r="AQ11" s="75">
        <f t="shared" si="28"/>
        <v>85.7</v>
      </c>
      <c r="AR11" s="75">
        <f t="shared" si="29"/>
        <v>257.09999999999997</v>
      </c>
      <c r="AS11" s="75">
        <f t="shared" si="30"/>
        <v>257.09999999999997</v>
      </c>
      <c r="AT11" s="75">
        <f t="shared" si="31"/>
        <v>85.7</v>
      </c>
      <c r="AU11" s="75">
        <f t="shared" si="32"/>
        <v>85.7</v>
      </c>
      <c r="AV11" s="13">
        <v>0.8</v>
      </c>
      <c r="AW11" s="13">
        <v>1.2</v>
      </c>
      <c r="AX11" s="13">
        <v>1.3</v>
      </c>
      <c r="AY11" s="13">
        <v>1</v>
      </c>
      <c r="AZ11" s="13">
        <v>0.7</v>
      </c>
      <c r="BA11" s="105">
        <f t="shared" si="33"/>
        <v>2.8600000000000003</v>
      </c>
      <c r="BB11" s="13">
        <f t="shared" si="34"/>
        <v>12.87</v>
      </c>
      <c r="BC11" s="13">
        <f t="shared" si="35"/>
        <v>13.942500000000001</v>
      </c>
      <c r="BD11" s="13">
        <f t="shared" si="36"/>
        <v>3.5750000000000002</v>
      </c>
      <c r="BE11" s="13">
        <f t="shared" si="37"/>
        <v>2.5024999999999999</v>
      </c>
      <c r="BF11" s="88">
        <f t="shared" si="38"/>
        <v>29.965034965034963</v>
      </c>
      <c r="BG11" s="88">
        <f t="shared" si="39"/>
        <v>19.976689976689975</v>
      </c>
      <c r="BH11" s="88">
        <f t="shared" si="40"/>
        <v>18.44002151694459</v>
      </c>
      <c r="BI11" s="88">
        <f t="shared" si="41"/>
        <v>23.97202797202797</v>
      </c>
      <c r="BJ11" s="88">
        <f t="shared" si="42"/>
        <v>34.245754245754249</v>
      </c>
      <c r="BK11" s="105">
        <f t="shared" si="43"/>
        <v>3.3372228704784131E-2</v>
      </c>
      <c r="BL11" s="105">
        <f t="shared" si="44"/>
        <v>5.0058343057176199E-2</v>
      </c>
      <c r="BM11" s="105">
        <f t="shared" si="45"/>
        <v>5.4229871645274222E-2</v>
      </c>
      <c r="BN11" s="105">
        <f t="shared" si="46"/>
        <v>4.1715285880980169E-2</v>
      </c>
      <c r="BO11" s="105">
        <f t="shared" si="47"/>
        <v>2.9200700116686112E-2</v>
      </c>
      <c r="BP11" s="105">
        <f t="shared" si="48"/>
        <v>0.20857642940490081</v>
      </c>
      <c r="BQ11" s="79">
        <f t="shared" si="49"/>
        <v>0.16</v>
      </c>
      <c r="BR11" s="79">
        <f t="shared" si="50"/>
        <v>0.24000000000000002</v>
      </c>
      <c r="BS11" s="79">
        <f t="shared" si="51"/>
        <v>0.26000000000000006</v>
      </c>
      <c r="BT11" s="79">
        <f t="shared" si="52"/>
        <v>0.20000000000000004</v>
      </c>
      <c r="BU11" s="79">
        <f t="shared" si="53"/>
        <v>0.13999999999999999</v>
      </c>
      <c r="BV11" s="90" t="s">
        <v>418</v>
      </c>
      <c r="BW11" s="106">
        <f t="shared" ca="1" si="54"/>
        <v>-164.48</v>
      </c>
      <c r="BX11" s="106">
        <f t="shared" ca="1" si="1"/>
        <v>-246.72000000000003</v>
      </c>
      <c r="BY11" s="106">
        <f t="shared" ca="1" si="2"/>
        <v>-267.28000000000009</v>
      </c>
      <c r="BZ11" s="106">
        <f t="shared" ca="1" si="3"/>
        <v>-205.60000000000005</v>
      </c>
      <c r="CA11" s="106">
        <f t="shared" ca="1" si="55"/>
        <v>-143.91999999999999</v>
      </c>
    </row>
    <row r="12" spans="1:79" x14ac:dyDescent="0.35">
      <c r="A12" s="25" t="s">
        <v>26</v>
      </c>
      <c r="B12" s="10" t="s">
        <v>317</v>
      </c>
      <c r="C12" s="10" t="s">
        <v>341</v>
      </c>
      <c r="D12" s="10" t="s">
        <v>346</v>
      </c>
      <c r="E12" s="11">
        <v>45976</v>
      </c>
      <c r="F12" s="17">
        <v>45892</v>
      </c>
      <c r="G12" s="14">
        <f t="shared" ca="1" si="4"/>
        <v>207</v>
      </c>
      <c r="H12" s="17">
        <v>999</v>
      </c>
      <c r="I12" s="17">
        <v>540</v>
      </c>
      <c r="J12" s="75">
        <f t="shared" si="5"/>
        <v>820</v>
      </c>
      <c r="K12" s="17">
        <v>1000</v>
      </c>
      <c r="L12" s="85">
        <v>180</v>
      </c>
      <c r="M12" s="86">
        <f t="shared" ca="1" si="6"/>
        <v>0.86956521739130432</v>
      </c>
      <c r="N12" s="86">
        <f t="shared" si="7"/>
        <v>0.92883099285538351</v>
      </c>
      <c r="O12" s="86">
        <f t="shared" si="8"/>
        <v>0.54878048780487809</v>
      </c>
      <c r="P12" s="87">
        <f t="shared" si="9"/>
        <v>45</v>
      </c>
      <c r="Q12" s="104">
        <f t="shared" si="10"/>
        <v>18.222222222222221</v>
      </c>
      <c r="R12" s="88">
        <f t="shared" si="11"/>
        <v>45.945945945945951</v>
      </c>
      <c r="S12" s="88">
        <f t="shared" si="12"/>
        <v>18</v>
      </c>
      <c r="T12" s="13">
        <f t="shared" si="13"/>
        <v>1</v>
      </c>
      <c r="U12" s="13">
        <f t="shared" si="0"/>
        <v>1</v>
      </c>
      <c r="V12" s="13">
        <f t="shared" si="14"/>
        <v>2</v>
      </c>
      <c r="W12" s="13">
        <f t="shared" ca="1" si="15"/>
        <v>3</v>
      </c>
      <c r="X12" s="13">
        <f t="shared" ca="1" si="16"/>
        <v>7</v>
      </c>
      <c r="Y12" s="81" t="str">
        <f t="shared" ca="1" si="17"/>
        <v>MONITOR</v>
      </c>
      <c r="Z12" s="13">
        <v>14</v>
      </c>
      <c r="AA12" s="75">
        <v>46059</v>
      </c>
      <c r="AB12" s="75">
        <f t="shared" si="18"/>
        <v>45920</v>
      </c>
      <c r="AC12" s="88">
        <f t="shared" si="19"/>
        <v>19.857142857142858</v>
      </c>
      <c r="AD12" s="89" t="str">
        <f t="shared" ca="1" si="20"/>
        <v>STABLE</v>
      </c>
      <c r="AE12" s="89" t="str">
        <f t="shared" si="21"/>
        <v>SLOW SELLING</v>
      </c>
      <c r="AF12" s="89" t="str">
        <f t="shared" si="22"/>
        <v>AT RISK</v>
      </c>
      <c r="AG12" s="89" t="str">
        <f t="shared" si="23"/>
        <v>FEASIBLE</v>
      </c>
      <c r="AH12" s="81" t="str">
        <f t="shared" ca="1" si="24"/>
        <v>MONITOR</v>
      </c>
      <c r="AI12" s="75">
        <f t="shared" ca="1" si="25"/>
        <v>0</v>
      </c>
      <c r="AJ12" s="75">
        <f t="shared" ca="1" si="26"/>
        <v>-820</v>
      </c>
      <c r="AK12" s="13">
        <f t="shared" ref="AK12:AK66" ca="1" si="56">ROUND(AJ12*1.2,0)</f>
        <v>-984</v>
      </c>
      <c r="AL12" s="79">
        <v>0.1</v>
      </c>
      <c r="AM12" s="79">
        <v>0.3</v>
      </c>
      <c r="AN12" s="79">
        <v>0.3</v>
      </c>
      <c r="AO12" s="79">
        <v>0.1</v>
      </c>
      <c r="AP12" s="79">
        <v>0.1</v>
      </c>
      <c r="AQ12" s="75">
        <f t="shared" si="28"/>
        <v>82</v>
      </c>
      <c r="AR12" s="75">
        <f t="shared" si="29"/>
        <v>246</v>
      </c>
      <c r="AS12" s="75">
        <f t="shared" si="30"/>
        <v>246</v>
      </c>
      <c r="AT12" s="75">
        <f t="shared" si="31"/>
        <v>82</v>
      </c>
      <c r="AU12" s="75">
        <f t="shared" si="32"/>
        <v>82</v>
      </c>
      <c r="AV12" s="13">
        <v>0.8</v>
      </c>
      <c r="AW12" s="13">
        <v>1.2</v>
      </c>
      <c r="AX12" s="13">
        <v>1.3</v>
      </c>
      <c r="AY12" s="13">
        <v>1</v>
      </c>
      <c r="AZ12" s="13">
        <v>0.7</v>
      </c>
      <c r="BA12" s="105">
        <f t="shared" si="33"/>
        <v>3.6</v>
      </c>
      <c r="BB12" s="13">
        <f t="shared" si="34"/>
        <v>16.2</v>
      </c>
      <c r="BC12" s="13">
        <f t="shared" si="35"/>
        <v>17.55</v>
      </c>
      <c r="BD12" s="13">
        <f t="shared" si="36"/>
        <v>4.5</v>
      </c>
      <c r="BE12" s="13">
        <f t="shared" si="37"/>
        <v>3.15</v>
      </c>
      <c r="BF12" s="88">
        <f t="shared" si="38"/>
        <v>22.777777777777779</v>
      </c>
      <c r="BG12" s="88">
        <f t="shared" si="39"/>
        <v>15.185185185185185</v>
      </c>
      <c r="BH12" s="88">
        <f t="shared" si="40"/>
        <v>14.017094017094017</v>
      </c>
      <c r="BI12" s="88">
        <f t="shared" si="41"/>
        <v>18.222222222222221</v>
      </c>
      <c r="BJ12" s="88">
        <f t="shared" si="42"/>
        <v>26.031746031746032</v>
      </c>
      <c r="BK12" s="105">
        <f t="shared" si="43"/>
        <v>4.3902439024390241E-2</v>
      </c>
      <c r="BL12" s="105">
        <f t="shared" si="44"/>
        <v>6.5853658536585369E-2</v>
      </c>
      <c r="BM12" s="105">
        <f t="shared" si="45"/>
        <v>7.134146341463414E-2</v>
      </c>
      <c r="BN12" s="105">
        <f t="shared" si="46"/>
        <v>5.4878048780487805E-2</v>
      </c>
      <c r="BO12" s="105">
        <f t="shared" si="47"/>
        <v>3.8414634146341463E-2</v>
      </c>
      <c r="BP12" s="105">
        <f t="shared" si="48"/>
        <v>0.27439024390243899</v>
      </c>
      <c r="BQ12" s="79">
        <f t="shared" si="49"/>
        <v>0.16</v>
      </c>
      <c r="BR12" s="79">
        <f t="shared" si="50"/>
        <v>0.24000000000000005</v>
      </c>
      <c r="BS12" s="79">
        <f t="shared" si="51"/>
        <v>0.26</v>
      </c>
      <c r="BT12" s="79">
        <f t="shared" si="52"/>
        <v>0.20000000000000004</v>
      </c>
      <c r="BU12" s="79">
        <f t="shared" si="53"/>
        <v>0.14000000000000001</v>
      </c>
      <c r="BV12" s="90" t="s">
        <v>419</v>
      </c>
      <c r="BW12" s="106">
        <f t="shared" ca="1" si="54"/>
        <v>-157.44</v>
      </c>
      <c r="BX12" s="106">
        <f t="shared" ca="1" si="1"/>
        <v>-236.16000000000005</v>
      </c>
      <c r="BY12" s="106">
        <f t="shared" ca="1" si="2"/>
        <v>-255.84</v>
      </c>
      <c r="BZ12" s="106">
        <f t="shared" ca="1" si="3"/>
        <v>-196.80000000000004</v>
      </c>
      <c r="CA12" s="106">
        <f t="shared" ca="1" si="55"/>
        <v>-137.76000000000002</v>
      </c>
    </row>
    <row r="13" spans="1:79" x14ac:dyDescent="0.35">
      <c r="A13" s="25" t="s">
        <v>27</v>
      </c>
      <c r="B13" s="10" t="s">
        <v>314</v>
      </c>
      <c r="C13" s="10" t="s">
        <v>341</v>
      </c>
      <c r="D13" s="10" t="s">
        <v>346</v>
      </c>
      <c r="E13" s="11">
        <v>45941</v>
      </c>
      <c r="F13" s="17">
        <v>45892</v>
      </c>
      <c r="G13" s="14">
        <f t="shared" ca="1" si="4"/>
        <v>207</v>
      </c>
      <c r="H13" s="17">
        <v>999</v>
      </c>
      <c r="I13" s="17">
        <v>500</v>
      </c>
      <c r="J13" s="75">
        <f t="shared" si="5"/>
        <v>242</v>
      </c>
      <c r="K13" s="17">
        <v>700</v>
      </c>
      <c r="L13" s="85">
        <v>458</v>
      </c>
      <c r="M13" s="86">
        <f t="shared" ca="1" si="6"/>
        <v>2.21256038647343</v>
      </c>
      <c r="N13" s="86">
        <f t="shared" si="7"/>
        <v>0.92883099285538351</v>
      </c>
      <c r="O13" s="86">
        <f t="shared" si="8"/>
        <v>1.3963414634146341</v>
      </c>
      <c r="P13" s="87">
        <f t="shared" si="9"/>
        <v>114.49999999999999</v>
      </c>
      <c r="Q13" s="104">
        <f t="shared" si="10"/>
        <v>2.1135371179039302</v>
      </c>
      <c r="R13" s="88">
        <f t="shared" si="11"/>
        <v>49.949949949949954</v>
      </c>
      <c r="S13" s="88">
        <f t="shared" si="12"/>
        <v>65.428571428571431</v>
      </c>
      <c r="T13" s="13">
        <f t="shared" si="13"/>
        <v>3</v>
      </c>
      <c r="U13" s="13">
        <f t="shared" si="0"/>
        <v>3</v>
      </c>
      <c r="V13" s="13">
        <f t="shared" si="14"/>
        <v>2</v>
      </c>
      <c r="W13" s="13">
        <f t="shared" ca="1" si="15"/>
        <v>3</v>
      </c>
      <c r="X13" s="13">
        <f t="shared" ca="1" si="16"/>
        <v>11</v>
      </c>
      <c r="Y13" s="81" t="str">
        <f t="shared" ca="1" si="17"/>
        <v>RE-BUY</v>
      </c>
      <c r="Z13" s="13">
        <v>14</v>
      </c>
      <c r="AA13" s="75">
        <v>46059</v>
      </c>
      <c r="AB13" s="75">
        <f t="shared" si="18"/>
        <v>45920</v>
      </c>
      <c r="AC13" s="88">
        <f t="shared" si="19"/>
        <v>19.857142857142858</v>
      </c>
      <c r="AD13" s="89" t="str">
        <f t="shared" ca="1" si="20"/>
        <v>STABLE</v>
      </c>
      <c r="AE13" s="89" t="str">
        <f t="shared" si="21"/>
        <v>FAST SELLING</v>
      </c>
      <c r="AF13" s="89" t="str">
        <f t="shared" si="22"/>
        <v>AT RISK</v>
      </c>
      <c r="AG13" s="89" t="str">
        <f t="shared" si="23"/>
        <v>FEASIBLE</v>
      </c>
      <c r="AH13" s="81" t="str">
        <f t="shared" ca="1" si="24"/>
        <v>IMMEDIATE REBUY</v>
      </c>
      <c r="AI13" s="75">
        <f t="shared" ca="1" si="25"/>
        <v>1364.1857142857141</v>
      </c>
      <c r="AJ13" s="75">
        <f t="shared" ca="1" si="26"/>
        <v>1122.1857142857141</v>
      </c>
      <c r="AK13" s="13">
        <f t="shared" ca="1" si="56"/>
        <v>1347</v>
      </c>
      <c r="AL13" s="79">
        <v>0.1</v>
      </c>
      <c r="AM13" s="79">
        <v>0.3</v>
      </c>
      <c r="AN13" s="79">
        <v>0.3</v>
      </c>
      <c r="AO13" s="79">
        <v>0.1</v>
      </c>
      <c r="AP13" s="79">
        <v>0.1</v>
      </c>
      <c r="AQ13" s="75">
        <f t="shared" si="28"/>
        <v>24.200000000000003</v>
      </c>
      <c r="AR13" s="75">
        <f t="shared" si="29"/>
        <v>72.599999999999994</v>
      </c>
      <c r="AS13" s="75">
        <f t="shared" si="30"/>
        <v>72.599999999999994</v>
      </c>
      <c r="AT13" s="75">
        <f t="shared" si="31"/>
        <v>24.200000000000003</v>
      </c>
      <c r="AU13" s="75">
        <f t="shared" si="32"/>
        <v>24.200000000000003</v>
      </c>
      <c r="AV13" s="13">
        <v>0.8</v>
      </c>
      <c r="AW13" s="13">
        <v>1.2</v>
      </c>
      <c r="AX13" s="13">
        <v>1.3</v>
      </c>
      <c r="AY13" s="13">
        <v>1</v>
      </c>
      <c r="AZ13" s="13">
        <v>0.7</v>
      </c>
      <c r="BA13" s="105">
        <f t="shared" si="33"/>
        <v>9.16</v>
      </c>
      <c r="BB13" s="13">
        <f t="shared" si="34"/>
        <v>41.219999999999992</v>
      </c>
      <c r="BC13" s="13">
        <f t="shared" si="35"/>
        <v>44.654999999999994</v>
      </c>
      <c r="BD13" s="13">
        <f t="shared" si="36"/>
        <v>11.45</v>
      </c>
      <c r="BE13" s="13">
        <f t="shared" si="37"/>
        <v>8.0149999999999988</v>
      </c>
      <c r="BF13" s="88">
        <f t="shared" si="38"/>
        <v>2.6419213973799129</v>
      </c>
      <c r="BG13" s="88">
        <f t="shared" si="39"/>
        <v>1.7612809315866087</v>
      </c>
      <c r="BH13" s="88">
        <f t="shared" si="40"/>
        <v>1.6257977830030232</v>
      </c>
      <c r="BI13" s="88">
        <f t="shared" si="41"/>
        <v>2.1135371179039306</v>
      </c>
      <c r="BJ13" s="88">
        <f t="shared" si="42"/>
        <v>3.019338739862758</v>
      </c>
      <c r="BK13" s="105">
        <f t="shared" si="43"/>
        <v>0.37851239669421483</v>
      </c>
      <c r="BL13" s="105">
        <f t="shared" si="44"/>
        <v>0.56776859504132227</v>
      </c>
      <c r="BM13" s="105">
        <f t="shared" si="45"/>
        <v>0.61508264462809914</v>
      </c>
      <c r="BN13" s="105">
        <f t="shared" si="46"/>
        <v>0.47314049586776846</v>
      </c>
      <c r="BO13" s="105">
        <f t="shared" si="47"/>
        <v>0.33119834710743795</v>
      </c>
      <c r="BP13" s="105">
        <f t="shared" si="48"/>
        <v>2.3657024793388426</v>
      </c>
      <c r="BQ13" s="79">
        <f t="shared" si="49"/>
        <v>0.16</v>
      </c>
      <c r="BR13" s="79">
        <f t="shared" si="50"/>
        <v>0.24000000000000002</v>
      </c>
      <c r="BS13" s="79">
        <f t="shared" si="51"/>
        <v>0.26</v>
      </c>
      <c r="BT13" s="79">
        <f t="shared" si="52"/>
        <v>0.19999999999999998</v>
      </c>
      <c r="BU13" s="79">
        <f t="shared" si="53"/>
        <v>0.13999999999999999</v>
      </c>
      <c r="BV13" s="90" t="s">
        <v>420</v>
      </c>
      <c r="BW13" s="106">
        <f t="shared" ref="BW13:BW76" ca="1" si="57">AK13*BQ13</f>
        <v>215.52</v>
      </c>
      <c r="BX13" s="106">
        <f t="shared" ca="1" si="1"/>
        <v>323.28000000000003</v>
      </c>
      <c r="BY13" s="106">
        <f t="shared" ca="1" si="2"/>
        <v>350.22</v>
      </c>
      <c r="BZ13" s="106">
        <f t="shared" ca="1" si="3"/>
        <v>269.39999999999998</v>
      </c>
      <c r="CA13" s="106">
        <f t="shared" ca="1" si="55"/>
        <v>188.57999999999998</v>
      </c>
    </row>
    <row r="14" spans="1:79" x14ac:dyDescent="0.35">
      <c r="A14" s="25" t="s">
        <v>28</v>
      </c>
      <c r="B14" s="10" t="s">
        <v>314</v>
      </c>
      <c r="C14" s="10" t="s">
        <v>341</v>
      </c>
      <c r="D14" s="10" t="s">
        <v>346</v>
      </c>
      <c r="E14" s="11">
        <v>45941</v>
      </c>
      <c r="F14" s="17">
        <v>45892</v>
      </c>
      <c r="G14" s="14">
        <f t="shared" ca="1" si="4"/>
        <v>207</v>
      </c>
      <c r="H14" s="17">
        <v>999</v>
      </c>
      <c r="I14" s="17">
        <v>500</v>
      </c>
      <c r="J14" s="75">
        <f t="shared" si="5"/>
        <v>293</v>
      </c>
      <c r="K14" s="17">
        <v>700</v>
      </c>
      <c r="L14" s="85">
        <v>407</v>
      </c>
      <c r="M14" s="86">
        <f t="shared" ca="1" si="6"/>
        <v>1.9661835748792271</v>
      </c>
      <c r="N14" s="86">
        <f t="shared" si="7"/>
        <v>0.92883099285538351</v>
      </c>
      <c r="O14" s="86">
        <f t="shared" si="8"/>
        <v>1.2408536585365855</v>
      </c>
      <c r="P14" s="87">
        <f t="shared" si="9"/>
        <v>101.75000000000001</v>
      </c>
      <c r="Q14" s="104">
        <f t="shared" si="10"/>
        <v>2.8796068796068792</v>
      </c>
      <c r="R14" s="88">
        <f t="shared" si="11"/>
        <v>49.949949949949954</v>
      </c>
      <c r="S14" s="88">
        <f t="shared" si="12"/>
        <v>58.142857142857139</v>
      </c>
      <c r="T14" s="13">
        <f t="shared" si="13"/>
        <v>3</v>
      </c>
      <c r="U14" s="13">
        <f t="shared" si="0"/>
        <v>3</v>
      </c>
      <c r="V14" s="13">
        <f t="shared" si="14"/>
        <v>2</v>
      </c>
      <c r="W14" s="13">
        <f t="shared" ca="1" si="15"/>
        <v>3</v>
      </c>
      <c r="X14" s="13">
        <f t="shared" ca="1" si="16"/>
        <v>11</v>
      </c>
      <c r="Y14" s="81" t="str">
        <f t="shared" ca="1" si="17"/>
        <v>RE-BUY</v>
      </c>
      <c r="Z14" s="13">
        <v>14</v>
      </c>
      <c r="AA14" s="75">
        <v>46059</v>
      </c>
      <c r="AB14" s="75">
        <f t="shared" si="18"/>
        <v>45920</v>
      </c>
      <c r="AC14" s="88">
        <f t="shared" si="19"/>
        <v>19.857142857142858</v>
      </c>
      <c r="AD14" s="89" t="str">
        <f t="shared" ca="1" si="20"/>
        <v>STABLE</v>
      </c>
      <c r="AE14" s="89" t="str">
        <f t="shared" si="21"/>
        <v>FAST SELLING</v>
      </c>
      <c r="AF14" s="89" t="str">
        <f t="shared" si="22"/>
        <v>AT RISK</v>
      </c>
      <c r="AG14" s="89" t="str">
        <f t="shared" si="23"/>
        <v>FEASIBLE</v>
      </c>
      <c r="AH14" s="81" t="str">
        <f t="shared" ca="1" si="24"/>
        <v>IMMEDIATE REBUY</v>
      </c>
      <c r="AI14" s="75">
        <f t="shared" ca="1" si="25"/>
        <v>1212.2785714285715</v>
      </c>
      <c r="AJ14" s="75">
        <f t="shared" ca="1" si="26"/>
        <v>919.27857142857147</v>
      </c>
      <c r="AK14" s="13">
        <f t="shared" ca="1" si="56"/>
        <v>1103</v>
      </c>
      <c r="AL14" s="79">
        <v>0.1</v>
      </c>
      <c r="AM14" s="79">
        <v>0.3</v>
      </c>
      <c r="AN14" s="79">
        <v>0.3</v>
      </c>
      <c r="AO14" s="79">
        <v>0.1</v>
      </c>
      <c r="AP14" s="79">
        <v>0.1</v>
      </c>
      <c r="AQ14" s="75">
        <f t="shared" si="28"/>
        <v>29.3</v>
      </c>
      <c r="AR14" s="75">
        <f t="shared" si="29"/>
        <v>87.899999999999991</v>
      </c>
      <c r="AS14" s="75">
        <f t="shared" si="30"/>
        <v>87.899999999999991</v>
      </c>
      <c r="AT14" s="75">
        <f t="shared" si="31"/>
        <v>29.3</v>
      </c>
      <c r="AU14" s="75">
        <f t="shared" si="32"/>
        <v>29.3</v>
      </c>
      <c r="AV14" s="13">
        <v>0.8</v>
      </c>
      <c r="AW14" s="13">
        <v>1.2</v>
      </c>
      <c r="AX14" s="13">
        <v>1.3</v>
      </c>
      <c r="AY14" s="13">
        <v>1</v>
      </c>
      <c r="AZ14" s="13">
        <v>0.7</v>
      </c>
      <c r="BA14" s="105">
        <f t="shared" si="33"/>
        <v>8.1400000000000023</v>
      </c>
      <c r="BB14" s="13">
        <f t="shared" si="34"/>
        <v>36.630000000000003</v>
      </c>
      <c r="BC14" s="13">
        <f t="shared" si="35"/>
        <v>39.682500000000005</v>
      </c>
      <c r="BD14" s="13">
        <f t="shared" si="36"/>
        <v>10.175000000000002</v>
      </c>
      <c r="BE14" s="13">
        <f t="shared" si="37"/>
        <v>7.1225000000000014</v>
      </c>
      <c r="BF14" s="88">
        <f t="shared" si="38"/>
        <v>3.5995085995085985</v>
      </c>
      <c r="BG14" s="88">
        <f t="shared" si="39"/>
        <v>2.3996723996723994</v>
      </c>
      <c r="BH14" s="88">
        <f t="shared" si="40"/>
        <v>2.2150822150822145</v>
      </c>
      <c r="BI14" s="88">
        <f t="shared" si="41"/>
        <v>2.8796068796068788</v>
      </c>
      <c r="BJ14" s="88">
        <f t="shared" si="42"/>
        <v>4.1137241137241132</v>
      </c>
      <c r="BK14" s="105">
        <f t="shared" si="43"/>
        <v>0.27781569965870317</v>
      </c>
      <c r="BL14" s="105">
        <f t="shared" si="44"/>
        <v>0.41672354948805462</v>
      </c>
      <c r="BM14" s="105">
        <f t="shared" si="45"/>
        <v>0.4514505119453926</v>
      </c>
      <c r="BN14" s="105">
        <f t="shared" si="46"/>
        <v>0.34726962457337895</v>
      </c>
      <c r="BO14" s="105">
        <f t="shared" si="47"/>
        <v>0.24308873720136523</v>
      </c>
      <c r="BP14" s="105">
        <f t="shared" si="48"/>
        <v>1.7363481228668947</v>
      </c>
      <c r="BQ14" s="79">
        <f t="shared" si="49"/>
        <v>0.16</v>
      </c>
      <c r="BR14" s="79">
        <f t="shared" si="50"/>
        <v>0.23999999999999994</v>
      </c>
      <c r="BS14" s="79">
        <f t="shared" si="51"/>
        <v>0.26</v>
      </c>
      <c r="BT14" s="79">
        <f t="shared" si="52"/>
        <v>0.2</v>
      </c>
      <c r="BU14" s="79">
        <f t="shared" si="53"/>
        <v>0.13999999999999999</v>
      </c>
      <c r="BV14" s="90" t="s">
        <v>409</v>
      </c>
      <c r="BW14" s="106">
        <f t="shared" ca="1" si="57"/>
        <v>176.48</v>
      </c>
      <c r="BX14" s="106">
        <f t="shared" ca="1" si="1"/>
        <v>264.71999999999991</v>
      </c>
      <c r="BY14" s="106">
        <f t="shared" ca="1" si="2"/>
        <v>286.78000000000003</v>
      </c>
      <c r="BZ14" s="106">
        <f t="shared" ca="1" si="3"/>
        <v>220.60000000000002</v>
      </c>
      <c r="CA14" s="106">
        <f t="shared" ca="1" si="55"/>
        <v>154.41999999999999</v>
      </c>
    </row>
    <row r="15" spans="1:79" x14ac:dyDescent="0.35">
      <c r="A15" s="25" t="s">
        <v>29</v>
      </c>
      <c r="B15" s="10" t="s">
        <v>314</v>
      </c>
      <c r="C15" s="10" t="s">
        <v>341</v>
      </c>
      <c r="D15" s="10" t="s">
        <v>346</v>
      </c>
      <c r="E15" s="11">
        <v>45941</v>
      </c>
      <c r="F15" s="17">
        <v>45892</v>
      </c>
      <c r="G15" s="14">
        <f t="shared" ca="1" si="4"/>
        <v>207</v>
      </c>
      <c r="H15" s="17">
        <v>999</v>
      </c>
      <c r="I15" s="17">
        <v>500</v>
      </c>
      <c r="J15" s="75">
        <f t="shared" si="5"/>
        <v>303</v>
      </c>
      <c r="K15" s="17">
        <v>700</v>
      </c>
      <c r="L15" s="85">
        <v>397</v>
      </c>
      <c r="M15" s="86">
        <f t="shared" ca="1" si="6"/>
        <v>1.9178743961352658</v>
      </c>
      <c r="N15" s="86">
        <f t="shared" si="7"/>
        <v>0.92883099285538351</v>
      </c>
      <c r="O15" s="86">
        <f t="shared" si="8"/>
        <v>1.2103658536585367</v>
      </c>
      <c r="P15" s="87">
        <f t="shared" si="9"/>
        <v>99.25</v>
      </c>
      <c r="Q15" s="104">
        <f t="shared" si="10"/>
        <v>3.0528967254408061</v>
      </c>
      <c r="R15" s="88">
        <f t="shared" si="11"/>
        <v>49.949949949949954</v>
      </c>
      <c r="S15" s="88">
        <f t="shared" si="12"/>
        <v>56.714285714285715</v>
      </c>
      <c r="T15" s="13">
        <f t="shared" si="13"/>
        <v>3</v>
      </c>
      <c r="U15" s="13">
        <f t="shared" si="0"/>
        <v>3</v>
      </c>
      <c r="V15" s="13">
        <f t="shared" si="14"/>
        <v>2</v>
      </c>
      <c r="W15" s="13">
        <f t="shared" ca="1" si="15"/>
        <v>3</v>
      </c>
      <c r="X15" s="13">
        <f t="shared" ca="1" si="16"/>
        <v>11</v>
      </c>
      <c r="Y15" s="81" t="str">
        <f t="shared" ca="1" si="17"/>
        <v>RE-BUY</v>
      </c>
      <c r="Z15" s="13">
        <v>14</v>
      </c>
      <c r="AA15" s="75">
        <v>46059</v>
      </c>
      <c r="AB15" s="75">
        <f t="shared" si="18"/>
        <v>45920</v>
      </c>
      <c r="AC15" s="88">
        <f t="shared" si="19"/>
        <v>19.857142857142858</v>
      </c>
      <c r="AD15" s="89" t="str">
        <f t="shared" ca="1" si="20"/>
        <v>STABLE</v>
      </c>
      <c r="AE15" s="89" t="str">
        <f t="shared" si="21"/>
        <v>FAST SELLING</v>
      </c>
      <c r="AF15" s="89" t="str">
        <f t="shared" si="22"/>
        <v>AT RISK</v>
      </c>
      <c r="AG15" s="89" t="str">
        <f t="shared" si="23"/>
        <v>FEASIBLE</v>
      </c>
      <c r="AH15" s="81" t="str">
        <f t="shared" ca="1" si="24"/>
        <v>IMMEDIATE REBUY</v>
      </c>
      <c r="AI15" s="75">
        <f t="shared" ca="1" si="25"/>
        <v>1182.4928571428572</v>
      </c>
      <c r="AJ15" s="75">
        <f t="shared" ca="1" si="26"/>
        <v>879.49285714285725</v>
      </c>
      <c r="AK15" s="13">
        <f t="shared" ca="1" si="56"/>
        <v>1055</v>
      </c>
      <c r="AL15" s="79">
        <v>0.1</v>
      </c>
      <c r="AM15" s="79">
        <v>0.3</v>
      </c>
      <c r="AN15" s="79">
        <v>0.3</v>
      </c>
      <c r="AO15" s="79">
        <v>0.1</v>
      </c>
      <c r="AP15" s="79">
        <v>0.1</v>
      </c>
      <c r="AQ15" s="75">
        <f t="shared" si="28"/>
        <v>30.3</v>
      </c>
      <c r="AR15" s="75">
        <f t="shared" si="29"/>
        <v>90.899999999999991</v>
      </c>
      <c r="AS15" s="75">
        <f t="shared" si="30"/>
        <v>90.899999999999991</v>
      </c>
      <c r="AT15" s="75">
        <f t="shared" si="31"/>
        <v>30.3</v>
      </c>
      <c r="AU15" s="75">
        <f t="shared" si="32"/>
        <v>30.3</v>
      </c>
      <c r="AV15" s="13">
        <v>0.8</v>
      </c>
      <c r="AW15" s="13">
        <v>1.2</v>
      </c>
      <c r="AX15" s="13">
        <v>1.3</v>
      </c>
      <c r="AY15" s="13">
        <v>1</v>
      </c>
      <c r="AZ15" s="13">
        <v>0.7</v>
      </c>
      <c r="BA15" s="105">
        <f t="shared" si="33"/>
        <v>7.9400000000000013</v>
      </c>
      <c r="BB15" s="13">
        <f t="shared" si="34"/>
        <v>35.729999999999997</v>
      </c>
      <c r="BC15" s="13">
        <f t="shared" si="35"/>
        <v>38.707499999999996</v>
      </c>
      <c r="BD15" s="13">
        <f t="shared" si="36"/>
        <v>9.9250000000000007</v>
      </c>
      <c r="BE15" s="13">
        <f t="shared" si="37"/>
        <v>6.9474999999999998</v>
      </c>
      <c r="BF15" s="88">
        <f t="shared" si="38"/>
        <v>3.8161209068010069</v>
      </c>
      <c r="BG15" s="88">
        <f t="shared" si="39"/>
        <v>2.5440806045340052</v>
      </c>
      <c r="BH15" s="88">
        <f t="shared" si="40"/>
        <v>2.3483820964929278</v>
      </c>
      <c r="BI15" s="88">
        <f t="shared" si="41"/>
        <v>3.0528967254408057</v>
      </c>
      <c r="BJ15" s="88">
        <f t="shared" si="42"/>
        <v>4.3612810363440087</v>
      </c>
      <c r="BK15" s="105">
        <f t="shared" si="43"/>
        <v>0.26204620462046208</v>
      </c>
      <c r="BL15" s="105">
        <f t="shared" si="44"/>
        <v>0.39306930693069303</v>
      </c>
      <c r="BM15" s="105">
        <f t="shared" si="45"/>
        <v>0.4258250825082508</v>
      </c>
      <c r="BN15" s="105">
        <f t="shared" si="46"/>
        <v>0.32755775577557761</v>
      </c>
      <c r="BO15" s="105">
        <f t="shared" si="47"/>
        <v>0.22929042904290428</v>
      </c>
      <c r="BP15" s="105">
        <f t="shared" si="48"/>
        <v>1.6377887788778878</v>
      </c>
      <c r="BQ15" s="79">
        <f t="shared" si="49"/>
        <v>0.16000000000000003</v>
      </c>
      <c r="BR15" s="79">
        <f t="shared" si="50"/>
        <v>0.24</v>
      </c>
      <c r="BS15" s="79">
        <f t="shared" si="51"/>
        <v>0.26</v>
      </c>
      <c r="BT15" s="79">
        <f t="shared" si="52"/>
        <v>0.20000000000000004</v>
      </c>
      <c r="BU15" s="79">
        <f t="shared" si="53"/>
        <v>0.13999999999999999</v>
      </c>
      <c r="BV15" s="90" t="s">
        <v>421</v>
      </c>
      <c r="BW15" s="106">
        <f t="shared" ca="1" si="57"/>
        <v>168.80000000000004</v>
      </c>
      <c r="BX15" s="106">
        <f t="shared" ca="1" si="1"/>
        <v>253.2</v>
      </c>
      <c r="BY15" s="106">
        <f t="shared" ca="1" si="2"/>
        <v>274.3</v>
      </c>
      <c r="BZ15" s="106">
        <f t="shared" ca="1" si="3"/>
        <v>211.00000000000003</v>
      </c>
      <c r="CA15" s="106">
        <f t="shared" ca="1" si="55"/>
        <v>147.69999999999999</v>
      </c>
    </row>
    <row r="16" spans="1:79" x14ac:dyDescent="0.35">
      <c r="A16" s="25" t="s">
        <v>30</v>
      </c>
      <c r="B16" s="10" t="s">
        <v>319</v>
      </c>
      <c r="C16" s="10" t="s">
        <v>341</v>
      </c>
      <c r="D16" s="10" t="s">
        <v>346</v>
      </c>
      <c r="E16" s="11">
        <v>45878</v>
      </c>
      <c r="F16" s="17">
        <v>45892</v>
      </c>
      <c r="G16" s="14">
        <f t="shared" ca="1" si="4"/>
        <v>207</v>
      </c>
      <c r="H16" s="17">
        <v>499</v>
      </c>
      <c r="I16" s="17">
        <v>292</v>
      </c>
      <c r="J16" s="75">
        <f t="shared" si="5"/>
        <v>914</v>
      </c>
      <c r="K16" s="17">
        <v>1500</v>
      </c>
      <c r="L16" s="85">
        <v>586</v>
      </c>
      <c r="M16" s="86">
        <f t="shared" ca="1" si="6"/>
        <v>2.8309178743961354</v>
      </c>
      <c r="N16" s="86">
        <f t="shared" si="7"/>
        <v>0.92883099285538351</v>
      </c>
      <c r="O16" s="86">
        <f t="shared" si="8"/>
        <v>1.7865853658536586</v>
      </c>
      <c r="P16" s="87">
        <f t="shared" si="9"/>
        <v>146.5</v>
      </c>
      <c r="Q16" s="104">
        <f t="shared" si="10"/>
        <v>6.2389078498293511</v>
      </c>
      <c r="R16" s="88">
        <f t="shared" si="11"/>
        <v>41.482965931863731</v>
      </c>
      <c r="S16" s="88">
        <f t="shared" si="12"/>
        <v>39.066666666666663</v>
      </c>
      <c r="T16" s="13">
        <f t="shared" si="13"/>
        <v>3</v>
      </c>
      <c r="U16" s="13">
        <f t="shared" si="0"/>
        <v>1</v>
      </c>
      <c r="V16" s="13">
        <f t="shared" si="14"/>
        <v>1</v>
      </c>
      <c r="W16" s="13">
        <f t="shared" ca="1" si="15"/>
        <v>3</v>
      </c>
      <c r="X16" s="13">
        <f t="shared" ca="1" si="16"/>
        <v>8</v>
      </c>
      <c r="Y16" s="81" t="str">
        <f t="shared" ca="1" si="17"/>
        <v>MONITOR</v>
      </c>
      <c r="Z16" s="13">
        <v>14</v>
      </c>
      <c r="AA16" s="75">
        <v>46059</v>
      </c>
      <c r="AB16" s="75">
        <f t="shared" si="18"/>
        <v>45920</v>
      </c>
      <c r="AC16" s="88">
        <f t="shared" si="19"/>
        <v>19.857142857142858</v>
      </c>
      <c r="AD16" s="89" t="str">
        <f t="shared" ca="1" si="20"/>
        <v>STABLE</v>
      </c>
      <c r="AE16" s="89" t="str">
        <f t="shared" si="21"/>
        <v>FAST SELLING</v>
      </c>
      <c r="AF16" s="89" t="str">
        <f t="shared" si="22"/>
        <v>AT RISK</v>
      </c>
      <c r="AG16" s="89" t="str">
        <f t="shared" si="23"/>
        <v>FEASIBLE</v>
      </c>
      <c r="AH16" s="81" t="str">
        <f t="shared" ca="1" si="24"/>
        <v>MONITOR</v>
      </c>
      <c r="AI16" s="75">
        <f t="shared" ca="1" si="25"/>
        <v>0</v>
      </c>
      <c r="AJ16" s="75">
        <f t="shared" ca="1" si="26"/>
        <v>-914</v>
      </c>
      <c r="AK16" s="13">
        <f t="shared" ca="1" si="56"/>
        <v>-1097</v>
      </c>
      <c r="AL16" s="79">
        <v>0.1</v>
      </c>
      <c r="AM16" s="79">
        <v>0.3</v>
      </c>
      <c r="AN16" s="79">
        <v>0.3</v>
      </c>
      <c r="AO16" s="79">
        <v>0.1</v>
      </c>
      <c r="AP16" s="79">
        <v>0.1</v>
      </c>
      <c r="AQ16" s="75">
        <f t="shared" si="28"/>
        <v>91.4</v>
      </c>
      <c r="AR16" s="75">
        <f t="shared" si="29"/>
        <v>274.2</v>
      </c>
      <c r="AS16" s="75">
        <f t="shared" si="30"/>
        <v>274.2</v>
      </c>
      <c r="AT16" s="75">
        <f t="shared" si="31"/>
        <v>91.4</v>
      </c>
      <c r="AU16" s="75">
        <f t="shared" si="32"/>
        <v>91.4</v>
      </c>
      <c r="AV16" s="13">
        <v>0.8</v>
      </c>
      <c r="AW16" s="13">
        <v>1.2</v>
      </c>
      <c r="AX16" s="13">
        <v>1.3</v>
      </c>
      <c r="AY16" s="13">
        <v>1</v>
      </c>
      <c r="AZ16" s="13">
        <v>0.7</v>
      </c>
      <c r="BA16" s="105">
        <f t="shared" si="33"/>
        <v>11.72</v>
      </c>
      <c r="BB16" s="13">
        <f t="shared" si="34"/>
        <v>52.739999999999995</v>
      </c>
      <c r="BC16" s="13">
        <f t="shared" si="35"/>
        <v>57.134999999999998</v>
      </c>
      <c r="BD16" s="13">
        <f t="shared" si="36"/>
        <v>14.65</v>
      </c>
      <c r="BE16" s="13">
        <f t="shared" si="37"/>
        <v>10.254999999999999</v>
      </c>
      <c r="BF16" s="88">
        <f t="shared" si="38"/>
        <v>7.7986348122866893</v>
      </c>
      <c r="BG16" s="88">
        <f t="shared" si="39"/>
        <v>5.1990898748577932</v>
      </c>
      <c r="BH16" s="88">
        <f t="shared" si="40"/>
        <v>4.7991598844841166</v>
      </c>
      <c r="BI16" s="88">
        <f t="shared" si="41"/>
        <v>6.238907849829352</v>
      </c>
      <c r="BJ16" s="88">
        <f t="shared" si="42"/>
        <v>8.9127254997562186</v>
      </c>
      <c r="BK16" s="105">
        <f t="shared" si="43"/>
        <v>0.12822757111597374</v>
      </c>
      <c r="BL16" s="105">
        <f t="shared" si="44"/>
        <v>0.1923413566739606</v>
      </c>
      <c r="BM16" s="105">
        <f t="shared" si="45"/>
        <v>0.20836980306345734</v>
      </c>
      <c r="BN16" s="105">
        <f t="shared" si="46"/>
        <v>0.16028446389496717</v>
      </c>
      <c r="BO16" s="105">
        <f t="shared" si="47"/>
        <v>0.112199124726477</v>
      </c>
      <c r="BP16" s="105">
        <f t="shared" si="48"/>
        <v>0.80142231947483589</v>
      </c>
      <c r="BQ16" s="79">
        <f t="shared" si="49"/>
        <v>0.16</v>
      </c>
      <c r="BR16" s="79">
        <f t="shared" si="50"/>
        <v>0.24</v>
      </c>
      <c r="BS16" s="79">
        <f t="shared" si="51"/>
        <v>0.26</v>
      </c>
      <c r="BT16" s="79">
        <f t="shared" si="52"/>
        <v>0.19999999999999998</v>
      </c>
      <c r="BU16" s="79">
        <f t="shared" si="53"/>
        <v>0.13999999999999996</v>
      </c>
      <c r="BV16" s="90" t="s">
        <v>410</v>
      </c>
      <c r="BW16" s="106">
        <f t="shared" ca="1" si="57"/>
        <v>-175.52</v>
      </c>
      <c r="BX16" s="106">
        <f t="shared" ca="1" si="1"/>
        <v>-263.27999999999997</v>
      </c>
      <c r="BY16" s="106">
        <f t="shared" ca="1" si="2"/>
        <v>-285.22000000000003</v>
      </c>
      <c r="BZ16" s="106">
        <f t="shared" ca="1" si="3"/>
        <v>-219.39999999999998</v>
      </c>
      <c r="CA16" s="106">
        <f t="shared" ca="1" si="55"/>
        <v>-153.57999999999996</v>
      </c>
    </row>
    <row r="17" spans="1:79" x14ac:dyDescent="0.35">
      <c r="A17" s="25" t="s">
        <v>31</v>
      </c>
      <c r="B17" s="10" t="s">
        <v>319</v>
      </c>
      <c r="C17" s="10" t="s">
        <v>341</v>
      </c>
      <c r="D17" s="10" t="s">
        <v>346</v>
      </c>
      <c r="E17" s="11">
        <v>45878</v>
      </c>
      <c r="F17" s="17">
        <v>45892</v>
      </c>
      <c r="G17" s="14">
        <f t="shared" ca="1" si="4"/>
        <v>207</v>
      </c>
      <c r="H17" s="17">
        <v>499</v>
      </c>
      <c r="I17" s="17">
        <v>292</v>
      </c>
      <c r="J17" s="75">
        <f t="shared" si="5"/>
        <v>1335</v>
      </c>
      <c r="K17" s="17">
        <v>1500</v>
      </c>
      <c r="L17" s="85">
        <v>165</v>
      </c>
      <c r="M17" s="86">
        <f t="shared" ca="1" si="6"/>
        <v>0.79710144927536231</v>
      </c>
      <c r="N17" s="86">
        <f t="shared" si="7"/>
        <v>0.92883099285538351</v>
      </c>
      <c r="O17" s="86">
        <f t="shared" si="8"/>
        <v>0.50304878048780488</v>
      </c>
      <c r="P17" s="87">
        <f t="shared" si="9"/>
        <v>41.25</v>
      </c>
      <c r="Q17" s="104">
        <f t="shared" si="10"/>
        <v>32.363636363636367</v>
      </c>
      <c r="R17" s="88">
        <f t="shared" si="11"/>
        <v>41.482965931863731</v>
      </c>
      <c r="S17" s="88">
        <f t="shared" si="12"/>
        <v>11</v>
      </c>
      <c r="T17" s="13">
        <f t="shared" si="13"/>
        <v>1</v>
      </c>
      <c r="U17" s="13">
        <f t="shared" si="0"/>
        <v>1</v>
      </c>
      <c r="V17" s="13">
        <f t="shared" si="14"/>
        <v>1</v>
      </c>
      <c r="W17" s="13">
        <f t="shared" ca="1" si="15"/>
        <v>3</v>
      </c>
      <c r="X17" s="13">
        <f t="shared" ca="1" si="16"/>
        <v>6</v>
      </c>
      <c r="Y17" s="81" t="str">
        <f t="shared" ca="1" si="17"/>
        <v>MONITOR</v>
      </c>
      <c r="Z17" s="13">
        <v>14</v>
      </c>
      <c r="AA17" s="75">
        <v>46059</v>
      </c>
      <c r="AB17" s="75">
        <f t="shared" si="18"/>
        <v>45920</v>
      </c>
      <c r="AC17" s="88">
        <f t="shared" si="19"/>
        <v>19.857142857142858</v>
      </c>
      <c r="AD17" s="89" t="str">
        <f t="shared" ca="1" si="20"/>
        <v>STABLE</v>
      </c>
      <c r="AE17" s="89" t="str">
        <f t="shared" si="21"/>
        <v>SLOW SELLING</v>
      </c>
      <c r="AF17" s="89" t="str">
        <f t="shared" si="22"/>
        <v>AT RISK</v>
      </c>
      <c r="AG17" s="89" t="str">
        <f t="shared" si="23"/>
        <v>FEASIBLE</v>
      </c>
      <c r="AH17" s="81" t="str">
        <f t="shared" ca="1" si="24"/>
        <v>MONITOR</v>
      </c>
      <c r="AI17" s="75">
        <f t="shared" ca="1" si="25"/>
        <v>0</v>
      </c>
      <c r="AJ17" s="75">
        <f t="shared" ca="1" si="26"/>
        <v>-1335</v>
      </c>
      <c r="AK17" s="13">
        <f t="shared" ca="1" si="56"/>
        <v>-1602</v>
      </c>
      <c r="AL17" s="79">
        <v>0.1</v>
      </c>
      <c r="AM17" s="79">
        <v>0.3</v>
      </c>
      <c r="AN17" s="79">
        <v>0.3</v>
      </c>
      <c r="AO17" s="79">
        <v>0.1</v>
      </c>
      <c r="AP17" s="79">
        <v>0.1</v>
      </c>
      <c r="AQ17" s="75">
        <f t="shared" si="28"/>
        <v>133.5</v>
      </c>
      <c r="AR17" s="75">
        <f t="shared" si="29"/>
        <v>400.5</v>
      </c>
      <c r="AS17" s="75">
        <f t="shared" si="30"/>
        <v>400.5</v>
      </c>
      <c r="AT17" s="75">
        <f t="shared" si="31"/>
        <v>133.5</v>
      </c>
      <c r="AU17" s="75">
        <f t="shared" si="32"/>
        <v>133.5</v>
      </c>
      <c r="AV17" s="13">
        <v>0.8</v>
      </c>
      <c r="AW17" s="13">
        <v>1.2</v>
      </c>
      <c r="AX17" s="13">
        <v>1.3</v>
      </c>
      <c r="AY17" s="13">
        <v>1</v>
      </c>
      <c r="AZ17" s="13">
        <v>0.7</v>
      </c>
      <c r="BA17" s="105">
        <f t="shared" si="33"/>
        <v>3.3000000000000003</v>
      </c>
      <c r="BB17" s="13">
        <f t="shared" si="34"/>
        <v>14.85</v>
      </c>
      <c r="BC17" s="13">
        <f t="shared" si="35"/>
        <v>16.087500000000002</v>
      </c>
      <c r="BD17" s="13">
        <f t="shared" si="36"/>
        <v>4.125</v>
      </c>
      <c r="BE17" s="13">
        <f t="shared" si="37"/>
        <v>2.8874999999999997</v>
      </c>
      <c r="BF17" s="88">
        <f t="shared" si="38"/>
        <v>40.454545454545453</v>
      </c>
      <c r="BG17" s="88">
        <f t="shared" si="39"/>
        <v>26.969696969696969</v>
      </c>
      <c r="BH17" s="88">
        <f t="shared" si="40"/>
        <v>24.895104895104893</v>
      </c>
      <c r="BI17" s="88">
        <f t="shared" si="41"/>
        <v>32.363636363636367</v>
      </c>
      <c r="BJ17" s="88">
        <f t="shared" si="42"/>
        <v>46.233766233766239</v>
      </c>
      <c r="BK17" s="105">
        <f t="shared" si="43"/>
        <v>2.4719101123595506E-2</v>
      </c>
      <c r="BL17" s="105">
        <f t="shared" si="44"/>
        <v>3.707865168539326E-2</v>
      </c>
      <c r="BM17" s="105">
        <f t="shared" si="45"/>
        <v>4.0168539325842696E-2</v>
      </c>
      <c r="BN17" s="105">
        <f t="shared" si="46"/>
        <v>3.0898876404494378E-2</v>
      </c>
      <c r="BO17" s="105">
        <f t="shared" si="47"/>
        <v>2.1629213483146066E-2</v>
      </c>
      <c r="BP17" s="105">
        <f t="shared" si="48"/>
        <v>0.1544943820224719</v>
      </c>
      <c r="BQ17" s="79">
        <f t="shared" si="49"/>
        <v>0.16</v>
      </c>
      <c r="BR17" s="79">
        <f t="shared" si="50"/>
        <v>0.24000000000000002</v>
      </c>
      <c r="BS17" s="79">
        <f t="shared" si="51"/>
        <v>0.26</v>
      </c>
      <c r="BT17" s="79">
        <f t="shared" si="52"/>
        <v>0.19999999999999998</v>
      </c>
      <c r="BU17" s="79">
        <f t="shared" si="53"/>
        <v>0.14000000000000001</v>
      </c>
      <c r="BV17" s="90" t="s">
        <v>422</v>
      </c>
      <c r="BW17" s="106">
        <f t="shared" ca="1" si="57"/>
        <v>-256.32</v>
      </c>
      <c r="BX17" s="106">
        <f t="shared" ca="1" si="1"/>
        <v>-384.48</v>
      </c>
      <c r="BY17" s="106">
        <f t="shared" ca="1" si="2"/>
        <v>-416.52000000000004</v>
      </c>
      <c r="BZ17" s="106">
        <f t="shared" ca="1" si="3"/>
        <v>-320.39999999999998</v>
      </c>
      <c r="CA17" s="106">
        <f t="shared" ca="1" si="55"/>
        <v>-224.28000000000003</v>
      </c>
    </row>
    <row r="18" spans="1:79" x14ac:dyDescent="0.35">
      <c r="A18" s="25" t="s">
        <v>32</v>
      </c>
      <c r="B18" s="10" t="s">
        <v>319</v>
      </c>
      <c r="C18" s="10" t="s">
        <v>341</v>
      </c>
      <c r="D18" s="10" t="s">
        <v>346</v>
      </c>
      <c r="E18" s="11">
        <v>45850</v>
      </c>
      <c r="F18" s="17">
        <v>45892</v>
      </c>
      <c r="G18" s="14">
        <f t="shared" ca="1" si="4"/>
        <v>207</v>
      </c>
      <c r="H18" s="17">
        <v>499</v>
      </c>
      <c r="I18" s="17">
        <v>292</v>
      </c>
      <c r="J18" s="75">
        <f t="shared" si="5"/>
        <v>1310</v>
      </c>
      <c r="K18" s="17">
        <v>1500</v>
      </c>
      <c r="L18" s="85">
        <v>190</v>
      </c>
      <c r="M18" s="86">
        <f t="shared" ca="1" si="6"/>
        <v>0.91787439613526567</v>
      </c>
      <c r="N18" s="86">
        <f t="shared" si="7"/>
        <v>0.92883099285538351</v>
      </c>
      <c r="O18" s="86">
        <f t="shared" si="8"/>
        <v>0.57926829268292679</v>
      </c>
      <c r="P18" s="87">
        <f t="shared" si="9"/>
        <v>47.5</v>
      </c>
      <c r="Q18" s="104">
        <f t="shared" si="10"/>
        <v>27.578947368421051</v>
      </c>
      <c r="R18" s="88">
        <f t="shared" si="11"/>
        <v>41.482965931863731</v>
      </c>
      <c r="S18" s="88">
        <f t="shared" si="12"/>
        <v>12.666666666666668</v>
      </c>
      <c r="T18" s="13">
        <f t="shared" si="13"/>
        <v>1</v>
      </c>
      <c r="U18" s="13">
        <f t="shared" si="0"/>
        <v>1</v>
      </c>
      <c r="V18" s="13">
        <f t="shared" si="14"/>
        <v>1</v>
      </c>
      <c r="W18" s="13">
        <f t="shared" ca="1" si="15"/>
        <v>3</v>
      </c>
      <c r="X18" s="13">
        <f t="shared" ca="1" si="16"/>
        <v>6</v>
      </c>
      <c r="Y18" s="81" t="str">
        <f t="shared" ca="1" si="17"/>
        <v>MONITOR</v>
      </c>
      <c r="Z18" s="13">
        <v>14</v>
      </c>
      <c r="AA18" s="75">
        <v>46059</v>
      </c>
      <c r="AB18" s="75">
        <f t="shared" si="18"/>
        <v>45920</v>
      </c>
      <c r="AC18" s="88">
        <f t="shared" si="19"/>
        <v>19.857142857142858</v>
      </c>
      <c r="AD18" s="89" t="str">
        <f t="shared" ca="1" si="20"/>
        <v>STABLE</v>
      </c>
      <c r="AE18" s="89" t="str">
        <f t="shared" si="21"/>
        <v>SLOW SELLING</v>
      </c>
      <c r="AF18" s="89" t="str">
        <f t="shared" si="22"/>
        <v>AT RISK</v>
      </c>
      <c r="AG18" s="89" t="str">
        <f t="shared" si="23"/>
        <v>FEASIBLE</v>
      </c>
      <c r="AH18" s="81" t="str">
        <f t="shared" ca="1" si="24"/>
        <v>MONITOR</v>
      </c>
      <c r="AI18" s="75">
        <f t="shared" ca="1" si="25"/>
        <v>0</v>
      </c>
      <c r="AJ18" s="75">
        <f t="shared" ca="1" si="26"/>
        <v>-1310</v>
      </c>
      <c r="AK18" s="13">
        <f t="shared" ca="1" si="56"/>
        <v>-1572</v>
      </c>
      <c r="AL18" s="79">
        <v>0.1</v>
      </c>
      <c r="AM18" s="79">
        <v>0.3</v>
      </c>
      <c r="AN18" s="79">
        <v>0.3</v>
      </c>
      <c r="AO18" s="79">
        <v>0.1</v>
      </c>
      <c r="AP18" s="79">
        <v>0.1</v>
      </c>
      <c r="AQ18" s="75">
        <f t="shared" si="28"/>
        <v>131</v>
      </c>
      <c r="AR18" s="75">
        <f t="shared" si="29"/>
        <v>393</v>
      </c>
      <c r="AS18" s="75">
        <f t="shared" si="30"/>
        <v>393</v>
      </c>
      <c r="AT18" s="75">
        <f t="shared" si="31"/>
        <v>131</v>
      </c>
      <c r="AU18" s="75">
        <f t="shared" si="32"/>
        <v>131</v>
      </c>
      <c r="AV18" s="13">
        <v>0.8</v>
      </c>
      <c r="AW18" s="13">
        <v>1.2</v>
      </c>
      <c r="AX18" s="13">
        <v>1.3</v>
      </c>
      <c r="AY18" s="13">
        <v>1</v>
      </c>
      <c r="AZ18" s="13">
        <v>0.7</v>
      </c>
      <c r="BA18" s="105">
        <f t="shared" si="33"/>
        <v>3.8000000000000003</v>
      </c>
      <c r="BB18" s="13">
        <f t="shared" si="34"/>
        <v>17.099999999999998</v>
      </c>
      <c r="BC18" s="13">
        <f t="shared" si="35"/>
        <v>18.525000000000002</v>
      </c>
      <c r="BD18" s="13">
        <f t="shared" si="36"/>
        <v>4.75</v>
      </c>
      <c r="BE18" s="13">
        <f t="shared" si="37"/>
        <v>3.3249999999999997</v>
      </c>
      <c r="BF18" s="88">
        <f t="shared" si="38"/>
        <v>34.473684210526315</v>
      </c>
      <c r="BG18" s="88">
        <f t="shared" si="39"/>
        <v>22.98245614035088</v>
      </c>
      <c r="BH18" s="88">
        <f t="shared" si="40"/>
        <v>21.214574898785422</v>
      </c>
      <c r="BI18" s="88">
        <f t="shared" si="41"/>
        <v>27.578947368421051</v>
      </c>
      <c r="BJ18" s="88">
        <f t="shared" si="42"/>
        <v>39.39849624060151</v>
      </c>
      <c r="BK18" s="105">
        <f t="shared" si="43"/>
        <v>2.9007633587786259E-2</v>
      </c>
      <c r="BL18" s="105">
        <f t="shared" si="44"/>
        <v>4.3511450381679383E-2</v>
      </c>
      <c r="BM18" s="105">
        <f t="shared" si="45"/>
        <v>4.7137404580152677E-2</v>
      </c>
      <c r="BN18" s="105">
        <f t="shared" si="46"/>
        <v>3.6259541984732829E-2</v>
      </c>
      <c r="BO18" s="105">
        <f t="shared" si="47"/>
        <v>2.5381679389312971E-2</v>
      </c>
      <c r="BP18" s="105">
        <f t="shared" si="48"/>
        <v>0.18129770992366412</v>
      </c>
      <c r="BQ18" s="79">
        <f t="shared" si="49"/>
        <v>0.16</v>
      </c>
      <c r="BR18" s="79">
        <f t="shared" si="50"/>
        <v>0.23999999999999996</v>
      </c>
      <c r="BS18" s="79">
        <f t="shared" si="51"/>
        <v>0.26</v>
      </c>
      <c r="BT18" s="79">
        <f t="shared" si="52"/>
        <v>0.20000000000000004</v>
      </c>
      <c r="BU18" s="79">
        <f t="shared" si="53"/>
        <v>0.13999999999999996</v>
      </c>
      <c r="BV18" s="90" t="s">
        <v>411</v>
      </c>
      <c r="BW18" s="106">
        <f t="shared" ca="1" si="57"/>
        <v>-251.52</v>
      </c>
      <c r="BX18" s="106">
        <f t="shared" ca="1" si="1"/>
        <v>-377.27999999999992</v>
      </c>
      <c r="BY18" s="106">
        <f t="shared" ca="1" si="2"/>
        <v>-408.72</v>
      </c>
      <c r="BZ18" s="106">
        <f t="shared" ca="1" si="3"/>
        <v>-314.40000000000003</v>
      </c>
      <c r="CA18" s="106">
        <f t="shared" ca="1" si="55"/>
        <v>-220.07999999999993</v>
      </c>
    </row>
    <row r="19" spans="1:79" x14ac:dyDescent="0.35">
      <c r="A19" s="25" t="s">
        <v>33</v>
      </c>
      <c r="B19" s="10" t="s">
        <v>319</v>
      </c>
      <c r="C19" s="10" t="s">
        <v>341</v>
      </c>
      <c r="D19" s="10" t="s">
        <v>346</v>
      </c>
      <c r="E19" s="11">
        <v>45850</v>
      </c>
      <c r="F19" s="17">
        <v>45892</v>
      </c>
      <c r="G19" s="14">
        <f t="shared" ca="1" si="4"/>
        <v>207</v>
      </c>
      <c r="H19" s="17">
        <v>499</v>
      </c>
      <c r="I19" s="17">
        <v>292</v>
      </c>
      <c r="J19" s="75">
        <f t="shared" si="5"/>
        <v>1133</v>
      </c>
      <c r="K19" s="17">
        <v>1500</v>
      </c>
      <c r="L19" s="85">
        <v>367</v>
      </c>
      <c r="M19" s="86">
        <f t="shared" ca="1" si="6"/>
        <v>1.7729468599033817</v>
      </c>
      <c r="N19" s="86">
        <f t="shared" si="7"/>
        <v>0.92883099285538351</v>
      </c>
      <c r="O19" s="86">
        <f t="shared" si="8"/>
        <v>1.1189024390243902</v>
      </c>
      <c r="P19" s="87">
        <f t="shared" si="9"/>
        <v>91.75</v>
      </c>
      <c r="Q19" s="104">
        <f t="shared" si="10"/>
        <v>12.348773841961853</v>
      </c>
      <c r="R19" s="88">
        <f t="shared" si="11"/>
        <v>41.482965931863731</v>
      </c>
      <c r="S19" s="88">
        <f t="shared" si="12"/>
        <v>24.466666666666669</v>
      </c>
      <c r="T19" s="13">
        <f t="shared" si="13"/>
        <v>3</v>
      </c>
      <c r="U19" s="13">
        <f t="shared" si="0"/>
        <v>1</v>
      </c>
      <c r="V19" s="13">
        <f t="shared" si="14"/>
        <v>1</v>
      </c>
      <c r="W19" s="13">
        <f t="shared" ca="1" si="15"/>
        <v>3</v>
      </c>
      <c r="X19" s="13">
        <f t="shared" ca="1" si="16"/>
        <v>8</v>
      </c>
      <c r="Y19" s="81" t="str">
        <f t="shared" ca="1" si="17"/>
        <v>MONITOR</v>
      </c>
      <c r="Z19" s="13">
        <v>14</v>
      </c>
      <c r="AA19" s="75">
        <v>46059</v>
      </c>
      <c r="AB19" s="75">
        <f t="shared" si="18"/>
        <v>45920</v>
      </c>
      <c r="AC19" s="88">
        <f t="shared" si="19"/>
        <v>19.857142857142858</v>
      </c>
      <c r="AD19" s="89" t="str">
        <f t="shared" ca="1" si="20"/>
        <v>STABLE</v>
      </c>
      <c r="AE19" s="89" t="str">
        <f t="shared" si="21"/>
        <v>FAST SELLING</v>
      </c>
      <c r="AF19" s="89" t="str">
        <f t="shared" si="22"/>
        <v>AT RISK</v>
      </c>
      <c r="AG19" s="89" t="str">
        <f t="shared" si="23"/>
        <v>FEASIBLE</v>
      </c>
      <c r="AH19" s="81" t="str">
        <f t="shared" ca="1" si="24"/>
        <v>MONITOR</v>
      </c>
      <c r="AI19" s="75">
        <f t="shared" ca="1" si="25"/>
        <v>0</v>
      </c>
      <c r="AJ19" s="75">
        <f t="shared" ca="1" si="26"/>
        <v>-1133</v>
      </c>
      <c r="AK19" s="13">
        <f t="shared" ca="1" si="56"/>
        <v>-1360</v>
      </c>
      <c r="AL19" s="79">
        <v>0.1</v>
      </c>
      <c r="AM19" s="79">
        <v>0.3</v>
      </c>
      <c r="AN19" s="79">
        <v>0.3</v>
      </c>
      <c r="AO19" s="79">
        <v>0.1</v>
      </c>
      <c r="AP19" s="79">
        <v>0.1</v>
      </c>
      <c r="AQ19" s="75">
        <f t="shared" si="28"/>
        <v>113.30000000000001</v>
      </c>
      <c r="AR19" s="75">
        <f t="shared" si="29"/>
        <v>339.9</v>
      </c>
      <c r="AS19" s="75">
        <f t="shared" si="30"/>
        <v>339.9</v>
      </c>
      <c r="AT19" s="75">
        <f t="shared" si="31"/>
        <v>113.30000000000001</v>
      </c>
      <c r="AU19" s="75">
        <f t="shared" si="32"/>
        <v>113.30000000000001</v>
      </c>
      <c r="AV19" s="13">
        <v>0.8</v>
      </c>
      <c r="AW19" s="13">
        <v>1.2</v>
      </c>
      <c r="AX19" s="13">
        <v>1.3</v>
      </c>
      <c r="AY19" s="13">
        <v>1</v>
      </c>
      <c r="AZ19" s="13">
        <v>0.7</v>
      </c>
      <c r="BA19" s="105">
        <f t="shared" si="33"/>
        <v>7.3400000000000007</v>
      </c>
      <c r="BB19" s="13">
        <f t="shared" si="34"/>
        <v>33.029999999999994</v>
      </c>
      <c r="BC19" s="13">
        <f t="shared" si="35"/>
        <v>35.782499999999999</v>
      </c>
      <c r="BD19" s="13">
        <f t="shared" si="36"/>
        <v>9.1750000000000007</v>
      </c>
      <c r="BE19" s="13">
        <f t="shared" si="37"/>
        <v>6.4225000000000003</v>
      </c>
      <c r="BF19" s="88">
        <f t="shared" si="38"/>
        <v>15.435967302452315</v>
      </c>
      <c r="BG19" s="88">
        <f t="shared" si="39"/>
        <v>10.290644868301545</v>
      </c>
      <c r="BH19" s="88">
        <f t="shared" si="40"/>
        <v>9.4990568015091181</v>
      </c>
      <c r="BI19" s="88">
        <f t="shared" si="41"/>
        <v>12.348773841961853</v>
      </c>
      <c r="BJ19" s="88">
        <f t="shared" si="42"/>
        <v>17.641105488516935</v>
      </c>
      <c r="BK19" s="105">
        <f t="shared" si="43"/>
        <v>6.4783759929391005E-2</v>
      </c>
      <c r="BL19" s="105">
        <f t="shared" si="44"/>
        <v>9.7175639894086493E-2</v>
      </c>
      <c r="BM19" s="105">
        <f t="shared" si="45"/>
        <v>0.10527360988526037</v>
      </c>
      <c r="BN19" s="105">
        <f t="shared" ref="BN19:BN66" si="58">1/BI19</f>
        <v>8.0979699911738742E-2</v>
      </c>
      <c r="BO19" s="105">
        <f t="shared" si="47"/>
        <v>5.6685789938217115E-2</v>
      </c>
      <c r="BP19" s="105">
        <f t="shared" si="48"/>
        <v>0.40489849955869373</v>
      </c>
      <c r="BQ19" s="79">
        <f t="shared" si="49"/>
        <v>0.16000000000000003</v>
      </c>
      <c r="BR19" s="79">
        <f t="shared" si="50"/>
        <v>0.24</v>
      </c>
      <c r="BS19" s="79">
        <f t="shared" si="51"/>
        <v>0.26</v>
      </c>
      <c r="BT19" s="79">
        <f t="shared" si="52"/>
        <v>0.19999999999999998</v>
      </c>
      <c r="BU19" s="79">
        <f t="shared" si="53"/>
        <v>0.13999999999999999</v>
      </c>
      <c r="BV19" s="90" t="s">
        <v>423</v>
      </c>
      <c r="BW19" s="106">
        <f t="shared" ca="1" si="57"/>
        <v>-217.60000000000005</v>
      </c>
      <c r="BX19" s="106">
        <f t="shared" ca="1" si="1"/>
        <v>-326.39999999999998</v>
      </c>
      <c r="BY19" s="106">
        <f t="shared" ca="1" si="2"/>
        <v>-353.6</v>
      </c>
      <c r="BZ19" s="106">
        <f t="shared" ca="1" si="3"/>
        <v>-272</v>
      </c>
      <c r="CA19" s="106">
        <f t="shared" ca="1" si="55"/>
        <v>-190.39999999999998</v>
      </c>
    </row>
    <row r="20" spans="1:79" x14ac:dyDescent="0.35">
      <c r="A20" s="25" t="s">
        <v>34</v>
      </c>
      <c r="B20" s="15" t="s">
        <v>318</v>
      </c>
      <c r="C20" s="10" t="s">
        <v>341</v>
      </c>
      <c r="D20" s="10" t="s">
        <v>346</v>
      </c>
      <c r="E20" s="11">
        <v>45920</v>
      </c>
      <c r="F20" s="17">
        <v>45892</v>
      </c>
      <c r="G20" s="14">
        <f t="shared" ca="1" si="4"/>
        <v>207</v>
      </c>
      <c r="H20" s="17">
        <v>399</v>
      </c>
      <c r="I20" s="17">
        <v>225</v>
      </c>
      <c r="J20" s="75">
        <f t="shared" si="5"/>
        <v>1274</v>
      </c>
      <c r="K20" s="17">
        <v>1500</v>
      </c>
      <c r="L20" s="85">
        <v>226</v>
      </c>
      <c r="M20" s="86">
        <f t="shared" ca="1" si="6"/>
        <v>1.0917874396135265</v>
      </c>
      <c r="N20" s="86">
        <f t="shared" si="7"/>
        <v>0.92883099285538351</v>
      </c>
      <c r="O20" s="86">
        <f t="shared" si="8"/>
        <v>0.68902439024390238</v>
      </c>
      <c r="P20" s="87">
        <f t="shared" si="9"/>
        <v>56.499999999999993</v>
      </c>
      <c r="Q20" s="104">
        <f t="shared" si="10"/>
        <v>22.548672566371685</v>
      </c>
      <c r="R20" s="88">
        <f t="shared" si="11"/>
        <v>43.609022556390975</v>
      </c>
      <c r="S20" s="88">
        <f t="shared" si="12"/>
        <v>15.066666666666666</v>
      </c>
      <c r="T20" s="13">
        <f t="shared" si="13"/>
        <v>1</v>
      </c>
      <c r="U20" s="13">
        <f t="shared" si="0"/>
        <v>1</v>
      </c>
      <c r="V20" s="13">
        <f t="shared" si="14"/>
        <v>1</v>
      </c>
      <c r="W20" s="13">
        <f t="shared" ca="1" si="15"/>
        <v>3</v>
      </c>
      <c r="X20" s="13">
        <f t="shared" ca="1" si="16"/>
        <v>6</v>
      </c>
      <c r="Y20" s="81" t="str">
        <f t="shared" ca="1" si="17"/>
        <v>MONITOR</v>
      </c>
      <c r="Z20" s="13">
        <v>14</v>
      </c>
      <c r="AA20" s="75">
        <v>46059</v>
      </c>
      <c r="AB20" s="75">
        <f t="shared" si="18"/>
        <v>45920</v>
      </c>
      <c r="AC20" s="88">
        <f t="shared" si="19"/>
        <v>19.857142857142858</v>
      </c>
      <c r="AD20" s="89" t="str">
        <f t="shared" ca="1" si="20"/>
        <v>STABLE</v>
      </c>
      <c r="AE20" s="89" t="str">
        <f t="shared" si="21"/>
        <v>SLOW SELLING</v>
      </c>
      <c r="AF20" s="89" t="str">
        <f t="shared" si="22"/>
        <v>AT RISK</v>
      </c>
      <c r="AG20" s="89" t="str">
        <f t="shared" si="23"/>
        <v>FEASIBLE</v>
      </c>
      <c r="AH20" s="81" t="str">
        <f t="shared" ca="1" si="24"/>
        <v>MONITOR</v>
      </c>
      <c r="AI20" s="75">
        <f t="shared" ca="1" si="25"/>
        <v>0</v>
      </c>
      <c r="AJ20" s="75">
        <f t="shared" ca="1" si="26"/>
        <v>-1274</v>
      </c>
      <c r="AK20" s="13">
        <f t="shared" ca="1" si="56"/>
        <v>-1529</v>
      </c>
      <c r="AL20" s="79">
        <v>0.1</v>
      </c>
      <c r="AM20" s="79">
        <v>0.3</v>
      </c>
      <c r="AN20" s="79">
        <v>0.3</v>
      </c>
      <c r="AO20" s="79">
        <v>0.1</v>
      </c>
      <c r="AP20" s="79">
        <v>0.1</v>
      </c>
      <c r="AQ20" s="75">
        <f t="shared" si="28"/>
        <v>127.4</v>
      </c>
      <c r="AR20" s="75">
        <f t="shared" si="29"/>
        <v>382.2</v>
      </c>
      <c r="AS20" s="75">
        <f t="shared" si="30"/>
        <v>382.2</v>
      </c>
      <c r="AT20" s="75">
        <f t="shared" si="31"/>
        <v>127.4</v>
      </c>
      <c r="AU20" s="75">
        <f t="shared" si="32"/>
        <v>127.4</v>
      </c>
      <c r="AV20" s="13">
        <v>0.8</v>
      </c>
      <c r="AW20" s="13">
        <v>1.2</v>
      </c>
      <c r="AX20" s="13">
        <v>1.3</v>
      </c>
      <c r="AY20" s="13">
        <v>1</v>
      </c>
      <c r="AZ20" s="13">
        <v>0.7</v>
      </c>
      <c r="BA20" s="105">
        <f t="shared" si="33"/>
        <v>4.5199999999999996</v>
      </c>
      <c r="BB20" s="13">
        <f t="shared" si="34"/>
        <v>20.339999999999993</v>
      </c>
      <c r="BC20" s="13">
        <f t="shared" si="35"/>
        <v>22.034999999999997</v>
      </c>
      <c r="BD20" s="13">
        <f t="shared" si="36"/>
        <v>5.6499999999999995</v>
      </c>
      <c r="BE20" s="13">
        <f t="shared" si="37"/>
        <v>3.9549999999999992</v>
      </c>
      <c r="BF20" s="88">
        <f t="shared" si="38"/>
        <v>28.185840707964605</v>
      </c>
      <c r="BG20" s="88">
        <f t="shared" si="39"/>
        <v>18.790560471976406</v>
      </c>
      <c r="BH20" s="88">
        <f t="shared" si="40"/>
        <v>17.345132743362836</v>
      </c>
      <c r="BI20" s="88">
        <f t="shared" si="41"/>
        <v>22.548672566371685</v>
      </c>
      <c r="BJ20" s="88">
        <f t="shared" si="42"/>
        <v>32.212389380530979</v>
      </c>
      <c r="BK20" s="105">
        <f t="shared" si="43"/>
        <v>3.5478806907378334E-2</v>
      </c>
      <c r="BL20" s="105">
        <f t="shared" si="44"/>
        <v>5.321821036106749E-2</v>
      </c>
      <c r="BM20" s="105">
        <f t="shared" si="45"/>
        <v>5.7653061224489786E-2</v>
      </c>
      <c r="BN20" s="105">
        <f t="shared" si="58"/>
        <v>4.4348508634222912E-2</v>
      </c>
      <c r="BO20" s="105">
        <f t="shared" si="47"/>
        <v>3.1043956043956038E-2</v>
      </c>
      <c r="BP20" s="105">
        <f t="shared" si="48"/>
        <v>0.22174254317111455</v>
      </c>
      <c r="BQ20" s="79">
        <f t="shared" si="49"/>
        <v>0.16000000000000003</v>
      </c>
      <c r="BR20" s="79">
        <f t="shared" si="50"/>
        <v>0.24</v>
      </c>
      <c r="BS20" s="79">
        <f t="shared" si="51"/>
        <v>0.26</v>
      </c>
      <c r="BT20" s="79">
        <f t="shared" si="52"/>
        <v>0.2</v>
      </c>
      <c r="BU20" s="79">
        <f t="shared" si="53"/>
        <v>0.14000000000000001</v>
      </c>
      <c r="BV20" s="90" t="s">
        <v>424</v>
      </c>
      <c r="BW20" s="106">
        <f t="shared" ca="1" si="57"/>
        <v>-244.64000000000004</v>
      </c>
      <c r="BX20" s="106">
        <f t="shared" ca="1" si="1"/>
        <v>-366.96</v>
      </c>
      <c r="BY20" s="106">
        <f t="shared" ca="1" si="2"/>
        <v>-397.54</v>
      </c>
      <c r="BZ20" s="106">
        <f t="shared" ca="1" si="3"/>
        <v>-305.8</v>
      </c>
      <c r="CA20" s="106">
        <f t="shared" ca="1" si="55"/>
        <v>-214.06000000000003</v>
      </c>
    </row>
    <row r="21" spans="1:79" x14ac:dyDescent="0.35">
      <c r="A21" s="25" t="s">
        <v>35</v>
      </c>
      <c r="B21" s="15" t="s">
        <v>318</v>
      </c>
      <c r="C21" s="10" t="s">
        <v>341</v>
      </c>
      <c r="D21" s="10" t="s">
        <v>346</v>
      </c>
      <c r="E21" s="11">
        <v>45920</v>
      </c>
      <c r="F21" s="17">
        <v>45892</v>
      </c>
      <c r="G21" s="14">
        <f t="shared" ca="1" si="4"/>
        <v>207</v>
      </c>
      <c r="H21" s="17">
        <v>399</v>
      </c>
      <c r="I21" s="17">
        <v>225</v>
      </c>
      <c r="J21" s="75">
        <f t="shared" si="5"/>
        <v>1289</v>
      </c>
      <c r="K21" s="17">
        <v>1500</v>
      </c>
      <c r="L21" s="85">
        <v>211</v>
      </c>
      <c r="M21" s="86">
        <f t="shared" ca="1" si="6"/>
        <v>1.0193236714975846</v>
      </c>
      <c r="N21" s="86">
        <f t="shared" si="7"/>
        <v>0.92883099285538351</v>
      </c>
      <c r="O21" s="86">
        <f t="shared" si="8"/>
        <v>0.64329268292682928</v>
      </c>
      <c r="P21" s="87">
        <f t="shared" si="9"/>
        <v>52.75</v>
      </c>
      <c r="Q21" s="104">
        <f t="shared" si="10"/>
        <v>24.436018957345972</v>
      </c>
      <c r="R21" s="88">
        <f t="shared" si="11"/>
        <v>43.609022556390975</v>
      </c>
      <c r="S21" s="88">
        <f t="shared" si="12"/>
        <v>14.066666666666666</v>
      </c>
      <c r="T21" s="13">
        <f t="shared" si="13"/>
        <v>1</v>
      </c>
      <c r="U21" s="13">
        <f t="shared" si="0"/>
        <v>1</v>
      </c>
      <c r="V21" s="13">
        <f t="shared" si="14"/>
        <v>1</v>
      </c>
      <c r="W21" s="13">
        <f t="shared" ca="1" si="15"/>
        <v>3</v>
      </c>
      <c r="X21" s="13">
        <f t="shared" ca="1" si="16"/>
        <v>6</v>
      </c>
      <c r="Y21" s="81" t="str">
        <f t="shared" ca="1" si="17"/>
        <v>MONITOR</v>
      </c>
      <c r="Z21" s="13">
        <v>14</v>
      </c>
      <c r="AA21" s="75">
        <v>46059</v>
      </c>
      <c r="AB21" s="75">
        <f t="shared" si="18"/>
        <v>45920</v>
      </c>
      <c r="AC21" s="88">
        <f t="shared" si="19"/>
        <v>19.857142857142858</v>
      </c>
      <c r="AD21" s="89" t="str">
        <f t="shared" ca="1" si="20"/>
        <v>STABLE</v>
      </c>
      <c r="AE21" s="89" t="str">
        <f t="shared" si="21"/>
        <v>SLOW SELLING</v>
      </c>
      <c r="AF21" s="89" t="str">
        <f t="shared" si="22"/>
        <v>AT RISK</v>
      </c>
      <c r="AG21" s="89" t="str">
        <f t="shared" si="23"/>
        <v>FEASIBLE</v>
      </c>
      <c r="AH21" s="81" t="str">
        <f t="shared" ca="1" si="24"/>
        <v>MONITOR</v>
      </c>
      <c r="AI21" s="75">
        <f t="shared" ca="1" si="25"/>
        <v>0</v>
      </c>
      <c r="AJ21" s="75">
        <f t="shared" ca="1" si="26"/>
        <v>-1289</v>
      </c>
      <c r="AK21" s="13">
        <f t="shared" ca="1" si="56"/>
        <v>-1547</v>
      </c>
      <c r="AL21" s="79">
        <v>0.1</v>
      </c>
      <c r="AM21" s="79">
        <v>0.3</v>
      </c>
      <c r="AN21" s="79">
        <v>0.3</v>
      </c>
      <c r="AO21" s="79">
        <v>0.1</v>
      </c>
      <c r="AP21" s="79">
        <v>0.1</v>
      </c>
      <c r="AQ21" s="75">
        <f t="shared" si="28"/>
        <v>128.9</v>
      </c>
      <c r="AR21" s="75">
        <f t="shared" si="29"/>
        <v>386.7</v>
      </c>
      <c r="AS21" s="75">
        <f t="shared" si="30"/>
        <v>386.7</v>
      </c>
      <c r="AT21" s="75">
        <f t="shared" si="31"/>
        <v>128.9</v>
      </c>
      <c r="AU21" s="75">
        <f t="shared" si="32"/>
        <v>128.9</v>
      </c>
      <c r="AV21" s="13">
        <v>0.8</v>
      </c>
      <c r="AW21" s="13">
        <v>1.2</v>
      </c>
      <c r="AX21" s="13">
        <v>1.3</v>
      </c>
      <c r="AY21" s="13">
        <v>1</v>
      </c>
      <c r="AZ21" s="13">
        <v>0.7</v>
      </c>
      <c r="BA21" s="105">
        <f t="shared" si="33"/>
        <v>4.2200000000000006</v>
      </c>
      <c r="BB21" s="13">
        <f t="shared" si="34"/>
        <v>18.989999999999998</v>
      </c>
      <c r="BC21" s="13">
        <f t="shared" si="35"/>
        <v>20.572499999999998</v>
      </c>
      <c r="BD21" s="13">
        <f t="shared" si="36"/>
        <v>5.2750000000000004</v>
      </c>
      <c r="BE21" s="13">
        <f t="shared" si="37"/>
        <v>3.6924999999999999</v>
      </c>
      <c r="BF21" s="88">
        <f t="shared" si="38"/>
        <v>30.54502369668246</v>
      </c>
      <c r="BG21" s="88">
        <f t="shared" si="39"/>
        <v>20.363349131121645</v>
      </c>
      <c r="BH21" s="88">
        <f t="shared" si="40"/>
        <v>18.796937659496901</v>
      </c>
      <c r="BI21" s="88">
        <f t="shared" si="41"/>
        <v>24.436018957345972</v>
      </c>
      <c r="BJ21" s="88">
        <f t="shared" si="42"/>
        <v>34.908598510494251</v>
      </c>
      <c r="BK21" s="105">
        <f t="shared" si="43"/>
        <v>3.2738557020946475E-2</v>
      </c>
      <c r="BL21" s="105">
        <f t="shared" si="44"/>
        <v>4.9107835531419702E-2</v>
      </c>
      <c r="BM21" s="105">
        <f t="shared" si="45"/>
        <v>5.3200155159038011E-2</v>
      </c>
      <c r="BN21" s="105">
        <f t="shared" si="58"/>
        <v>4.0923196276183085E-2</v>
      </c>
      <c r="BO21" s="105">
        <f t="shared" si="47"/>
        <v>2.8646237393328156E-2</v>
      </c>
      <c r="BP21" s="105">
        <f t="shared" si="48"/>
        <v>0.20461598138091541</v>
      </c>
      <c r="BQ21" s="79">
        <f t="shared" si="49"/>
        <v>0.16000000000000003</v>
      </c>
      <c r="BR21" s="79">
        <f t="shared" si="50"/>
        <v>0.24000000000000002</v>
      </c>
      <c r="BS21" s="79">
        <f t="shared" si="51"/>
        <v>0.26</v>
      </c>
      <c r="BT21" s="79">
        <f t="shared" si="52"/>
        <v>0.2</v>
      </c>
      <c r="BU21" s="79">
        <f t="shared" si="53"/>
        <v>0.13999999999999999</v>
      </c>
      <c r="BV21" s="90" t="s">
        <v>412</v>
      </c>
      <c r="BW21" s="106">
        <f t="shared" ca="1" si="57"/>
        <v>-247.52000000000004</v>
      </c>
      <c r="BX21" s="106">
        <f t="shared" ca="1" si="1"/>
        <v>-371.28000000000003</v>
      </c>
      <c r="BY21" s="106">
        <f t="shared" ca="1" si="2"/>
        <v>-402.22</v>
      </c>
      <c r="BZ21" s="106">
        <f t="shared" ca="1" si="3"/>
        <v>-309.40000000000003</v>
      </c>
      <c r="CA21" s="106">
        <f t="shared" ref="CA21:CA84" ca="1" si="59">AK21*BU21</f>
        <v>-216.57999999999998</v>
      </c>
    </row>
    <row r="22" spans="1:79" x14ac:dyDescent="0.35">
      <c r="A22" s="25" t="s">
        <v>36</v>
      </c>
      <c r="B22" s="15" t="s">
        <v>318</v>
      </c>
      <c r="C22" s="10" t="s">
        <v>341</v>
      </c>
      <c r="D22" s="10" t="s">
        <v>346</v>
      </c>
      <c r="E22" s="11">
        <v>45920</v>
      </c>
      <c r="F22" s="17">
        <v>45892</v>
      </c>
      <c r="G22" s="14">
        <f t="shared" ca="1" si="4"/>
        <v>207</v>
      </c>
      <c r="H22" s="17">
        <v>399</v>
      </c>
      <c r="I22" s="17">
        <v>225</v>
      </c>
      <c r="J22" s="75">
        <f t="shared" si="5"/>
        <v>1284</v>
      </c>
      <c r="K22" s="17">
        <v>1500</v>
      </c>
      <c r="L22" s="85">
        <v>216</v>
      </c>
      <c r="M22" s="86">
        <f t="shared" ca="1" si="6"/>
        <v>1.0434782608695652</v>
      </c>
      <c r="N22" s="86">
        <f t="shared" si="7"/>
        <v>0.92883099285538351</v>
      </c>
      <c r="O22" s="86">
        <f t="shared" si="8"/>
        <v>0.65853658536585369</v>
      </c>
      <c r="P22" s="87">
        <f t="shared" si="9"/>
        <v>54</v>
      </c>
      <c r="Q22" s="104">
        <f t="shared" si="10"/>
        <v>23.777777777777779</v>
      </c>
      <c r="R22" s="88">
        <f t="shared" si="11"/>
        <v>43.609022556390975</v>
      </c>
      <c r="S22" s="88">
        <f t="shared" si="12"/>
        <v>14.399999999999999</v>
      </c>
      <c r="T22" s="13">
        <f t="shared" si="13"/>
        <v>1</v>
      </c>
      <c r="U22" s="13">
        <f t="shared" si="0"/>
        <v>1</v>
      </c>
      <c r="V22" s="13">
        <f t="shared" si="14"/>
        <v>1</v>
      </c>
      <c r="W22" s="13">
        <f t="shared" ca="1" si="15"/>
        <v>3</v>
      </c>
      <c r="X22" s="13">
        <f t="shared" ca="1" si="16"/>
        <v>6</v>
      </c>
      <c r="Y22" s="81" t="str">
        <f t="shared" ca="1" si="17"/>
        <v>MONITOR</v>
      </c>
      <c r="Z22" s="13">
        <v>14</v>
      </c>
      <c r="AA22" s="75">
        <v>46059</v>
      </c>
      <c r="AB22" s="75">
        <f t="shared" si="18"/>
        <v>45920</v>
      </c>
      <c r="AC22" s="88">
        <f t="shared" si="19"/>
        <v>19.857142857142858</v>
      </c>
      <c r="AD22" s="89" t="str">
        <f t="shared" ca="1" si="20"/>
        <v>STABLE</v>
      </c>
      <c r="AE22" s="89" t="str">
        <f t="shared" si="21"/>
        <v>SLOW SELLING</v>
      </c>
      <c r="AF22" s="89" t="str">
        <f t="shared" si="22"/>
        <v>AT RISK</v>
      </c>
      <c r="AG22" s="89" t="str">
        <f t="shared" si="23"/>
        <v>FEASIBLE</v>
      </c>
      <c r="AH22" s="81" t="str">
        <f t="shared" ca="1" si="24"/>
        <v>MONITOR</v>
      </c>
      <c r="AI22" s="75">
        <f t="shared" ca="1" si="25"/>
        <v>0</v>
      </c>
      <c r="AJ22" s="75">
        <f t="shared" ca="1" si="26"/>
        <v>-1284</v>
      </c>
      <c r="AK22" s="13">
        <f t="shared" ca="1" si="56"/>
        <v>-1541</v>
      </c>
      <c r="AL22" s="79">
        <v>0.1</v>
      </c>
      <c r="AM22" s="79">
        <v>0.3</v>
      </c>
      <c r="AN22" s="79">
        <v>0.3</v>
      </c>
      <c r="AO22" s="79">
        <v>0.1</v>
      </c>
      <c r="AP22" s="79">
        <v>0.1</v>
      </c>
      <c r="AQ22" s="75">
        <f t="shared" si="28"/>
        <v>128.4</v>
      </c>
      <c r="AR22" s="75">
        <f t="shared" si="29"/>
        <v>385.2</v>
      </c>
      <c r="AS22" s="75">
        <f t="shared" si="30"/>
        <v>385.2</v>
      </c>
      <c r="AT22" s="75">
        <f t="shared" si="31"/>
        <v>128.4</v>
      </c>
      <c r="AU22" s="75">
        <f t="shared" si="32"/>
        <v>128.4</v>
      </c>
      <c r="AV22" s="13">
        <v>0.8</v>
      </c>
      <c r="AW22" s="13">
        <v>1.2</v>
      </c>
      <c r="AX22" s="13">
        <v>1.3</v>
      </c>
      <c r="AY22" s="13">
        <v>1</v>
      </c>
      <c r="AZ22" s="13">
        <v>0.7</v>
      </c>
      <c r="BA22" s="105">
        <f t="shared" si="33"/>
        <v>4.32</v>
      </c>
      <c r="BB22" s="13">
        <f t="shared" si="34"/>
        <v>19.439999999999998</v>
      </c>
      <c r="BC22" s="13">
        <f t="shared" si="35"/>
        <v>21.06</v>
      </c>
      <c r="BD22" s="13">
        <f t="shared" si="36"/>
        <v>5.4</v>
      </c>
      <c r="BE22" s="13">
        <f t="shared" si="37"/>
        <v>3.78</v>
      </c>
      <c r="BF22" s="88">
        <f t="shared" si="38"/>
        <v>29.722222222222221</v>
      </c>
      <c r="BG22" s="88">
        <f t="shared" si="39"/>
        <v>19.814814814814817</v>
      </c>
      <c r="BH22" s="88">
        <f t="shared" si="40"/>
        <v>18.29059829059829</v>
      </c>
      <c r="BI22" s="88">
        <f t="shared" si="41"/>
        <v>23.777777777777779</v>
      </c>
      <c r="BJ22" s="88">
        <f t="shared" si="42"/>
        <v>33.968253968253968</v>
      </c>
      <c r="BK22" s="105">
        <f t="shared" si="43"/>
        <v>3.3644859813084113E-2</v>
      </c>
      <c r="BL22" s="105">
        <f t="shared" si="44"/>
        <v>5.0467289719626163E-2</v>
      </c>
      <c r="BM22" s="105">
        <f t="shared" si="45"/>
        <v>5.4672897196261686E-2</v>
      </c>
      <c r="BN22" s="105">
        <f t="shared" si="58"/>
        <v>4.2056074766355138E-2</v>
      </c>
      <c r="BO22" s="105">
        <f t="shared" si="47"/>
        <v>2.9439252336448597E-2</v>
      </c>
      <c r="BP22" s="105">
        <f t="shared" si="48"/>
        <v>0.2102803738317757</v>
      </c>
      <c r="BQ22" s="79">
        <f t="shared" si="49"/>
        <v>0.16</v>
      </c>
      <c r="BR22" s="79">
        <f t="shared" si="50"/>
        <v>0.24</v>
      </c>
      <c r="BS22" s="79">
        <f t="shared" si="51"/>
        <v>0.26</v>
      </c>
      <c r="BT22" s="79">
        <f t="shared" si="52"/>
        <v>0.19999999999999998</v>
      </c>
      <c r="BU22" s="79">
        <f t="shared" si="53"/>
        <v>0.13999999999999999</v>
      </c>
      <c r="BV22" s="90" t="str">
        <f t="array" aca="1" ref="BV22" ca="1">_xlfn.TEXTJOIN(" ",TRUE,
_xlfn.TEXTJOIN(":",TRUE,ROUND(BK22:BO22/MIN(IF(BK22:BO22&gt;0,BK22:BO22)),0)),
"|",
ROUND(SUM(BW22:CA22),0))</f>
        <v>1:2:2:1:1 | -1541</v>
      </c>
      <c r="BW22" s="106">
        <f t="shared" ca="1" si="57"/>
        <v>-246.56</v>
      </c>
      <c r="BX22" s="106">
        <f t="shared" ca="1" si="1"/>
        <v>-369.84</v>
      </c>
      <c r="BY22" s="106">
        <f t="shared" ca="1" si="2"/>
        <v>-400.66</v>
      </c>
      <c r="BZ22" s="106">
        <f t="shared" ca="1" si="3"/>
        <v>-308.2</v>
      </c>
      <c r="CA22" s="106">
        <f t="shared" ca="1" si="59"/>
        <v>-215.73999999999998</v>
      </c>
    </row>
    <row r="23" spans="1:79" x14ac:dyDescent="0.35">
      <c r="A23" s="25" t="s">
        <v>37</v>
      </c>
      <c r="B23" s="15" t="s">
        <v>318</v>
      </c>
      <c r="C23" s="10" t="s">
        <v>341</v>
      </c>
      <c r="D23" s="10" t="s">
        <v>346</v>
      </c>
      <c r="E23" s="11">
        <v>45920</v>
      </c>
      <c r="F23" s="17">
        <v>45892</v>
      </c>
      <c r="G23" s="14">
        <f t="shared" ca="1" si="4"/>
        <v>207</v>
      </c>
      <c r="H23" s="17">
        <v>399</v>
      </c>
      <c r="I23" s="17">
        <v>225</v>
      </c>
      <c r="J23" s="75">
        <f t="shared" si="5"/>
        <v>1499</v>
      </c>
      <c r="K23" s="17">
        <v>1500</v>
      </c>
      <c r="L23" s="85">
        <v>1</v>
      </c>
      <c r="M23" s="86">
        <f t="shared" ca="1" si="6"/>
        <v>4.830917874396135E-3</v>
      </c>
      <c r="N23" s="86">
        <f t="shared" si="7"/>
        <v>0.92883099285538351</v>
      </c>
      <c r="O23" s="86">
        <f t="shared" si="8"/>
        <v>3.0487804878048782E-3</v>
      </c>
      <c r="P23" s="87">
        <f t="shared" si="9"/>
        <v>0.25</v>
      </c>
      <c r="Q23" s="104">
        <f t="shared" si="10"/>
        <v>5996</v>
      </c>
      <c r="R23" s="88">
        <f t="shared" si="11"/>
        <v>43.609022556390975</v>
      </c>
      <c r="S23" s="88">
        <f t="shared" si="12"/>
        <v>6.6666666666666666E-2</v>
      </c>
      <c r="T23" s="13">
        <f t="shared" si="13"/>
        <v>1</v>
      </c>
      <c r="U23" s="13">
        <f t="shared" si="0"/>
        <v>1</v>
      </c>
      <c r="V23" s="13">
        <f t="shared" si="14"/>
        <v>1</v>
      </c>
      <c r="W23" s="13">
        <f t="shared" ca="1" si="15"/>
        <v>3</v>
      </c>
      <c r="X23" s="13">
        <f t="shared" ca="1" si="16"/>
        <v>6</v>
      </c>
      <c r="Y23" s="81" t="str">
        <f t="shared" ca="1" si="17"/>
        <v>MONITOR</v>
      </c>
      <c r="Z23" s="13">
        <v>14</v>
      </c>
      <c r="AA23" s="75">
        <v>46059</v>
      </c>
      <c r="AB23" s="75">
        <f t="shared" si="18"/>
        <v>45920</v>
      </c>
      <c r="AC23" s="88">
        <f t="shared" si="19"/>
        <v>19.857142857142858</v>
      </c>
      <c r="AD23" s="89" t="str">
        <f t="shared" ca="1" si="20"/>
        <v>STABLE</v>
      </c>
      <c r="AE23" s="89" t="str">
        <f>IF(O23&gt;=N23,"FAST SELLING","SLOW SELLING")</f>
        <v>SLOW SELLING</v>
      </c>
      <c r="AF23" s="89" t="str">
        <f t="shared" si="22"/>
        <v>AT RISK</v>
      </c>
      <c r="AG23" s="89" t="str">
        <f t="shared" si="23"/>
        <v>FEASIBLE</v>
      </c>
      <c r="AH23" s="81" t="str">
        <f t="shared" ca="1" si="24"/>
        <v>MONITOR</v>
      </c>
      <c r="AI23" s="75">
        <f t="shared" ca="1" si="25"/>
        <v>0</v>
      </c>
      <c r="AJ23" s="75">
        <f t="shared" ca="1" si="26"/>
        <v>-1499</v>
      </c>
      <c r="AK23" s="13">
        <f t="shared" ca="1" si="56"/>
        <v>-1799</v>
      </c>
      <c r="AL23" s="79">
        <v>0.1</v>
      </c>
      <c r="AM23" s="79">
        <v>0.3</v>
      </c>
      <c r="AN23" s="79">
        <v>0.3</v>
      </c>
      <c r="AO23" s="79">
        <v>0.1</v>
      </c>
      <c r="AP23" s="79">
        <v>0.1</v>
      </c>
      <c r="AQ23" s="75">
        <f t="shared" si="28"/>
        <v>149.9</v>
      </c>
      <c r="AR23" s="75">
        <f t="shared" si="29"/>
        <v>449.7</v>
      </c>
      <c r="AS23" s="75">
        <f t="shared" si="30"/>
        <v>449.7</v>
      </c>
      <c r="AT23" s="75">
        <f t="shared" si="31"/>
        <v>149.9</v>
      </c>
      <c r="AU23" s="75">
        <f t="shared" si="32"/>
        <v>149.9</v>
      </c>
      <c r="AV23" s="13">
        <v>0.8</v>
      </c>
      <c r="AW23" s="13">
        <v>1.2</v>
      </c>
      <c r="AX23" s="13">
        <v>1.3</v>
      </c>
      <c r="AY23" s="13">
        <v>1</v>
      </c>
      <c r="AZ23" s="13">
        <v>0.7</v>
      </c>
      <c r="BA23" s="105">
        <f t="shared" si="33"/>
        <v>2.0000000000000004E-2</v>
      </c>
      <c r="BB23" s="13">
        <f t="shared" si="34"/>
        <v>0.09</v>
      </c>
      <c r="BC23" s="13">
        <f t="shared" si="35"/>
        <v>9.7500000000000003E-2</v>
      </c>
      <c r="BD23" s="13">
        <f t="shared" si="36"/>
        <v>2.5000000000000001E-2</v>
      </c>
      <c r="BE23" s="13">
        <f t="shared" si="37"/>
        <v>1.7499999999999998E-2</v>
      </c>
      <c r="BF23" s="88">
        <f t="shared" si="38"/>
        <v>7494.9999999999991</v>
      </c>
      <c r="BG23" s="88">
        <f t="shared" si="39"/>
        <v>4996.666666666667</v>
      </c>
      <c r="BH23" s="88">
        <f t="shared" si="40"/>
        <v>4612.3076923076924</v>
      </c>
      <c r="BI23" s="88">
        <f t="shared" si="41"/>
        <v>5996</v>
      </c>
      <c r="BJ23" s="88">
        <f t="shared" si="42"/>
        <v>8565.7142857142862</v>
      </c>
      <c r="BK23" s="105">
        <f t="shared" si="43"/>
        <v>1.3342228152101403E-4</v>
      </c>
      <c r="BL23" s="105">
        <f t="shared" si="44"/>
        <v>2.0013342228152099E-4</v>
      </c>
      <c r="BM23" s="105">
        <f t="shared" si="45"/>
        <v>2.1681120747164777E-4</v>
      </c>
      <c r="BN23" s="105">
        <f t="shared" si="58"/>
        <v>1.667778519012675E-4</v>
      </c>
      <c r="BO23" s="105">
        <f t="shared" si="47"/>
        <v>1.1674449633088726E-4</v>
      </c>
      <c r="BP23" s="105">
        <f t="shared" si="48"/>
        <v>8.3388925950633763E-4</v>
      </c>
      <c r="BQ23" s="79">
        <f t="shared" si="49"/>
        <v>0.16</v>
      </c>
      <c r="BR23" s="79">
        <f t="shared" si="50"/>
        <v>0.23999999999999996</v>
      </c>
      <c r="BS23" s="79">
        <f t="shared" si="51"/>
        <v>0.25999999999999995</v>
      </c>
      <c r="BT23" s="79">
        <f t="shared" si="52"/>
        <v>0.19999999999999996</v>
      </c>
      <c r="BU23" s="79">
        <f t="shared" si="53"/>
        <v>0.13999999999999999</v>
      </c>
      <c r="BV23" s="90" t="str">
        <f t="array" aca="1" ref="BV23" ca="1">_xlfn.TEXTJOIN(" ",TRUE,
_xlfn.TEXTJOIN(":",TRUE,ROUND(BK23:BO23/MIN(IF(BK23:BO23&gt;0,BK23:BO23)),0)),
"|",
ROUND(SUM(BW23:CA23),0))</f>
        <v>1:2:2:1:1 | -1799</v>
      </c>
      <c r="BW23" s="106">
        <f t="shared" ca="1" si="57"/>
        <v>-287.84000000000003</v>
      </c>
      <c r="BX23" s="106">
        <f t="shared" ca="1" si="1"/>
        <v>-431.75999999999993</v>
      </c>
      <c r="BY23" s="106">
        <f t="shared" ca="1" si="2"/>
        <v>-467.7399999999999</v>
      </c>
      <c r="BZ23" s="106">
        <f t="shared" ca="1" si="3"/>
        <v>-359.7999999999999</v>
      </c>
      <c r="CA23" s="106">
        <f t="shared" ca="1" si="59"/>
        <v>-251.85999999999999</v>
      </c>
    </row>
    <row r="24" spans="1:79" x14ac:dyDescent="0.35">
      <c r="A24" s="25" t="s">
        <v>38</v>
      </c>
      <c r="B24" s="10" t="s">
        <v>320</v>
      </c>
      <c r="C24" s="10" t="s">
        <v>341</v>
      </c>
      <c r="D24" s="10" t="s">
        <v>346</v>
      </c>
      <c r="E24" s="11">
        <v>45927</v>
      </c>
      <c r="F24" s="17">
        <v>45892</v>
      </c>
      <c r="G24" s="14">
        <f t="shared" ca="1" si="4"/>
        <v>207</v>
      </c>
      <c r="H24" s="17">
        <v>399</v>
      </c>
      <c r="I24" s="17">
        <v>265</v>
      </c>
      <c r="J24" s="75">
        <f t="shared" si="5"/>
        <v>1812</v>
      </c>
      <c r="K24" s="17">
        <v>2500</v>
      </c>
      <c r="L24" s="85">
        <v>688</v>
      </c>
      <c r="M24" s="86">
        <f t="shared" ca="1" si="6"/>
        <v>3.3236714975845412</v>
      </c>
      <c r="N24" s="86">
        <f t="shared" si="7"/>
        <v>0.92883099285538351</v>
      </c>
      <c r="O24" s="86">
        <f t="shared" si="8"/>
        <v>2.0975609756097562</v>
      </c>
      <c r="P24" s="87">
        <f t="shared" si="9"/>
        <v>172</v>
      </c>
      <c r="Q24" s="104">
        <f t="shared" si="10"/>
        <v>10.534883720930232</v>
      </c>
      <c r="R24" s="88">
        <f t="shared" si="11"/>
        <v>33.583959899749374</v>
      </c>
      <c r="S24" s="88">
        <f t="shared" si="12"/>
        <v>27.52</v>
      </c>
      <c r="T24" s="13">
        <f t="shared" si="13"/>
        <v>3</v>
      </c>
      <c r="U24" s="13">
        <f t="shared" si="0"/>
        <v>1</v>
      </c>
      <c r="V24" s="13">
        <f t="shared" si="14"/>
        <v>1</v>
      </c>
      <c r="W24" s="13">
        <f t="shared" ca="1" si="15"/>
        <v>3</v>
      </c>
      <c r="X24" s="13">
        <f t="shared" ca="1" si="16"/>
        <v>8</v>
      </c>
      <c r="Y24" s="81" t="str">
        <f t="shared" ca="1" si="17"/>
        <v>MONITOR</v>
      </c>
      <c r="Z24" s="13">
        <v>14</v>
      </c>
      <c r="AA24" s="75">
        <v>46059</v>
      </c>
      <c r="AB24" s="75">
        <f t="shared" si="18"/>
        <v>45920</v>
      </c>
      <c r="AC24" s="88">
        <f t="shared" si="19"/>
        <v>19.857142857142858</v>
      </c>
      <c r="AD24" s="89" t="str">
        <f t="shared" ca="1" si="20"/>
        <v>STABLE</v>
      </c>
      <c r="AE24" s="89" t="str">
        <f t="shared" si="21"/>
        <v>FAST SELLING</v>
      </c>
      <c r="AF24" s="89" t="str">
        <f t="shared" si="22"/>
        <v>AT RISK</v>
      </c>
      <c r="AG24" s="89" t="str">
        <f t="shared" si="23"/>
        <v>FEASIBLE</v>
      </c>
      <c r="AH24" s="81" t="str">
        <f t="shared" ca="1" si="24"/>
        <v>MONITOR</v>
      </c>
      <c r="AI24" s="75">
        <f t="shared" ca="1" si="25"/>
        <v>0</v>
      </c>
      <c r="AJ24" s="75">
        <f t="shared" ca="1" si="26"/>
        <v>-1812</v>
      </c>
      <c r="AK24" s="13">
        <f t="shared" ca="1" si="56"/>
        <v>-2174</v>
      </c>
      <c r="AL24" s="79">
        <v>0.1</v>
      </c>
      <c r="AM24" s="79">
        <v>0.3</v>
      </c>
      <c r="AN24" s="79">
        <v>0.3</v>
      </c>
      <c r="AO24" s="79">
        <v>0.1</v>
      </c>
      <c r="AP24" s="79">
        <v>0.1</v>
      </c>
      <c r="AQ24" s="75">
        <f t="shared" si="28"/>
        <v>181.20000000000002</v>
      </c>
      <c r="AR24" s="75">
        <f t="shared" si="29"/>
        <v>543.6</v>
      </c>
      <c r="AS24" s="75">
        <f t="shared" si="30"/>
        <v>543.6</v>
      </c>
      <c r="AT24" s="75">
        <f t="shared" si="31"/>
        <v>181.20000000000002</v>
      </c>
      <c r="AU24" s="75">
        <f t="shared" si="32"/>
        <v>181.20000000000002</v>
      </c>
      <c r="AV24" s="13">
        <v>0.8</v>
      </c>
      <c r="AW24" s="13">
        <v>1.2</v>
      </c>
      <c r="AX24" s="13">
        <v>1.3</v>
      </c>
      <c r="AY24" s="13">
        <v>1</v>
      </c>
      <c r="AZ24" s="13">
        <v>0.7</v>
      </c>
      <c r="BA24" s="105">
        <f t="shared" si="33"/>
        <v>13.76</v>
      </c>
      <c r="BB24" s="13">
        <f t="shared" si="34"/>
        <v>61.92</v>
      </c>
      <c r="BC24" s="13">
        <f t="shared" si="35"/>
        <v>67.08</v>
      </c>
      <c r="BD24" s="13">
        <f t="shared" si="36"/>
        <v>17.2</v>
      </c>
      <c r="BE24" s="13">
        <f t="shared" si="37"/>
        <v>12.04</v>
      </c>
      <c r="BF24" s="88">
        <f t="shared" si="38"/>
        <v>13.168604651162791</v>
      </c>
      <c r="BG24" s="88">
        <f t="shared" si="39"/>
        <v>8.779069767441861</v>
      </c>
      <c r="BH24" s="88">
        <f t="shared" si="40"/>
        <v>8.1037567084078717</v>
      </c>
      <c r="BI24" s="88">
        <f t="shared" si="41"/>
        <v>10.534883720930234</v>
      </c>
      <c r="BJ24" s="88">
        <f t="shared" si="42"/>
        <v>15.049833887043192</v>
      </c>
      <c r="BK24" s="105">
        <f t="shared" si="43"/>
        <v>7.593818984547461E-2</v>
      </c>
      <c r="BL24" s="105">
        <f t="shared" si="44"/>
        <v>0.11390728476821191</v>
      </c>
      <c r="BM24" s="105">
        <f t="shared" si="45"/>
        <v>0.12339955849889624</v>
      </c>
      <c r="BN24" s="105">
        <f t="shared" si="58"/>
        <v>9.4922737306843252E-2</v>
      </c>
      <c r="BO24" s="105">
        <f t="shared" si="47"/>
        <v>6.6445916114790268E-2</v>
      </c>
      <c r="BP24" s="105">
        <f t="shared" si="48"/>
        <v>0.47461368653421626</v>
      </c>
      <c r="BQ24" s="79">
        <f t="shared" si="49"/>
        <v>0.16000000000000003</v>
      </c>
      <c r="BR24" s="79">
        <f t="shared" si="50"/>
        <v>0.24000000000000002</v>
      </c>
      <c r="BS24" s="79">
        <f t="shared" si="51"/>
        <v>0.26</v>
      </c>
      <c r="BT24" s="79">
        <f t="shared" si="52"/>
        <v>0.2</v>
      </c>
      <c r="BU24" s="79">
        <f t="shared" si="53"/>
        <v>0.13999999999999999</v>
      </c>
      <c r="BV24" s="90" t="str">
        <f t="array" aca="1" ref="BV24" ca="1">_xlfn.TEXTJOIN(" ",TRUE,
_xlfn.TEXTJOIN(":",TRUE,ROUND(BK24:BO24/MIN(IF(BK24:BO24&gt;0,BK24:BO24)),0)),
"|",
ROUND(SUM(BW24:CA24),0))</f>
        <v>1:2:2:1:1 | -2174</v>
      </c>
      <c r="BW24" s="106">
        <f t="shared" ca="1" si="57"/>
        <v>-347.84000000000009</v>
      </c>
      <c r="BX24" s="106">
        <f t="shared" ca="1" si="1"/>
        <v>-521.76</v>
      </c>
      <c r="BY24" s="106">
        <f t="shared" ca="1" si="2"/>
        <v>-565.24</v>
      </c>
      <c r="BZ24" s="106">
        <f t="shared" ca="1" si="3"/>
        <v>-434.8</v>
      </c>
      <c r="CA24" s="106">
        <f t="shared" ca="1" si="59"/>
        <v>-304.35999999999996</v>
      </c>
    </row>
    <row r="25" spans="1:79" x14ac:dyDescent="0.35">
      <c r="A25" s="25" t="s">
        <v>39</v>
      </c>
      <c r="B25" s="10" t="s">
        <v>320</v>
      </c>
      <c r="C25" s="10" t="s">
        <v>341</v>
      </c>
      <c r="D25" s="10" t="s">
        <v>346</v>
      </c>
      <c r="E25" s="11">
        <v>45878</v>
      </c>
      <c r="F25" s="17">
        <v>45892</v>
      </c>
      <c r="G25" s="14">
        <f t="shared" ca="1" si="4"/>
        <v>207</v>
      </c>
      <c r="H25" s="17">
        <v>399</v>
      </c>
      <c r="I25" s="17">
        <v>265</v>
      </c>
      <c r="J25" s="75">
        <f t="shared" si="5"/>
        <v>1483</v>
      </c>
      <c r="K25" s="17">
        <v>2000</v>
      </c>
      <c r="L25" s="85">
        <v>517</v>
      </c>
      <c r="M25" s="86">
        <f t="shared" ca="1" si="6"/>
        <v>2.4975845410628019</v>
      </c>
      <c r="N25" s="86">
        <f t="shared" si="7"/>
        <v>0.92883099285538351</v>
      </c>
      <c r="O25" s="86">
        <f t="shared" si="8"/>
        <v>1.5762195121951219</v>
      </c>
      <c r="P25" s="87">
        <f t="shared" si="9"/>
        <v>129.25</v>
      </c>
      <c r="Q25" s="104">
        <f t="shared" si="10"/>
        <v>11.473887814313347</v>
      </c>
      <c r="R25" s="88">
        <f t="shared" si="11"/>
        <v>33.583959899749374</v>
      </c>
      <c r="S25" s="88">
        <f t="shared" si="12"/>
        <v>25.85</v>
      </c>
      <c r="T25" s="13">
        <f t="shared" si="13"/>
        <v>3</v>
      </c>
      <c r="U25" s="13">
        <f t="shared" si="0"/>
        <v>1</v>
      </c>
      <c r="V25" s="13">
        <f t="shared" si="14"/>
        <v>1</v>
      </c>
      <c r="W25" s="13">
        <f t="shared" ca="1" si="15"/>
        <v>3</v>
      </c>
      <c r="X25" s="13">
        <f t="shared" ca="1" si="16"/>
        <v>8</v>
      </c>
      <c r="Y25" s="81" t="str">
        <f t="shared" ca="1" si="17"/>
        <v>MONITOR</v>
      </c>
      <c r="Z25" s="13">
        <v>14</v>
      </c>
      <c r="AA25" s="75">
        <v>46059</v>
      </c>
      <c r="AB25" s="75">
        <f t="shared" si="18"/>
        <v>45920</v>
      </c>
      <c r="AC25" s="88">
        <f t="shared" si="19"/>
        <v>19.857142857142858</v>
      </c>
      <c r="AD25" s="89" t="str">
        <f t="shared" ca="1" si="20"/>
        <v>STABLE</v>
      </c>
      <c r="AE25" s="89" t="str">
        <f t="shared" si="21"/>
        <v>FAST SELLING</v>
      </c>
      <c r="AF25" s="89" t="str">
        <f t="shared" si="22"/>
        <v>AT RISK</v>
      </c>
      <c r="AG25" s="89" t="str">
        <f t="shared" si="23"/>
        <v>FEASIBLE</v>
      </c>
      <c r="AH25" s="81" t="str">
        <f t="shared" ca="1" si="24"/>
        <v>MONITOR</v>
      </c>
      <c r="AI25" s="75">
        <f t="shared" ca="1" si="25"/>
        <v>0</v>
      </c>
      <c r="AJ25" s="75">
        <f t="shared" ca="1" si="26"/>
        <v>-1483</v>
      </c>
      <c r="AK25" s="13">
        <f t="shared" ca="1" si="56"/>
        <v>-1780</v>
      </c>
      <c r="AL25" s="79">
        <v>0.1</v>
      </c>
      <c r="AM25" s="79">
        <v>0.3</v>
      </c>
      <c r="AN25" s="79">
        <v>0.3</v>
      </c>
      <c r="AO25" s="79">
        <v>0.1</v>
      </c>
      <c r="AP25" s="79">
        <v>0.1</v>
      </c>
      <c r="AQ25" s="75">
        <f t="shared" si="28"/>
        <v>148.30000000000001</v>
      </c>
      <c r="AR25" s="75">
        <f t="shared" si="29"/>
        <v>444.9</v>
      </c>
      <c r="AS25" s="75">
        <f t="shared" si="30"/>
        <v>444.9</v>
      </c>
      <c r="AT25" s="75">
        <f t="shared" si="31"/>
        <v>148.30000000000001</v>
      </c>
      <c r="AU25" s="75">
        <f t="shared" si="32"/>
        <v>148.30000000000001</v>
      </c>
      <c r="AV25" s="13">
        <v>0.8</v>
      </c>
      <c r="AW25" s="13">
        <v>1.2</v>
      </c>
      <c r="AX25" s="13">
        <v>1.3</v>
      </c>
      <c r="AY25" s="13">
        <v>1</v>
      </c>
      <c r="AZ25" s="13">
        <v>0.7</v>
      </c>
      <c r="BA25" s="105">
        <f t="shared" si="33"/>
        <v>10.340000000000002</v>
      </c>
      <c r="BB25" s="13">
        <f t="shared" si="34"/>
        <v>46.529999999999994</v>
      </c>
      <c r="BC25" s="13">
        <f t="shared" si="35"/>
        <v>50.407499999999999</v>
      </c>
      <c r="BD25" s="13">
        <f t="shared" si="36"/>
        <v>12.925000000000001</v>
      </c>
      <c r="BE25" s="13">
        <f t="shared" si="37"/>
        <v>9.0474999999999994</v>
      </c>
      <c r="BF25" s="88">
        <f t="shared" si="38"/>
        <v>14.342359767891681</v>
      </c>
      <c r="BG25" s="88">
        <f t="shared" si="39"/>
        <v>9.5615731785944558</v>
      </c>
      <c r="BH25" s="88">
        <f t="shared" si="40"/>
        <v>8.8260675494718051</v>
      </c>
      <c r="BI25" s="88">
        <f t="shared" si="41"/>
        <v>11.473887814313347</v>
      </c>
      <c r="BJ25" s="88">
        <f t="shared" si="42"/>
        <v>16.391268306161926</v>
      </c>
      <c r="BK25" s="105">
        <f t="shared" si="43"/>
        <v>6.9723533378287267E-2</v>
      </c>
      <c r="BL25" s="105">
        <f t="shared" si="44"/>
        <v>0.10458530006743087</v>
      </c>
      <c r="BM25" s="105">
        <f t="shared" si="45"/>
        <v>0.11330074173971678</v>
      </c>
      <c r="BN25" s="105">
        <f t="shared" si="58"/>
        <v>8.7154416722859063E-2</v>
      </c>
      <c r="BO25" s="105">
        <f t="shared" si="47"/>
        <v>6.1008091706001334E-2</v>
      </c>
      <c r="BP25" s="105">
        <f t="shared" si="48"/>
        <v>0.43577208361429531</v>
      </c>
      <c r="BQ25" s="79">
        <f t="shared" si="49"/>
        <v>0.16000000000000003</v>
      </c>
      <c r="BR25" s="79">
        <f t="shared" si="50"/>
        <v>0.24</v>
      </c>
      <c r="BS25" s="79">
        <f t="shared" si="51"/>
        <v>0.26</v>
      </c>
      <c r="BT25" s="79">
        <f t="shared" si="52"/>
        <v>0.2</v>
      </c>
      <c r="BU25" s="79">
        <f t="shared" si="53"/>
        <v>0.13999999999999999</v>
      </c>
      <c r="BV25" s="90" t="str">
        <f t="array" aca="1" ref="BV25" ca="1">_xlfn.TEXTJOIN(" ",TRUE,
_xlfn.TEXTJOIN(":",TRUE,ROUND(BK25:BO25/MIN(IF(BK25:BO25&gt;0,BK25:BO25)),0)),
"|",
ROUND(SUM(BW25:CA25),0))</f>
        <v>1:2:2:1:1 | -1780</v>
      </c>
      <c r="BW25" s="106">
        <f t="shared" ca="1" si="57"/>
        <v>-284.80000000000007</v>
      </c>
      <c r="BX25" s="106">
        <f t="shared" ca="1" si="1"/>
        <v>-427.2</v>
      </c>
      <c r="BY25" s="106">
        <f t="shared" ca="1" si="2"/>
        <v>-462.8</v>
      </c>
      <c r="BZ25" s="106">
        <f t="shared" ca="1" si="3"/>
        <v>-356</v>
      </c>
      <c r="CA25" s="106">
        <f t="shared" ca="1" si="59"/>
        <v>-249.19999999999996</v>
      </c>
    </row>
    <row r="26" spans="1:79" x14ac:dyDescent="0.35">
      <c r="A26" s="25" t="s">
        <v>40</v>
      </c>
      <c r="B26" s="10" t="s">
        <v>320</v>
      </c>
      <c r="C26" s="10" t="s">
        <v>341</v>
      </c>
      <c r="D26" s="10" t="s">
        <v>346</v>
      </c>
      <c r="E26" s="11">
        <v>45948</v>
      </c>
      <c r="F26" s="17">
        <v>45892</v>
      </c>
      <c r="G26" s="14">
        <f t="shared" ca="1" si="4"/>
        <v>207</v>
      </c>
      <c r="H26" s="17">
        <v>399</v>
      </c>
      <c r="I26" s="17">
        <v>265</v>
      </c>
      <c r="J26" s="75">
        <f t="shared" si="5"/>
        <v>1761</v>
      </c>
      <c r="K26" s="17">
        <v>2500</v>
      </c>
      <c r="L26" s="85">
        <v>739</v>
      </c>
      <c r="M26" s="86">
        <f t="shared" ca="1" si="6"/>
        <v>3.5700483091787438</v>
      </c>
      <c r="N26" s="86">
        <f t="shared" si="7"/>
        <v>0.92883099285538351</v>
      </c>
      <c r="O26" s="86">
        <f t="shared" si="8"/>
        <v>2.2530487804878048</v>
      </c>
      <c r="P26" s="87">
        <f t="shared" si="9"/>
        <v>184.75</v>
      </c>
      <c r="Q26" s="104">
        <f t="shared" si="10"/>
        <v>9.5317997293640051</v>
      </c>
      <c r="R26" s="88">
        <f t="shared" si="11"/>
        <v>33.583959899749374</v>
      </c>
      <c r="S26" s="88">
        <f t="shared" si="12"/>
        <v>29.56</v>
      </c>
      <c r="T26" s="13">
        <f t="shared" si="13"/>
        <v>3</v>
      </c>
      <c r="U26" s="13">
        <f t="shared" si="0"/>
        <v>1</v>
      </c>
      <c r="V26" s="13">
        <f t="shared" si="14"/>
        <v>1</v>
      </c>
      <c r="W26" s="13">
        <f t="shared" ca="1" si="15"/>
        <v>3</v>
      </c>
      <c r="X26" s="13">
        <f t="shared" ca="1" si="16"/>
        <v>8</v>
      </c>
      <c r="Y26" s="81" t="str">
        <f t="shared" ca="1" si="17"/>
        <v>MONITOR</v>
      </c>
      <c r="Z26" s="13">
        <v>14</v>
      </c>
      <c r="AA26" s="75">
        <v>46059</v>
      </c>
      <c r="AB26" s="75">
        <f t="shared" si="18"/>
        <v>45920</v>
      </c>
      <c r="AC26" s="88">
        <f t="shared" si="19"/>
        <v>19.857142857142858</v>
      </c>
      <c r="AD26" s="89" t="str">
        <f t="shared" ca="1" si="20"/>
        <v>STABLE</v>
      </c>
      <c r="AE26" s="89" t="str">
        <f t="shared" si="21"/>
        <v>FAST SELLING</v>
      </c>
      <c r="AF26" s="89" t="str">
        <f t="shared" si="22"/>
        <v>AT RISK</v>
      </c>
      <c r="AG26" s="89" t="str">
        <f t="shared" si="23"/>
        <v>FEASIBLE</v>
      </c>
      <c r="AH26" s="81" t="str">
        <f t="shared" ca="1" si="24"/>
        <v>MONITOR</v>
      </c>
      <c r="AI26" s="75">
        <f t="shared" ca="1" si="25"/>
        <v>0</v>
      </c>
      <c r="AJ26" s="75">
        <f t="shared" ca="1" si="26"/>
        <v>-1761</v>
      </c>
      <c r="AK26" s="13">
        <f t="shared" ca="1" si="56"/>
        <v>-2113</v>
      </c>
      <c r="AL26" s="79">
        <v>0.1</v>
      </c>
      <c r="AM26" s="79">
        <v>0.3</v>
      </c>
      <c r="AN26" s="79">
        <v>0.3</v>
      </c>
      <c r="AO26" s="79">
        <v>0.1</v>
      </c>
      <c r="AP26" s="79">
        <v>0.1</v>
      </c>
      <c r="AQ26" s="75">
        <f t="shared" si="28"/>
        <v>176.10000000000002</v>
      </c>
      <c r="AR26" s="75">
        <f t="shared" si="29"/>
        <v>528.29999999999995</v>
      </c>
      <c r="AS26" s="75">
        <f t="shared" si="30"/>
        <v>528.29999999999995</v>
      </c>
      <c r="AT26" s="75">
        <f t="shared" si="31"/>
        <v>176.10000000000002</v>
      </c>
      <c r="AU26" s="75">
        <f t="shared" si="32"/>
        <v>176.10000000000002</v>
      </c>
      <c r="AV26" s="13">
        <v>0.8</v>
      </c>
      <c r="AW26" s="13">
        <v>1.2</v>
      </c>
      <c r="AX26" s="13">
        <v>1.3</v>
      </c>
      <c r="AY26" s="13">
        <v>1</v>
      </c>
      <c r="AZ26" s="13">
        <v>0.7</v>
      </c>
      <c r="BA26" s="105">
        <f t="shared" si="33"/>
        <v>14.780000000000001</v>
      </c>
      <c r="BB26" s="13">
        <f t="shared" si="34"/>
        <v>66.509999999999991</v>
      </c>
      <c r="BC26" s="13">
        <f t="shared" si="35"/>
        <v>72.052499999999995</v>
      </c>
      <c r="BD26" s="13">
        <f t="shared" si="36"/>
        <v>18.475000000000001</v>
      </c>
      <c r="BE26" s="13">
        <f t="shared" si="37"/>
        <v>12.932500000000001</v>
      </c>
      <c r="BF26" s="88">
        <f t="shared" si="38"/>
        <v>11.914749661705008</v>
      </c>
      <c r="BG26" s="88">
        <f t="shared" si="39"/>
        <v>7.9431664411366718</v>
      </c>
      <c r="BH26" s="88">
        <f t="shared" si="40"/>
        <v>7.3321536379723113</v>
      </c>
      <c r="BI26" s="88">
        <f t="shared" si="41"/>
        <v>9.5317997293640051</v>
      </c>
      <c r="BJ26" s="88">
        <f t="shared" si="42"/>
        <v>13.616856756234295</v>
      </c>
      <c r="BK26" s="105">
        <f t="shared" si="43"/>
        <v>8.3929585462805212E-2</v>
      </c>
      <c r="BL26" s="105">
        <f t="shared" si="44"/>
        <v>0.12589437819420782</v>
      </c>
      <c r="BM26" s="105">
        <f t="shared" ref="BM26:BM66" si="60">1/BH26</f>
        <v>0.1363855763770585</v>
      </c>
      <c r="BN26" s="105">
        <f t="shared" si="58"/>
        <v>0.10491198182850653</v>
      </c>
      <c r="BO26" s="105">
        <f t="shared" si="47"/>
        <v>7.3438387279954567E-2</v>
      </c>
      <c r="BP26" s="105">
        <f t="shared" si="48"/>
        <v>0.5245599091425327</v>
      </c>
      <c r="BQ26" s="79">
        <f t="shared" si="49"/>
        <v>0.15999999999999998</v>
      </c>
      <c r="BR26" s="79">
        <f t="shared" si="50"/>
        <v>0.23999999999999994</v>
      </c>
      <c r="BS26" s="79">
        <f t="shared" si="51"/>
        <v>0.26</v>
      </c>
      <c r="BT26" s="79">
        <f t="shared" si="52"/>
        <v>0.19999999999999998</v>
      </c>
      <c r="BU26" s="79">
        <f t="shared" si="53"/>
        <v>0.13999999999999999</v>
      </c>
      <c r="BV26" s="90" t="str">
        <f t="array" aca="1" ref="BV26" ca="1">_xlfn.TEXTJOIN(" ",TRUE,
_xlfn.TEXTJOIN(":",TRUE,ROUND(BK26:BO26/MIN(IF(BK26:BO26&gt;0,BK26:BO26)),0)),
"|",
ROUND(SUM(BW26:CA26),0))</f>
        <v>1:2:2:1:1 | -2113</v>
      </c>
      <c r="BW26" s="106">
        <f t="shared" ca="1" si="57"/>
        <v>-338.07999999999993</v>
      </c>
      <c r="BX26" s="106">
        <f t="shared" ca="1" si="1"/>
        <v>-507.11999999999989</v>
      </c>
      <c r="BY26" s="106">
        <f t="shared" ca="1" si="2"/>
        <v>-549.38</v>
      </c>
      <c r="BZ26" s="106">
        <f t="shared" ca="1" si="3"/>
        <v>-422.59999999999997</v>
      </c>
      <c r="CA26" s="106">
        <f t="shared" ca="1" si="59"/>
        <v>-295.82</v>
      </c>
    </row>
    <row r="27" spans="1:79" x14ac:dyDescent="0.35">
      <c r="A27" s="25" t="s">
        <v>41</v>
      </c>
      <c r="B27" s="10" t="s">
        <v>320</v>
      </c>
      <c r="C27" s="10" t="s">
        <v>341</v>
      </c>
      <c r="D27" s="10" t="s">
        <v>346</v>
      </c>
      <c r="E27" s="11">
        <v>45948</v>
      </c>
      <c r="F27" s="17">
        <v>45892</v>
      </c>
      <c r="G27" s="14">
        <f t="shared" ca="1" si="4"/>
        <v>207</v>
      </c>
      <c r="H27" s="17">
        <v>399</v>
      </c>
      <c r="I27" s="17">
        <v>265</v>
      </c>
      <c r="J27" s="75">
        <f t="shared" si="5"/>
        <v>1722</v>
      </c>
      <c r="K27" s="17">
        <v>2000</v>
      </c>
      <c r="L27" s="85">
        <v>278</v>
      </c>
      <c r="M27" s="86">
        <f t="shared" ca="1" si="6"/>
        <v>1.3429951690821256</v>
      </c>
      <c r="N27" s="86">
        <f t="shared" si="7"/>
        <v>0.92883099285538351</v>
      </c>
      <c r="O27" s="86">
        <f t="shared" si="8"/>
        <v>0.84756097560975607</v>
      </c>
      <c r="P27" s="87">
        <f t="shared" si="9"/>
        <v>69.5</v>
      </c>
      <c r="Q27" s="104">
        <f t="shared" si="10"/>
        <v>24.776978417266186</v>
      </c>
      <c r="R27" s="88">
        <f t="shared" si="11"/>
        <v>33.583959899749374</v>
      </c>
      <c r="S27" s="88">
        <f t="shared" si="12"/>
        <v>13.900000000000002</v>
      </c>
      <c r="T27" s="13">
        <f t="shared" si="13"/>
        <v>2</v>
      </c>
      <c r="U27" s="13">
        <f t="shared" si="0"/>
        <v>1</v>
      </c>
      <c r="V27" s="13">
        <f t="shared" si="14"/>
        <v>1</v>
      </c>
      <c r="W27" s="13">
        <f t="shared" ca="1" si="15"/>
        <v>3</v>
      </c>
      <c r="X27" s="13">
        <f t="shared" ca="1" si="16"/>
        <v>7</v>
      </c>
      <c r="Y27" s="81" t="str">
        <f t="shared" ca="1" si="17"/>
        <v>MONITOR</v>
      </c>
      <c r="Z27" s="13">
        <v>14</v>
      </c>
      <c r="AA27" s="75">
        <v>46059</v>
      </c>
      <c r="AB27" s="75">
        <f t="shared" si="18"/>
        <v>45920</v>
      </c>
      <c r="AC27" s="88">
        <f t="shared" si="19"/>
        <v>19.857142857142858</v>
      </c>
      <c r="AD27" s="89" t="str">
        <f t="shared" ca="1" si="20"/>
        <v>STABLE</v>
      </c>
      <c r="AE27" s="89" t="str">
        <f t="shared" si="21"/>
        <v>SLOW SELLING</v>
      </c>
      <c r="AF27" s="89" t="str">
        <f t="shared" si="22"/>
        <v>AT RISK</v>
      </c>
      <c r="AG27" s="89" t="str">
        <f t="shared" si="23"/>
        <v>FEASIBLE</v>
      </c>
      <c r="AH27" s="81" t="str">
        <f t="shared" ca="1" si="24"/>
        <v>MONITOR</v>
      </c>
      <c r="AI27" s="75">
        <f t="shared" ca="1" si="25"/>
        <v>0</v>
      </c>
      <c r="AJ27" s="75">
        <f t="shared" ca="1" si="26"/>
        <v>-1722</v>
      </c>
      <c r="AK27" s="13">
        <f t="shared" ca="1" si="56"/>
        <v>-2066</v>
      </c>
      <c r="AL27" s="79">
        <v>0.1</v>
      </c>
      <c r="AM27" s="79">
        <v>0.3</v>
      </c>
      <c r="AN27" s="79">
        <v>0.3</v>
      </c>
      <c r="AO27" s="79">
        <v>0.1</v>
      </c>
      <c r="AP27" s="79">
        <v>0.1</v>
      </c>
      <c r="AQ27" s="75">
        <f t="shared" si="28"/>
        <v>172.20000000000002</v>
      </c>
      <c r="AR27" s="75">
        <f t="shared" si="29"/>
        <v>516.6</v>
      </c>
      <c r="AS27" s="75">
        <f t="shared" si="30"/>
        <v>516.6</v>
      </c>
      <c r="AT27" s="75">
        <f t="shared" si="31"/>
        <v>172.20000000000002</v>
      </c>
      <c r="AU27" s="75">
        <f t="shared" si="32"/>
        <v>172.20000000000002</v>
      </c>
      <c r="AV27" s="13">
        <v>0.8</v>
      </c>
      <c r="AW27" s="13">
        <v>1.2</v>
      </c>
      <c r="AX27" s="13">
        <v>1.3</v>
      </c>
      <c r="AY27" s="13">
        <v>1</v>
      </c>
      <c r="AZ27" s="13">
        <v>0.7</v>
      </c>
      <c r="BA27" s="105">
        <f t="shared" si="33"/>
        <v>5.5600000000000005</v>
      </c>
      <c r="BB27" s="13">
        <f t="shared" si="34"/>
        <v>25.019999999999996</v>
      </c>
      <c r="BC27" s="13">
        <f t="shared" si="35"/>
        <v>27.104999999999997</v>
      </c>
      <c r="BD27" s="13">
        <f t="shared" si="36"/>
        <v>6.95</v>
      </c>
      <c r="BE27" s="13">
        <f t="shared" si="37"/>
        <v>4.8650000000000002</v>
      </c>
      <c r="BF27" s="88">
        <f t="shared" si="38"/>
        <v>30.971223021582734</v>
      </c>
      <c r="BG27" s="88">
        <f t="shared" si="39"/>
        <v>20.647482014388494</v>
      </c>
      <c r="BH27" s="88">
        <f t="shared" si="40"/>
        <v>19.059214167127838</v>
      </c>
      <c r="BI27" s="88">
        <f t="shared" si="41"/>
        <v>24.776978417266189</v>
      </c>
      <c r="BJ27" s="88">
        <f t="shared" si="42"/>
        <v>35.39568345323741</v>
      </c>
      <c r="BK27" s="105">
        <f t="shared" si="43"/>
        <v>3.2288037166085949E-2</v>
      </c>
      <c r="BL27" s="105">
        <f t="shared" si="44"/>
        <v>4.8432055749128906E-2</v>
      </c>
      <c r="BM27" s="105">
        <f t="shared" si="60"/>
        <v>5.246806039488966E-2</v>
      </c>
      <c r="BN27" s="105">
        <f t="shared" si="58"/>
        <v>4.0360046457607428E-2</v>
      </c>
      <c r="BO27" s="105">
        <f t="shared" si="47"/>
        <v>2.8252032520325203E-2</v>
      </c>
      <c r="BP27" s="105">
        <f t="shared" si="48"/>
        <v>0.20180023228803717</v>
      </c>
      <c r="BQ27" s="79">
        <f t="shared" si="49"/>
        <v>0.16</v>
      </c>
      <c r="BR27" s="79">
        <f t="shared" si="50"/>
        <v>0.23999999999999994</v>
      </c>
      <c r="BS27" s="79">
        <f t="shared" si="51"/>
        <v>0.25999999999999995</v>
      </c>
      <c r="BT27" s="79">
        <f t="shared" si="52"/>
        <v>0.19999999999999996</v>
      </c>
      <c r="BU27" s="79">
        <f t="shared" si="53"/>
        <v>0.13999999999999999</v>
      </c>
      <c r="BV27" s="90" t="str">
        <f t="array" aca="1" ref="BV27" ca="1">_xlfn.TEXTJOIN(" ",TRUE,
_xlfn.TEXTJOIN(":",TRUE,ROUND(BK27:BO27/MIN(IF(BK27:BO27&gt;0,BK27:BO27)),0)),
"|",
ROUND(SUM(BW27:CA27),0))</f>
        <v>1:2:2:1:1 | -2066</v>
      </c>
      <c r="BW27" s="106">
        <f t="shared" ca="1" si="57"/>
        <v>-330.56</v>
      </c>
      <c r="BX27" s="106">
        <f t="shared" ca="1" si="1"/>
        <v>-495.83999999999986</v>
      </c>
      <c r="BY27" s="106">
        <f t="shared" ca="1" si="2"/>
        <v>-537.15999999999985</v>
      </c>
      <c r="BZ27" s="106">
        <f t="shared" ca="1" si="3"/>
        <v>-413.19999999999993</v>
      </c>
      <c r="CA27" s="106">
        <f t="shared" ca="1" si="59"/>
        <v>-289.23999999999995</v>
      </c>
    </row>
    <row r="28" spans="1:79" x14ac:dyDescent="0.35">
      <c r="A28" s="25" t="s">
        <v>42</v>
      </c>
      <c r="B28" s="10" t="s">
        <v>320</v>
      </c>
      <c r="C28" s="10" t="s">
        <v>341</v>
      </c>
      <c r="D28" s="10" t="s">
        <v>346</v>
      </c>
      <c r="E28" s="11">
        <v>45878</v>
      </c>
      <c r="F28" s="17">
        <v>45892</v>
      </c>
      <c r="G28" s="14">
        <f t="shared" ca="1" si="4"/>
        <v>207</v>
      </c>
      <c r="H28" s="17">
        <v>399</v>
      </c>
      <c r="I28" s="17">
        <v>265</v>
      </c>
      <c r="J28" s="75">
        <f t="shared" si="5"/>
        <v>1514</v>
      </c>
      <c r="K28" s="17">
        <v>2000</v>
      </c>
      <c r="L28" s="85">
        <v>486</v>
      </c>
      <c r="M28" s="86">
        <f t="shared" ca="1" si="6"/>
        <v>2.347826086956522</v>
      </c>
      <c r="N28" s="86">
        <f t="shared" si="7"/>
        <v>0.92883099285538351</v>
      </c>
      <c r="O28" s="86">
        <f t="shared" si="8"/>
        <v>1.4817073170731707</v>
      </c>
      <c r="P28" s="87">
        <f t="shared" si="9"/>
        <v>121.5</v>
      </c>
      <c r="Q28" s="104">
        <f t="shared" si="10"/>
        <v>12.460905349794238</v>
      </c>
      <c r="R28" s="88">
        <f t="shared" si="11"/>
        <v>33.583959899749374</v>
      </c>
      <c r="S28" s="88">
        <f t="shared" si="12"/>
        <v>24.3</v>
      </c>
      <c r="T28" s="13">
        <f t="shared" si="13"/>
        <v>3</v>
      </c>
      <c r="U28" s="13">
        <f t="shared" si="0"/>
        <v>1</v>
      </c>
      <c r="V28" s="13">
        <f t="shared" si="14"/>
        <v>1</v>
      </c>
      <c r="W28" s="13">
        <f t="shared" ca="1" si="15"/>
        <v>3</v>
      </c>
      <c r="X28" s="13">
        <f t="shared" ca="1" si="16"/>
        <v>8</v>
      </c>
      <c r="Y28" s="81" t="str">
        <f t="shared" ca="1" si="17"/>
        <v>MONITOR</v>
      </c>
      <c r="Z28" s="13">
        <v>14</v>
      </c>
      <c r="AA28" s="75">
        <v>46059</v>
      </c>
      <c r="AB28" s="75">
        <f t="shared" si="18"/>
        <v>45920</v>
      </c>
      <c r="AC28" s="88">
        <f t="shared" si="19"/>
        <v>19.857142857142858</v>
      </c>
      <c r="AD28" s="89" t="str">
        <f t="shared" ca="1" si="20"/>
        <v>STABLE</v>
      </c>
      <c r="AE28" s="89" t="str">
        <f t="shared" si="21"/>
        <v>FAST SELLING</v>
      </c>
      <c r="AF28" s="89" t="str">
        <f t="shared" si="22"/>
        <v>AT RISK</v>
      </c>
      <c r="AG28" s="89" t="str">
        <f t="shared" si="23"/>
        <v>FEASIBLE</v>
      </c>
      <c r="AH28" s="81" t="str">
        <f t="shared" ca="1" si="24"/>
        <v>MONITOR</v>
      </c>
      <c r="AI28" s="75">
        <f t="shared" ca="1" si="25"/>
        <v>0</v>
      </c>
      <c r="AJ28" s="75">
        <f t="shared" ca="1" si="26"/>
        <v>-1514</v>
      </c>
      <c r="AK28" s="13">
        <f t="shared" ca="1" si="56"/>
        <v>-1817</v>
      </c>
      <c r="AL28" s="79">
        <v>0.1</v>
      </c>
      <c r="AM28" s="79">
        <v>0.3</v>
      </c>
      <c r="AN28" s="79">
        <v>0.3</v>
      </c>
      <c r="AO28" s="79">
        <v>0.1</v>
      </c>
      <c r="AP28" s="79">
        <v>0.1</v>
      </c>
      <c r="AQ28" s="75">
        <f t="shared" si="28"/>
        <v>151.4</v>
      </c>
      <c r="AR28" s="75">
        <f t="shared" si="29"/>
        <v>454.2</v>
      </c>
      <c r="AS28" s="75">
        <f t="shared" si="30"/>
        <v>454.2</v>
      </c>
      <c r="AT28" s="75">
        <f t="shared" si="31"/>
        <v>151.4</v>
      </c>
      <c r="AU28" s="75">
        <f t="shared" si="32"/>
        <v>151.4</v>
      </c>
      <c r="AV28" s="13">
        <v>0.8</v>
      </c>
      <c r="AW28" s="13">
        <v>1.2</v>
      </c>
      <c r="AX28" s="13">
        <v>1.3</v>
      </c>
      <c r="AY28" s="13">
        <v>1</v>
      </c>
      <c r="AZ28" s="13">
        <v>0.7</v>
      </c>
      <c r="BA28" s="105">
        <f t="shared" si="33"/>
        <v>9.7200000000000006</v>
      </c>
      <c r="BB28" s="13">
        <f t="shared" si="34"/>
        <v>43.739999999999995</v>
      </c>
      <c r="BC28" s="13">
        <f t="shared" si="35"/>
        <v>47.384999999999998</v>
      </c>
      <c r="BD28" s="13">
        <f t="shared" si="36"/>
        <v>12.15</v>
      </c>
      <c r="BE28" s="13">
        <f t="shared" si="37"/>
        <v>8.504999999999999</v>
      </c>
      <c r="BF28" s="88">
        <f t="shared" si="38"/>
        <v>15.576131687242798</v>
      </c>
      <c r="BG28" s="88">
        <f t="shared" si="39"/>
        <v>10.384087791495199</v>
      </c>
      <c r="BH28" s="88">
        <f t="shared" si="40"/>
        <v>9.5853118075340298</v>
      </c>
      <c r="BI28" s="88">
        <f t="shared" si="41"/>
        <v>12.460905349794238</v>
      </c>
      <c r="BJ28" s="88">
        <f t="shared" si="42"/>
        <v>17.801293356848916</v>
      </c>
      <c r="BK28" s="105">
        <f t="shared" si="43"/>
        <v>6.4200792602377807E-2</v>
      </c>
      <c r="BL28" s="105">
        <f t="shared" si="44"/>
        <v>9.6301188903566703E-2</v>
      </c>
      <c r="BM28" s="105">
        <f t="shared" si="60"/>
        <v>0.10432628797886394</v>
      </c>
      <c r="BN28" s="105">
        <f t="shared" si="58"/>
        <v>8.0250990752972262E-2</v>
      </c>
      <c r="BO28" s="105">
        <f t="shared" ref="BO28:BO66" si="61">1/BJ28</f>
        <v>5.6175693527080572E-2</v>
      </c>
      <c r="BP28" s="105">
        <f t="shared" si="48"/>
        <v>0.40125495376486131</v>
      </c>
      <c r="BQ28" s="79">
        <f t="shared" si="49"/>
        <v>0.16</v>
      </c>
      <c r="BR28" s="79">
        <f t="shared" si="50"/>
        <v>0.23999999999999996</v>
      </c>
      <c r="BS28" s="79">
        <f t="shared" si="51"/>
        <v>0.26</v>
      </c>
      <c r="BT28" s="79">
        <f t="shared" si="52"/>
        <v>0.2</v>
      </c>
      <c r="BU28" s="79">
        <f t="shared" si="53"/>
        <v>0.13999999999999999</v>
      </c>
      <c r="BV28" s="90" t="str">
        <f t="array" aca="1" ref="BV28" ca="1">_xlfn.TEXTJOIN(" ",TRUE,
_xlfn.TEXTJOIN(":",TRUE,ROUND(BK28:BO28/MIN(IF(BK28:BO28&gt;0,BK28:BO28)),0)),
"|",
ROUND(SUM(BW28:CA28),0))</f>
        <v>1:2:2:1:1 | -1817</v>
      </c>
      <c r="BW28" s="106">
        <f t="shared" ca="1" si="57"/>
        <v>-290.72000000000003</v>
      </c>
      <c r="BX28" s="106">
        <f t="shared" ca="1" si="1"/>
        <v>-436.07999999999993</v>
      </c>
      <c r="BY28" s="106">
        <f t="shared" ca="1" si="2"/>
        <v>-472.42</v>
      </c>
      <c r="BZ28" s="106">
        <f t="shared" ca="1" si="3"/>
        <v>-363.40000000000003</v>
      </c>
      <c r="CA28" s="106">
        <f t="shared" ca="1" si="59"/>
        <v>-254.37999999999997</v>
      </c>
    </row>
    <row r="29" spans="1:79" x14ac:dyDescent="0.35">
      <c r="A29" s="25" t="s">
        <v>43</v>
      </c>
      <c r="B29" s="10" t="s">
        <v>320</v>
      </c>
      <c r="C29" s="10" t="s">
        <v>341</v>
      </c>
      <c r="D29" s="10" t="s">
        <v>346</v>
      </c>
      <c r="E29" s="11">
        <v>45878</v>
      </c>
      <c r="F29" s="17">
        <v>45892</v>
      </c>
      <c r="G29" s="14">
        <f t="shared" ca="1" si="4"/>
        <v>207</v>
      </c>
      <c r="H29" s="17">
        <v>399</v>
      </c>
      <c r="I29" s="17">
        <v>265</v>
      </c>
      <c r="J29" s="75">
        <f t="shared" si="5"/>
        <v>1518</v>
      </c>
      <c r="K29" s="17">
        <v>2000</v>
      </c>
      <c r="L29" s="85">
        <v>482</v>
      </c>
      <c r="M29" s="86">
        <f t="shared" ca="1" si="6"/>
        <v>2.3285024154589373</v>
      </c>
      <c r="N29" s="86">
        <f t="shared" si="7"/>
        <v>0.92883099285538351</v>
      </c>
      <c r="O29" s="86">
        <f t="shared" si="8"/>
        <v>1.4695121951219512</v>
      </c>
      <c r="P29" s="87">
        <f t="shared" si="9"/>
        <v>120.5</v>
      </c>
      <c r="Q29" s="104">
        <f t="shared" si="10"/>
        <v>12.597510373443983</v>
      </c>
      <c r="R29" s="88">
        <f t="shared" si="11"/>
        <v>33.583959899749374</v>
      </c>
      <c r="S29" s="88">
        <f t="shared" si="12"/>
        <v>24.099999999999998</v>
      </c>
      <c r="T29" s="13">
        <f t="shared" si="13"/>
        <v>3</v>
      </c>
      <c r="U29" s="13">
        <f t="shared" si="0"/>
        <v>1</v>
      </c>
      <c r="V29" s="13">
        <f t="shared" si="14"/>
        <v>1</v>
      </c>
      <c r="W29" s="13">
        <f t="shared" ca="1" si="15"/>
        <v>3</v>
      </c>
      <c r="X29" s="13">
        <f t="shared" ca="1" si="16"/>
        <v>8</v>
      </c>
      <c r="Y29" s="81" t="str">
        <f t="shared" ca="1" si="17"/>
        <v>MONITOR</v>
      </c>
      <c r="Z29" s="13">
        <v>14</v>
      </c>
      <c r="AA29" s="75">
        <v>46059</v>
      </c>
      <c r="AB29" s="75">
        <f t="shared" si="18"/>
        <v>45920</v>
      </c>
      <c r="AC29" s="88">
        <f t="shared" si="19"/>
        <v>19.857142857142858</v>
      </c>
      <c r="AD29" s="89" t="str">
        <f t="shared" ca="1" si="20"/>
        <v>STABLE</v>
      </c>
      <c r="AE29" s="89" t="str">
        <f t="shared" si="21"/>
        <v>FAST SELLING</v>
      </c>
      <c r="AF29" s="89" t="str">
        <f t="shared" si="22"/>
        <v>AT RISK</v>
      </c>
      <c r="AG29" s="89" t="str">
        <f t="shared" si="23"/>
        <v>FEASIBLE</v>
      </c>
      <c r="AH29" s="81" t="str">
        <f t="shared" ca="1" si="24"/>
        <v>MONITOR</v>
      </c>
      <c r="AI29" s="75">
        <f t="shared" ca="1" si="25"/>
        <v>0</v>
      </c>
      <c r="AJ29" s="75">
        <f t="shared" ca="1" si="26"/>
        <v>-1518</v>
      </c>
      <c r="AK29" s="13">
        <f t="shared" ca="1" si="56"/>
        <v>-1822</v>
      </c>
      <c r="AL29" s="79">
        <v>0.1</v>
      </c>
      <c r="AM29" s="79">
        <v>0.3</v>
      </c>
      <c r="AN29" s="79">
        <v>0.3</v>
      </c>
      <c r="AO29" s="79">
        <v>0.1</v>
      </c>
      <c r="AP29" s="79">
        <v>0.1</v>
      </c>
      <c r="AQ29" s="75">
        <f t="shared" si="28"/>
        <v>151.80000000000001</v>
      </c>
      <c r="AR29" s="75">
        <f t="shared" si="29"/>
        <v>455.4</v>
      </c>
      <c r="AS29" s="75">
        <f t="shared" si="30"/>
        <v>455.4</v>
      </c>
      <c r="AT29" s="75">
        <f t="shared" si="31"/>
        <v>151.80000000000001</v>
      </c>
      <c r="AU29" s="75">
        <f t="shared" si="32"/>
        <v>151.80000000000001</v>
      </c>
      <c r="AV29" s="13">
        <v>0.8</v>
      </c>
      <c r="AW29" s="13">
        <v>1.2</v>
      </c>
      <c r="AX29" s="13">
        <v>1.3</v>
      </c>
      <c r="AY29" s="13">
        <v>1</v>
      </c>
      <c r="AZ29" s="13">
        <v>0.7</v>
      </c>
      <c r="BA29" s="105">
        <f t="shared" si="33"/>
        <v>9.64</v>
      </c>
      <c r="BB29" s="13">
        <f t="shared" si="34"/>
        <v>43.379999999999995</v>
      </c>
      <c r="BC29" s="13">
        <f t="shared" si="35"/>
        <v>46.994999999999997</v>
      </c>
      <c r="BD29" s="13">
        <f t="shared" si="36"/>
        <v>12.05</v>
      </c>
      <c r="BE29" s="13">
        <f t="shared" si="37"/>
        <v>8.4350000000000005</v>
      </c>
      <c r="BF29" s="88">
        <f t="shared" si="38"/>
        <v>15.74688796680498</v>
      </c>
      <c r="BG29" s="88">
        <f t="shared" si="39"/>
        <v>10.49792531120332</v>
      </c>
      <c r="BH29" s="88">
        <f t="shared" si="40"/>
        <v>9.6903925949569096</v>
      </c>
      <c r="BI29" s="88">
        <f t="shared" si="41"/>
        <v>12.597510373443983</v>
      </c>
      <c r="BJ29" s="88">
        <f t="shared" si="42"/>
        <v>17.996443390634262</v>
      </c>
      <c r="BK29" s="105">
        <f t="shared" si="43"/>
        <v>6.3504611330698277E-2</v>
      </c>
      <c r="BL29" s="105">
        <f t="shared" si="44"/>
        <v>9.5256916996047436E-2</v>
      </c>
      <c r="BM29" s="105">
        <f t="shared" si="60"/>
        <v>0.10319499341238472</v>
      </c>
      <c r="BN29" s="105">
        <f t="shared" si="58"/>
        <v>7.9380764163372863E-2</v>
      </c>
      <c r="BO29" s="105">
        <f t="shared" si="61"/>
        <v>5.5566534914361004E-2</v>
      </c>
      <c r="BP29" s="105">
        <f t="shared" si="48"/>
        <v>0.39690382081686426</v>
      </c>
      <c r="BQ29" s="79">
        <f t="shared" si="49"/>
        <v>0.15999999999999998</v>
      </c>
      <c r="BR29" s="79">
        <f t="shared" si="50"/>
        <v>0.24000000000000005</v>
      </c>
      <c r="BS29" s="79">
        <f t="shared" si="51"/>
        <v>0.26</v>
      </c>
      <c r="BT29" s="79">
        <f t="shared" si="52"/>
        <v>0.20000000000000004</v>
      </c>
      <c r="BU29" s="79">
        <f t="shared" si="53"/>
        <v>0.14000000000000001</v>
      </c>
      <c r="BV29" s="90" t="str">
        <f t="array" aca="1" ref="BV29" ca="1">_xlfn.TEXTJOIN(" ",TRUE,
_xlfn.TEXTJOIN(":",TRUE,ROUND(BK29:BO29/MIN(IF(BK29:BO29&gt;0,BK29:BO29)),0)),
"|",
ROUND(SUM(BW29:CA29),0))</f>
        <v>1:2:2:1:1 | -1822</v>
      </c>
      <c r="BW29" s="106">
        <f t="shared" ca="1" si="57"/>
        <v>-291.52</v>
      </c>
      <c r="BX29" s="106">
        <f t="shared" ca="1" si="1"/>
        <v>-437.28000000000009</v>
      </c>
      <c r="BY29" s="106">
        <f t="shared" ca="1" si="2"/>
        <v>-473.72</v>
      </c>
      <c r="BZ29" s="106">
        <f t="shared" ca="1" si="3"/>
        <v>-364.40000000000009</v>
      </c>
      <c r="CA29" s="106">
        <f t="shared" ca="1" si="59"/>
        <v>-255.08</v>
      </c>
    </row>
    <row r="30" spans="1:79" x14ac:dyDescent="0.35">
      <c r="A30" s="25" t="s">
        <v>44</v>
      </c>
      <c r="B30" s="10" t="s">
        <v>320</v>
      </c>
      <c r="C30" s="10" t="s">
        <v>341</v>
      </c>
      <c r="D30" s="10" t="s">
        <v>346</v>
      </c>
      <c r="E30" s="11">
        <v>45948</v>
      </c>
      <c r="F30" s="17">
        <v>45892</v>
      </c>
      <c r="G30" s="14">
        <f t="shared" ca="1" si="4"/>
        <v>207</v>
      </c>
      <c r="H30" s="17">
        <v>399</v>
      </c>
      <c r="I30" s="17">
        <v>265</v>
      </c>
      <c r="J30" s="75">
        <f t="shared" si="5"/>
        <v>1142</v>
      </c>
      <c r="K30" s="17">
        <v>2000</v>
      </c>
      <c r="L30" s="85">
        <v>858</v>
      </c>
      <c r="M30" s="86">
        <f t="shared" ca="1" si="6"/>
        <v>4.1449275362318838</v>
      </c>
      <c r="N30" s="86">
        <f t="shared" si="7"/>
        <v>0.92883099285538351</v>
      </c>
      <c r="O30" s="86">
        <f t="shared" si="8"/>
        <v>2.6158536585365852</v>
      </c>
      <c r="P30" s="87">
        <f t="shared" si="9"/>
        <v>214.5</v>
      </c>
      <c r="Q30" s="104">
        <f t="shared" si="10"/>
        <v>5.3240093240093236</v>
      </c>
      <c r="R30" s="88">
        <f t="shared" si="11"/>
        <v>33.583959899749374</v>
      </c>
      <c r="S30" s="88">
        <f t="shared" si="12"/>
        <v>42.9</v>
      </c>
      <c r="T30" s="13">
        <f t="shared" si="13"/>
        <v>3</v>
      </c>
      <c r="U30" s="13">
        <f t="shared" si="0"/>
        <v>2</v>
      </c>
      <c r="V30" s="13">
        <f t="shared" si="14"/>
        <v>1</v>
      </c>
      <c r="W30" s="13">
        <f t="shared" ca="1" si="15"/>
        <v>3</v>
      </c>
      <c r="X30" s="13">
        <f t="shared" ca="1" si="16"/>
        <v>9</v>
      </c>
      <c r="Y30" s="81" t="str">
        <f t="shared" ca="1" si="17"/>
        <v>RE-BUY</v>
      </c>
      <c r="Z30" s="13">
        <v>14</v>
      </c>
      <c r="AA30" s="75">
        <v>46059</v>
      </c>
      <c r="AB30" s="75">
        <f t="shared" si="18"/>
        <v>45920</v>
      </c>
      <c r="AC30" s="88">
        <f t="shared" si="19"/>
        <v>19.857142857142858</v>
      </c>
      <c r="AD30" s="89" t="str">
        <f t="shared" ca="1" si="20"/>
        <v>STABLE</v>
      </c>
      <c r="AE30" s="89" t="str">
        <f t="shared" si="21"/>
        <v>FAST SELLING</v>
      </c>
      <c r="AF30" s="89" t="str">
        <f t="shared" si="22"/>
        <v>AT RISK</v>
      </c>
      <c r="AG30" s="89" t="str">
        <f t="shared" si="23"/>
        <v>FEASIBLE</v>
      </c>
      <c r="AH30" s="81" t="str">
        <f t="shared" ca="1" si="24"/>
        <v>IMMEDIATE REBUY</v>
      </c>
      <c r="AI30" s="75">
        <f t="shared" ca="1" si="25"/>
        <v>2555.6142857142859</v>
      </c>
      <c r="AJ30" s="75">
        <f t="shared" ca="1" si="26"/>
        <v>1413.6142857142859</v>
      </c>
      <c r="AK30" s="13">
        <f t="shared" ca="1" si="56"/>
        <v>1696</v>
      </c>
      <c r="AL30" s="79">
        <v>0.1</v>
      </c>
      <c r="AM30" s="79">
        <v>0.3</v>
      </c>
      <c r="AN30" s="79">
        <v>0.3</v>
      </c>
      <c r="AO30" s="79">
        <v>0.1</v>
      </c>
      <c r="AP30" s="79">
        <v>0.1</v>
      </c>
      <c r="AQ30" s="75">
        <f t="shared" si="28"/>
        <v>114.2</v>
      </c>
      <c r="AR30" s="75">
        <f t="shared" si="29"/>
        <v>342.59999999999997</v>
      </c>
      <c r="AS30" s="75">
        <f t="shared" si="30"/>
        <v>342.59999999999997</v>
      </c>
      <c r="AT30" s="75">
        <f t="shared" si="31"/>
        <v>114.2</v>
      </c>
      <c r="AU30" s="75">
        <f>J30*AP30</f>
        <v>114.2</v>
      </c>
      <c r="AV30" s="13">
        <v>0.8</v>
      </c>
      <c r="AW30" s="13">
        <v>1.2</v>
      </c>
      <c r="AX30" s="13">
        <v>1.3</v>
      </c>
      <c r="AY30" s="13">
        <v>1</v>
      </c>
      <c r="AZ30" s="13">
        <v>0.7</v>
      </c>
      <c r="BA30" s="105">
        <f t="shared" si="33"/>
        <v>17.160000000000004</v>
      </c>
      <c r="BB30" s="13">
        <f t="shared" si="34"/>
        <v>77.219999999999985</v>
      </c>
      <c r="BC30" s="13">
        <f t="shared" si="35"/>
        <v>83.655000000000001</v>
      </c>
      <c r="BD30" s="13">
        <f t="shared" si="36"/>
        <v>21.450000000000003</v>
      </c>
      <c r="BE30" s="13">
        <f t="shared" si="37"/>
        <v>15.015000000000001</v>
      </c>
      <c r="BF30" s="88">
        <f t="shared" si="38"/>
        <v>6.6550116550116538</v>
      </c>
      <c r="BG30" s="88">
        <f t="shared" si="39"/>
        <v>4.4366744366744371</v>
      </c>
      <c r="BH30" s="88">
        <f t="shared" si="40"/>
        <v>4.0953917876994792</v>
      </c>
      <c r="BI30" s="88">
        <f t="shared" si="41"/>
        <v>5.3240093240093236</v>
      </c>
      <c r="BJ30" s="88">
        <f t="shared" si="42"/>
        <v>7.6057276057276058</v>
      </c>
      <c r="BK30" s="105">
        <f t="shared" si="43"/>
        <v>0.15026269702276709</v>
      </c>
      <c r="BL30" s="105">
        <f t="shared" si="44"/>
        <v>0.2253940455341506</v>
      </c>
      <c r="BM30" s="105">
        <f t="shared" si="60"/>
        <v>0.24417688266199655</v>
      </c>
      <c r="BN30" s="105">
        <f t="shared" si="58"/>
        <v>0.18782837127845886</v>
      </c>
      <c r="BO30" s="105">
        <f t="shared" si="61"/>
        <v>0.1314798598949212</v>
      </c>
      <c r="BP30" s="105">
        <f t="shared" si="48"/>
        <v>0.93914185639229431</v>
      </c>
      <c r="BQ30" s="79">
        <f t="shared" si="49"/>
        <v>0.16</v>
      </c>
      <c r="BR30" s="79">
        <f t="shared" si="50"/>
        <v>0.23999999999999996</v>
      </c>
      <c r="BS30" s="79">
        <f t="shared" si="51"/>
        <v>0.26</v>
      </c>
      <c r="BT30" s="79">
        <f t="shared" si="52"/>
        <v>0.2</v>
      </c>
      <c r="BU30" s="79">
        <f t="shared" si="53"/>
        <v>0.13999999999999999</v>
      </c>
      <c r="BV30" s="90" t="str">
        <f t="array" aca="1" ref="BV30" ca="1">_xlfn.TEXTJOIN(" ",TRUE,
_xlfn.TEXTJOIN(":",TRUE,ROUND(BK30:BO30/MIN(IF(BK30:BO30&gt;0,BK30:BO30)),0)),
"|",
ROUND(SUM(BW30:CA30),0))</f>
        <v>1:2:2:1:1 | 1696</v>
      </c>
      <c r="BW30" s="106">
        <f t="shared" ca="1" si="57"/>
        <v>271.36</v>
      </c>
      <c r="BX30" s="106">
        <f t="shared" ca="1" si="1"/>
        <v>407.03999999999996</v>
      </c>
      <c r="BY30" s="106">
        <f t="shared" ca="1" si="2"/>
        <v>440.96000000000004</v>
      </c>
      <c r="BZ30" s="106">
        <f t="shared" ca="1" si="3"/>
        <v>339.20000000000005</v>
      </c>
      <c r="CA30" s="106">
        <f t="shared" ca="1" si="59"/>
        <v>237.43999999999997</v>
      </c>
    </row>
    <row r="31" spans="1:79" x14ac:dyDescent="0.35">
      <c r="A31" s="25" t="s">
        <v>45</v>
      </c>
      <c r="B31" s="10" t="s">
        <v>320</v>
      </c>
      <c r="C31" s="10" t="s">
        <v>341</v>
      </c>
      <c r="D31" s="10" t="s">
        <v>346</v>
      </c>
      <c r="E31" s="11">
        <v>45878</v>
      </c>
      <c r="F31" s="17">
        <v>45892</v>
      </c>
      <c r="G31" s="14">
        <f t="shared" ca="1" si="4"/>
        <v>207</v>
      </c>
      <c r="H31" s="17">
        <v>399</v>
      </c>
      <c r="I31" s="17">
        <v>265</v>
      </c>
      <c r="J31" s="75">
        <f t="shared" si="5"/>
        <v>1642</v>
      </c>
      <c r="K31" s="17">
        <v>2000</v>
      </c>
      <c r="L31" s="85">
        <v>358</v>
      </c>
      <c r="M31" s="86">
        <f t="shared" ca="1" si="6"/>
        <v>1.7294685990338163</v>
      </c>
      <c r="N31" s="86">
        <f t="shared" si="7"/>
        <v>0.92883099285538351</v>
      </c>
      <c r="O31" s="86">
        <f t="shared" si="8"/>
        <v>1.0914634146341464</v>
      </c>
      <c r="P31" s="87">
        <f t="shared" si="9"/>
        <v>89.5</v>
      </c>
      <c r="Q31" s="104">
        <f t="shared" si="10"/>
        <v>18.346368715083798</v>
      </c>
      <c r="R31" s="88">
        <f t="shared" si="11"/>
        <v>33.583959899749374</v>
      </c>
      <c r="S31" s="88">
        <f t="shared" si="12"/>
        <v>17.899999999999999</v>
      </c>
      <c r="T31" s="13">
        <f t="shared" si="13"/>
        <v>3</v>
      </c>
      <c r="U31" s="13">
        <f t="shared" si="0"/>
        <v>1</v>
      </c>
      <c r="V31" s="13">
        <f t="shared" si="14"/>
        <v>1</v>
      </c>
      <c r="W31" s="13">
        <f t="shared" ca="1" si="15"/>
        <v>3</v>
      </c>
      <c r="X31" s="13">
        <f t="shared" ca="1" si="16"/>
        <v>8</v>
      </c>
      <c r="Y31" s="81" t="str">
        <f t="shared" ca="1" si="17"/>
        <v>MONITOR</v>
      </c>
      <c r="Z31" s="13">
        <v>14</v>
      </c>
      <c r="AA31" s="75">
        <v>46059</v>
      </c>
      <c r="AB31" s="75">
        <f t="shared" si="18"/>
        <v>45920</v>
      </c>
      <c r="AC31" s="88">
        <f t="shared" si="19"/>
        <v>19.857142857142858</v>
      </c>
      <c r="AD31" s="89" t="str">
        <f t="shared" ca="1" si="20"/>
        <v>STABLE</v>
      </c>
      <c r="AE31" s="89" t="str">
        <f t="shared" si="21"/>
        <v>FAST SELLING</v>
      </c>
      <c r="AF31" s="89" t="str">
        <f t="shared" si="22"/>
        <v>AT RISK</v>
      </c>
      <c r="AG31" s="89" t="str">
        <f t="shared" si="23"/>
        <v>FEASIBLE</v>
      </c>
      <c r="AH31" s="81" t="str">
        <f t="shared" ca="1" si="24"/>
        <v>MONITOR</v>
      </c>
      <c r="AI31" s="75">
        <f t="shared" ca="1" si="25"/>
        <v>0</v>
      </c>
      <c r="AJ31" s="75">
        <f t="shared" ca="1" si="26"/>
        <v>-1642</v>
      </c>
      <c r="AK31" s="13">
        <f t="shared" ca="1" si="56"/>
        <v>-1970</v>
      </c>
      <c r="AL31" s="79">
        <v>0.1</v>
      </c>
      <c r="AM31" s="79">
        <v>0.3</v>
      </c>
      <c r="AN31" s="79">
        <v>0.3</v>
      </c>
      <c r="AO31" s="79">
        <v>0.1</v>
      </c>
      <c r="AP31" s="79">
        <v>0.1</v>
      </c>
      <c r="AQ31" s="75">
        <f t="shared" si="28"/>
        <v>164.20000000000002</v>
      </c>
      <c r="AR31" s="75">
        <f t="shared" si="29"/>
        <v>492.59999999999997</v>
      </c>
      <c r="AS31" s="75">
        <f t="shared" si="30"/>
        <v>492.59999999999997</v>
      </c>
      <c r="AT31" s="75">
        <f t="shared" si="31"/>
        <v>164.20000000000002</v>
      </c>
      <c r="AU31" s="75">
        <f t="shared" ref="AU31:AU66" si="62">J31*AP31</f>
        <v>164.20000000000002</v>
      </c>
      <c r="AV31" s="13">
        <v>0.8</v>
      </c>
      <c r="AW31" s="13">
        <v>1.2</v>
      </c>
      <c r="AX31" s="13">
        <v>1.3</v>
      </c>
      <c r="AY31" s="13">
        <v>1</v>
      </c>
      <c r="AZ31" s="13">
        <v>0.7</v>
      </c>
      <c r="BA31" s="105">
        <f t="shared" si="33"/>
        <v>7.160000000000001</v>
      </c>
      <c r="BB31" s="13">
        <f t="shared" si="34"/>
        <v>32.22</v>
      </c>
      <c r="BC31" s="13">
        <f t="shared" si="35"/>
        <v>34.905000000000001</v>
      </c>
      <c r="BD31" s="13">
        <f t="shared" si="36"/>
        <v>8.9500000000000011</v>
      </c>
      <c r="BE31" s="13">
        <f t="shared" si="37"/>
        <v>6.2650000000000006</v>
      </c>
      <c r="BF31" s="88">
        <f t="shared" si="38"/>
        <v>22.932960893854748</v>
      </c>
      <c r="BG31" s="88">
        <f t="shared" si="39"/>
        <v>15.288640595903166</v>
      </c>
      <c r="BH31" s="88">
        <f t="shared" si="40"/>
        <v>14.112591319295229</v>
      </c>
      <c r="BI31" s="88">
        <f t="shared" si="41"/>
        <v>18.346368715083798</v>
      </c>
      <c r="BJ31" s="88">
        <f t="shared" si="42"/>
        <v>26.209098164405429</v>
      </c>
      <c r="BK31" s="105">
        <f t="shared" si="43"/>
        <v>4.3605359317904997E-2</v>
      </c>
      <c r="BL31" s="105">
        <f t="shared" si="44"/>
        <v>6.5408038976857485E-2</v>
      </c>
      <c r="BM31" s="105">
        <f t="shared" si="60"/>
        <v>7.0858708891595623E-2</v>
      </c>
      <c r="BN31" s="105">
        <f t="shared" si="58"/>
        <v>5.4506699147381245E-2</v>
      </c>
      <c r="BO31" s="105">
        <f t="shared" si="61"/>
        <v>3.8154689403166867E-2</v>
      </c>
      <c r="BP31" s="105">
        <f t="shared" si="48"/>
        <v>0.27253349573690622</v>
      </c>
      <c r="BQ31" s="79">
        <f t="shared" si="49"/>
        <v>0.16</v>
      </c>
      <c r="BR31" s="79">
        <f t="shared" si="50"/>
        <v>0.23999999999999996</v>
      </c>
      <c r="BS31" s="79">
        <f t="shared" si="51"/>
        <v>0.26</v>
      </c>
      <c r="BT31" s="79">
        <f t="shared" si="52"/>
        <v>0.2</v>
      </c>
      <c r="BU31" s="79">
        <f t="shared" si="53"/>
        <v>0.13999999999999999</v>
      </c>
      <c r="BV31" s="90" t="str">
        <f t="array" aca="1" ref="BV31" ca="1">_xlfn.TEXTJOIN(" ",TRUE,
_xlfn.TEXTJOIN(":",TRUE,ROUND(BK31:BO31/MIN(IF(BK31:BO31&gt;0,BK31:BO31)),0)),
"|",
ROUND(SUM(BW31:CA31),0))</f>
        <v>1:2:2:1:1 | -1970</v>
      </c>
      <c r="BW31" s="106">
        <f t="shared" ca="1" si="57"/>
        <v>-315.2</v>
      </c>
      <c r="BX31" s="106">
        <f t="shared" ca="1" si="1"/>
        <v>-472.79999999999995</v>
      </c>
      <c r="BY31" s="106">
        <f t="shared" ca="1" si="2"/>
        <v>-512.20000000000005</v>
      </c>
      <c r="BZ31" s="106">
        <f t="shared" ca="1" si="3"/>
        <v>-394</v>
      </c>
      <c r="CA31" s="106">
        <f t="shared" ca="1" si="59"/>
        <v>-275.79999999999995</v>
      </c>
    </row>
    <row r="32" spans="1:79" x14ac:dyDescent="0.35">
      <c r="A32" s="25" t="s">
        <v>46</v>
      </c>
      <c r="B32" s="10" t="s">
        <v>320</v>
      </c>
      <c r="C32" s="10" t="s">
        <v>341</v>
      </c>
      <c r="D32" s="10" t="s">
        <v>346</v>
      </c>
      <c r="E32" s="11">
        <v>45878</v>
      </c>
      <c r="F32" s="17">
        <v>45892</v>
      </c>
      <c r="G32" s="14">
        <f t="shared" ca="1" si="4"/>
        <v>207</v>
      </c>
      <c r="H32" s="17">
        <v>399</v>
      </c>
      <c r="I32" s="17">
        <v>265</v>
      </c>
      <c r="J32" s="75">
        <f t="shared" si="5"/>
        <v>1579</v>
      </c>
      <c r="K32" s="17">
        <v>2000</v>
      </c>
      <c r="L32" s="85">
        <v>421</v>
      </c>
      <c r="M32" s="86">
        <f t="shared" ca="1" si="6"/>
        <v>2.0338164251207731</v>
      </c>
      <c r="N32" s="86">
        <f t="shared" si="7"/>
        <v>0.92883099285538351</v>
      </c>
      <c r="O32" s="86">
        <f t="shared" si="8"/>
        <v>1.2835365853658536</v>
      </c>
      <c r="P32" s="87">
        <f t="shared" si="9"/>
        <v>105.25</v>
      </c>
      <c r="Q32" s="104">
        <f t="shared" si="10"/>
        <v>15.002375296912113</v>
      </c>
      <c r="R32" s="88">
        <f t="shared" si="11"/>
        <v>33.583959899749374</v>
      </c>
      <c r="S32" s="88">
        <f t="shared" si="12"/>
        <v>21.05</v>
      </c>
      <c r="T32" s="13">
        <f t="shared" si="13"/>
        <v>3</v>
      </c>
      <c r="U32" s="13">
        <f t="shared" si="0"/>
        <v>1</v>
      </c>
      <c r="V32" s="13">
        <f t="shared" si="14"/>
        <v>1</v>
      </c>
      <c r="W32" s="13">
        <f t="shared" ca="1" si="15"/>
        <v>3</v>
      </c>
      <c r="X32" s="13">
        <f t="shared" ca="1" si="16"/>
        <v>8</v>
      </c>
      <c r="Y32" s="81" t="str">
        <f t="shared" ca="1" si="17"/>
        <v>MONITOR</v>
      </c>
      <c r="Z32" s="13">
        <v>14</v>
      </c>
      <c r="AA32" s="75">
        <v>46059</v>
      </c>
      <c r="AB32" s="75">
        <f t="shared" si="18"/>
        <v>45920</v>
      </c>
      <c r="AC32" s="88">
        <f t="shared" si="19"/>
        <v>19.857142857142858</v>
      </c>
      <c r="AD32" s="89" t="str">
        <f t="shared" ca="1" si="20"/>
        <v>STABLE</v>
      </c>
      <c r="AE32" s="89" t="str">
        <f t="shared" si="21"/>
        <v>FAST SELLING</v>
      </c>
      <c r="AF32" s="89" t="str">
        <f t="shared" si="22"/>
        <v>AT RISK</v>
      </c>
      <c r="AG32" s="89" t="str">
        <f t="shared" si="23"/>
        <v>FEASIBLE</v>
      </c>
      <c r="AH32" s="81" t="str">
        <f t="shared" ca="1" si="24"/>
        <v>MONITOR</v>
      </c>
      <c r="AI32" s="75">
        <f t="shared" ca="1" si="25"/>
        <v>0</v>
      </c>
      <c r="AJ32" s="75">
        <f t="shared" ca="1" si="26"/>
        <v>-1579</v>
      </c>
      <c r="AK32" s="13">
        <f t="shared" ca="1" si="56"/>
        <v>-1895</v>
      </c>
      <c r="AL32" s="79">
        <v>0.1</v>
      </c>
      <c r="AM32" s="79">
        <v>0.3</v>
      </c>
      <c r="AN32" s="79">
        <v>0.3</v>
      </c>
      <c r="AO32" s="79">
        <v>0.1</v>
      </c>
      <c r="AP32" s="79">
        <v>0.1</v>
      </c>
      <c r="AQ32" s="75">
        <f t="shared" si="28"/>
        <v>157.9</v>
      </c>
      <c r="AR32" s="75">
        <f t="shared" si="29"/>
        <v>473.7</v>
      </c>
      <c r="AS32" s="75">
        <f t="shared" si="30"/>
        <v>473.7</v>
      </c>
      <c r="AT32" s="75">
        <f t="shared" si="31"/>
        <v>157.9</v>
      </c>
      <c r="AU32" s="75">
        <f t="shared" si="62"/>
        <v>157.9</v>
      </c>
      <c r="AV32" s="13">
        <v>0.8</v>
      </c>
      <c r="AW32" s="13">
        <v>1.2</v>
      </c>
      <c r="AX32" s="13">
        <v>1.3</v>
      </c>
      <c r="AY32" s="13">
        <v>1</v>
      </c>
      <c r="AZ32" s="13">
        <v>0.7</v>
      </c>
      <c r="BA32" s="105">
        <f t="shared" si="33"/>
        <v>8.42</v>
      </c>
      <c r="BB32" s="13">
        <f t="shared" si="34"/>
        <v>37.89</v>
      </c>
      <c r="BC32" s="13">
        <f t="shared" si="35"/>
        <v>41.047499999999999</v>
      </c>
      <c r="BD32" s="13">
        <f t="shared" si="36"/>
        <v>10.525</v>
      </c>
      <c r="BE32" s="13">
        <f t="shared" si="37"/>
        <v>7.3674999999999997</v>
      </c>
      <c r="BF32" s="88">
        <f t="shared" si="38"/>
        <v>18.752969121140143</v>
      </c>
      <c r="BG32" s="88">
        <f t="shared" si="39"/>
        <v>12.501979414093428</v>
      </c>
      <c r="BH32" s="88">
        <f t="shared" si="40"/>
        <v>11.540288689932396</v>
      </c>
      <c r="BI32" s="88">
        <f t="shared" si="41"/>
        <v>15.002375296912113</v>
      </c>
      <c r="BJ32" s="88">
        <f t="shared" si="42"/>
        <v>21.43196470987445</v>
      </c>
      <c r="BK32" s="105">
        <f t="shared" si="43"/>
        <v>5.3324889170360983E-2</v>
      </c>
      <c r="BL32" s="105">
        <f t="shared" si="44"/>
        <v>7.9987333755541484E-2</v>
      </c>
      <c r="BM32" s="105">
        <f t="shared" si="60"/>
        <v>8.6652944901836601E-2</v>
      </c>
      <c r="BN32" s="105">
        <f t="shared" si="58"/>
        <v>6.6656111462951237E-2</v>
      </c>
      <c r="BO32" s="105">
        <f t="shared" si="61"/>
        <v>4.6659278024065859E-2</v>
      </c>
      <c r="BP32" s="105">
        <f t="shared" si="48"/>
        <v>0.33328055731475614</v>
      </c>
      <c r="BQ32" s="79">
        <f t="shared" si="49"/>
        <v>0.16</v>
      </c>
      <c r="BR32" s="79">
        <f t="shared" si="50"/>
        <v>0.24000000000000002</v>
      </c>
      <c r="BS32" s="79">
        <f t="shared" si="51"/>
        <v>0.26</v>
      </c>
      <c r="BT32" s="79">
        <f t="shared" si="52"/>
        <v>0.2</v>
      </c>
      <c r="BU32" s="79">
        <f t="shared" si="53"/>
        <v>0.13999999999999999</v>
      </c>
      <c r="BV32" s="90" t="str">
        <f t="array" aca="1" ref="BV32" ca="1">_xlfn.TEXTJOIN(" ",TRUE,
_xlfn.TEXTJOIN(":",TRUE,ROUND(BK32:BO32/MIN(IF(BK32:BO32&gt;0,BK32:BO32)),0)),
"|",
ROUND(SUM(BW32:CA32),0))</f>
        <v>1:2:2:1:1 | -1895</v>
      </c>
      <c r="BW32" s="106">
        <f t="shared" ca="1" si="57"/>
        <v>-303.2</v>
      </c>
      <c r="BX32" s="106">
        <f t="shared" ca="1" si="1"/>
        <v>-454.8</v>
      </c>
      <c r="BY32" s="106">
        <f t="shared" ca="1" si="2"/>
        <v>-492.7</v>
      </c>
      <c r="BZ32" s="106">
        <f t="shared" ca="1" si="3"/>
        <v>-379</v>
      </c>
      <c r="CA32" s="106">
        <f t="shared" ca="1" si="59"/>
        <v>-265.29999999999995</v>
      </c>
    </row>
    <row r="33" spans="1:79" x14ac:dyDescent="0.35">
      <c r="A33" s="25" t="s">
        <v>47</v>
      </c>
      <c r="B33" s="10" t="s">
        <v>320</v>
      </c>
      <c r="C33" s="10" t="s">
        <v>341</v>
      </c>
      <c r="D33" s="10" t="s">
        <v>346</v>
      </c>
      <c r="E33" s="11">
        <v>45927</v>
      </c>
      <c r="F33" s="17">
        <v>45892</v>
      </c>
      <c r="G33" s="14">
        <f t="shared" ca="1" si="4"/>
        <v>207</v>
      </c>
      <c r="H33" s="17">
        <v>399</v>
      </c>
      <c r="I33" s="17">
        <v>265</v>
      </c>
      <c r="J33" s="75">
        <f t="shared" si="5"/>
        <v>1446</v>
      </c>
      <c r="K33" s="17">
        <v>2000</v>
      </c>
      <c r="L33" s="85">
        <v>554</v>
      </c>
      <c r="M33" s="86">
        <f t="shared" ca="1" si="6"/>
        <v>2.6763285024154588</v>
      </c>
      <c r="N33" s="86">
        <f t="shared" si="7"/>
        <v>0.92883099285538351</v>
      </c>
      <c r="O33" s="86">
        <f t="shared" si="8"/>
        <v>1.6890243902439024</v>
      </c>
      <c r="P33" s="87">
        <f t="shared" si="9"/>
        <v>138.5</v>
      </c>
      <c r="Q33" s="104">
        <f t="shared" si="10"/>
        <v>10.440433212996389</v>
      </c>
      <c r="R33" s="88">
        <f t="shared" si="11"/>
        <v>33.583959899749374</v>
      </c>
      <c r="S33" s="88">
        <f t="shared" si="12"/>
        <v>27.700000000000003</v>
      </c>
      <c r="T33" s="13">
        <f t="shared" si="13"/>
        <v>3</v>
      </c>
      <c r="U33" s="13">
        <f t="shared" si="0"/>
        <v>1</v>
      </c>
      <c r="V33" s="13">
        <f t="shared" si="14"/>
        <v>1</v>
      </c>
      <c r="W33" s="13">
        <f t="shared" ca="1" si="15"/>
        <v>3</v>
      </c>
      <c r="X33" s="13">
        <f t="shared" ca="1" si="16"/>
        <v>8</v>
      </c>
      <c r="Y33" s="81" t="str">
        <f t="shared" ca="1" si="17"/>
        <v>MONITOR</v>
      </c>
      <c r="Z33" s="13">
        <v>14</v>
      </c>
      <c r="AA33" s="75">
        <v>46059</v>
      </c>
      <c r="AB33" s="75">
        <f t="shared" si="18"/>
        <v>45920</v>
      </c>
      <c r="AC33" s="88">
        <f t="shared" si="19"/>
        <v>19.857142857142858</v>
      </c>
      <c r="AD33" s="89" t="str">
        <f t="shared" ca="1" si="20"/>
        <v>STABLE</v>
      </c>
      <c r="AE33" s="89" t="str">
        <f t="shared" si="21"/>
        <v>FAST SELLING</v>
      </c>
      <c r="AF33" s="89" t="str">
        <f t="shared" si="22"/>
        <v>AT RISK</v>
      </c>
      <c r="AG33" s="89" t="str">
        <f t="shared" si="23"/>
        <v>FEASIBLE</v>
      </c>
      <c r="AH33" s="81" t="str">
        <f t="shared" ca="1" si="24"/>
        <v>MONITOR</v>
      </c>
      <c r="AI33" s="75">
        <f t="shared" ca="1" si="25"/>
        <v>0</v>
      </c>
      <c r="AJ33" s="75">
        <f t="shared" ca="1" si="26"/>
        <v>-1446</v>
      </c>
      <c r="AK33" s="13">
        <f t="shared" ca="1" si="56"/>
        <v>-1735</v>
      </c>
      <c r="AL33" s="79">
        <v>0.1</v>
      </c>
      <c r="AM33" s="79">
        <v>0.3</v>
      </c>
      <c r="AN33" s="79">
        <v>0.3</v>
      </c>
      <c r="AO33" s="79">
        <v>0.1</v>
      </c>
      <c r="AP33" s="79">
        <v>0.1</v>
      </c>
      <c r="AQ33" s="75">
        <f t="shared" si="28"/>
        <v>144.6</v>
      </c>
      <c r="AR33" s="75">
        <f t="shared" si="29"/>
        <v>433.8</v>
      </c>
      <c r="AS33" s="75">
        <f t="shared" si="30"/>
        <v>433.8</v>
      </c>
      <c r="AT33" s="75">
        <f t="shared" si="31"/>
        <v>144.6</v>
      </c>
      <c r="AU33" s="75">
        <f t="shared" si="62"/>
        <v>144.6</v>
      </c>
      <c r="AV33" s="13">
        <v>0.8</v>
      </c>
      <c r="AW33" s="13">
        <v>1.2</v>
      </c>
      <c r="AX33" s="13">
        <v>1.3</v>
      </c>
      <c r="AY33" s="13">
        <v>1</v>
      </c>
      <c r="AZ33" s="13">
        <v>0.7</v>
      </c>
      <c r="BA33" s="105">
        <f t="shared" si="33"/>
        <v>11.080000000000002</v>
      </c>
      <c r="BB33" s="13">
        <f t="shared" si="34"/>
        <v>49.859999999999992</v>
      </c>
      <c r="BC33" s="13">
        <f t="shared" si="35"/>
        <v>54.015000000000001</v>
      </c>
      <c r="BD33" s="13">
        <f t="shared" si="36"/>
        <v>13.850000000000001</v>
      </c>
      <c r="BE33" s="13">
        <f t="shared" si="37"/>
        <v>9.6950000000000003</v>
      </c>
      <c r="BF33" s="88">
        <f t="shared" si="38"/>
        <v>13.050541516245485</v>
      </c>
      <c r="BG33" s="88">
        <f t="shared" si="39"/>
        <v>8.700361010830326</v>
      </c>
      <c r="BH33" s="88">
        <f t="shared" si="40"/>
        <v>8.031102471535684</v>
      </c>
      <c r="BI33" s="88">
        <f t="shared" si="41"/>
        <v>10.440433212996389</v>
      </c>
      <c r="BJ33" s="88">
        <f t="shared" si="42"/>
        <v>14.914904589994842</v>
      </c>
      <c r="BK33" s="105">
        <f t="shared" si="43"/>
        <v>7.6625172890733076E-2</v>
      </c>
      <c r="BL33" s="105">
        <f t="shared" si="44"/>
        <v>0.11493775933609957</v>
      </c>
      <c r="BM33" s="105">
        <f t="shared" si="60"/>
        <v>0.12451590594744122</v>
      </c>
      <c r="BN33" s="105">
        <f t="shared" si="58"/>
        <v>9.5781466113416328E-2</v>
      </c>
      <c r="BO33" s="105">
        <f t="shared" si="61"/>
        <v>6.7047026279391422E-2</v>
      </c>
      <c r="BP33" s="105">
        <f t="shared" si="48"/>
        <v>0.47890733056708157</v>
      </c>
      <c r="BQ33" s="79">
        <f t="shared" si="49"/>
        <v>0.16000000000000006</v>
      </c>
      <c r="BR33" s="79">
        <f t="shared" si="50"/>
        <v>0.23999999999999996</v>
      </c>
      <c r="BS33" s="79">
        <f t="shared" si="51"/>
        <v>0.26</v>
      </c>
      <c r="BT33" s="79">
        <f t="shared" si="52"/>
        <v>0.20000000000000004</v>
      </c>
      <c r="BU33" s="79">
        <f t="shared" si="53"/>
        <v>0.14000000000000001</v>
      </c>
      <c r="BV33" s="90" t="str">
        <f t="array" aca="1" ref="BV33" ca="1">_xlfn.TEXTJOIN(" ",TRUE,
_xlfn.TEXTJOIN(":",TRUE,ROUND(BK33:BO33/MIN(IF(BK33:BO33&gt;0,BK33:BO33)),0)),
"|",
ROUND(SUM(BW33:CA33),0))</f>
        <v>1:2:2:1:1 | -1735</v>
      </c>
      <c r="BW33" s="106">
        <f t="shared" ca="1" si="57"/>
        <v>-277.60000000000008</v>
      </c>
      <c r="BX33" s="106">
        <f t="shared" ca="1" si="1"/>
        <v>-416.39999999999992</v>
      </c>
      <c r="BY33" s="106">
        <f t="shared" ca="1" si="2"/>
        <v>-451.1</v>
      </c>
      <c r="BZ33" s="106">
        <f t="shared" ca="1" si="3"/>
        <v>-347.00000000000006</v>
      </c>
      <c r="CA33" s="106">
        <f t="shared" ca="1" si="59"/>
        <v>-242.90000000000003</v>
      </c>
    </row>
    <row r="34" spans="1:79" x14ac:dyDescent="0.35">
      <c r="A34" s="25" t="s">
        <v>48</v>
      </c>
      <c r="B34" s="10" t="s">
        <v>320</v>
      </c>
      <c r="C34" s="10" t="s">
        <v>341</v>
      </c>
      <c r="D34" s="10" t="s">
        <v>346</v>
      </c>
      <c r="E34" s="11">
        <v>45878</v>
      </c>
      <c r="F34" s="17">
        <v>45892</v>
      </c>
      <c r="G34" s="14">
        <f t="shared" ca="1" si="4"/>
        <v>207</v>
      </c>
      <c r="H34" s="17">
        <v>399</v>
      </c>
      <c r="I34" s="17">
        <v>265</v>
      </c>
      <c r="J34" s="75">
        <f t="shared" si="5"/>
        <v>1395</v>
      </c>
      <c r="K34" s="17">
        <v>2000</v>
      </c>
      <c r="L34" s="85">
        <v>605</v>
      </c>
      <c r="M34" s="86">
        <f t="shared" ca="1" si="6"/>
        <v>2.9227053140096619</v>
      </c>
      <c r="N34" s="86">
        <f t="shared" si="7"/>
        <v>0.92883099285538351</v>
      </c>
      <c r="O34" s="86">
        <f t="shared" si="8"/>
        <v>1.8445121951219512</v>
      </c>
      <c r="P34" s="87">
        <f t="shared" si="9"/>
        <v>151.25</v>
      </c>
      <c r="Q34" s="104">
        <f t="shared" si="10"/>
        <v>9.223140495867769</v>
      </c>
      <c r="R34" s="88">
        <f t="shared" si="11"/>
        <v>33.583959899749374</v>
      </c>
      <c r="S34" s="88">
        <f t="shared" si="12"/>
        <v>30.25</v>
      </c>
      <c r="T34" s="13">
        <f t="shared" si="13"/>
        <v>3</v>
      </c>
      <c r="U34" s="13">
        <f t="shared" si="0"/>
        <v>1</v>
      </c>
      <c r="V34" s="13">
        <f t="shared" si="14"/>
        <v>1</v>
      </c>
      <c r="W34" s="13">
        <f t="shared" ca="1" si="15"/>
        <v>3</v>
      </c>
      <c r="X34" s="13">
        <f t="shared" ca="1" si="16"/>
        <v>8</v>
      </c>
      <c r="Y34" s="81" t="str">
        <f t="shared" ca="1" si="17"/>
        <v>MONITOR</v>
      </c>
      <c r="Z34" s="13">
        <v>14</v>
      </c>
      <c r="AA34" s="75">
        <v>46059</v>
      </c>
      <c r="AB34" s="75">
        <f t="shared" si="18"/>
        <v>45920</v>
      </c>
      <c r="AC34" s="88">
        <f t="shared" si="19"/>
        <v>19.857142857142858</v>
      </c>
      <c r="AD34" s="89" t="str">
        <f t="shared" ca="1" si="20"/>
        <v>STABLE</v>
      </c>
      <c r="AE34" s="89" t="str">
        <f t="shared" si="21"/>
        <v>FAST SELLING</v>
      </c>
      <c r="AF34" s="89" t="str">
        <f t="shared" si="22"/>
        <v>AT RISK</v>
      </c>
      <c r="AG34" s="89" t="str">
        <f t="shared" si="23"/>
        <v>FEASIBLE</v>
      </c>
      <c r="AH34" s="81" t="str">
        <f t="shared" ca="1" si="24"/>
        <v>MONITOR</v>
      </c>
      <c r="AI34" s="75">
        <f t="shared" ca="1" si="25"/>
        <v>0</v>
      </c>
      <c r="AJ34" s="75">
        <f t="shared" ca="1" si="26"/>
        <v>-1395</v>
      </c>
      <c r="AK34" s="13">
        <f t="shared" ca="1" si="56"/>
        <v>-1674</v>
      </c>
      <c r="AL34" s="79">
        <v>0.1</v>
      </c>
      <c r="AM34" s="79">
        <v>0.3</v>
      </c>
      <c r="AN34" s="79">
        <v>0.3</v>
      </c>
      <c r="AO34" s="79">
        <v>0.1</v>
      </c>
      <c r="AP34" s="79">
        <v>0.1</v>
      </c>
      <c r="AQ34" s="75">
        <f t="shared" si="28"/>
        <v>139.5</v>
      </c>
      <c r="AR34" s="75">
        <f t="shared" si="29"/>
        <v>418.5</v>
      </c>
      <c r="AS34" s="75">
        <f t="shared" si="30"/>
        <v>418.5</v>
      </c>
      <c r="AT34" s="75">
        <f t="shared" si="31"/>
        <v>139.5</v>
      </c>
      <c r="AU34" s="75">
        <f t="shared" si="62"/>
        <v>139.5</v>
      </c>
      <c r="AV34" s="13">
        <v>0.8</v>
      </c>
      <c r="AW34" s="13">
        <v>1.2</v>
      </c>
      <c r="AX34" s="13">
        <v>1.3</v>
      </c>
      <c r="AY34" s="13">
        <v>1</v>
      </c>
      <c r="AZ34" s="13">
        <v>0.7</v>
      </c>
      <c r="BA34" s="105">
        <f t="shared" si="33"/>
        <v>12.100000000000001</v>
      </c>
      <c r="BB34" s="13">
        <f t="shared" si="34"/>
        <v>54.449999999999996</v>
      </c>
      <c r="BC34" s="13">
        <f t="shared" si="35"/>
        <v>58.987500000000004</v>
      </c>
      <c r="BD34" s="13">
        <f t="shared" si="36"/>
        <v>15.125</v>
      </c>
      <c r="BE34" s="13">
        <f t="shared" si="37"/>
        <v>10.587499999999999</v>
      </c>
      <c r="BF34" s="88">
        <f t="shared" si="38"/>
        <v>11.528925619834709</v>
      </c>
      <c r="BG34" s="88">
        <f t="shared" si="39"/>
        <v>7.6859504132231411</v>
      </c>
      <c r="BH34" s="88">
        <f t="shared" si="40"/>
        <v>7.0947234583598213</v>
      </c>
      <c r="BI34" s="88">
        <f t="shared" si="41"/>
        <v>9.223140495867769</v>
      </c>
      <c r="BJ34" s="88">
        <f t="shared" si="42"/>
        <v>13.175914994096814</v>
      </c>
      <c r="BK34" s="105">
        <f t="shared" si="43"/>
        <v>8.6738351254480303E-2</v>
      </c>
      <c r="BL34" s="105">
        <f t="shared" si="44"/>
        <v>0.13010752688172042</v>
      </c>
      <c r="BM34" s="105">
        <f t="shared" si="60"/>
        <v>0.14094982078853047</v>
      </c>
      <c r="BN34" s="105">
        <f t="shared" si="58"/>
        <v>0.10842293906810035</v>
      </c>
      <c r="BO34" s="105">
        <f t="shared" si="61"/>
        <v>7.5896057347670243E-2</v>
      </c>
      <c r="BP34" s="105">
        <f t="shared" si="48"/>
        <v>0.54211469534050183</v>
      </c>
      <c r="BQ34" s="79">
        <f t="shared" si="49"/>
        <v>0.16000000000000003</v>
      </c>
      <c r="BR34" s="79">
        <f t="shared" si="50"/>
        <v>0.23999999999999996</v>
      </c>
      <c r="BS34" s="79">
        <f t="shared" si="51"/>
        <v>0.26</v>
      </c>
      <c r="BT34" s="79">
        <f t="shared" si="52"/>
        <v>0.19999999999999998</v>
      </c>
      <c r="BU34" s="79">
        <f t="shared" si="53"/>
        <v>0.13999999999999999</v>
      </c>
      <c r="BV34" s="90" t="str">
        <f t="array" aca="1" ref="BV34" ca="1">_xlfn.TEXTJOIN(" ",TRUE,
_xlfn.TEXTJOIN(":",TRUE,ROUND(BK34:BO34/MIN(IF(BK34:BO34&gt;0,BK34:BO34)),0)),
"|",
ROUND(SUM(BW34:CA34),0))</f>
        <v>1:2:2:1:1 | -1674</v>
      </c>
      <c r="BW34" s="106">
        <f t="shared" ca="1" si="57"/>
        <v>-267.84000000000003</v>
      </c>
      <c r="BX34" s="106">
        <f t="shared" ca="1" si="1"/>
        <v>-401.75999999999993</v>
      </c>
      <c r="BY34" s="106">
        <f t="shared" ca="1" si="2"/>
        <v>-435.24</v>
      </c>
      <c r="BZ34" s="106">
        <f t="shared" ca="1" si="3"/>
        <v>-334.79999999999995</v>
      </c>
      <c r="CA34" s="106">
        <f t="shared" ca="1" si="59"/>
        <v>-234.35999999999999</v>
      </c>
    </row>
    <row r="35" spans="1:79" x14ac:dyDescent="0.35">
      <c r="A35" s="25" t="s">
        <v>49</v>
      </c>
      <c r="B35" s="10" t="s">
        <v>320</v>
      </c>
      <c r="C35" s="10" t="s">
        <v>341</v>
      </c>
      <c r="D35" s="10" t="s">
        <v>346</v>
      </c>
      <c r="E35" s="11">
        <v>45927</v>
      </c>
      <c r="F35" s="17">
        <v>45892</v>
      </c>
      <c r="G35" s="14">
        <f t="shared" ca="1" si="4"/>
        <v>207</v>
      </c>
      <c r="H35" s="17">
        <v>399</v>
      </c>
      <c r="I35" s="17">
        <v>265</v>
      </c>
      <c r="J35" s="75">
        <f t="shared" si="5"/>
        <v>1402</v>
      </c>
      <c r="K35" s="17">
        <v>2200</v>
      </c>
      <c r="L35" s="85">
        <v>798</v>
      </c>
      <c r="M35" s="86">
        <f t="shared" ca="1" si="6"/>
        <v>3.8550724637681157</v>
      </c>
      <c r="N35" s="86">
        <f t="shared" si="7"/>
        <v>0.92883099285538351</v>
      </c>
      <c r="O35" s="86">
        <f t="shared" si="8"/>
        <v>2.4329268292682928</v>
      </c>
      <c r="P35" s="87">
        <f t="shared" si="9"/>
        <v>199.5</v>
      </c>
      <c r="Q35" s="104">
        <f t="shared" si="10"/>
        <v>7.0275689223057647</v>
      </c>
      <c r="R35" s="88">
        <f t="shared" si="11"/>
        <v>33.583959899749374</v>
      </c>
      <c r="S35" s="88">
        <f t="shared" si="12"/>
        <v>36.272727272727273</v>
      </c>
      <c r="T35" s="13">
        <f t="shared" si="13"/>
        <v>3</v>
      </c>
      <c r="U35" s="13">
        <f t="shared" si="0"/>
        <v>1</v>
      </c>
      <c r="V35" s="13">
        <f t="shared" si="14"/>
        <v>1</v>
      </c>
      <c r="W35" s="13">
        <f t="shared" ca="1" si="15"/>
        <v>3</v>
      </c>
      <c r="X35" s="13">
        <f t="shared" ca="1" si="16"/>
        <v>8</v>
      </c>
      <c r="Y35" s="81" t="str">
        <f t="shared" ca="1" si="17"/>
        <v>MONITOR</v>
      </c>
      <c r="Z35" s="13">
        <v>14</v>
      </c>
      <c r="AA35" s="75">
        <v>46059</v>
      </c>
      <c r="AB35" s="75">
        <f t="shared" si="18"/>
        <v>45920</v>
      </c>
      <c r="AC35" s="88">
        <f t="shared" si="19"/>
        <v>19.857142857142858</v>
      </c>
      <c r="AD35" s="89" t="str">
        <f t="shared" ca="1" si="20"/>
        <v>STABLE</v>
      </c>
      <c r="AE35" s="89" t="str">
        <f t="shared" si="21"/>
        <v>FAST SELLING</v>
      </c>
      <c r="AF35" s="89" t="str">
        <f t="shared" si="22"/>
        <v>AT RISK</v>
      </c>
      <c r="AG35" s="89" t="str">
        <f t="shared" si="23"/>
        <v>FEASIBLE</v>
      </c>
      <c r="AH35" s="81" t="str">
        <f t="shared" ca="1" si="24"/>
        <v>MONITOR</v>
      </c>
      <c r="AI35" s="75">
        <f t="shared" ca="1" si="25"/>
        <v>0</v>
      </c>
      <c r="AJ35" s="75">
        <f t="shared" ca="1" si="26"/>
        <v>-1402</v>
      </c>
      <c r="AK35" s="13">
        <f t="shared" ca="1" si="56"/>
        <v>-1682</v>
      </c>
      <c r="AL35" s="79">
        <v>0.1</v>
      </c>
      <c r="AM35" s="79">
        <v>0.3</v>
      </c>
      <c r="AN35" s="79">
        <v>0.3</v>
      </c>
      <c r="AO35" s="79">
        <v>0.1</v>
      </c>
      <c r="AP35" s="79">
        <v>0.1</v>
      </c>
      <c r="AQ35" s="75">
        <f t="shared" si="28"/>
        <v>140.20000000000002</v>
      </c>
      <c r="AR35" s="75">
        <f t="shared" si="29"/>
        <v>420.59999999999997</v>
      </c>
      <c r="AS35" s="75">
        <f t="shared" si="30"/>
        <v>420.59999999999997</v>
      </c>
      <c r="AT35" s="75">
        <f t="shared" si="31"/>
        <v>140.20000000000002</v>
      </c>
      <c r="AU35" s="75">
        <f t="shared" si="62"/>
        <v>140.20000000000002</v>
      </c>
      <c r="AV35" s="13">
        <v>0.8</v>
      </c>
      <c r="AW35" s="13">
        <v>1.2</v>
      </c>
      <c r="AX35" s="13">
        <v>1.3</v>
      </c>
      <c r="AY35" s="13">
        <v>1</v>
      </c>
      <c r="AZ35" s="13">
        <v>0.7</v>
      </c>
      <c r="BA35" s="105">
        <f t="shared" si="33"/>
        <v>15.960000000000003</v>
      </c>
      <c r="BB35" s="13">
        <f t="shared" si="34"/>
        <v>71.819999999999993</v>
      </c>
      <c r="BC35" s="13">
        <f t="shared" si="35"/>
        <v>77.804999999999993</v>
      </c>
      <c r="BD35" s="13">
        <f t="shared" si="36"/>
        <v>19.950000000000003</v>
      </c>
      <c r="BE35" s="13">
        <f t="shared" si="37"/>
        <v>13.965000000000002</v>
      </c>
      <c r="BF35" s="88">
        <f t="shared" si="38"/>
        <v>8.784461152882205</v>
      </c>
      <c r="BG35" s="88">
        <f t="shared" si="39"/>
        <v>5.8563074352548039</v>
      </c>
      <c r="BH35" s="88">
        <f t="shared" si="40"/>
        <v>5.4058222479275111</v>
      </c>
      <c r="BI35" s="88">
        <f t="shared" si="41"/>
        <v>7.0275689223057647</v>
      </c>
      <c r="BJ35" s="88">
        <f t="shared" si="42"/>
        <v>10.039384174722521</v>
      </c>
      <c r="BK35" s="105">
        <f t="shared" si="43"/>
        <v>0.1138373751783167</v>
      </c>
      <c r="BL35" s="105">
        <f t="shared" si="44"/>
        <v>0.17075606276747504</v>
      </c>
      <c r="BM35" s="105">
        <f t="shared" si="60"/>
        <v>0.18498573466476462</v>
      </c>
      <c r="BN35" s="105">
        <f t="shared" si="58"/>
        <v>0.14229671897289586</v>
      </c>
      <c r="BO35" s="105">
        <f t="shared" si="61"/>
        <v>9.9607703281027096E-2</v>
      </c>
      <c r="BP35" s="105">
        <f t="shared" si="48"/>
        <v>0.71148359486447932</v>
      </c>
      <c r="BQ35" s="79">
        <f t="shared" si="49"/>
        <v>0.16</v>
      </c>
      <c r="BR35" s="79">
        <f t="shared" si="50"/>
        <v>0.24000000000000002</v>
      </c>
      <c r="BS35" s="79">
        <f t="shared" si="51"/>
        <v>0.26</v>
      </c>
      <c r="BT35" s="79">
        <f t="shared" si="52"/>
        <v>0.2</v>
      </c>
      <c r="BU35" s="79">
        <f t="shared" si="53"/>
        <v>0.13999999999999999</v>
      </c>
      <c r="BV35" s="90" t="str">
        <f t="array" aca="1" ref="BV35" ca="1">_xlfn.TEXTJOIN(" ",TRUE,
_xlfn.TEXTJOIN(":",TRUE,ROUND(BK35:BO35/MIN(IF(BK35:BO35&gt;0,BK35:BO35)),0)),
"|",
ROUND(SUM(BW35:CA35),0))</f>
        <v>1:2:2:1:1 | -1682</v>
      </c>
      <c r="BW35" s="106">
        <f t="shared" ca="1" si="57"/>
        <v>-269.12</v>
      </c>
      <c r="BX35" s="106">
        <f t="shared" ca="1" si="1"/>
        <v>-403.68</v>
      </c>
      <c r="BY35" s="106">
        <f t="shared" ca="1" si="2"/>
        <v>-437.32</v>
      </c>
      <c r="BZ35" s="106">
        <f t="shared" ca="1" si="3"/>
        <v>-336.40000000000003</v>
      </c>
      <c r="CA35" s="106">
        <f t="shared" ca="1" si="59"/>
        <v>-235.48</v>
      </c>
    </row>
    <row r="36" spans="1:79" x14ac:dyDescent="0.35">
      <c r="A36" s="25" t="s">
        <v>50</v>
      </c>
      <c r="B36" s="10" t="s">
        <v>320</v>
      </c>
      <c r="C36" s="10" t="s">
        <v>341</v>
      </c>
      <c r="D36" s="10" t="s">
        <v>346</v>
      </c>
      <c r="E36" s="11">
        <v>45976</v>
      </c>
      <c r="F36" s="17">
        <v>45892</v>
      </c>
      <c r="G36" s="14">
        <f t="shared" ca="1" si="4"/>
        <v>207</v>
      </c>
      <c r="H36" s="17">
        <v>399</v>
      </c>
      <c r="I36" s="17">
        <v>265</v>
      </c>
      <c r="J36" s="75">
        <f t="shared" si="5"/>
        <v>1538</v>
      </c>
      <c r="K36" s="17">
        <v>2000</v>
      </c>
      <c r="L36" s="85">
        <v>462</v>
      </c>
      <c r="M36" s="86">
        <f t="shared" ca="1" si="6"/>
        <v>2.2318840579710146</v>
      </c>
      <c r="N36" s="86">
        <f t="shared" si="7"/>
        <v>0.92883099285538351</v>
      </c>
      <c r="O36" s="86">
        <f t="shared" si="8"/>
        <v>1.4085365853658536</v>
      </c>
      <c r="P36" s="87">
        <f t="shared" si="9"/>
        <v>115.5</v>
      </c>
      <c r="Q36" s="104">
        <f t="shared" si="10"/>
        <v>13.316017316017316</v>
      </c>
      <c r="R36" s="88">
        <f t="shared" si="11"/>
        <v>33.583959899749374</v>
      </c>
      <c r="S36" s="88">
        <f t="shared" si="12"/>
        <v>23.1</v>
      </c>
      <c r="T36" s="13">
        <f t="shared" si="13"/>
        <v>3</v>
      </c>
      <c r="U36" s="13">
        <f t="shared" si="0"/>
        <v>1</v>
      </c>
      <c r="V36" s="13">
        <f t="shared" si="14"/>
        <v>1</v>
      </c>
      <c r="W36" s="13">
        <f t="shared" ca="1" si="15"/>
        <v>3</v>
      </c>
      <c r="X36" s="13">
        <f t="shared" ca="1" si="16"/>
        <v>8</v>
      </c>
      <c r="Y36" s="81" t="str">
        <f t="shared" ca="1" si="17"/>
        <v>MONITOR</v>
      </c>
      <c r="Z36" s="13">
        <v>14</v>
      </c>
      <c r="AA36" s="75">
        <v>46059</v>
      </c>
      <c r="AB36" s="75">
        <f t="shared" si="18"/>
        <v>45920</v>
      </c>
      <c r="AC36" s="88">
        <f t="shared" si="19"/>
        <v>19.857142857142858</v>
      </c>
      <c r="AD36" s="89" t="str">
        <f t="shared" ca="1" si="20"/>
        <v>STABLE</v>
      </c>
      <c r="AE36" s="89" t="str">
        <f t="shared" si="21"/>
        <v>FAST SELLING</v>
      </c>
      <c r="AF36" s="89" t="str">
        <f t="shared" si="22"/>
        <v>AT RISK</v>
      </c>
      <c r="AG36" s="89" t="str">
        <f t="shared" si="23"/>
        <v>FEASIBLE</v>
      </c>
      <c r="AH36" s="81" t="str">
        <f t="shared" ca="1" si="24"/>
        <v>MONITOR</v>
      </c>
      <c r="AI36" s="75">
        <f t="shared" ca="1" si="25"/>
        <v>0</v>
      </c>
      <c r="AJ36" s="75">
        <f t="shared" ca="1" si="26"/>
        <v>-1538</v>
      </c>
      <c r="AK36" s="13">
        <f t="shared" ca="1" si="56"/>
        <v>-1846</v>
      </c>
      <c r="AL36" s="79">
        <v>0.1</v>
      </c>
      <c r="AM36" s="79">
        <v>0.3</v>
      </c>
      <c r="AN36" s="79">
        <v>0.3</v>
      </c>
      <c r="AO36" s="79">
        <v>0.1</v>
      </c>
      <c r="AP36" s="79">
        <v>0.1</v>
      </c>
      <c r="AQ36" s="75">
        <f t="shared" si="28"/>
        <v>153.80000000000001</v>
      </c>
      <c r="AR36" s="75">
        <f t="shared" si="29"/>
        <v>461.4</v>
      </c>
      <c r="AS36" s="75">
        <f t="shared" si="30"/>
        <v>461.4</v>
      </c>
      <c r="AT36" s="75">
        <f t="shared" si="31"/>
        <v>153.80000000000001</v>
      </c>
      <c r="AU36" s="75">
        <f t="shared" si="62"/>
        <v>153.80000000000001</v>
      </c>
      <c r="AV36" s="13">
        <v>0.8</v>
      </c>
      <c r="AW36" s="13">
        <v>1.2</v>
      </c>
      <c r="AX36" s="13">
        <v>1.3</v>
      </c>
      <c r="AY36" s="13">
        <v>1</v>
      </c>
      <c r="AZ36" s="13">
        <v>0.7</v>
      </c>
      <c r="BA36" s="105">
        <f t="shared" si="33"/>
        <v>9.24</v>
      </c>
      <c r="BB36" s="13">
        <f t="shared" si="34"/>
        <v>41.58</v>
      </c>
      <c r="BC36" s="13">
        <f t="shared" si="35"/>
        <v>45.045000000000002</v>
      </c>
      <c r="BD36" s="13">
        <f t="shared" si="36"/>
        <v>11.55</v>
      </c>
      <c r="BE36" s="13">
        <f t="shared" si="37"/>
        <v>8.0850000000000009</v>
      </c>
      <c r="BF36" s="88">
        <f t="shared" si="38"/>
        <v>16.645021645021647</v>
      </c>
      <c r="BG36" s="88">
        <f t="shared" si="39"/>
        <v>11.096681096681097</v>
      </c>
      <c r="BH36" s="88">
        <f t="shared" si="40"/>
        <v>10.243090243090242</v>
      </c>
      <c r="BI36" s="88">
        <f t="shared" si="41"/>
        <v>13.316017316017316</v>
      </c>
      <c r="BJ36" s="88">
        <f t="shared" si="42"/>
        <v>19.022881880024737</v>
      </c>
      <c r="BK36" s="105">
        <f t="shared" si="43"/>
        <v>6.0078023407022098E-2</v>
      </c>
      <c r="BL36" s="105">
        <f t="shared" si="44"/>
        <v>9.011703511053315E-2</v>
      </c>
      <c r="BM36" s="105">
        <f t="shared" si="60"/>
        <v>9.7626788036410936E-2</v>
      </c>
      <c r="BN36" s="105">
        <f t="shared" si="58"/>
        <v>7.5097529258777634E-2</v>
      </c>
      <c r="BO36" s="105">
        <f t="shared" si="61"/>
        <v>5.256827048114434E-2</v>
      </c>
      <c r="BP36" s="105">
        <f t="shared" si="48"/>
        <v>0.37548764629388809</v>
      </c>
      <c r="BQ36" s="79">
        <f t="shared" si="49"/>
        <v>0.16</v>
      </c>
      <c r="BR36" s="79">
        <f t="shared" si="50"/>
        <v>0.24000000000000002</v>
      </c>
      <c r="BS36" s="79">
        <f t="shared" si="51"/>
        <v>0.26000000000000006</v>
      </c>
      <c r="BT36" s="79">
        <f t="shared" si="52"/>
        <v>0.20000000000000004</v>
      </c>
      <c r="BU36" s="79">
        <f t="shared" si="53"/>
        <v>0.14000000000000001</v>
      </c>
      <c r="BV36" s="90" t="str">
        <f t="array" aca="1" ref="BV36" ca="1">_xlfn.TEXTJOIN(" ",TRUE,
_xlfn.TEXTJOIN(":",TRUE,ROUND(BK36:BO36/MIN(IF(BK36:BO36&gt;0,BK36:BO36)),0)),
"|",
ROUND(SUM(BW36:CA36),0))</f>
        <v>1:2:2:1:1 | -1846</v>
      </c>
      <c r="BW36" s="106">
        <f t="shared" ca="1" si="57"/>
        <v>-295.36</v>
      </c>
      <c r="BX36" s="106">
        <f t="shared" ca="1" si="1"/>
        <v>-443.04</v>
      </c>
      <c r="BY36" s="106">
        <f t="shared" ca="1" si="2"/>
        <v>-479.96000000000009</v>
      </c>
      <c r="BZ36" s="106">
        <f t="shared" ca="1" si="3"/>
        <v>-369.20000000000005</v>
      </c>
      <c r="CA36" s="106">
        <f t="shared" ca="1" si="59"/>
        <v>-258.44</v>
      </c>
    </row>
    <row r="37" spans="1:79" x14ac:dyDescent="0.35">
      <c r="A37" s="25" t="s">
        <v>51</v>
      </c>
      <c r="B37" s="10" t="s">
        <v>320</v>
      </c>
      <c r="C37" s="10" t="s">
        <v>341</v>
      </c>
      <c r="D37" s="10" t="s">
        <v>346</v>
      </c>
      <c r="E37" s="11">
        <v>45878</v>
      </c>
      <c r="F37" s="17">
        <v>45892</v>
      </c>
      <c r="G37" s="14">
        <f t="shared" ca="1" si="4"/>
        <v>207</v>
      </c>
      <c r="H37" s="17">
        <v>399</v>
      </c>
      <c r="I37" s="17">
        <v>265</v>
      </c>
      <c r="J37" s="75">
        <f t="shared" si="5"/>
        <v>1907</v>
      </c>
      <c r="K37" s="17">
        <v>2000</v>
      </c>
      <c r="L37" s="85">
        <v>93</v>
      </c>
      <c r="M37" s="86">
        <f t="shared" ca="1" si="6"/>
        <v>0.44927536231884058</v>
      </c>
      <c r="N37" s="86">
        <f t="shared" si="7"/>
        <v>0.92883099285538351</v>
      </c>
      <c r="O37" s="86">
        <f t="shared" si="8"/>
        <v>0.28353658536585363</v>
      </c>
      <c r="P37" s="87">
        <f t="shared" si="9"/>
        <v>23.249999999999996</v>
      </c>
      <c r="Q37" s="104">
        <f t="shared" si="10"/>
        <v>82.021505376344095</v>
      </c>
      <c r="R37" s="88">
        <f t="shared" si="11"/>
        <v>33.583959899749374</v>
      </c>
      <c r="S37" s="88">
        <f t="shared" si="12"/>
        <v>4.6500000000000004</v>
      </c>
      <c r="T37" s="13">
        <f t="shared" si="13"/>
        <v>1</v>
      </c>
      <c r="U37" s="13">
        <f t="shared" si="0"/>
        <v>1</v>
      </c>
      <c r="V37" s="13">
        <f t="shared" si="14"/>
        <v>1</v>
      </c>
      <c r="W37" s="13">
        <f t="shared" ca="1" si="15"/>
        <v>3</v>
      </c>
      <c r="X37" s="13">
        <f t="shared" ca="1" si="16"/>
        <v>6</v>
      </c>
      <c r="Y37" s="81" t="str">
        <f t="shared" ca="1" si="17"/>
        <v>MONITOR</v>
      </c>
      <c r="Z37" s="13">
        <v>14</v>
      </c>
      <c r="AA37" s="75">
        <v>46059</v>
      </c>
      <c r="AB37" s="75">
        <f t="shared" si="18"/>
        <v>45920</v>
      </c>
      <c r="AC37" s="88">
        <f t="shared" si="19"/>
        <v>19.857142857142858</v>
      </c>
      <c r="AD37" s="89" t="str">
        <f t="shared" ca="1" si="20"/>
        <v>STABLE</v>
      </c>
      <c r="AE37" s="89" t="str">
        <f t="shared" si="21"/>
        <v>SLOW SELLING</v>
      </c>
      <c r="AF37" s="89" t="str">
        <f t="shared" si="22"/>
        <v>AT RISK</v>
      </c>
      <c r="AG37" s="89" t="str">
        <f t="shared" si="23"/>
        <v>FEASIBLE</v>
      </c>
      <c r="AH37" s="81" t="str">
        <f t="shared" ca="1" si="24"/>
        <v>MONITOR</v>
      </c>
      <c r="AI37" s="75">
        <f t="shared" ca="1" si="25"/>
        <v>0</v>
      </c>
      <c r="AJ37" s="75">
        <f t="shared" ca="1" si="26"/>
        <v>-1907</v>
      </c>
      <c r="AK37" s="13">
        <f t="shared" ca="1" si="56"/>
        <v>-2288</v>
      </c>
      <c r="AL37" s="79">
        <v>0.1</v>
      </c>
      <c r="AM37" s="79">
        <v>0.3</v>
      </c>
      <c r="AN37" s="79">
        <v>0.3</v>
      </c>
      <c r="AO37" s="79">
        <v>0.1</v>
      </c>
      <c r="AP37" s="79">
        <v>0.1</v>
      </c>
      <c r="AQ37" s="75">
        <f t="shared" si="28"/>
        <v>190.70000000000002</v>
      </c>
      <c r="AR37" s="75">
        <f t="shared" si="29"/>
        <v>572.1</v>
      </c>
      <c r="AS37" s="75">
        <f t="shared" si="30"/>
        <v>572.1</v>
      </c>
      <c r="AT37" s="75">
        <f t="shared" si="31"/>
        <v>190.70000000000002</v>
      </c>
      <c r="AU37" s="75">
        <f t="shared" si="62"/>
        <v>190.70000000000002</v>
      </c>
      <c r="AV37" s="13">
        <v>0.8</v>
      </c>
      <c r="AW37" s="13">
        <v>1.2</v>
      </c>
      <c r="AX37" s="13">
        <v>1.3</v>
      </c>
      <c r="AY37" s="13">
        <v>1</v>
      </c>
      <c r="AZ37" s="13">
        <v>0.7</v>
      </c>
      <c r="BA37" s="105">
        <f t="shared" si="33"/>
        <v>1.8599999999999999</v>
      </c>
      <c r="BB37" s="13">
        <f t="shared" si="34"/>
        <v>8.3699999999999974</v>
      </c>
      <c r="BC37" s="13">
        <f t="shared" si="35"/>
        <v>9.067499999999999</v>
      </c>
      <c r="BD37" s="13">
        <f t="shared" si="36"/>
        <v>2.3249999999999997</v>
      </c>
      <c r="BE37" s="13">
        <f t="shared" si="37"/>
        <v>1.6274999999999997</v>
      </c>
      <c r="BF37" s="88">
        <f t="shared" si="38"/>
        <v>102.52688172043013</v>
      </c>
      <c r="BG37" s="88">
        <f t="shared" si="39"/>
        <v>68.351254480286755</v>
      </c>
      <c r="BH37" s="88">
        <f t="shared" si="40"/>
        <v>63.093465674110845</v>
      </c>
      <c r="BI37" s="88">
        <f t="shared" si="41"/>
        <v>82.021505376344109</v>
      </c>
      <c r="BJ37" s="88">
        <f t="shared" si="42"/>
        <v>117.17357910906301</v>
      </c>
      <c r="BK37" s="105">
        <f t="shared" si="43"/>
        <v>9.7535395909805964E-3</v>
      </c>
      <c r="BL37" s="105">
        <f t="shared" si="44"/>
        <v>1.4630309386470893E-2</v>
      </c>
      <c r="BM37" s="105">
        <f t="shared" si="60"/>
        <v>1.584950183534347E-2</v>
      </c>
      <c r="BN37" s="105">
        <f t="shared" si="58"/>
        <v>1.2191924488725744E-2</v>
      </c>
      <c r="BO37" s="105">
        <f t="shared" si="61"/>
        <v>8.534347142108021E-3</v>
      </c>
      <c r="BP37" s="105">
        <f t="shared" si="48"/>
        <v>6.0959622443628722E-2</v>
      </c>
      <c r="BQ37" s="79">
        <f t="shared" si="49"/>
        <v>0.16</v>
      </c>
      <c r="BR37" s="79">
        <f t="shared" si="50"/>
        <v>0.24</v>
      </c>
      <c r="BS37" s="79">
        <f t="shared" si="51"/>
        <v>0.26</v>
      </c>
      <c r="BT37" s="79">
        <f t="shared" si="52"/>
        <v>0.19999999999999998</v>
      </c>
      <c r="BU37" s="79">
        <f t="shared" si="53"/>
        <v>0.13999999999999999</v>
      </c>
      <c r="BV37" s="90" t="str">
        <f t="array" aca="1" ref="BV37" ca="1">_xlfn.TEXTJOIN(" ",TRUE,
_xlfn.TEXTJOIN(":",TRUE,ROUND(BK37:BO37/MIN(IF(BK37:BO37&gt;0,BK37:BO37)),0)),
"|",
ROUND(SUM(BW37:CA37),0))</f>
        <v>1:2:2:1:1 | -2288</v>
      </c>
      <c r="BW37" s="106">
        <f t="shared" ca="1" si="57"/>
        <v>-366.08</v>
      </c>
      <c r="BX37" s="106">
        <f t="shared" ca="1" si="1"/>
        <v>-549.12</v>
      </c>
      <c r="BY37" s="106">
        <f t="shared" ca="1" si="2"/>
        <v>-594.88</v>
      </c>
      <c r="BZ37" s="106">
        <f t="shared" ca="1" si="3"/>
        <v>-457.59999999999997</v>
      </c>
      <c r="CA37" s="106">
        <f t="shared" ca="1" si="59"/>
        <v>-320.32</v>
      </c>
    </row>
    <row r="38" spans="1:79" x14ac:dyDescent="0.35">
      <c r="A38" s="25" t="s">
        <v>52</v>
      </c>
      <c r="B38" s="10" t="s">
        <v>320</v>
      </c>
      <c r="C38" s="10" t="s">
        <v>341</v>
      </c>
      <c r="D38" s="10" t="s">
        <v>346</v>
      </c>
      <c r="E38" s="11">
        <v>45906</v>
      </c>
      <c r="F38" s="17">
        <v>45892</v>
      </c>
      <c r="G38" s="14">
        <f t="shared" ca="1" si="4"/>
        <v>207</v>
      </c>
      <c r="H38" s="17">
        <v>399</v>
      </c>
      <c r="I38" s="17">
        <v>265</v>
      </c>
      <c r="J38" s="75">
        <f t="shared" si="5"/>
        <v>1542</v>
      </c>
      <c r="K38" s="17">
        <v>2200</v>
      </c>
      <c r="L38" s="85">
        <v>658</v>
      </c>
      <c r="M38" s="86">
        <f t="shared" ca="1" si="6"/>
        <v>3.1787439613526569</v>
      </c>
      <c r="N38" s="86">
        <f t="shared" si="7"/>
        <v>0.92883099285538351</v>
      </c>
      <c r="O38" s="86">
        <f t="shared" si="8"/>
        <v>2.0060975609756095</v>
      </c>
      <c r="P38" s="87">
        <f t="shared" si="9"/>
        <v>164.49999999999997</v>
      </c>
      <c r="Q38" s="104">
        <f t="shared" si="10"/>
        <v>9.373860182370823</v>
      </c>
      <c r="R38" s="88">
        <f t="shared" si="11"/>
        <v>33.583959899749374</v>
      </c>
      <c r="S38" s="88">
        <f t="shared" si="12"/>
        <v>29.909090909090907</v>
      </c>
      <c r="T38" s="13">
        <f t="shared" si="13"/>
        <v>3</v>
      </c>
      <c r="U38" s="13">
        <f t="shared" si="0"/>
        <v>1</v>
      </c>
      <c r="V38" s="13">
        <f t="shared" si="14"/>
        <v>1</v>
      </c>
      <c r="W38" s="13">
        <f t="shared" ca="1" si="15"/>
        <v>3</v>
      </c>
      <c r="X38" s="13">
        <f t="shared" ca="1" si="16"/>
        <v>8</v>
      </c>
      <c r="Y38" s="81" t="str">
        <f t="shared" ca="1" si="17"/>
        <v>MONITOR</v>
      </c>
      <c r="Z38" s="13">
        <v>14</v>
      </c>
      <c r="AA38" s="75">
        <v>46059</v>
      </c>
      <c r="AB38" s="75">
        <f t="shared" si="18"/>
        <v>45920</v>
      </c>
      <c r="AC38" s="88">
        <f t="shared" si="19"/>
        <v>19.857142857142858</v>
      </c>
      <c r="AD38" s="89" t="str">
        <f t="shared" ca="1" si="20"/>
        <v>STABLE</v>
      </c>
      <c r="AE38" s="89" t="str">
        <f t="shared" si="21"/>
        <v>FAST SELLING</v>
      </c>
      <c r="AF38" s="89" t="str">
        <f t="shared" si="22"/>
        <v>AT RISK</v>
      </c>
      <c r="AG38" s="89" t="str">
        <f t="shared" si="23"/>
        <v>FEASIBLE</v>
      </c>
      <c r="AH38" s="81" t="str">
        <f t="shared" ca="1" si="24"/>
        <v>MONITOR</v>
      </c>
      <c r="AI38" s="75">
        <f t="shared" ca="1" si="25"/>
        <v>0</v>
      </c>
      <c r="AJ38" s="75">
        <f t="shared" ca="1" si="26"/>
        <v>-1542</v>
      </c>
      <c r="AK38" s="13">
        <f t="shared" ca="1" si="56"/>
        <v>-1850</v>
      </c>
      <c r="AL38" s="79">
        <v>0.1</v>
      </c>
      <c r="AM38" s="79">
        <v>0.3</v>
      </c>
      <c r="AN38" s="79">
        <v>0.3</v>
      </c>
      <c r="AO38" s="79">
        <v>0.1</v>
      </c>
      <c r="AP38" s="79">
        <v>0.1</v>
      </c>
      <c r="AQ38" s="75">
        <f t="shared" si="28"/>
        <v>154.20000000000002</v>
      </c>
      <c r="AR38" s="75">
        <f t="shared" si="29"/>
        <v>462.59999999999997</v>
      </c>
      <c r="AS38" s="75">
        <f t="shared" si="30"/>
        <v>462.59999999999997</v>
      </c>
      <c r="AT38" s="75">
        <f t="shared" si="31"/>
        <v>154.20000000000002</v>
      </c>
      <c r="AU38" s="75">
        <f t="shared" si="62"/>
        <v>154.20000000000002</v>
      </c>
      <c r="AV38" s="13">
        <v>0.8</v>
      </c>
      <c r="AW38" s="13">
        <v>1.2</v>
      </c>
      <c r="AX38" s="13">
        <v>1.3</v>
      </c>
      <c r="AY38" s="13">
        <v>1</v>
      </c>
      <c r="AZ38" s="13">
        <v>0.7</v>
      </c>
      <c r="BA38" s="105">
        <f t="shared" si="33"/>
        <v>13.16</v>
      </c>
      <c r="BB38" s="13">
        <f t="shared" si="34"/>
        <v>59.219999999999985</v>
      </c>
      <c r="BC38" s="13">
        <f t="shared" si="35"/>
        <v>64.154999999999987</v>
      </c>
      <c r="BD38" s="13">
        <f t="shared" si="36"/>
        <v>16.45</v>
      </c>
      <c r="BE38" s="13">
        <f t="shared" si="37"/>
        <v>11.514999999999999</v>
      </c>
      <c r="BF38" s="88">
        <f t="shared" si="38"/>
        <v>11.717325227963528</v>
      </c>
      <c r="BG38" s="88">
        <f t="shared" si="39"/>
        <v>7.8115501519756849</v>
      </c>
      <c r="BH38" s="88">
        <f t="shared" si="40"/>
        <v>7.2106616787467859</v>
      </c>
      <c r="BI38" s="88">
        <f t="shared" si="41"/>
        <v>9.373860182370823</v>
      </c>
      <c r="BJ38" s="88">
        <f t="shared" si="42"/>
        <v>13.391228831958317</v>
      </c>
      <c r="BK38" s="105">
        <f t="shared" si="43"/>
        <v>8.5343709468223075E-2</v>
      </c>
      <c r="BL38" s="105">
        <f t="shared" si="44"/>
        <v>0.12801556420233462</v>
      </c>
      <c r="BM38" s="105">
        <f t="shared" si="60"/>
        <v>0.1386835278858625</v>
      </c>
      <c r="BN38" s="105">
        <f t="shared" si="58"/>
        <v>0.10667963683527883</v>
      </c>
      <c r="BO38" s="105">
        <f t="shared" si="61"/>
        <v>7.4675745784695186E-2</v>
      </c>
      <c r="BP38" s="105">
        <f t="shared" si="48"/>
        <v>0.53339818417639417</v>
      </c>
      <c r="BQ38" s="79">
        <f t="shared" si="49"/>
        <v>0.16</v>
      </c>
      <c r="BR38" s="79">
        <f t="shared" si="50"/>
        <v>0.24000000000000005</v>
      </c>
      <c r="BS38" s="79">
        <f t="shared" si="51"/>
        <v>0.26</v>
      </c>
      <c r="BT38" s="79">
        <f t="shared" si="52"/>
        <v>0.19999999999999998</v>
      </c>
      <c r="BU38" s="79">
        <f t="shared" si="53"/>
        <v>0.14000000000000001</v>
      </c>
      <c r="BV38" s="90" t="str">
        <f t="array" aca="1" ref="BV38" ca="1">_xlfn.TEXTJOIN(" ",TRUE,
_xlfn.TEXTJOIN(":",TRUE,ROUND(BK38:BO38/MIN(IF(BK38:BO38&gt;0,BK38:BO38)),0)),
"|",
ROUND(SUM(BW38:CA38),0))</f>
        <v>1:2:2:1:1 | -1850</v>
      </c>
      <c r="BW38" s="106">
        <f t="shared" ca="1" si="57"/>
        <v>-296</v>
      </c>
      <c r="BX38" s="106">
        <f t="shared" ca="1" si="1"/>
        <v>-444.00000000000011</v>
      </c>
      <c r="BY38" s="106">
        <f t="shared" ca="1" si="2"/>
        <v>-481</v>
      </c>
      <c r="BZ38" s="106">
        <f t="shared" ca="1" si="3"/>
        <v>-369.99999999999994</v>
      </c>
      <c r="CA38" s="106">
        <f t="shared" ca="1" si="59"/>
        <v>-259</v>
      </c>
    </row>
    <row r="39" spans="1:79" x14ac:dyDescent="0.35">
      <c r="A39" s="25" t="s">
        <v>53</v>
      </c>
      <c r="B39" s="10" t="s">
        <v>320</v>
      </c>
      <c r="C39" s="10" t="s">
        <v>341</v>
      </c>
      <c r="D39" s="10" t="s">
        <v>346</v>
      </c>
      <c r="E39" s="11">
        <v>45906</v>
      </c>
      <c r="F39" s="17">
        <v>45892</v>
      </c>
      <c r="G39" s="14">
        <f t="shared" ca="1" si="4"/>
        <v>207</v>
      </c>
      <c r="H39" s="17">
        <v>399</v>
      </c>
      <c r="I39" s="17">
        <v>265</v>
      </c>
      <c r="J39" s="75">
        <f t="shared" si="5"/>
        <v>966</v>
      </c>
      <c r="K39" s="17">
        <v>2000</v>
      </c>
      <c r="L39" s="85">
        <v>1034</v>
      </c>
      <c r="M39" s="86">
        <f t="shared" ca="1" si="6"/>
        <v>4.9951690821256038</v>
      </c>
      <c r="N39" s="86">
        <f t="shared" si="7"/>
        <v>0.92883099285538351</v>
      </c>
      <c r="O39" s="86">
        <f t="shared" si="8"/>
        <v>3.1524390243902438</v>
      </c>
      <c r="P39" s="87">
        <f t="shared" si="9"/>
        <v>258.5</v>
      </c>
      <c r="Q39" s="104">
        <f t="shared" si="10"/>
        <v>3.736943907156673</v>
      </c>
      <c r="R39" s="88">
        <f t="shared" si="11"/>
        <v>33.583959899749374</v>
      </c>
      <c r="S39" s="88">
        <f t="shared" si="12"/>
        <v>51.7</v>
      </c>
      <c r="T39" s="13">
        <f t="shared" si="13"/>
        <v>3</v>
      </c>
      <c r="U39" s="13">
        <f t="shared" si="0"/>
        <v>3</v>
      </c>
      <c r="V39" s="13">
        <f t="shared" si="14"/>
        <v>1</v>
      </c>
      <c r="W39" s="13">
        <f t="shared" ca="1" si="15"/>
        <v>3</v>
      </c>
      <c r="X39" s="13">
        <f t="shared" ca="1" si="16"/>
        <v>10</v>
      </c>
      <c r="Y39" s="81" t="str">
        <f t="shared" ca="1" si="17"/>
        <v>RE-BUY</v>
      </c>
      <c r="Z39" s="13">
        <v>14</v>
      </c>
      <c r="AA39" s="75">
        <v>46059</v>
      </c>
      <c r="AB39" s="75">
        <f t="shared" si="18"/>
        <v>45920</v>
      </c>
      <c r="AC39" s="88">
        <f t="shared" si="19"/>
        <v>19.857142857142858</v>
      </c>
      <c r="AD39" s="89" t="str">
        <f t="shared" ca="1" si="20"/>
        <v>STABLE</v>
      </c>
      <c r="AE39" s="89" t="str">
        <f t="shared" si="21"/>
        <v>FAST SELLING</v>
      </c>
      <c r="AF39" s="89" t="str">
        <f t="shared" si="22"/>
        <v>AT RISK</v>
      </c>
      <c r="AG39" s="89" t="str">
        <f t="shared" si="23"/>
        <v>FEASIBLE</v>
      </c>
      <c r="AH39" s="81" t="str">
        <f t="shared" ca="1" si="24"/>
        <v>IMMEDIATE REBUY</v>
      </c>
      <c r="AI39" s="75">
        <f t="shared" ca="1" si="25"/>
        <v>3079.8428571428572</v>
      </c>
      <c r="AJ39" s="75">
        <f t="shared" ca="1" si="26"/>
        <v>2113.8428571428572</v>
      </c>
      <c r="AK39" s="13">
        <f t="shared" ca="1" si="56"/>
        <v>2537</v>
      </c>
      <c r="AL39" s="79">
        <v>0.1</v>
      </c>
      <c r="AM39" s="79">
        <v>0.3</v>
      </c>
      <c r="AN39" s="79">
        <v>0.3</v>
      </c>
      <c r="AO39" s="79">
        <v>0.1</v>
      </c>
      <c r="AP39" s="79">
        <v>0.1</v>
      </c>
      <c r="AQ39" s="75">
        <f t="shared" si="28"/>
        <v>96.600000000000009</v>
      </c>
      <c r="AR39" s="75">
        <f t="shared" si="29"/>
        <v>289.8</v>
      </c>
      <c r="AS39" s="75">
        <f t="shared" si="30"/>
        <v>289.8</v>
      </c>
      <c r="AT39" s="75">
        <f t="shared" si="31"/>
        <v>96.600000000000009</v>
      </c>
      <c r="AU39" s="75">
        <f t="shared" si="62"/>
        <v>96.600000000000009</v>
      </c>
      <c r="AV39" s="13">
        <v>0.8</v>
      </c>
      <c r="AW39" s="13">
        <v>1.2</v>
      </c>
      <c r="AX39" s="13">
        <v>1.3</v>
      </c>
      <c r="AY39" s="13">
        <v>1</v>
      </c>
      <c r="AZ39" s="13">
        <v>0.7</v>
      </c>
      <c r="BA39" s="105">
        <f t="shared" si="33"/>
        <v>20.680000000000003</v>
      </c>
      <c r="BB39" s="13">
        <f t="shared" si="34"/>
        <v>93.059999999999988</v>
      </c>
      <c r="BC39" s="13">
        <f t="shared" si="35"/>
        <v>100.815</v>
      </c>
      <c r="BD39" s="13">
        <f t="shared" si="36"/>
        <v>25.85</v>
      </c>
      <c r="BE39" s="13">
        <f t="shared" si="37"/>
        <v>18.094999999999999</v>
      </c>
      <c r="BF39" s="88">
        <f t="shared" si="38"/>
        <v>4.6711798839458414</v>
      </c>
      <c r="BG39" s="88">
        <f t="shared" si="39"/>
        <v>3.1141199226305614</v>
      </c>
      <c r="BH39" s="88">
        <f t="shared" si="40"/>
        <v>2.8745722362743642</v>
      </c>
      <c r="BI39" s="88">
        <f t="shared" si="41"/>
        <v>3.736943907156673</v>
      </c>
      <c r="BJ39" s="88">
        <f t="shared" si="42"/>
        <v>5.3384912959381055</v>
      </c>
      <c r="BK39" s="105">
        <f t="shared" si="43"/>
        <v>0.21407867494824018</v>
      </c>
      <c r="BL39" s="105">
        <f t="shared" si="44"/>
        <v>0.32111801242236021</v>
      </c>
      <c r="BM39" s="105">
        <f t="shared" si="60"/>
        <v>0.34787784679089023</v>
      </c>
      <c r="BN39" s="105">
        <f t="shared" si="58"/>
        <v>0.26759834368530022</v>
      </c>
      <c r="BO39" s="105">
        <f t="shared" si="61"/>
        <v>0.1873188405797101</v>
      </c>
      <c r="BP39" s="105">
        <f t="shared" si="48"/>
        <v>1.3379917184265011</v>
      </c>
      <c r="BQ39" s="79">
        <f t="shared" si="49"/>
        <v>0.16</v>
      </c>
      <c r="BR39" s="79">
        <f t="shared" si="50"/>
        <v>0.23999999999999996</v>
      </c>
      <c r="BS39" s="79">
        <f t="shared" si="51"/>
        <v>0.25999999999999995</v>
      </c>
      <c r="BT39" s="79">
        <f t="shared" si="52"/>
        <v>0.2</v>
      </c>
      <c r="BU39" s="79">
        <f t="shared" si="53"/>
        <v>0.13999999999999996</v>
      </c>
      <c r="BV39" s="90" t="str">
        <f t="array" aca="1" ref="BV39" ca="1">_xlfn.TEXTJOIN(" ",TRUE,
_xlfn.TEXTJOIN(":",TRUE,ROUND(BK39:BO39/MIN(IF(BK39:BO39&gt;0,BK39:BO39)),0)),
"|",
ROUND(SUM(BW39:CA39),0))</f>
        <v>1:2:2:1:1 | 2537</v>
      </c>
      <c r="BW39" s="106">
        <f t="shared" ca="1" si="57"/>
        <v>405.92</v>
      </c>
      <c r="BX39" s="106">
        <f t="shared" ca="1" si="1"/>
        <v>608.87999999999988</v>
      </c>
      <c r="BY39" s="106">
        <f t="shared" ca="1" si="2"/>
        <v>659.61999999999989</v>
      </c>
      <c r="BZ39" s="106">
        <f t="shared" ca="1" si="3"/>
        <v>507.40000000000003</v>
      </c>
      <c r="CA39" s="106">
        <f t="shared" ca="1" si="59"/>
        <v>355.17999999999989</v>
      </c>
    </row>
    <row r="40" spans="1:79" x14ac:dyDescent="0.35">
      <c r="A40" s="25" t="s">
        <v>54</v>
      </c>
      <c r="B40" s="10" t="s">
        <v>320</v>
      </c>
      <c r="C40" s="10" t="s">
        <v>341</v>
      </c>
      <c r="D40" s="10" t="s">
        <v>346</v>
      </c>
      <c r="E40" s="11">
        <v>45906</v>
      </c>
      <c r="F40" s="17">
        <v>45892</v>
      </c>
      <c r="G40" s="14">
        <f t="shared" ca="1" si="4"/>
        <v>207</v>
      </c>
      <c r="H40" s="17">
        <v>399</v>
      </c>
      <c r="I40" s="17">
        <v>265</v>
      </c>
      <c r="J40" s="75">
        <f t="shared" si="5"/>
        <v>1426</v>
      </c>
      <c r="K40" s="17">
        <v>2200</v>
      </c>
      <c r="L40" s="85">
        <v>774</v>
      </c>
      <c r="M40" s="86">
        <f t="shared" ca="1" si="6"/>
        <v>3.7391304347826089</v>
      </c>
      <c r="N40" s="86">
        <f t="shared" si="7"/>
        <v>0.92883099285538351</v>
      </c>
      <c r="O40" s="86">
        <f t="shared" si="8"/>
        <v>2.3597560975609757</v>
      </c>
      <c r="P40" s="87">
        <f t="shared" si="9"/>
        <v>193.5</v>
      </c>
      <c r="Q40" s="104">
        <f t="shared" si="10"/>
        <v>7.3695090439276489</v>
      </c>
      <c r="R40" s="88">
        <f t="shared" si="11"/>
        <v>33.583959899749374</v>
      </c>
      <c r="S40" s="88">
        <f t="shared" si="12"/>
        <v>35.18181818181818</v>
      </c>
      <c r="T40" s="13">
        <f t="shared" si="13"/>
        <v>3</v>
      </c>
      <c r="U40" s="13">
        <f t="shared" si="0"/>
        <v>1</v>
      </c>
      <c r="V40" s="13">
        <f t="shared" si="14"/>
        <v>1</v>
      </c>
      <c r="W40" s="13">
        <f t="shared" ca="1" si="15"/>
        <v>3</v>
      </c>
      <c r="X40" s="13">
        <f t="shared" ca="1" si="16"/>
        <v>8</v>
      </c>
      <c r="Y40" s="81" t="str">
        <f t="shared" ca="1" si="17"/>
        <v>MONITOR</v>
      </c>
      <c r="Z40" s="13">
        <v>14</v>
      </c>
      <c r="AA40" s="75">
        <v>46059</v>
      </c>
      <c r="AB40" s="75">
        <f t="shared" si="18"/>
        <v>45920</v>
      </c>
      <c r="AC40" s="88">
        <f t="shared" si="19"/>
        <v>19.857142857142858</v>
      </c>
      <c r="AD40" s="89" t="str">
        <f t="shared" ca="1" si="20"/>
        <v>STABLE</v>
      </c>
      <c r="AE40" s="89" t="str">
        <f t="shared" si="21"/>
        <v>FAST SELLING</v>
      </c>
      <c r="AF40" s="89" t="str">
        <f t="shared" si="22"/>
        <v>AT RISK</v>
      </c>
      <c r="AG40" s="89" t="str">
        <f t="shared" si="23"/>
        <v>FEASIBLE</v>
      </c>
      <c r="AH40" s="81" t="str">
        <f t="shared" ca="1" si="24"/>
        <v>MONITOR</v>
      </c>
      <c r="AI40" s="75">
        <f t="shared" ca="1" si="25"/>
        <v>0</v>
      </c>
      <c r="AJ40" s="75">
        <f t="shared" ca="1" si="26"/>
        <v>-1426</v>
      </c>
      <c r="AK40" s="13">
        <f t="shared" ca="1" si="56"/>
        <v>-1711</v>
      </c>
      <c r="AL40" s="79">
        <v>0.1</v>
      </c>
      <c r="AM40" s="79">
        <v>0.3</v>
      </c>
      <c r="AN40" s="79">
        <v>0.3</v>
      </c>
      <c r="AO40" s="79">
        <v>0.1</v>
      </c>
      <c r="AP40" s="79">
        <v>0.1</v>
      </c>
      <c r="AQ40" s="75">
        <f t="shared" si="28"/>
        <v>142.6</v>
      </c>
      <c r="AR40" s="75">
        <f t="shared" si="29"/>
        <v>427.8</v>
      </c>
      <c r="AS40" s="75">
        <f t="shared" si="30"/>
        <v>427.8</v>
      </c>
      <c r="AT40" s="75">
        <f t="shared" si="31"/>
        <v>142.6</v>
      </c>
      <c r="AU40" s="75">
        <f t="shared" si="62"/>
        <v>142.6</v>
      </c>
      <c r="AV40" s="13">
        <v>0.8</v>
      </c>
      <c r="AW40" s="13">
        <v>1.2</v>
      </c>
      <c r="AX40" s="13">
        <v>1.3</v>
      </c>
      <c r="AY40" s="13">
        <v>1</v>
      </c>
      <c r="AZ40" s="13">
        <v>0.7</v>
      </c>
      <c r="BA40" s="105">
        <f t="shared" si="33"/>
        <v>15.480000000000002</v>
      </c>
      <c r="BB40" s="13">
        <f t="shared" si="34"/>
        <v>69.66</v>
      </c>
      <c r="BC40" s="13">
        <f t="shared" si="35"/>
        <v>75.465000000000003</v>
      </c>
      <c r="BD40" s="13">
        <f t="shared" si="36"/>
        <v>19.350000000000001</v>
      </c>
      <c r="BE40" s="13">
        <f t="shared" si="37"/>
        <v>13.545</v>
      </c>
      <c r="BF40" s="88">
        <f t="shared" si="38"/>
        <v>9.2118863049095587</v>
      </c>
      <c r="BG40" s="88">
        <f t="shared" si="39"/>
        <v>6.141257536606374</v>
      </c>
      <c r="BH40" s="88">
        <f t="shared" si="40"/>
        <v>5.6688531107135756</v>
      </c>
      <c r="BI40" s="88">
        <f t="shared" si="41"/>
        <v>7.3695090439276481</v>
      </c>
      <c r="BJ40" s="88">
        <f t="shared" si="42"/>
        <v>10.527870062753783</v>
      </c>
      <c r="BK40" s="105">
        <f t="shared" si="43"/>
        <v>0.10855539971949511</v>
      </c>
      <c r="BL40" s="105">
        <f t="shared" si="44"/>
        <v>0.16283309957924264</v>
      </c>
      <c r="BM40" s="105">
        <f t="shared" si="60"/>
        <v>0.17640252454417954</v>
      </c>
      <c r="BN40" s="105">
        <f t="shared" si="58"/>
        <v>0.13569424964936888</v>
      </c>
      <c r="BO40" s="105">
        <f t="shared" si="61"/>
        <v>9.4985974754558208E-2</v>
      </c>
      <c r="BP40" s="105">
        <f t="shared" si="48"/>
        <v>0.67847124824684435</v>
      </c>
      <c r="BQ40" s="79">
        <f t="shared" si="49"/>
        <v>0.16000000000000003</v>
      </c>
      <c r="BR40" s="79">
        <f t="shared" si="50"/>
        <v>0.24</v>
      </c>
      <c r="BS40" s="79">
        <f t="shared" si="51"/>
        <v>0.26</v>
      </c>
      <c r="BT40" s="79">
        <f t="shared" si="52"/>
        <v>0.2</v>
      </c>
      <c r="BU40" s="79">
        <f t="shared" si="53"/>
        <v>0.13999999999999999</v>
      </c>
      <c r="BV40" s="90" t="str">
        <f t="array" aca="1" ref="BV40" ca="1">_xlfn.TEXTJOIN(" ",TRUE,
_xlfn.TEXTJOIN(":",TRUE,ROUND(BK40:BO40/MIN(IF(BK40:BO40&gt;0,BK40:BO40)),0)),
"|",
ROUND(SUM(BW40:CA40),0))</f>
        <v>1:2:2:1:1 | -1711</v>
      </c>
      <c r="BW40" s="106">
        <f t="shared" ca="1" si="57"/>
        <v>-273.76000000000005</v>
      </c>
      <c r="BX40" s="106">
        <f t="shared" ca="1" si="1"/>
        <v>-410.64</v>
      </c>
      <c r="BY40" s="106">
        <f t="shared" ca="1" si="2"/>
        <v>-444.86</v>
      </c>
      <c r="BZ40" s="106">
        <f t="shared" ca="1" si="3"/>
        <v>-342.20000000000005</v>
      </c>
      <c r="CA40" s="106">
        <f t="shared" ca="1" si="59"/>
        <v>-239.53999999999996</v>
      </c>
    </row>
    <row r="41" spans="1:79" x14ac:dyDescent="0.35">
      <c r="A41" s="25" t="s">
        <v>55</v>
      </c>
      <c r="B41" s="10" t="s">
        <v>320</v>
      </c>
      <c r="C41" s="10" t="s">
        <v>341</v>
      </c>
      <c r="D41" s="10" t="s">
        <v>346</v>
      </c>
      <c r="E41" s="11">
        <v>45906</v>
      </c>
      <c r="F41" s="17">
        <v>45892</v>
      </c>
      <c r="G41" s="14">
        <f t="shared" ca="1" si="4"/>
        <v>207</v>
      </c>
      <c r="H41" s="17">
        <v>399</v>
      </c>
      <c r="I41" s="17">
        <v>265</v>
      </c>
      <c r="J41" s="75">
        <f t="shared" si="5"/>
        <v>1606</v>
      </c>
      <c r="K41" s="17">
        <v>2200</v>
      </c>
      <c r="L41" s="85">
        <v>594</v>
      </c>
      <c r="M41" s="86">
        <f t="shared" ca="1" si="6"/>
        <v>2.8695652173913042</v>
      </c>
      <c r="N41" s="86">
        <f t="shared" si="7"/>
        <v>0.92883099285538351</v>
      </c>
      <c r="O41" s="86">
        <f t="shared" si="8"/>
        <v>1.8109756097560976</v>
      </c>
      <c r="P41" s="87">
        <f t="shared" si="9"/>
        <v>148.5</v>
      </c>
      <c r="Q41" s="104">
        <f t="shared" si="10"/>
        <v>10.814814814814815</v>
      </c>
      <c r="R41" s="88">
        <f t="shared" si="11"/>
        <v>33.583959899749374</v>
      </c>
      <c r="S41" s="88">
        <f t="shared" si="12"/>
        <v>27</v>
      </c>
      <c r="T41" s="13">
        <f t="shared" si="13"/>
        <v>3</v>
      </c>
      <c r="U41" s="13">
        <f t="shared" si="0"/>
        <v>1</v>
      </c>
      <c r="V41" s="13">
        <f t="shared" si="14"/>
        <v>1</v>
      </c>
      <c r="W41" s="13">
        <f t="shared" ca="1" si="15"/>
        <v>3</v>
      </c>
      <c r="X41" s="13">
        <f t="shared" ca="1" si="16"/>
        <v>8</v>
      </c>
      <c r="Y41" s="81" t="str">
        <f t="shared" ca="1" si="17"/>
        <v>MONITOR</v>
      </c>
      <c r="Z41" s="13">
        <v>14</v>
      </c>
      <c r="AA41" s="75">
        <v>46059</v>
      </c>
      <c r="AB41" s="75">
        <f t="shared" si="18"/>
        <v>45920</v>
      </c>
      <c r="AC41" s="88">
        <f t="shared" si="19"/>
        <v>19.857142857142858</v>
      </c>
      <c r="AD41" s="89" t="str">
        <f t="shared" ca="1" si="20"/>
        <v>STABLE</v>
      </c>
      <c r="AE41" s="89" t="str">
        <f t="shared" si="21"/>
        <v>FAST SELLING</v>
      </c>
      <c r="AF41" s="89" t="str">
        <f t="shared" si="22"/>
        <v>AT RISK</v>
      </c>
      <c r="AG41" s="89" t="str">
        <f t="shared" si="23"/>
        <v>FEASIBLE</v>
      </c>
      <c r="AH41" s="81" t="str">
        <f t="shared" ca="1" si="24"/>
        <v>MONITOR</v>
      </c>
      <c r="AI41" s="75">
        <f t="shared" ca="1" si="25"/>
        <v>0</v>
      </c>
      <c r="AJ41" s="75">
        <f t="shared" ca="1" si="26"/>
        <v>-1606</v>
      </c>
      <c r="AK41" s="13">
        <f t="shared" ca="1" si="56"/>
        <v>-1927</v>
      </c>
      <c r="AL41" s="79">
        <v>0.1</v>
      </c>
      <c r="AM41" s="79">
        <v>0.3</v>
      </c>
      <c r="AN41" s="79">
        <v>0.3</v>
      </c>
      <c r="AO41" s="79">
        <v>0.1</v>
      </c>
      <c r="AP41" s="79">
        <v>0.1</v>
      </c>
      <c r="AQ41" s="75">
        <f t="shared" si="28"/>
        <v>160.60000000000002</v>
      </c>
      <c r="AR41" s="75">
        <f t="shared" si="29"/>
        <v>481.79999999999995</v>
      </c>
      <c r="AS41" s="75">
        <f t="shared" si="30"/>
        <v>481.79999999999995</v>
      </c>
      <c r="AT41" s="75">
        <f t="shared" si="31"/>
        <v>160.60000000000002</v>
      </c>
      <c r="AU41" s="75">
        <f t="shared" si="62"/>
        <v>160.60000000000002</v>
      </c>
      <c r="AV41" s="13">
        <v>0.8</v>
      </c>
      <c r="AW41" s="13">
        <v>1.2</v>
      </c>
      <c r="AX41" s="13">
        <v>1.3</v>
      </c>
      <c r="AY41" s="13">
        <v>1</v>
      </c>
      <c r="AZ41" s="13">
        <v>0.7</v>
      </c>
      <c r="BA41" s="105">
        <f t="shared" si="33"/>
        <v>11.880000000000003</v>
      </c>
      <c r="BB41" s="13">
        <f t="shared" si="34"/>
        <v>53.459999999999994</v>
      </c>
      <c r="BC41" s="13">
        <f t="shared" si="35"/>
        <v>57.914999999999999</v>
      </c>
      <c r="BD41" s="13">
        <f t="shared" si="36"/>
        <v>14.850000000000001</v>
      </c>
      <c r="BE41" s="13">
        <f t="shared" si="37"/>
        <v>10.395</v>
      </c>
      <c r="BF41" s="88">
        <f t="shared" si="38"/>
        <v>13.518518518518517</v>
      </c>
      <c r="BG41" s="88">
        <f t="shared" si="39"/>
        <v>9.0123456790123466</v>
      </c>
      <c r="BH41" s="88">
        <f t="shared" si="40"/>
        <v>8.3190883190883191</v>
      </c>
      <c r="BI41" s="88">
        <f t="shared" si="41"/>
        <v>10.814814814814815</v>
      </c>
      <c r="BJ41" s="88">
        <f t="shared" si="42"/>
        <v>15.449735449735453</v>
      </c>
      <c r="BK41" s="105">
        <f t="shared" si="43"/>
        <v>7.3972602739726029E-2</v>
      </c>
      <c r="BL41" s="105">
        <f t="shared" si="44"/>
        <v>0.11095890410958903</v>
      </c>
      <c r="BM41" s="105">
        <f t="shared" si="60"/>
        <v>0.1202054794520548</v>
      </c>
      <c r="BN41" s="105">
        <f t="shared" si="58"/>
        <v>9.2465753424657529E-2</v>
      </c>
      <c r="BO41" s="105">
        <f t="shared" si="61"/>
        <v>6.4726027397260258E-2</v>
      </c>
      <c r="BP41" s="105">
        <f t="shared" si="48"/>
        <v>0.46232876712328763</v>
      </c>
      <c r="BQ41" s="79">
        <f t="shared" si="49"/>
        <v>0.16</v>
      </c>
      <c r="BR41" s="79">
        <f t="shared" si="50"/>
        <v>0.24</v>
      </c>
      <c r="BS41" s="79">
        <f t="shared" si="51"/>
        <v>0.26</v>
      </c>
      <c r="BT41" s="79">
        <f t="shared" si="52"/>
        <v>0.2</v>
      </c>
      <c r="BU41" s="79">
        <f t="shared" si="53"/>
        <v>0.13999999999999999</v>
      </c>
      <c r="BV41" s="90" t="str">
        <f t="array" aca="1" ref="BV41" ca="1">_xlfn.TEXTJOIN(" ",TRUE,
_xlfn.TEXTJOIN(":",TRUE,ROUND(BK41:BO41/MIN(IF(BK41:BO41&gt;0,BK41:BO41)),0)),
"|",
ROUND(SUM(BW41:CA41),0))</f>
        <v>1:2:2:1:1 | -1927</v>
      </c>
      <c r="BW41" s="106">
        <f t="shared" ca="1" si="57"/>
        <v>-308.32</v>
      </c>
      <c r="BX41" s="106">
        <f t="shared" ca="1" si="1"/>
        <v>-462.47999999999996</v>
      </c>
      <c r="BY41" s="106">
        <f t="shared" ca="1" si="2"/>
        <v>-501.02000000000004</v>
      </c>
      <c r="BZ41" s="106">
        <f t="shared" ca="1" si="3"/>
        <v>-385.40000000000003</v>
      </c>
      <c r="CA41" s="106">
        <f t="shared" ca="1" si="59"/>
        <v>-269.77999999999997</v>
      </c>
    </row>
    <row r="42" spans="1:79" x14ac:dyDescent="0.35">
      <c r="A42" s="25" t="s">
        <v>56</v>
      </c>
      <c r="B42" s="10" t="s">
        <v>316</v>
      </c>
      <c r="C42" s="10" t="s">
        <v>341</v>
      </c>
      <c r="D42" s="10" t="s">
        <v>346</v>
      </c>
      <c r="E42" s="11">
        <v>45850</v>
      </c>
      <c r="F42" s="17">
        <v>45892</v>
      </c>
      <c r="G42" s="14">
        <f t="shared" ca="1" si="4"/>
        <v>207</v>
      </c>
      <c r="H42" s="17">
        <v>599</v>
      </c>
      <c r="I42" s="17">
        <v>317</v>
      </c>
      <c r="J42" s="75">
        <f t="shared" si="5"/>
        <v>1245</v>
      </c>
      <c r="K42" s="17">
        <v>1300</v>
      </c>
      <c r="L42" s="85">
        <v>55</v>
      </c>
      <c r="M42" s="86">
        <f t="shared" ca="1" si="6"/>
        <v>0.26570048309178745</v>
      </c>
      <c r="N42" s="86">
        <f t="shared" si="7"/>
        <v>0.92883099285538351</v>
      </c>
      <c r="O42" s="86">
        <f t="shared" si="8"/>
        <v>0.1676829268292683</v>
      </c>
      <c r="P42" s="87">
        <f t="shared" si="9"/>
        <v>13.75</v>
      </c>
      <c r="Q42" s="104">
        <f t="shared" si="10"/>
        <v>90.545454545454547</v>
      </c>
      <c r="R42" s="88">
        <f t="shared" si="11"/>
        <v>47.078464106844741</v>
      </c>
      <c r="S42" s="88">
        <f t="shared" si="12"/>
        <v>4.2307692307692308</v>
      </c>
      <c r="T42" s="13">
        <f t="shared" si="13"/>
        <v>1</v>
      </c>
      <c r="U42" s="13">
        <f t="shared" si="0"/>
        <v>1</v>
      </c>
      <c r="V42" s="13">
        <f t="shared" si="14"/>
        <v>2</v>
      </c>
      <c r="W42" s="13">
        <f t="shared" ca="1" si="15"/>
        <v>3</v>
      </c>
      <c r="X42" s="13">
        <f t="shared" ca="1" si="16"/>
        <v>7</v>
      </c>
      <c r="Y42" s="81" t="str">
        <f t="shared" ca="1" si="17"/>
        <v>MONITOR</v>
      </c>
      <c r="Z42" s="13">
        <v>14</v>
      </c>
      <c r="AA42" s="75">
        <v>46059</v>
      </c>
      <c r="AB42" s="75">
        <f t="shared" si="18"/>
        <v>45920</v>
      </c>
      <c r="AC42" s="88">
        <f t="shared" si="19"/>
        <v>19.857142857142858</v>
      </c>
      <c r="AD42" s="89" t="str">
        <f t="shared" ca="1" si="20"/>
        <v>STABLE</v>
      </c>
      <c r="AE42" s="89" t="str">
        <f t="shared" si="21"/>
        <v>SLOW SELLING</v>
      </c>
      <c r="AF42" s="89" t="str">
        <f t="shared" si="22"/>
        <v>AT RISK</v>
      </c>
      <c r="AG42" s="89" t="str">
        <f t="shared" si="23"/>
        <v>FEASIBLE</v>
      </c>
      <c r="AH42" s="81" t="str">
        <f t="shared" ca="1" si="24"/>
        <v>MONITOR</v>
      </c>
      <c r="AI42" s="75">
        <f t="shared" ca="1" si="25"/>
        <v>0</v>
      </c>
      <c r="AJ42" s="75">
        <f t="shared" ca="1" si="26"/>
        <v>-1245</v>
      </c>
      <c r="AK42" s="13">
        <f t="shared" ca="1" si="56"/>
        <v>-1494</v>
      </c>
      <c r="AL42" s="79">
        <v>0.1</v>
      </c>
      <c r="AM42" s="79">
        <v>0.3</v>
      </c>
      <c r="AN42" s="79">
        <v>0.3</v>
      </c>
      <c r="AO42" s="79">
        <v>0.1</v>
      </c>
      <c r="AP42" s="79">
        <v>0.1</v>
      </c>
      <c r="AQ42" s="75">
        <f t="shared" si="28"/>
        <v>124.5</v>
      </c>
      <c r="AR42" s="75">
        <f t="shared" si="29"/>
        <v>373.5</v>
      </c>
      <c r="AS42" s="75">
        <f t="shared" si="30"/>
        <v>373.5</v>
      </c>
      <c r="AT42" s="75">
        <f t="shared" si="31"/>
        <v>124.5</v>
      </c>
      <c r="AU42" s="75">
        <f t="shared" si="62"/>
        <v>124.5</v>
      </c>
      <c r="AV42" s="13">
        <v>0.8</v>
      </c>
      <c r="AW42" s="13">
        <v>1.2</v>
      </c>
      <c r="AX42" s="13">
        <v>1.3</v>
      </c>
      <c r="AY42" s="13">
        <v>1</v>
      </c>
      <c r="AZ42" s="13">
        <v>0.7</v>
      </c>
      <c r="BA42" s="105">
        <f t="shared" si="33"/>
        <v>1.1000000000000001</v>
      </c>
      <c r="BB42" s="13">
        <f t="shared" si="34"/>
        <v>4.95</v>
      </c>
      <c r="BC42" s="13">
        <f t="shared" si="35"/>
        <v>5.3624999999999998</v>
      </c>
      <c r="BD42" s="13">
        <f t="shared" si="36"/>
        <v>1.375</v>
      </c>
      <c r="BE42" s="13">
        <f t="shared" si="37"/>
        <v>0.96249999999999991</v>
      </c>
      <c r="BF42" s="88">
        <f t="shared" si="38"/>
        <v>113.18181818181817</v>
      </c>
      <c r="BG42" s="88">
        <f t="shared" si="39"/>
        <v>75.454545454545453</v>
      </c>
      <c r="BH42" s="88">
        <f t="shared" si="40"/>
        <v>69.650349650349654</v>
      </c>
      <c r="BI42" s="88">
        <f t="shared" si="41"/>
        <v>90.545454545454547</v>
      </c>
      <c r="BJ42" s="88">
        <f t="shared" si="42"/>
        <v>129.35064935064935</v>
      </c>
      <c r="BK42" s="105">
        <f t="shared" si="43"/>
        <v>8.8353413654618483E-3</v>
      </c>
      <c r="BL42" s="105">
        <f t="shared" si="44"/>
        <v>1.3253012048192771E-2</v>
      </c>
      <c r="BM42" s="105">
        <f t="shared" si="60"/>
        <v>1.4357429718875502E-2</v>
      </c>
      <c r="BN42" s="105">
        <f t="shared" si="58"/>
        <v>1.104417670682731E-2</v>
      </c>
      <c r="BO42" s="105">
        <f t="shared" si="61"/>
        <v>7.7309236947791168E-3</v>
      </c>
      <c r="BP42" s="105">
        <f t="shared" si="48"/>
        <v>5.5220883534136546E-2</v>
      </c>
      <c r="BQ42" s="79">
        <f t="shared" si="49"/>
        <v>0.16000000000000003</v>
      </c>
      <c r="BR42" s="79">
        <f t="shared" si="50"/>
        <v>0.24</v>
      </c>
      <c r="BS42" s="79">
        <f t="shared" si="51"/>
        <v>0.26</v>
      </c>
      <c r="BT42" s="79">
        <f t="shared" si="52"/>
        <v>0.2</v>
      </c>
      <c r="BU42" s="79">
        <f t="shared" si="53"/>
        <v>0.14000000000000001</v>
      </c>
      <c r="BV42" s="90" t="str">
        <f t="array" aca="1" ref="BV42" ca="1">_xlfn.TEXTJOIN(" ",TRUE,
_xlfn.TEXTJOIN(":",TRUE,ROUND(BK42:BO42/MIN(IF(BK42:BO42&gt;0,BK42:BO42)),0)),
"|",
ROUND(SUM(BW42:CA42),0))</f>
        <v>1:2:2:1:1 | -1494</v>
      </c>
      <c r="BW42" s="106">
        <f t="shared" ca="1" si="57"/>
        <v>-239.04000000000005</v>
      </c>
      <c r="BX42" s="106">
        <f t="shared" ca="1" si="1"/>
        <v>-358.56</v>
      </c>
      <c r="BY42" s="106">
        <f t="shared" ca="1" si="2"/>
        <v>-388.44</v>
      </c>
      <c r="BZ42" s="106">
        <f t="shared" ca="1" si="3"/>
        <v>-298.8</v>
      </c>
      <c r="CA42" s="106">
        <f t="shared" ca="1" si="59"/>
        <v>-209.16000000000003</v>
      </c>
    </row>
    <row r="43" spans="1:79" x14ac:dyDescent="0.35">
      <c r="A43" s="25" t="s">
        <v>57</v>
      </c>
      <c r="B43" s="10" t="s">
        <v>316</v>
      </c>
      <c r="C43" s="10" t="s">
        <v>341</v>
      </c>
      <c r="D43" s="10" t="s">
        <v>346</v>
      </c>
      <c r="E43" s="11">
        <v>45850</v>
      </c>
      <c r="F43" s="17">
        <v>45892</v>
      </c>
      <c r="G43" s="14">
        <f t="shared" ca="1" si="4"/>
        <v>207</v>
      </c>
      <c r="H43" s="17">
        <v>599</v>
      </c>
      <c r="I43" s="17">
        <v>317</v>
      </c>
      <c r="J43" s="75">
        <f t="shared" si="5"/>
        <v>1224</v>
      </c>
      <c r="K43" s="17">
        <v>1300</v>
      </c>
      <c r="L43" s="85">
        <v>76</v>
      </c>
      <c r="M43" s="86">
        <f t="shared" ca="1" si="6"/>
        <v>0.3671497584541063</v>
      </c>
      <c r="N43" s="86">
        <f t="shared" si="7"/>
        <v>0.92883099285538351</v>
      </c>
      <c r="O43" s="86">
        <f t="shared" si="8"/>
        <v>0.23170731707317074</v>
      </c>
      <c r="P43" s="87">
        <f t="shared" si="9"/>
        <v>19</v>
      </c>
      <c r="Q43" s="104">
        <f t="shared" si="10"/>
        <v>64.421052631578945</v>
      </c>
      <c r="R43" s="88">
        <f t="shared" si="11"/>
        <v>47.078464106844741</v>
      </c>
      <c r="S43" s="88">
        <f t="shared" si="12"/>
        <v>5.8461538461538458</v>
      </c>
      <c r="T43" s="13">
        <f t="shared" si="13"/>
        <v>1</v>
      </c>
      <c r="U43" s="13">
        <f t="shared" si="0"/>
        <v>1</v>
      </c>
      <c r="V43" s="13">
        <f t="shared" si="14"/>
        <v>2</v>
      </c>
      <c r="W43" s="13">
        <f t="shared" ca="1" si="15"/>
        <v>3</v>
      </c>
      <c r="X43" s="13">
        <f t="shared" ca="1" si="16"/>
        <v>7</v>
      </c>
      <c r="Y43" s="81" t="str">
        <f t="shared" ca="1" si="17"/>
        <v>MONITOR</v>
      </c>
      <c r="Z43" s="13">
        <v>14</v>
      </c>
      <c r="AA43" s="75">
        <v>46059</v>
      </c>
      <c r="AB43" s="75">
        <f t="shared" si="18"/>
        <v>45920</v>
      </c>
      <c r="AC43" s="88">
        <f t="shared" si="19"/>
        <v>19.857142857142858</v>
      </c>
      <c r="AD43" s="89" t="str">
        <f t="shared" ca="1" si="20"/>
        <v>STABLE</v>
      </c>
      <c r="AE43" s="89" t="str">
        <f t="shared" si="21"/>
        <v>SLOW SELLING</v>
      </c>
      <c r="AF43" s="89" t="str">
        <f t="shared" si="22"/>
        <v>AT RISK</v>
      </c>
      <c r="AG43" s="89" t="str">
        <f t="shared" si="23"/>
        <v>FEASIBLE</v>
      </c>
      <c r="AH43" s="81" t="str">
        <f t="shared" ca="1" si="24"/>
        <v>MONITOR</v>
      </c>
      <c r="AI43" s="75">
        <f t="shared" ca="1" si="25"/>
        <v>0</v>
      </c>
      <c r="AJ43" s="75">
        <f t="shared" ca="1" si="26"/>
        <v>-1224</v>
      </c>
      <c r="AK43" s="13">
        <f t="shared" ca="1" si="56"/>
        <v>-1469</v>
      </c>
      <c r="AL43" s="79">
        <v>0.1</v>
      </c>
      <c r="AM43" s="79">
        <v>0.3</v>
      </c>
      <c r="AN43" s="79">
        <v>0.3</v>
      </c>
      <c r="AO43" s="79">
        <v>0.1</v>
      </c>
      <c r="AP43" s="79">
        <v>0.1</v>
      </c>
      <c r="AQ43" s="75">
        <f t="shared" si="28"/>
        <v>122.4</v>
      </c>
      <c r="AR43" s="75">
        <f t="shared" si="29"/>
        <v>367.2</v>
      </c>
      <c r="AS43" s="75">
        <f t="shared" si="30"/>
        <v>367.2</v>
      </c>
      <c r="AT43" s="75">
        <f t="shared" si="31"/>
        <v>122.4</v>
      </c>
      <c r="AU43" s="75">
        <f t="shared" si="62"/>
        <v>122.4</v>
      </c>
      <c r="AV43" s="13">
        <v>0.8</v>
      </c>
      <c r="AW43" s="13">
        <v>1.2</v>
      </c>
      <c r="AX43" s="13">
        <v>1.3</v>
      </c>
      <c r="AY43" s="13">
        <v>1</v>
      </c>
      <c r="AZ43" s="13">
        <v>0.7</v>
      </c>
      <c r="BA43" s="105">
        <f t="shared" si="33"/>
        <v>1.5200000000000002</v>
      </c>
      <c r="BB43" s="13">
        <f t="shared" si="34"/>
        <v>6.84</v>
      </c>
      <c r="BC43" s="13">
        <f t="shared" si="35"/>
        <v>7.41</v>
      </c>
      <c r="BD43" s="13">
        <f t="shared" si="36"/>
        <v>1.9000000000000001</v>
      </c>
      <c r="BE43" s="13">
        <f t="shared" si="37"/>
        <v>1.33</v>
      </c>
      <c r="BF43" s="88">
        <f t="shared" si="38"/>
        <v>80.526315789473671</v>
      </c>
      <c r="BG43" s="88">
        <f t="shared" si="39"/>
        <v>53.684210526315788</v>
      </c>
      <c r="BH43" s="88">
        <f t="shared" si="40"/>
        <v>49.554655870445345</v>
      </c>
      <c r="BI43" s="88">
        <f t="shared" si="41"/>
        <v>64.421052631578945</v>
      </c>
      <c r="BJ43" s="88">
        <f t="shared" si="42"/>
        <v>92.030075187969928</v>
      </c>
      <c r="BK43" s="105">
        <f t="shared" si="43"/>
        <v>1.2418300653594774E-2</v>
      </c>
      <c r="BL43" s="105">
        <f t="shared" si="44"/>
        <v>1.8627450980392157E-2</v>
      </c>
      <c r="BM43" s="105">
        <f t="shared" si="60"/>
        <v>2.0179738562091504E-2</v>
      </c>
      <c r="BN43" s="105">
        <f t="shared" si="58"/>
        <v>1.5522875816993464E-2</v>
      </c>
      <c r="BO43" s="105">
        <f t="shared" si="61"/>
        <v>1.0866013071895424E-2</v>
      </c>
      <c r="BP43" s="105">
        <f t="shared" si="48"/>
        <v>7.7614379084967322E-2</v>
      </c>
      <c r="BQ43" s="79">
        <f t="shared" si="49"/>
        <v>0.16000000000000003</v>
      </c>
      <c r="BR43" s="79">
        <f t="shared" si="50"/>
        <v>0.24</v>
      </c>
      <c r="BS43" s="79">
        <f t="shared" si="51"/>
        <v>0.26</v>
      </c>
      <c r="BT43" s="79">
        <f t="shared" si="52"/>
        <v>0.2</v>
      </c>
      <c r="BU43" s="79">
        <f t="shared" si="53"/>
        <v>0.13999999999999999</v>
      </c>
      <c r="BV43" s="90" t="str">
        <f t="array" aca="1" ref="BV43" ca="1">_xlfn.TEXTJOIN(" ",TRUE,
_xlfn.TEXTJOIN(":",TRUE,ROUND(BK43:BO43/MIN(IF(BK43:BO43&gt;0,BK43:BO43)),0)),
"|",
ROUND(SUM(BW43:CA43),0))</f>
        <v>1:2:2:1:1 | -1469</v>
      </c>
      <c r="BW43" s="106">
        <f t="shared" ca="1" si="57"/>
        <v>-235.04000000000005</v>
      </c>
      <c r="BX43" s="106">
        <f t="shared" ca="1" si="1"/>
        <v>-352.56</v>
      </c>
      <c r="BY43" s="106">
        <f t="shared" ca="1" si="2"/>
        <v>-381.94</v>
      </c>
      <c r="BZ43" s="106">
        <f t="shared" ca="1" si="3"/>
        <v>-293.8</v>
      </c>
      <c r="CA43" s="106">
        <f t="shared" ca="1" si="59"/>
        <v>-205.65999999999997</v>
      </c>
    </row>
    <row r="44" spans="1:79" x14ac:dyDescent="0.35">
      <c r="A44" s="25" t="s">
        <v>58</v>
      </c>
      <c r="B44" s="10" t="s">
        <v>316</v>
      </c>
      <c r="C44" s="10" t="s">
        <v>341</v>
      </c>
      <c r="D44" s="10" t="s">
        <v>346</v>
      </c>
      <c r="E44" s="11">
        <v>45850</v>
      </c>
      <c r="F44" s="17">
        <v>45892</v>
      </c>
      <c r="G44" s="14">
        <f t="shared" ca="1" si="4"/>
        <v>207</v>
      </c>
      <c r="H44" s="17">
        <v>599</v>
      </c>
      <c r="I44" s="17">
        <v>317</v>
      </c>
      <c r="J44" s="75">
        <f t="shared" si="5"/>
        <v>1430</v>
      </c>
      <c r="K44" s="17">
        <v>1500</v>
      </c>
      <c r="L44" s="85">
        <v>70</v>
      </c>
      <c r="M44" s="86">
        <f t="shared" ca="1" si="6"/>
        <v>0.33816425120772947</v>
      </c>
      <c r="N44" s="86">
        <f t="shared" si="7"/>
        <v>0.92883099285538351</v>
      </c>
      <c r="O44" s="86">
        <f t="shared" si="8"/>
        <v>0.21341463414634146</v>
      </c>
      <c r="P44" s="87">
        <f t="shared" si="9"/>
        <v>17.5</v>
      </c>
      <c r="Q44" s="104">
        <f t="shared" si="10"/>
        <v>81.714285714285708</v>
      </c>
      <c r="R44" s="88">
        <f t="shared" si="11"/>
        <v>47.078464106844741</v>
      </c>
      <c r="S44" s="88">
        <f t="shared" si="12"/>
        <v>4.666666666666667</v>
      </c>
      <c r="T44" s="13">
        <f t="shared" si="13"/>
        <v>1</v>
      </c>
      <c r="U44" s="13">
        <f t="shared" si="0"/>
        <v>1</v>
      </c>
      <c r="V44" s="13">
        <f t="shared" si="14"/>
        <v>2</v>
      </c>
      <c r="W44" s="13">
        <f t="shared" ca="1" si="15"/>
        <v>3</v>
      </c>
      <c r="X44" s="13">
        <f t="shared" ca="1" si="16"/>
        <v>7</v>
      </c>
      <c r="Y44" s="81" t="str">
        <f t="shared" ca="1" si="17"/>
        <v>MONITOR</v>
      </c>
      <c r="Z44" s="13">
        <v>14</v>
      </c>
      <c r="AA44" s="75">
        <v>46059</v>
      </c>
      <c r="AB44" s="75">
        <f t="shared" si="18"/>
        <v>45920</v>
      </c>
      <c r="AC44" s="88">
        <f t="shared" si="19"/>
        <v>19.857142857142858</v>
      </c>
      <c r="AD44" s="89" t="str">
        <f t="shared" ca="1" si="20"/>
        <v>STABLE</v>
      </c>
      <c r="AE44" s="89" t="str">
        <f t="shared" si="21"/>
        <v>SLOW SELLING</v>
      </c>
      <c r="AF44" s="89" t="str">
        <f t="shared" si="22"/>
        <v>AT RISK</v>
      </c>
      <c r="AG44" s="89" t="str">
        <f t="shared" si="23"/>
        <v>FEASIBLE</v>
      </c>
      <c r="AH44" s="81" t="str">
        <f t="shared" ca="1" si="24"/>
        <v>MONITOR</v>
      </c>
      <c r="AI44" s="75">
        <f t="shared" ca="1" si="25"/>
        <v>0</v>
      </c>
      <c r="AJ44" s="75">
        <f t="shared" ca="1" si="26"/>
        <v>-1430</v>
      </c>
      <c r="AK44" s="13">
        <f t="shared" ca="1" si="56"/>
        <v>-1716</v>
      </c>
      <c r="AL44" s="79">
        <v>0.1</v>
      </c>
      <c r="AM44" s="79">
        <v>0.3</v>
      </c>
      <c r="AN44" s="79">
        <v>0.3</v>
      </c>
      <c r="AO44" s="79">
        <v>0.1</v>
      </c>
      <c r="AP44" s="79">
        <v>0.1</v>
      </c>
      <c r="AQ44" s="75">
        <f t="shared" si="28"/>
        <v>143</v>
      </c>
      <c r="AR44" s="75">
        <f t="shared" si="29"/>
        <v>429</v>
      </c>
      <c r="AS44" s="75">
        <f t="shared" si="30"/>
        <v>429</v>
      </c>
      <c r="AT44" s="75">
        <f t="shared" si="31"/>
        <v>143</v>
      </c>
      <c r="AU44" s="75">
        <f t="shared" si="62"/>
        <v>143</v>
      </c>
      <c r="AV44" s="13">
        <v>0.8</v>
      </c>
      <c r="AW44" s="13">
        <v>1.2</v>
      </c>
      <c r="AX44" s="13">
        <v>1.3</v>
      </c>
      <c r="AY44" s="13">
        <v>1</v>
      </c>
      <c r="AZ44" s="13">
        <v>0.7</v>
      </c>
      <c r="BA44" s="105">
        <f t="shared" si="33"/>
        <v>1.4000000000000001</v>
      </c>
      <c r="BB44" s="13">
        <f t="shared" si="34"/>
        <v>6.3</v>
      </c>
      <c r="BC44" s="13">
        <f t="shared" si="35"/>
        <v>6.8250000000000002</v>
      </c>
      <c r="BD44" s="13">
        <f t="shared" si="36"/>
        <v>1.75</v>
      </c>
      <c r="BE44" s="13">
        <f t="shared" si="37"/>
        <v>1.2249999999999999</v>
      </c>
      <c r="BF44" s="88">
        <f t="shared" si="38"/>
        <v>102.14285714285714</v>
      </c>
      <c r="BG44" s="88">
        <f t="shared" si="39"/>
        <v>68.095238095238102</v>
      </c>
      <c r="BH44" s="88">
        <f t="shared" si="40"/>
        <v>62.857142857142854</v>
      </c>
      <c r="BI44" s="88">
        <f t="shared" si="41"/>
        <v>81.714285714285708</v>
      </c>
      <c r="BJ44" s="88">
        <f t="shared" si="42"/>
        <v>116.73469387755104</v>
      </c>
      <c r="BK44" s="105">
        <f t="shared" si="43"/>
        <v>9.7902097902097911E-3</v>
      </c>
      <c r="BL44" s="105">
        <f t="shared" si="44"/>
        <v>1.4685314685314683E-2</v>
      </c>
      <c r="BM44" s="105">
        <f t="shared" si="60"/>
        <v>1.5909090909090911E-2</v>
      </c>
      <c r="BN44" s="105">
        <f t="shared" si="58"/>
        <v>1.2237762237762238E-2</v>
      </c>
      <c r="BO44" s="105">
        <f t="shared" si="61"/>
        <v>8.566433566433565E-3</v>
      </c>
      <c r="BP44" s="105">
        <f t="shared" si="48"/>
        <v>6.1188811188811185E-2</v>
      </c>
      <c r="BQ44" s="79">
        <f t="shared" si="49"/>
        <v>0.16000000000000003</v>
      </c>
      <c r="BR44" s="79">
        <f t="shared" si="50"/>
        <v>0.24</v>
      </c>
      <c r="BS44" s="79">
        <f t="shared" si="51"/>
        <v>0.26000000000000006</v>
      </c>
      <c r="BT44" s="79">
        <f t="shared" si="52"/>
        <v>0.2</v>
      </c>
      <c r="BU44" s="79">
        <f t="shared" si="53"/>
        <v>0.13999999999999999</v>
      </c>
      <c r="BV44" s="90" t="str">
        <f t="array" aca="1" ref="BV44" ca="1">_xlfn.TEXTJOIN(" ",TRUE,
_xlfn.TEXTJOIN(":",TRUE,ROUND(BK44:BO44/MIN(IF(BK44:BO44&gt;0,BK44:BO44)),0)),
"|",
ROUND(SUM(BW44:CA44),0))</f>
        <v>1:2:2:1:1 | -1716</v>
      </c>
      <c r="BW44" s="106">
        <f t="shared" ca="1" si="57"/>
        <v>-274.56000000000006</v>
      </c>
      <c r="BX44" s="106">
        <f t="shared" ca="1" si="1"/>
        <v>-411.84</v>
      </c>
      <c r="BY44" s="106">
        <f t="shared" ca="1" si="2"/>
        <v>-446.16000000000014</v>
      </c>
      <c r="BZ44" s="106">
        <f t="shared" ca="1" si="3"/>
        <v>-343.20000000000005</v>
      </c>
      <c r="CA44" s="106">
        <f t="shared" ca="1" si="59"/>
        <v>-240.23999999999998</v>
      </c>
    </row>
    <row r="45" spans="1:79" x14ac:dyDescent="0.35">
      <c r="A45" s="25" t="s">
        <v>59</v>
      </c>
      <c r="B45" s="10" t="s">
        <v>316</v>
      </c>
      <c r="C45" s="10" t="s">
        <v>341</v>
      </c>
      <c r="D45" s="10" t="s">
        <v>346</v>
      </c>
      <c r="E45" s="11">
        <v>45850</v>
      </c>
      <c r="F45" s="17">
        <v>45892</v>
      </c>
      <c r="G45" s="14">
        <f t="shared" ca="1" si="4"/>
        <v>207</v>
      </c>
      <c r="H45" s="17">
        <v>599</v>
      </c>
      <c r="I45" s="17">
        <v>317</v>
      </c>
      <c r="J45" s="75">
        <f t="shared" si="5"/>
        <v>1480</v>
      </c>
      <c r="K45" s="17">
        <v>1500</v>
      </c>
      <c r="L45" s="85">
        <v>20</v>
      </c>
      <c r="M45" s="86">
        <f t="shared" ca="1" si="6"/>
        <v>9.6618357487922704E-2</v>
      </c>
      <c r="N45" s="86">
        <f t="shared" si="7"/>
        <v>0.92883099285538351</v>
      </c>
      <c r="O45" s="86">
        <f t="shared" si="8"/>
        <v>6.097560975609756E-2</v>
      </c>
      <c r="P45" s="87">
        <f t="shared" si="9"/>
        <v>5</v>
      </c>
      <c r="Q45" s="104">
        <f t="shared" si="10"/>
        <v>296</v>
      </c>
      <c r="R45" s="88">
        <f t="shared" si="11"/>
        <v>47.078464106844741</v>
      </c>
      <c r="S45" s="88">
        <f t="shared" si="12"/>
        <v>1.3333333333333335</v>
      </c>
      <c r="T45" s="13">
        <f t="shared" si="13"/>
        <v>1</v>
      </c>
      <c r="U45" s="13">
        <f t="shared" si="0"/>
        <v>1</v>
      </c>
      <c r="V45" s="13">
        <f t="shared" si="14"/>
        <v>2</v>
      </c>
      <c r="W45" s="13">
        <f t="shared" ca="1" si="15"/>
        <v>3</v>
      </c>
      <c r="X45" s="13">
        <f t="shared" ca="1" si="16"/>
        <v>7</v>
      </c>
      <c r="Y45" s="81" t="str">
        <f t="shared" ca="1" si="17"/>
        <v>MONITOR</v>
      </c>
      <c r="Z45" s="13">
        <v>14</v>
      </c>
      <c r="AA45" s="75">
        <v>46059</v>
      </c>
      <c r="AB45" s="75">
        <f t="shared" si="18"/>
        <v>45920</v>
      </c>
      <c r="AC45" s="88">
        <f t="shared" si="19"/>
        <v>19.857142857142858</v>
      </c>
      <c r="AD45" s="89" t="str">
        <f t="shared" ca="1" si="20"/>
        <v>STABLE</v>
      </c>
      <c r="AE45" s="89" t="str">
        <f t="shared" si="21"/>
        <v>SLOW SELLING</v>
      </c>
      <c r="AF45" s="89" t="str">
        <f t="shared" si="22"/>
        <v>AT RISK</v>
      </c>
      <c r="AG45" s="89" t="str">
        <f t="shared" si="23"/>
        <v>FEASIBLE</v>
      </c>
      <c r="AH45" s="81" t="str">
        <f t="shared" ca="1" si="24"/>
        <v>MONITOR</v>
      </c>
      <c r="AI45" s="75">
        <f t="shared" ca="1" si="25"/>
        <v>0</v>
      </c>
      <c r="AJ45" s="75">
        <f t="shared" ca="1" si="26"/>
        <v>-1480</v>
      </c>
      <c r="AK45" s="13">
        <f t="shared" ca="1" si="56"/>
        <v>-1776</v>
      </c>
      <c r="AL45" s="79">
        <v>0.1</v>
      </c>
      <c r="AM45" s="79">
        <v>0.3</v>
      </c>
      <c r="AN45" s="79">
        <v>0.3</v>
      </c>
      <c r="AO45" s="79">
        <v>0.1</v>
      </c>
      <c r="AP45" s="79">
        <v>0.1</v>
      </c>
      <c r="AQ45" s="75">
        <f t="shared" si="28"/>
        <v>148</v>
      </c>
      <c r="AR45" s="75">
        <f t="shared" si="29"/>
        <v>444</v>
      </c>
      <c r="AS45" s="75">
        <f t="shared" si="30"/>
        <v>444</v>
      </c>
      <c r="AT45" s="75">
        <f t="shared" si="31"/>
        <v>148</v>
      </c>
      <c r="AU45" s="75">
        <f t="shared" si="62"/>
        <v>148</v>
      </c>
      <c r="AV45" s="13">
        <v>0.8</v>
      </c>
      <c r="AW45" s="13">
        <v>1.2</v>
      </c>
      <c r="AX45" s="13">
        <v>1.3</v>
      </c>
      <c r="AY45" s="13">
        <v>1</v>
      </c>
      <c r="AZ45" s="13">
        <v>0.7</v>
      </c>
      <c r="BA45" s="105">
        <f t="shared" si="33"/>
        <v>0.4</v>
      </c>
      <c r="BB45" s="13">
        <f t="shared" si="34"/>
        <v>1.7999999999999998</v>
      </c>
      <c r="BC45" s="13">
        <f t="shared" si="35"/>
        <v>1.9500000000000002</v>
      </c>
      <c r="BD45" s="13">
        <f t="shared" si="36"/>
        <v>0.5</v>
      </c>
      <c r="BE45" s="13">
        <f t="shared" si="37"/>
        <v>0.35</v>
      </c>
      <c r="BF45" s="88">
        <f t="shared" si="38"/>
        <v>370</v>
      </c>
      <c r="BG45" s="88">
        <f t="shared" si="39"/>
        <v>246.66666666666669</v>
      </c>
      <c r="BH45" s="88">
        <f t="shared" si="40"/>
        <v>227.69230769230768</v>
      </c>
      <c r="BI45" s="88">
        <f t="shared" si="41"/>
        <v>296</v>
      </c>
      <c r="BJ45" s="88">
        <f t="shared" si="42"/>
        <v>422.85714285714289</v>
      </c>
      <c r="BK45" s="105">
        <f t="shared" si="43"/>
        <v>2.7027027027027029E-3</v>
      </c>
      <c r="BL45" s="105">
        <f t="shared" si="44"/>
        <v>4.0540540540540534E-3</v>
      </c>
      <c r="BM45" s="105">
        <f t="shared" si="60"/>
        <v>4.3918918918918921E-3</v>
      </c>
      <c r="BN45" s="105">
        <f t="shared" si="58"/>
        <v>3.3783783783783786E-3</v>
      </c>
      <c r="BO45" s="105">
        <f t="shared" si="61"/>
        <v>2.3648648648648646E-3</v>
      </c>
      <c r="BP45" s="105">
        <f t="shared" si="48"/>
        <v>1.6891891891891893E-2</v>
      </c>
      <c r="BQ45" s="79">
        <f t="shared" si="49"/>
        <v>0.16</v>
      </c>
      <c r="BR45" s="79">
        <f t="shared" si="50"/>
        <v>0.23999999999999994</v>
      </c>
      <c r="BS45" s="79">
        <f t="shared" si="51"/>
        <v>0.26</v>
      </c>
      <c r="BT45" s="79">
        <f t="shared" si="52"/>
        <v>0.2</v>
      </c>
      <c r="BU45" s="79">
        <f t="shared" si="53"/>
        <v>0.13999999999999999</v>
      </c>
      <c r="BV45" s="90" t="str">
        <f t="array" aca="1" ref="BV45" ca="1">_xlfn.TEXTJOIN(" ",TRUE,
_xlfn.TEXTJOIN(":",TRUE,ROUND(BK45:BO45/MIN(IF(BK45:BO45&gt;0,BK45:BO45)),0)),
"|",
ROUND(SUM(BW45:CA45),0))</f>
        <v>1:2:2:1:1 | -1776</v>
      </c>
      <c r="BW45" s="106">
        <f t="shared" ca="1" si="57"/>
        <v>-284.16000000000003</v>
      </c>
      <c r="BX45" s="106">
        <f t="shared" ca="1" si="1"/>
        <v>-426.2399999999999</v>
      </c>
      <c r="BY45" s="106">
        <f t="shared" ca="1" si="2"/>
        <v>-461.76</v>
      </c>
      <c r="BZ45" s="106">
        <f t="shared" ca="1" si="3"/>
        <v>-355.20000000000005</v>
      </c>
      <c r="CA45" s="106">
        <f t="shared" ca="1" si="59"/>
        <v>-248.64</v>
      </c>
    </row>
    <row r="46" spans="1:79" x14ac:dyDescent="0.35">
      <c r="A46" s="25" t="s">
        <v>60</v>
      </c>
      <c r="B46" s="10" t="s">
        <v>316</v>
      </c>
      <c r="C46" s="10" t="s">
        <v>341</v>
      </c>
      <c r="D46" s="10" t="s">
        <v>346</v>
      </c>
      <c r="E46" s="11">
        <v>45878</v>
      </c>
      <c r="F46" s="17">
        <v>45892</v>
      </c>
      <c r="G46" s="14">
        <f t="shared" ca="1" si="4"/>
        <v>207</v>
      </c>
      <c r="H46" s="17">
        <v>599</v>
      </c>
      <c r="I46" s="17">
        <v>317</v>
      </c>
      <c r="J46" s="75">
        <f t="shared" si="5"/>
        <v>821</v>
      </c>
      <c r="K46" s="17">
        <v>1100</v>
      </c>
      <c r="L46" s="85">
        <v>279</v>
      </c>
      <c r="M46" s="86">
        <f t="shared" ca="1" si="6"/>
        <v>1.3478260869565217</v>
      </c>
      <c r="N46" s="86">
        <f t="shared" si="7"/>
        <v>0.92883099285538351</v>
      </c>
      <c r="O46" s="86">
        <f t="shared" si="8"/>
        <v>0.85060975609756095</v>
      </c>
      <c r="P46" s="87">
        <f t="shared" si="9"/>
        <v>69.75</v>
      </c>
      <c r="Q46" s="104">
        <f t="shared" si="10"/>
        <v>11.770609318996415</v>
      </c>
      <c r="R46" s="88">
        <f t="shared" si="11"/>
        <v>47.078464106844741</v>
      </c>
      <c r="S46" s="88">
        <f t="shared" si="12"/>
        <v>25.363636363636367</v>
      </c>
      <c r="T46" s="13">
        <f t="shared" si="13"/>
        <v>2</v>
      </c>
      <c r="U46" s="13">
        <f t="shared" si="0"/>
        <v>1</v>
      </c>
      <c r="V46" s="13">
        <f t="shared" si="14"/>
        <v>2</v>
      </c>
      <c r="W46" s="13">
        <f t="shared" ca="1" si="15"/>
        <v>3</v>
      </c>
      <c r="X46" s="13">
        <f t="shared" ca="1" si="16"/>
        <v>8</v>
      </c>
      <c r="Y46" s="81" t="str">
        <f t="shared" ca="1" si="17"/>
        <v>MONITOR</v>
      </c>
      <c r="Z46" s="13">
        <v>14</v>
      </c>
      <c r="AA46" s="75">
        <v>46059</v>
      </c>
      <c r="AB46" s="75">
        <f t="shared" si="18"/>
        <v>45920</v>
      </c>
      <c r="AC46" s="88">
        <f t="shared" si="19"/>
        <v>19.857142857142858</v>
      </c>
      <c r="AD46" s="89" t="str">
        <f t="shared" ca="1" si="20"/>
        <v>STABLE</v>
      </c>
      <c r="AE46" s="89" t="str">
        <f t="shared" si="21"/>
        <v>SLOW SELLING</v>
      </c>
      <c r="AF46" s="89" t="str">
        <f t="shared" si="22"/>
        <v>AT RISK</v>
      </c>
      <c r="AG46" s="89" t="str">
        <f t="shared" si="23"/>
        <v>FEASIBLE</v>
      </c>
      <c r="AH46" s="81" t="str">
        <f t="shared" ca="1" si="24"/>
        <v>MONITOR</v>
      </c>
      <c r="AI46" s="75">
        <f t="shared" ca="1" si="25"/>
        <v>0</v>
      </c>
      <c r="AJ46" s="75">
        <f t="shared" ca="1" si="26"/>
        <v>-821</v>
      </c>
      <c r="AK46" s="13">
        <f t="shared" ca="1" si="56"/>
        <v>-985</v>
      </c>
      <c r="AL46" s="79">
        <v>0.1</v>
      </c>
      <c r="AM46" s="79">
        <v>0.3</v>
      </c>
      <c r="AN46" s="79">
        <v>0.3</v>
      </c>
      <c r="AO46" s="79">
        <v>0.1</v>
      </c>
      <c r="AP46" s="79">
        <v>0.1</v>
      </c>
      <c r="AQ46" s="75">
        <f t="shared" si="28"/>
        <v>82.100000000000009</v>
      </c>
      <c r="AR46" s="75">
        <f t="shared" si="29"/>
        <v>246.29999999999998</v>
      </c>
      <c r="AS46" s="75">
        <f t="shared" si="30"/>
        <v>246.29999999999998</v>
      </c>
      <c r="AT46" s="75">
        <f t="shared" si="31"/>
        <v>82.100000000000009</v>
      </c>
      <c r="AU46" s="75">
        <f t="shared" si="62"/>
        <v>82.100000000000009</v>
      </c>
      <c r="AV46" s="13">
        <v>0.8</v>
      </c>
      <c r="AW46" s="13">
        <v>1.2</v>
      </c>
      <c r="AX46" s="13">
        <v>1.3</v>
      </c>
      <c r="AY46" s="13">
        <v>1</v>
      </c>
      <c r="AZ46" s="13">
        <v>0.7</v>
      </c>
      <c r="BA46" s="105">
        <f t="shared" si="33"/>
        <v>5.580000000000001</v>
      </c>
      <c r="BB46" s="13">
        <f t="shared" si="34"/>
        <v>25.11</v>
      </c>
      <c r="BC46" s="13">
        <f t="shared" si="35"/>
        <v>27.202500000000001</v>
      </c>
      <c r="BD46" s="13">
        <f t="shared" si="36"/>
        <v>6.9750000000000005</v>
      </c>
      <c r="BE46" s="13">
        <f t="shared" si="37"/>
        <v>4.8825000000000003</v>
      </c>
      <c r="BF46" s="88">
        <f t="shared" si="38"/>
        <v>14.713261648745519</v>
      </c>
      <c r="BG46" s="88">
        <f t="shared" si="39"/>
        <v>9.8088410991636792</v>
      </c>
      <c r="BH46" s="88">
        <f t="shared" si="40"/>
        <v>9.054314860766473</v>
      </c>
      <c r="BI46" s="88">
        <f t="shared" si="41"/>
        <v>11.770609318996415</v>
      </c>
      <c r="BJ46" s="88">
        <f t="shared" si="42"/>
        <v>16.815156169994882</v>
      </c>
      <c r="BK46" s="105">
        <f t="shared" si="43"/>
        <v>6.7965895249695499E-2</v>
      </c>
      <c r="BL46" s="105">
        <f t="shared" si="44"/>
        <v>0.10194884287454324</v>
      </c>
      <c r="BM46" s="105">
        <f t="shared" si="60"/>
        <v>0.11044457978075518</v>
      </c>
      <c r="BN46" s="105">
        <f t="shared" si="58"/>
        <v>8.495736906211937E-2</v>
      </c>
      <c r="BO46" s="105">
        <f t="shared" si="61"/>
        <v>5.9470158343483549E-2</v>
      </c>
      <c r="BP46" s="105">
        <f t="shared" si="48"/>
        <v>0.42478684531059685</v>
      </c>
      <c r="BQ46" s="79">
        <f t="shared" si="49"/>
        <v>0.16</v>
      </c>
      <c r="BR46" s="79">
        <f t="shared" si="50"/>
        <v>0.24</v>
      </c>
      <c r="BS46" s="79">
        <f t="shared" si="51"/>
        <v>0.26</v>
      </c>
      <c r="BT46" s="79">
        <f t="shared" si="52"/>
        <v>0.2</v>
      </c>
      <c r="BU46" s="79">
        <f t="shared" si="53"/>
        <v>0.13999999999999999</v>
      </c>
      <c r="BV46" s="90" t="str">
        <f t="array" aca="1" ref="BV46" ca="1">_xlfn.TEXTJOIN(" ",TRUE,
_xlfn.TEXTJOIN(":",TRUE,ROUND(BK46:BO46/MIN(IF(BK46:BO46&gt;0,BK46:BO46)),0)),
"|",
ROUND(SUM(BW46:CA46),0))</f>
        <v>1:2:2:1:1 | -985</v>
      </c>
      <c r="BW46" s="106">
        <f t="shared" ca="1" si="57"/>
        <v>-157.6</v>
      </c>
      <c r="BX46" s="106">
        <f t="shared" ca="1" si="1"/>
        <v>-236.39999999999998</v>
      </c>
      <c r="BY46" s="106">
        <f t="shared" ca="1" si="2"/>
        <v>-256.10000000000002</v>
      </c>
      <c r="BZ46" s="106">
        <f t="shared" ca="1" si="3"/>
        <v>-197</v>
      </c>
      <c r="CA46" s="106">
        <f t="shared" ca="1" si="59"/>
        <v>-137.89999999999998</v>
      </c>
    </row>
    <row r="47" spans="1:79" x14ac:dyDescent="0.35">
      <c r="A47" s="25" t="s">
        <v>61</v>
      </c>
      <c r="B47" s="10" t="s">
        <v>316</v>
      </c>
      <c r="C47" s="10" t="s">
        <v>341</v>
      </c>
      <c r="D47" s="10" t="s">
        <v>346</v>
      </c>
      <c r="E47" s="11">
        <v>45878</v>
      </c>
      <c r="F47" s="17">
        <v>45892</v>
      </c>
      <c r="G47" s="14">
        <f t="shared" ca="1" si="4"/>
        <v>207</v>
      </c>
      <c r="H47" s="17">
        <v>599</v>
      </c>
      <c r="I47" s="17">
        <v>317</v>
      </c>
      <c r="J47" s="75">
        <f t="shared" si="5"/>
        <v>975</v>
      </c>
      <c r="K47" s="17">
        <v>1100</v>
      </c>
      <c r="L47" s="85">
        <v>125</v>
      </c>
      <c r="M47" s="86">
        <f t="shared" ca="1" si="6"/>
        <v>0.60386473429951693</v>
      </c>
      <c r="N47" s="86">
        <f t="shared" si="7"/>
        <v>0.92883099285538351</v>
      </c>
      <c r="O47" s="86">
        <f t="shared" si="8"/>
        <v>0.38109756097560976</v>
      </c>
      <c r="P47" s="87">
        <f t="shared" si="9"/>
        <v>31.25</v>
      </c>
      <c r="Q47" s="104">
        <f t="shared" si="10"/>
        <v>31.2</v>
      </c>
      <c r="R47" s="88">
        <f t="shared" si="11"/>
        <v>47.078464106844741</v>
      </c>
      <c r="S47" s="88">
        <f t="shared" si="12"/>
        <v>11.363636363636363</v>
      </c>
      <c r="T47" s="13">
        <f t="shared" si="13"/>
        <v>1</v>
      </c>
      <c r="U47" s="13">
        <f t="shared" si="0"/>
        <v>1</v>
      </c>
      <c r="V47" s="13">
        <f t="shared" si="14"/>
        <v>2</v>
      </c>
      <c r="W47" s="13">
        <f t="shared" ca="1" si="15"/>
        <v>3</v>
      </c>
      <c r="X47" s="13">
        <f t="shared" ca="1" si="16"/>
        <v>7</v>
      </c>
      <c r="Y47" s="81" t="str">
        <f t="shared" ca="1" si="17"/>
        <v>MONITOR</v>
      </c>
      <c r="Z47" s="13">
        <v>14</v>
      </c>
      <c r="AA47" s="75">
        <v>46059</v>
      </c>
      <c r="AB47" s="75">
        <f t="shared" si="18"/>
        <v>45920</v>
      </c>
      <c r="AC47" s="88">
        <f t="shared" si="19"/>
        <v>19.857142857142858</v>
      </c>
      <c r="AD47" s="89" t="str">
        <f t="shared" ca="1" si="20"/>
        <v>STABLE</v>
      </c>
      <c r="AE47" s="89" t="str">
        <f t="shared" si="21"/>
        <v>SLOW SELLING</v>
      </c>
      <c r="AF47" s="89" t="str">
        <f t="shared" si="22"/>
        <v>AT RISK</v>
      </c>
      <c r="AG47" s="89" t="str">
        <f t="shared" si="23"/>
        <v>FEASIBLE</v>
      </c>
      <c r="AH47" s="81" t="str">
        <f t="shared" ca="1" si="24"/>
        <v>MONITOR</v>
      </c>
      <c r="AI47" s="75">
        <f t="shared" ca="1" si="25"/>
        <v>0</v>
      </c>
      <c r="AJ47" s="75">
        <f t="shared" ca="1" si="26"/>
        <v>-975</v>
      </c>
      <c r="AK47" s="13">
        <f t="shared" ca="1" si="56"/>
        <v>-1170</v>
      </c>
      <c r="AL47" s="79">
        <v>0.1</v>
      </c>
      <c r="AM47" s="79">
        <v>0.3</v>
      </c>
      <c r="AN47" s="79">
        <v>0.3</v>
      </c>
      <c r="AO47" s="79">
        <v>0.1</v>
      </c>
      <c r="AP47" s="79">
        <v>0.1</v>
      </c>
      <c r="AQ47" s="75">
        <f t="shared" si="28"/>
        <v>97.5</v>
      </c>
      <c r="AR47" s="75">
        <f t="shared" si="29"/>
        <v>292.5</v>
      </c>
      <c r="AS47" s="75">
        <f t="shared" si="30"/>
        <v>292.5</v>
      </c>
      <c r="AT47" s="75">
        <f t="shared" si="31"/>
        <v>97.5</v>
      </c>
      <c r="AU47" s="75">
        <f t="shared" si="62"/>
        <v>97.5</v>
      </c>
      <c r="AV47" s="13">
        <v>0.8</v>
      </c>
      <c r="AW47" s="13">
        <v>1.2</v>
      </c>
      <c r="AX47" s="13">
        <v>1.3</v>
      </c>
      <c r="AY47" s="13">
        <v>1</v>
      </c>
      <c r="AZ47" s="13">
        <v>0.7</v>
      </c>
      <c r="BA47" s="105">
        <f t="shared" si="33"/>
        <v>2.5</v>
      </c>
      <c r="BB47" s="13">
        <f t="shared" si="34"/>
        <v>11.25</v>
      </c>
      <c r="BC47" s="13">
        <f t="shared" si="35"/>
        <v>12.1875</v>
      </c>
      <c r="BD47" s="13">
        <f t="shared" si="36"/>
        <v>3.125</v>
      </c>
      <c r="BE47" s="13">
        <f t="shared" si="37"/>
        <v>2.1875</v>
      </c>
      <c r="BF47" s="88">
        <f t="shared" si="38"/>
        <v>39</v>
      </c>
      <c r="BG47" s="88">
        <f t="shared" si="39"/>
        <v>26</v>
      </c>
      <c r="BH47" s="88">
        <f t="shared" si="40"/>
        <v>24</v>
      </c>
      <c r="BI47" s="88">
        <f t="shared" si="41"/>
        <v>31.2</v>
      </c>
      <c r="BJ47" s="88">
        <f t="shared" si="42"/>
        <v>44.571428571428569</v>
      </c>
      <c r="BK47" s="105">
        <f t="shared" si="43"/>
        <v>2.564102564102564E-2</v>
      </c>
      <c r="BL47" s="105">
        <f t="shared" si="44"/>
        <v>3.8461538461538464E-2</v>
      </c>
      <c r="BM47" s="105">
        <f t="shared" si="60"/>
        <v>4.1666666666666664E-2</v>
      </c>
      <c r="BN47" s="105">
        <f t="shared" si="58"/>
        <v>3.2051282051282055E-2</v>
      </c>
      <c r="BO47" s="105">
        <f t="shared" si="61"/>
        <v>2.2435897435897436E-2</v>
      </c>
      <c r="BP47" s="105">
        <f t="shared" si="48"/>
        <v>0.16025641025641024</v>
      </c>
      <c r="BQ47" s="79">
        <f t="shared" si="49"/>
        <v>0.16</v>
      </c>
      <c r="BR47" s="79">
        <f t="shared" si="50"/>
        <v>0.24000000000000005</v>
      </c>
      <c r="BS47" s="79">
        <f t="shared" si="51"/>
        <v>0.26</v>
      </c>
      <c r="BT47" s="79">
        <f t="shared" si="52"/>
        <v>0.20000000000000004</v>
      </c>
      <c r="BU47" s="79">
        <f t="shared" si="53"/>
        <v>0.14000000000000001</v>
      </c>
      <c r="BV47" s="90" t="str">
        <f t="array" aca="1" ref="BV47" ca="1">_xlfn.TEXTJOIN(" ",TRUE,
_xlfn.TEXTJOIN(":",TRUE,ROUND(BK47:BO47/MIN(IF(BK47:BO47&gt;0,BK47:BO47)),0)),
"|",
ROUND(SUM(BW47:CA47),0))</f>
        <v>1:2:2:1:1 | -1170</v>
      </c>
      <c r="BW47" s="106">
        <f t="shared" ca="1" si="57"/>
        <v>-187.20000000000002</v>
      </c>
      <c r="BX47" s="106">
        <f t="shared" ca="1" si="1"/>
        <v>-280.80000000000007</v>
      </c>
      <c r="BY47" s="106">
        <f t="shared" ca="1" si="2"/>
        <v>-304.2</v>
      </c>
      <c r="BZ47" s="106">
        <f t="shared" ca="1" si="3"/>
        <v>-234.00000000000006</v>
      </c>
      <c r="CA47" s="106">
        <f t="shared" ca="1" si="59"/>
        <v>-163.80000000000001</v>
      </c>
    </row>
    <row r="48" spans="1:79" x14ac:dyDescent="0.35">
      <c r="A48" s="25" t="s">
        <v>62</v>
      </c>
      <c r="B48" s="10" t="s">
        <v>316</v>
      </c>
      <c r="C48" s="10" t="s">
        <v>341</v>
      </c>
      <c r="D48" s="10" t="s">
        <v>346</v>
      </c>
      <c r="E48" s="11">
        <v>45976</v>
      </c>
      <c r="F48" s="17">
        <v>45892</v>
      </c>
      <c r="G48" s="14">
        <f t="shared" ca="1" si="4"/>
        <v>207</v>
      </c>
      <c r="H48" s="17">
        <v>799</v>
      </c>
      <c r="I48" s="17">
        <v>455</v>
      </c>
      <c r="J48" s="75">
        <f t="shared" si="5"/>
        <v>594</v>
      </c>
      <c r="K48" s="17">
        <v>750</v>
      </c>
      <c r="L48" s="85">
        <v>156</v>
      </c>
      <c r="M48" s="86">
        <f t="shared" ca="1" si="6"/>
        <v>0.75362318840579712</v>
      </c>
      <c r="N48" s="86">
        <f t="shared" si="7"/>
        <v>0.92883099285538351</v>
      </c>
      <c r="O48" s="86">
        <f t="shared" si="8"/>
        <v>0.47560975609756095</v>
      </c>
      <c r="P48" s="87">
        <f t="shared" si="9"/>
        <v>39</v>
      </c>
      <c r="Q48" s="104">
        <f t="shared" si="10"/>
        <v>15.23076923076923</v>
      </c>
      <c r="R48" s="88">
        <f t="shared" si="11"/>
        <v>43.053817271589487</v>
      </c>
      <c r="S48" s="88">
        <f t="shared" si="12"/>
        <v>20.8</v>
      </c>
      <c r="T48" s="13">
        <f t="shared" si="13"/>
        <v>1</v>
      </c>
      <c r="U48" s="13">
        <f t="shared" si="0"/>
        <v>1</v>
      </c>
      <c r="V48" s="13">
        <f t="shared" si="14"/>
        <v>1</v>
      </c>
      <c r="W48" s="13">
        <f t="shared" ca="1" si="15"/>
        <v>3</v>
      </c>
      <c r="X48" s="13">
        <f t="shared" ca="1" si="16"/>
        <v>6</v>
      </c>
      <c r="Y48" s="81" t="str">
        <f t="shared" ca="1" si="17"/>
        <v>MONITOR</v>
      </c>
      <c r="Z48" s="13">
        <v>14</v>
      </c>
      <c r="AA48" s="75">
        <v>46059</v>
      </c>
      <c r="AB48" s="75">
        <f t="shared" si="18"/>
        <v>45920</v>
      </c>
      <c r="AC48" s="88">
        <f t="shared" si="19"/>
        <v>19.857142857142858</v>
      </c>
      <c r="AD48" s="89" t="str">
        <f t="shared" ca="1" si="20"/>
        <v>STABLE</v>
      </c>
      <c r="AE48" s="89" t="str">
        <f t="shared" si="21"/>
        <v>SLOW SELLING</v>
      </c>
      <c r="AF48" s="89" t="str">
        <f t="shared" si="22"/>
        <v>AT RISK</v>
      </c>
      <c r="AG48" s="89" t="str">
        <f t="shared" si="23"/>
        <v>FEASIBLE</v>
      </c>
      <c r="AH48" s="81" t="str">
        <f t="shared" ca="1" si="24"/>
        <v>MONITOR</v>
      </c>
      <c r="AI48" s="75">
        <f t="shared" ca="1" si="25"/>
        <v>0</v>
      </c>
      <c r="AJ48" s="75">
        <f t="shared" ca="1" si="26"/>
        <v>-594</v>
      </c>
      <c r="AK48" s="13">
        <f t="shared" ca="1" si="56"/>
        <v>-713</v>
      </c>
      <c r="AL48" s="79">
        <v>0.1</v>
      </c>
      <c r="AM48" s="79">
        <v>0.3</v>
      </c>
      <c r="AN48" s="79">
        <v>0.3</v>
      </c>
      <c r="AO48" s="79">
        <v>0.1</v>
      </c>
      <c r="AP48" s="79">
        <v>0.1</v>
      </c>
      <c r="AQ48" s="75">
        <f t="shared" si="28"/>
        <v>59.400000000000006</v>
      </c>
      <c r="AR48" s="75">
        <f t="shared" si="29"/>
        <v>178.2</v>
      </c>
      <c r="AS48" s="75">
        <f t="shared" si="30"/>
        <v>178.2</v>
      </c>
      <c r="AT48" s="75">
        <f t="shared" si="31"/>
        <v>59.400000000000006</v>
      </c>
      <c r="AU48" s="75">
        <f t="shared" si="62"/>
        <v>59.400000000000006</v>
      </c>
      <c r="AV48" s="13">
        <v>0.8</v>
      </c>
      <c r="AW48" s="13">
        <v>1.2</v>
      </c>
      <c r="AX48" s="13">
        <v>1.3</v>
      </c>
      <c r="AY48" s="13">
        <v>1</v>
      </c>
      <c r="AZ48" s="13">
        <v>0.7</v>
      </c>
      <c r="BA48" s="105">
        <f t="shared" si="33"/>
        <v>3.1200000000000006</v>
      </c>
      <c r="BB48" s="13">
        <f t="shared" si="34"/>
        <v>14.04</v>
      </c>
      <c r="BC48" s="13">
        <f t="shared" si="35"/>
        <v>15.209999999999999</v>
      </c>
      <c r="BD48" s="13">
        <f t="shared" si="36"/>
        <v>3.9000000000000004</v>
      </c>
      <c r="BE48" s="13">
        <f t="shared" si="37"/>
        <v>2.73</v>
      </c>
      <c r="BF48" s="88">
        <f t="shared" si="38"/>
        <v>19.038461538461537</v>
      </c>
      <c r="BG48" s="88">
        <f t="shared" si="39"/>
        <v>12.692307692307692</v>
      </c>
      <c r="BH48" s="88">
        <f t="shared" si="40"/>
        <v>11.715976331360947</v>
      </c>
      <c r="BI48" s="88">
        <f t="shared" si="41"/>
        <v>15.230769230769232</v>
      </c>
      <c r="BJ48" s="88">
        <f t="shared" si="42"/>
        <v>21.758241758241759</v>
      </c>
      <c r="BK48" s="105">
        <f t="shared" si="43"/>
        <v>5.252525252525253E-2</v>
      </c>
      <c r="BL48" s="105">
        <f t="shared" si="44"/>
        <v>7.8787878787878796E-2</v>
      </c>
      <c r="BM48" s="105">
        <f t="shared" si="60"/>
        <v>8.5353535353535348E-2</v>
      </c>
      <c r="BN48" s="105">
        <f t="shared" si="58"/>
        <v>6.5656565656565649E-2</v>
      </c>
      <c r="BO48" s="105">
        <f t="shared" si="61"/>
        <v>4.5959595959595957E-2</v>
      </c>
      <c r="BP48" s="105">
        <f t="shared" si="48"/>
        <v>0.32828282828282829</v>
      </c>
      <c r="BQ48" s="79">
        <f t="shared" si="49"/>
        <v>0.16</v>
      </c>
      <c r="BR48" s="79">
        <f t="shared" si="50"/>
        <v>0.24000000000000002</v>
      </c>
      <c r="BS48" s="79">
        <f t="shared" si="51"/>
        <v>0.25999999999999995</v>
      </c>
      <c r="BT48" s="79">
        <f t="shared" si="52"/>
        <v>0.19999999999999998</v>
      </c>
      <c r="BU48" s="79">
        <f t="shared" si="53"/>
        <v>0.13999999999999999</v>
      </c>
      <c r="BV48" s="90" t="str">
        <f t="array" aca="1" ref="BV48" ca="1">_xlfn.TEXTJOIN(" ",TRUE,
_xlfn.TEXTJOIN(":",TRUE,ROUND(BK48:BO48/MIN(IF(BK48:BO48&gt;0,BK48:BO48)),0)),
"|",
ROUND(SUM(BW48:CA48),0))</f>
        <v>1:2:2:1:1 | -713</v>
      </c>
      <c r="BW48" s="106">
        <f t="shared" ca="1" si="57"/>
        <v>-114.08</v>
      </c>
      <c r="BX48" s="106">
        <f t="shared" ca="1" si="1"/>
        <v>-171.12</v>
      </c>
      <c r="BY48" s="106">
        <f t="shared" ca="1" si="2"/>
        <v>-185.37999999999997</v>
      </c>
      <c r="BZ48" s="106">
        <f t="shared" ca="1" si="3"/>
        <v>-142.6</v>
      </c>
      <c r="CA48" s="106">
        <f t="shared" ca="1" si="59"/>
        <v>-99.82</v>
      </c>
    </row>
    <row r="49" spans="1:79" x14ac:dyDescent="0.35">
      <c r="A49" s="25" t="s">
        <v>63</v>
      </c>
      <c r="B49" s="10" t="s">
        <v>316</v>
      </c>
      <c r="C49" s="10" t="s">
        <v>341</v>
      </c>
      <c r="D49" s="10" t="s">
        <v>346</v>
      </c>
      <c r="E49" s="11">
        <v>45878</v>
      </c>
      <c r="F49" s="17">
        <v>45892</v>
      </c>
      <c r="G49" s="14">
        <f t="shared" ca="1" si="4"/>
        <v>207</v>
      </c>
      <c r="H49" s="17">
        <v>599</v>
      </c>
      <c r="I49" s="17">
        <v>317</v>
      </c>
      <c r="J49" s="75">
        <f t="shared" si="5"/>
        <v>912</v>
      </c>
      <c r="K49" s="17">
        <v>1200</v>
      </c>
      <c r="L49" s="85">
        <v>288</v>
      </c>
      <c r="M49" s="86">
        <f t="shared" ca="1" si="6"/>
        <v>1.3913043478260869</v>
      </c>
      <c r="N49" s="86">
        <f t="shared" si="7"/>
        <v>0.92883099285538351</v>
      </c>
      <c r="O49" s="86">
        <f t="shared" si="8"/>
        <v>0.87804878048780488</v>
      </c>
      <c r="P49" s="87">
        <f t="shared" si="9"/>
        <v>72</v>
      </c>
      <c r="Q49" s="104">
        <f t="shared" si="10"/>
        <v>12.666666666666666</v>
      </c>
      <c r="R49" s="88">
        <f t="shared" si="11"/>
        <v>47.078464106844741</v>
      </c>
      <c r="S49" s="88">
        <f t="shared" si="12"/>
        <v>24</v>
      </c>
      <c r="T49" s="13">
        <f t="shared" si="13"/>
        <v>2</v>
      </c>
      <c r="U49" s="13">
        <f t="shared" si="0"/>
        <v>1</v>
      </c>
      <c r="V49" s="13">
        <f t="shared" si="14"/>
        <v>2</v>
      </c>
      <c r="W49" s="13">
        <f t="shared" ca="1" si="15"/>
        <v>3</v>
      </c>
      <c r="X49" s="13">
        <f t="shared" ca="1" si="16"/>
        <v>8</v>
      </c>
      <c r="Y49" s="81" t="str">
        <f t="shared" ca="1" si="17"/>
        <v>MONITOR</v>
      </c>
      <c r="Z49" s="13">
        <v>14</v>
      </c>
      <c r="AA49" s="75">
        <v>46059</v>
      </c>
      <c r="AB49" s="75">
        <f t="shared" si="18"/>
        <v>45920</v>
      </c>
      <c r="AC49" s="88">
        <f t="shared" si="19"/>
        <v>19.857142857142858</v>
      </c>
      <c r="AD49" s="89" t="str">
        <f t="shared" ca="1" si="20"/>
        <v>STABLE</v>
      </c>
      <c r="AE49" s="89" t="str">
        <f t="shared" si="21"/>
        <v>SLOW SELLING</v>
      </c>
      <c r="AF49" s="89" t="str">
        <f t="shared" si="22"/>
        <v>AT RISK</v>
      </c>
      <c r="AG49" s="89" t="str">
        <f t="shared" si="23"/>
        <v>FEASIBLE</v>
      </c>
      <c r="AH49" s="81" t="str">
        <f t="shared" ca="1" si="24"/>
        <v>MONITOR</v>
      </c>
      <c r="AI49" s="75">
        <f t="shared" ca="1" si="25"/>
        <v>0</v>
      </c>
      <c r="AJ49" s="75">
        <f t="shared" ca="1" si="26"/>
        <v>-912</v>
      </c>
      <c r="AK49" s="13">
        <f t="shared" ca="1" si="56"/>
        <v>-1094</v>
      </c>
      <c r="AL49" s="79">
        <v>0.1</v>
      </c>
      <c r="AM49" s="79">
        <v>0.3</v>
      </c>
      <c r="AN49" s="79">
        <v>0.3</v>
      </c>
      <c r="AO49" s="79">
        <v>0.1</v>
      </c>
      <c r="AP49" s="79">
        <v>0.1</v>
      </c>
      <c r="AQ49" s="75">
        <f t="shared" si="28"/>
        <v>91.2</v>
      </c>
      <c r="AR49" s="75">
        <f t="shared" si="29"/>
        <v>273.59999999999997</v>
      </c>
      <c r="AS49" s="75">
        <f t="shared" si="30"/>
        <v>273.59999999999997</v>
      </c>
      <c r="AT49" s="75">
        <f t="shared" si="31"/>
        <v>91.2</v>
      </c>
      <c r="AU49" s="75">
        <f t="shared" si="62"/>
        <v>91.2</v>
      </c>
      <c r="AV49" s="13">
        <v>0.8</v>
      </c>
      <c r="AW49" s="13">
        <v>1.2</v>
      </c>
      <c r="AX49" s="13">
        <v>1.3</v>
      </c>
      <c r="AY49" s="13">
        <v>1</v>
      </c>
      <c r="AZ49" s="13">
        <v>0.7</v>
      </c>
      <c r="BA49" s="105">
        <f t="shared" si="33"/>
        <v>5.7600000000000007</v>
      </c>
      <c r="BB49" s="13">
        <f t="shared" si="34"/>
        <v>25.919999999999998</v>
      </c>
      <c r="BC49" s="13">
        <f t="shared" si="35"/>
        <v>28.08</v>
      </c>
      <c r="BD49" s="13">
        <f t="shared" si="36"/>
        <v>7.2</v>
      </c>
      <c r="BE49" s="13">
        <f t="shared" si="37"/>
        <v>5.04</v>
      </c>
      <c r="BF49" s="88">
        <f t="shared" si="38"/>
        <v>15.833333333333332</v>
      </c>
      <c r="BG49" s="88">
        <f t="shared" si="39"/>
        <v>10.555555555555555</v>
      </c>
      <c r="BH49" s="88">
        <f t="shared" si="40"/>
        <v>9.7435897435897427</v>
      </c>
      <c r="BI49" s="88">
        <f t="shared" si="41"/>
        <v>12.666666666666666</v>
      </c>
      <c r="BJ49" s="88">
        <f t="shared" si="42"/>
        <v>18.095238095238095</v>
      </c>
      <c r="BK49" s="105">
        <f t="shared" si="43"/>
        <v>6.3157894736842107E-2</v>
      </c>
      <c r="BL49" s="105">
        <f t="shared" si="44"/>
        <v>9.4736842105263161E-2</v>
      </c>
      <c r="BM49" s="105">
        <f t="shared" si="60"/>
        <v>0.10263157894736843</v>
      </c>
      <c r="BN49" s="105">
        <f t="shared" si="58"/>
        <v>7.8947368421052641E-2</v>
      </c>
      <c r="BO49" s="105">
        <f t="shared" si="61"/>
        <v>5.526315789473684E-2</v>
      </c>
      <c r="BP49" s="105">
        <f t="shared" si="48"/>
        <v>0.39473684210526322</v>
      </c>
      <c r="BQ49" s="79">
        <f t="shared" si="49"/>
        <v>0.15999999999999998</v>
      </c>
      <c r="BR49" s="79">
        <f t="shared" si="50"/>
        <v>0.23999999999999996</v>
      </c>
      <c r="BS49" s="79">
        <f t="shared" si="51"/>
        <v>0.26</v>
      </c>
      <c r="BT49" s="79">
        <f t="shared" si="52"/>
        <v>0.19999999999999998</v>
      </c>
      <c r="BU49" s="79">
        <f t="shared" si="53"/>
        <v>0.13999999999999999</v>
      </c>
      <c r="BV49" s="90" t="str">
        <f t="array" aca="1" ref="BV49" ca="1">_xlfn.TEXTJOIN(" ",TRUE,
_xlfn.TEXTJOIN(":",TRUE,ROUND(BK49:BO49/MIN(IF(BK49:BO49&gt;0,BK49:BO49)),0)),
"|",
ROUND(SUM(BW49:CA49),0))</f>
        <v>1:2:2:1:1 | -1094</v>
      </c>
      <c r="BW49" s="106">
        <f t="shared" ca="1" si="57"/>
        <v>-175.03999999999996</v>
      </c>
      <c r="BX49" s="106">
        <f t="shared" ca="1" si="1"/>
        <v>-262.55999999999995</v>
      </c>
      <c r="BY49" s="106">
        <f t="shared" ca="1" si="2"/>
        <v>-284.44</v>
      </c>
      <c r="BZ49" s="106">
        <f t="shared" ca="1" si="3"/>
        <v>-218.79999999999998</v>
      </c>
      <c r="CA49" s="106">
        <f t="shared" ca="1" si="59"/>
        <v>-153.16</v>
      </c>
    </row>
    <row r="50" spans="1:79" x14ac:dyDescent="0.35">
      <c r="A50" s="25" t="s">
        <v>64</v>
      </c>
      <c r="B50" s="10" t="s">
        <v>316</v>
      </c>
      <c r="C50" s="10" t="s">
        <v>341</v>
      </c>
      <c r="D50" s="10" t="s">
        <v>346</v>
      </c>
      <c r="E50" s="11">
        <v>45906</v>
      </c>
      <c r="F50" s="17">
        <v>45892</v>
      </c>
      <c r="G50" s="14">
        <f t="shared" ca="1" si="4"/>
        <v>207</v>
      </c>
      <c r="H50" s="17">
        <v>599</v>
      </c>
      <c r="I50" s="17">
        <v>317</v>
      </c>
      <c r="J50" s="75">
        <f t="shared" si="5"/>
        <v>806</v>
      </c>
      <c r="K50" s="17">
        <v>1000</v>
      </c>
      <c r="L50" s="85">
        <v>194</v>
      </c>
      <c r="M50" s="86">
        <f t="shared" ca="1" si="6"/>
        <v>0.9371980676328503</v>
      </c>
      <c r="N50" s="86">
        <f t="shared" si="7"/>
        <v>0.92883099285538351</v>
      </c>
      <c r="O50" s="86">
        <f t="shared" si="8"/>
        <v>0.59146341463414631</v>
      </c>
      <c r="P50" s="87">
        <f t="shared" si="9"/>
        <v>48.5</v>
      </c>
      <c r="Q50" s="104">
        <f t="shared" si="10"/>
        <v>16.618556701030929</v>
      </c>
      <c r="R50" s="88">
        <f t="shared" si="11"/>
        <v>47.078464106844741</v>
      </c>
      <c r="S50" s="88">
        <f t="shared" si="12"/>
        <v>19.400000000000002</v>
      </c>
      <c r="T50" s="13">
        <f t="shared" si="13"/>
        <v>1</v>
      </c>
      <c r="U50" s="13">
        <f t="shared" si="0"/>
        <v>1</v>
      </c>
      <c r="V50" s="13">
        <f t="shared" si="14"/>
        <v>2</v>
      </c>
      <c r="W50" s="13">
        <f t="shared" ca="1" si="15"/>
        <v>3</v>
      </c>
      <c r="X50" s="13">
        <f t="shared" ca="1" si="16"/>
        <v>7</v>
      </c>
      <c r="Y50" s="81" t="str">
        <f t="shared" ca="1" si="17"/>
        <v>MONITOR</v>
      </c>
      <c r="Z50" s="13">
        <v>14</v>
      </c>
      <c r="AA50" s="75">
        <v>46059</v>
      </c>
      <c r="AB50" s="75">
        <f t="shared" si="18"/>
        <v>45920</v>
      </c>
      <c r="AC50" s="88">
        <f t="shared" si="19"/>
        <v>19.857142857142858</v>
      </c>
      <c r="AD50" s="89" t="str">
        <f t="shared" ca="1" si="20"/>
        <v>STABLE</v>
      </c>
      <c r="AE50" s="89" t="str">
        <f t="shared" si="21"/>
        <v>SLOW SELLING</v>
      </c>
      <c r="AF50" s="89" t="str">
        <f t="shared" si="22"/>
        <v>AT RISK</v>
      </c>
      <c r="AG50" s="89" t="str">
        <f t="shared" si="23"/>
        <v>FEASIBLE</v>
      </c>
      <c r="AH50" s="81" t="str">
        <f t="shared" ca="1" si="24"/>
        <v>MONITOR</v>
      </c>
      <c r="AI50" s="75">
        <f t="shared" ca="1" si="25"/>
        <v>0</v>
      </c>
      <c r="AJ50" s="75">
        <f t="shared" ca="1" si="26"/>
        <v>-806</v>
      </c>
      <c r="AK50" s="13">
        <f t="shared" ca="1" si="56"/>
        <v>-967</v>
      </c>
      <c r="AL50" s="79">
        <v>0.1</v>
      </c>
      <c r="AM50" s="79">
        <v>0.3</v>
      </c>
      <c r="AN50" s="79">
        <v>0.3</v>
      </c>
      <c r="AO50" s="79">
        <v>0.1</v>
      </c>
      <c r="AP50" s="79">
        <v>0.1</v>
      </c>
      <c r="AQ50" s="75">
        <f t="shared" si="28"/>
        <v>80.600000000000009</v>
      </c>
      <c r="AR50" s="75">
        <f t="shared" si="29"/>
        <v>241.79999999999998</v>
      </c>
      <c r="AS50" s="75">
        <f t="shared" si="30"/>
        <v>241.79999999999998</v>
      </c>
      <c r="AT50" s="75">
        <f t="shared" si="31"/>
        <v>80.600000000000009</v>
      </c>
      <c r="AU50" s="75">
        <f t="shared" si="62"/>
        <v>80.600000000000009</v>
      </c>
      <c r="AV50" s="13">
        <v>0.8</v>
      </c>
      <c r="AW50" s="13">
        <v>1.2</v>
      </c>
      <c r="AX50" s="13">
        <v>1.3</v>
      </c>
      <c r="AY50" s="13">
        <v>1</v>
      </c>
      <c r="AZ50" s="13">
        <v>0.7</v>
      </c>
      <c r="BA50" s="105">
        <f t="shared" si="33"/>
        <v>3.8800000000000008</v>
      </c>
      <c r="BB50" s="13">
        <f t="shared" si="34"/>
        <v>17.459999999999997</v>
      </c>
      <c r="BC50" s="13">
        <f t="shared" si="35"/>
        <v>18.914999999999999</v>
      </c>
      <c r="BD50" s="13">
        <f t="shared" si="36"/>
        <v>4.8500000000000005</v>
      </c>
      <c r="BE50" s="13">
        <f t="shared" si="37"/>
        <v>3.395</v>
      </c>
      <c r="BF50" s="88">
        <f t="shared" si="38"/>
        <v>20.773195876288657</v>
      </c>
      <c r="BG50" s="88">
        <f t="shared" si="39"/>
        <v>13.848797250859107</v>
      </c>
      <c r="BH50" s="88">
        <f t="shared" si="40"/>
        <v>12.783505154639174</v>
      </c>
      <c r="BI50" s="88">
        <f t="shared" si="41"/>
        <v>16.618556701030929</v>
      </c>
      <c r="BJ50" s="88">
        <f t="shared" si="42"/>
        <v>23.740795287187041</v>
      </c>
      <c r="BK50" s="105">
        <f t="shared" si="43"/>
        <v>4.8138957816377177E-2</v>
      </c>
      <c r="BL50" s="105">
        <f t="shared" si="44"/>
        <v>7.2208436724565755E-2</v>
      </c>
      <c r="BM50" s="105">
        <f t="shared" si="60"/>
        <v>7.8225806451612909E-2</v>
      </c>
      <c r="BN50" s="105">
        <f t="shared" si="58"/>
        <v>6.0173697270471456E-2</v>
      </c>
      <c r="BO50" s="105">
        <f t="shared" si="61"/>
        <v>4.2121588089330024E-2</v>
      </c>
      <c r="BP50" s="105">
        <f t="shared" si="48"/>
        <v>0.3008684863523573</v>
      </c>
      <c r="BQ50" s="79">
        <f t="shared" si="49"/>
        <v>0.16000000000000003</v>
      </c>
      <c r="BR50" s="79">
        <f t="shared" si="50"/>
        <v>0.24000000000000002</v>
      </c>
      <c r="BS50" s="79">
        <f t="shared" si="51"/>
        <v>0.26</v>
      </c>
      <c r="BT50" s="79">
        <f t="shared" si="52"/>
        <v>0.19999999999999998</v>
      </c>
      <c r="BU50" s="79">
        <f t="shared" si="53"/>
        <v>0.14000000000000001</v>
      </c>
      <c r="BV50" s="90" t="str">
        <f t="array" aca="1" ref="BV50" ca="1">_xlfn.TEXTJOIN(" ",TRUE,
_xlfn.TEXTJOIN(":",TRUE,ROUND(BK50:BO50/MIN(IF(BK50:BO50&gt;0,BK50:BO50)),0)),
"|",
ROUND(SUM(BW50:CA50),0))</f>
        <v>1:2:2:1:1 | -967</v>
      </c>
      <c r="BW50" s="106">
        <f t="shared" ca="1" si="57"/>
        <v>-154.72000000000003</v>
      </c>
      <c r="BX50" s="106">
        <f t="shared" ca="1" si="1"/>
        <v>-232.08</v>
      </c>
      <c r="BY50" s="106">
        <f t="shared" ca="1" si="2"/>
        <v>-251.42000000000002</v>
      </c>
      <c r="BZ50" s="106">
        <f t="shared" ca="1" si="3"/>
        <v>-193.39999999999998</v>
      </c>
      <c r="CA50" s="106">
        <f t="shared" ca="1" si="59"/>
        <v>-135.38000000000002</v>
      </c>
    </row>
    <row r="51" spans="1:79" x14ac:dyDescent="0.35">
      <c r="A51" s="25" t="s">
        <v>65</v>
      </c>
      <c r="B51" s="10" t="s">
        <v>316</v>
      </c>
      <c r="C51" s="10" t="s">
        <v>341</v>
      </c>
      <c r="D51" s="10" t="s">
        <v>346</v>
      </c>
      <c r="E51" s="11">
        <v>45906</v>
      </c>
      <c r="F51" s="17">
        <v>45892</v>
      </c>
      <c r="G51" s="14">
        <f t="shared" ca="1" si="4"/>
        <v>207</v>
      </c>
      <c r="H51" s="17">
        <v>599</v>
      </c>
      <c r="I51" s="17">
        <v>317</v>
      </c>
      <c r="J51" s="75">
        <f t="shared" si="5"/>
        <v>823</v>
      </c>
      <c r="K51" s="17">
        <v>1100</v>
      </c>
      <c r="L51" s="85">
        <v>277</v>
      </c>
      <c r="M51" s="86">
        <f t="shared" ca="1" si="6"/>
        <v>1.3381642512077294</v>
      </c>
      <c r="N51" s="86">
        <f t="shared" si="7"/>
        <v>0.92883099285538351</v>
      </c>
      <c r="O51" s="86">
        <f t="shared" si="8"/>
        <v>0.84451219512195119</v>
      </c>
      <c r="P51" s="87">
        <f t="shared" si="9"/>
        <v>69.25</v>
      </c>
      <c r="Q51" s="104">
        <f t="shared" si="10"/>
        <v>11.884476534296029</v>
      </c>
      <c r="R51" s="88">
        <f t="shared" si="11"/>
        <v>47.078464106844741</v>
      </c>
      <c r="S51" s="88">
        <f t="shared" si="12"/>
        <v>25.181818181818183</v>
      </c>
      <c r="T51" s="13">
        <f t="shared" si="13"/>
        <v>2</v>
      </c>
      <c r="U51" s="13">
        <f t="shared" si="0"/>
        <v>1</v>
      </c>
      <c r="V51" s="13">
        <f t="shared" si="14"/>
        <v>2</v>
      </c>
      <c r="W51" s="13">
        <f t="shared" ca="1" si="15"/>
        <v>3</v>
      </c>
      <c r="X51" s="13">
        <f t="shared" ca="1" si="16"/>
        <v>8</v>
      </c>
      <c r="Y51" s="81" t="str">
        <f t="shared" ca="1" si="17"/>
        <v>MONITOR</v>
      </c>
      <c r="Z51" s="13">
        <v>14</v>
      </c>
      <c r="AA51" s="75">
        <v>46059</v>
      </c>
      <c r="AB51" s="75">
        <f t="shared" si="18"/>
        <v>45920</v>
      </c>
      <c r="AC51" s="88">
        <f t="shared" si="19"/>
        <v>19.857142857142858</v>
      </c>
      <c r="AD51" s="89" t="str">
        <f t="shared" ca="1" si="20"/>
        <v>STABLE</v>
      </c>
      <c r="AE51" s="89" t="str">
        <f t="shared" si="21"/>
        <v>SLOW SELLING</v>
      </c>
      <c r="AF51" s="89" t="str">
        <f t="shared" si="22"/>
        <v>AT RISK</v>
      </c>
      <c r="AG51" s="89" t="str">
        <f t="shared" si="23"/>
        <v>FEASIBLE</v>
      </c>
      <c r="AH51" s="81" t="str">
        <f t="shared" ca="1" si="24"/>
        <v>MONITOR</v>
      </c>
      <c r="AI51" s="75">
        <f t="shared" ca="1" si="25"/>
        <v>0</v>
      </c>
      <c r="AJ51" s="75">
        <f t="shared" ca="1" si="26"/>
        <v>-823</v>
      </c>
      <c r="AK51" s="13">
        <f t="shared" ca="1" si="56"/>
        <v>-988</v>
      </c>
      <c r="AL51" s="79">
        <v>0.1</v>
      </c>
      <c r="AM51" s="79">
        <v>0.3</v>
      </c>
      <c r="AN51" s="79">
        <v>0.3</v>
      </c>
      <c r="AO51" s="79">
        <v>0.1</v>
      </c>
      <c r="AP51" s="79">
        <v>0.1</v>
      </c>
      <c r="AQ51" s="75">
        <f t="shared" si="28"/>
        <v>82.300000000000011</v>
      </c>
      <c r="AR51" s="75">
        <f t="shared" si="29"/>
        <v>246.89999999999998</v>
      </c>
      <c r="AS51" s="75">
        <f t="shared" si="30"/>
        <v>246.89999999999998</v>
      </c>
      <c r="AT51" s="75">
        <f t="shared" si="31"/>
        <v>82.300000000000011</v>
      </c>
      <c r="AU51" s="75">
        <f t="shared" si="62"/>
        <v>82.300000000000011</v>
      </c>
      <c r="AV51" s="13">
        <v>0.8</v>
      </c>
      <c r="AW51" s="13">
        <v>1.2</v>
      </c>
      <c r="AX51" s="13">
        <v>1.3</v>
      </c>
      <c r="AY51" s="13">
        <v>1</v>
      </c>
      <c r="AZ51" s="13">
        <v>0.7</v>
      </c>
      <c r="BA51" s="105">
        <f t="shared" si="33"/>
        <v>5.5400000000000009</v>
      </c>
      <c r="BB51" s="13">
        <f t="shared" si="34"/>
        <v>24.929999999999996</v>
      </c>
      <c r="BC51" s="13">
        <f t="shared" si="35"/>
        <v>27.0075</v>
      </c>
      <c r="BD51" s="13">
        <f t="shared" si="36"/>
        <v>6.9250000000000007</v>
      </c>
      <c r="BE51" s="13">
        <f t="shared" si="37"/>
        <v>4.8475000000000001</v>
      </c>
      <c r="BF51" s="88">
        <f t="shared" si="38"/>
        <v>14.855595667870036</v>
      </c>
      <c r="BG51" s="88">
        <f t="shared" si="39"/>
        <v>9.9037304452466906</v>
      </c>
      <c r="BH51" s="88">
        <f t="shared" si="40"/>
        <v>9.1419050263815596</v>
      </c>
      <c r="BI51" s="88">
        <f t="shared" si="41"/>
        <v>11.884476534296029</v>
      </c>
      <c r="BJ51" s="88">
        <f t="shared" si="42"/>
        <v>16.9778236204229</v>
      </c>
      <c r="BK51" s="105">
        <f t="shared" si="43"/>
        <v>6.7314702308626975E-2</v>
      </c>
      <c r="BL51" s="105">
        <f t="shared" si="44"/>
        <v>0.10097205346294047</v>
      </c>
      <c r="BM51" s="105">
        <f t="shared" si="60"/>
        <v>0.10938639125151885</v>
      </c>
      <c r="BN51" s="105">
        <f t="shared" si="58"/>
        <v>8.4143377885783716E-2</v>
      </c>
      <c r="BO51" s="105">
        <f t="shared" si="61"/>
        <v>5.8900364520048598E-2</v>
      </c>
      <c r="BP51" s="105">
        <f t="shared" si="48"/>
        <v>0.42071688942891855</v>
      </c>
      <c r="BQ51" s="79">
        <f t="shared" si="49"/>
        <v>0.16</v>
      </c>
      <c r="BR51" s="79">
        <f t="shared" si="50"/>
        <v>0.24000000000000005</v>
      </c>
      <c r="BS51" s="79">
        <f t="shared" si="51"/>
        <v>0.26000000000000006</v>
      </c>
      <c r="BT51" s="79">
        <f t="shared" si="52"/>
        <v>0.2</v>
      </c>
      <c r="BU51" s="79">
        <f t="shared" si="53"/>
        <v>0.14000000000000001</v>
      </c>
      <c r="BV51" s="90" t="str">
        <f t="array" aca="1" ref="BV51" ca="1">_xlfn.TEXTJOIN(" ",TRUE,
_xlfn.TEXTJOIN(":",TRUE,ROUND(BK51:BO51/MIN(IF(BK51:BO51&gt;0,BK51:BO51)),0)),
"|",
ROUND(SUM(BW51:CA51),0))</f>
        <v>1:2:2:1:1 | -988</v>
      </c>
      <c r="BW51" s="106">
        <f t="shared" ca="1" si="57"/>
        <v>-158.08000000000001</v>
      </c>
      <c r="BX51" s="106">
        <f t="shared" ca="1" si="1"/>
        <v>-237.12000000000003</v>
      </c>
      <c r="BY51" s="106">
        <f t="shared" ca="1" si="2"/>
        <v>-256.88000000000005</v>
      </c>
      <c r="BZ51" s="106">
        <f t="shared" ca="1" si="3"/>
        <v>-197.60000000000002</v>
      </c>
      <c r="CA51" s="106">
        <f t="shared" ca="1" si="59"/>
        <v>-138.32000000000002</v>
      </c>
    </row>
    <row r="52" spans="1:79" x14ac:dyDescent="0.35">
      <c r="A52" s="25" t="s">
        <v>66</v>
      </c>
      <c r="B52" s="10" t="s">
        <v>316</v>
      </c>
      <c r="C52" s="10" t="s">
        <v>341</v>
      </c>
      <c r="D52" s="10" t="s">
        <v>346</v>
      </c>
      <c r="E52" s="11">
        <v>45906</v>
      </c>
      <c r="F52" s="17">
        <v>45892</v>
      </c>
      <c r="G52" s="14">
        <f t="shared" ca="1" si="4"/>
        <v>207</v>
      </c>
      <c r="H52" s="17">
        <v>599</v>
      </c>
      <c r="I52" s="17">
        <v>317</v>
      </c>
      <c r="J52" s="75">
        <f t="shared" si="5"/>
        <v>920</v>
      </c>
      <c r="K52" s="17">
        <v>1000</v>
      </c>
      <c r="L52" s="85">
        <v>80</v>
      </c>
      <c r="M52" s="86">
        <f t="shared" ca="1" si="6"/>
        <v>0.38647342995169082</v>
      </c>
      <c r="N52" s="86">
        <f t="shared" si="7"/>
        <v>0.92883099285538351</v>
      </c>
      <c r="O52" s="86">
        <f t="shared" si="8"/>
        <v>0.24390243902439024</v>
      </c>
      <c r="P52" s="87">
        <f t="shared" si="9"/>
        <v>20</v>
      </c>
      <c r="Q52" s="104">
        <f t="shared" si="10"/>
        <v>46</v>
      </c>
      <c r="R52" s="88">
        <f t="shared" si="11"/>
        <v>47.078464106844741</v>
      </c>
      <c r="S52" s="88">
        <f t="shared" si="12"/>
        <v>8</v>
      </c>
      <c r="T52" s="13">
        <f t="shared" si="13"/>
        <v>1</v>
      </c>
      <c r="U52" s="13">
        <f t="shared" si="0"/>
        <v>1</v>
      </c>
      <c r="V52" s="13">
        <f t="shared" si="14"/>
        <v>2</v>
      </c>
      <c r="W52" s="13">
        <f t="shared" ca="1" si="15"/>
        <v>3</v>
      </c>
      <c r="X52" s="13">
        <f t="shared" ca="1" si="16"/>
        <v>7</v>
      </c>
      <c r="Y52" s="81" t="str">
        <f t="shared" ca="1" si="17"/>
        <v>MONITOR</v>
      </c>
      <c r="Z52" s="13">
        <v>14</v>
      </c>
      <c r="AA52" s="75">
        <v>46059</v>
      </c>
      <c r="AB52" s="75">
        <f t="shared" si="18"/>
        <v>45920</v>
      </c>
      <c r="AC52" s="88">
        <f t="shared" si="19"/>
        <v>19.857142857142858</v>
      </c>
      <c r="AD52" s="89" t="str">
        <f t="shared" ca="1" si="20"/>
        <v>STABLE</v>
      </c>
      <c r="AE52" s="89" t="str">
        <f t="shared" si="21"/>
        <v>SLOW SELLING</v>
      </c>
      <c r="AF52" s="89" t="str">
        <f t="shared" si="22"/>
        <v>AT RISK</v>
      </c>
      <c r="AG52" s="89" t="str">
        <f t="shared" si="23"/>
        <v>FEASIBLE</v>
      </c>
      <c r="AH52" s="81" t="str">
        <f t="shared" ca="1" si="24"/>
        <v>MONITOR</v>
      </c>
      <c r="AI52" s="75">
        <f t="shared" ca="1" si="25"/>
        <v>0</v>
      </c>
      <c r="AJ52" s="75">
        <f t="shared" ca="1" si="26"/>
        <v>-920</v>
      </c>
      <c r="AK52" s="13">
        <f t="shared" ca="1" si="56"/>
        <v>-1104</v>
      </c>
      <c r="AL52" s="79">
        <v>0.1</v>
      </c>
      <c r="AM52" s="79">
        <v>0.3</v>
      </c>
      <c r="AN52" s="79">
        <v>0.3</v>
      </c>
      <c r="AO52" s="79">
        <v>0.1</v>
      </c>
      <c r="AP52" s="79">
        <v>0.1</v>
      </c>
      <c r="AQ52" s="75">
        <f t="shared" si="28"/>
        <v>92</v>
      </c>
      <c r="AR52" s="75">
        <f t="shared" si="29"/>
        <v>276</v>
      </c>
      <c r="AS52" s="75">
        <f t="shared" si="30"/>
        <v>276</v>
      </c>
      <c r="AT52" s="75">
        <f t="shared" si="31"/>
        <v>92</v>
      </c>
      <c r="AU52" s="75">
        <f t="shared" si="62"/>
        <v>92</v>
      </c>
      <c r="AV52" s="13">
        <v>0.8</v>
      </c>
      <c r="AW52" s="13">
        <v>1.2</v>
      </c>
      <c r="AX52" s="13">
        <v>1.3</v>
      </c>
      <c r="AY52" s="13">
        <v>1</v>
      </c>
      <c r="AZ52" s="13">
        <v>0.7</v>
      </c>
      <c r="BA52" s="105">
        <f t="shared" si="33"/>
        <v>1.6</v>
      </c>
      <c r="BB52" s="13">
        <f t="shared" si="34"/>
        <v>7.1999999999999993</v>
      </c>
      <c r="BC52" s="13">
        <f t="shared" si="35"/>
        <v>7.8000000000000007</v>
      </c>
      <c r="BD52" s="13">
        <f t="shared" si="36"/>
        <v>2</v>
      </c>
      <c r="BE52" s="13">
        <f t="shared" si="37"/>
        <v>1.4</v>
      </c>
      <c r="BF52" s="88">
        <f t="shared" si="38"/>
        <v>57.5</v>
      </c>
      <c r="BG52" s="88">
        <f t="shared" si="39"/>
        <v>38.333333333333336</v>
      </c>
      <c r="BH52" s="88">
        <f t="shared" si="40"/>
        <v>35.38461538461538</v>
      </c>
      <c r="BI52" s="88">
        <f t="shared" si="41"/>
        <v>46</v>
      </c>
      <c r="BJ52" s="88">
        <f t="shared" si="42"/>
        <v>65.714285714285722</v>
      </c>
      <c r="BK52" s="105">
        <f t="shared" si="43"/>
        <v>1.7391304347826087E-2</v>
      </c>
      <c r="BL52" s="105">
        <f t="shared" si="44"/>
        <v>2.6086956521739129E-2</v>
      </c>
      <c r="BM52" s="105">
        <f t="shared" si="60"/>
        <v>2.8260869565217395E-2</v>
      </c>
      <c r="BN52" s="105">
        <f t="shared" si="58"/>
        <v>2.1739130434782608E-2</v>
      </c>
      <c r="BO52" s="105">
        <f t="shared" si="61"/>
        <v>1.5217391304347825E-2</v>
      </c>
      <c r="BP52" s="105">
        <f t="shared" si="48"/>
        <v>0.10869565217391304</v>
      </c>
      <c r="BQ52" s="79">
        <f t="shared" si="49"/>
        <v>0.16</v>
      </c>
      <c r="BR52" s="79">
        <f t="shared" si="50"/>
        <v>0.24</v>
      </c>
      <c r="BS52" s="79">
        <f t="shared" si="51"/>
        <v>0.26000000000000006</v>
      </c>
      <c r="BT52" s="79">
        <f t="shared" si="52"/>
        <v>0.2</v>
      </c>
      <c r="BU52" s="79">
        <f t="shared" si="53"/>
        <v>0.13999999999999999</v>
      </c>
      <c r="BV52" s="90" t="str">
        <f t="array" aca="1" ref="BV52" ca="1">_xlfn.TEXTJOIN(" ",TRUE,
_xlfn.TEXTJOIN(":",TRUE,ROUND(BK52:BO52/MIN(IF(BK52:BO52&gt;0,BK52:BO52)),0)),
"|",
ROUND(SUM(BW52:CA52),0))</f>
        <v>1:2:2:1:1 | -1104</v>
      </c>
      <c r="BW52" s="106">
        <f t="shared" ca="1" si="57"/>
        <v>-176.64000000000001</v>
      </c>
      <c r="BX52" s="106">
        <f t="shared" ca="1" si="1"/>
        <v>-264.95999999999998</v>
      </c>
      <c r="BY52" s="106">
        <f t="shared" ca="1" si="2"/>
        <v>-287.04000000000008</v>
      </c>
      <c r="BZ52" s="106">
        <f t="shared" ca="1" si="3"/>
        <v>-220.8</v>
      </c>
      <c r="CA52" s="106">
        <f t="shared" ca="1" si="59"/>
        <v>-154.55999999999997</v>
      </c>
    </row>
    <row r="53" spans="1:79" x14ac:dyDescent="0.35">
      <c r="A53" s="25" t="s">
        <v>67</v>
      </c>
      <c r="B53" s="10" t="s">
        <v>316</v>
      </c>
      <c r="C53" s="10" t="s">
        <v>341</v>
      </c>
      <c r="D53" s="10" t="s">
        <v>346</v>
      </c>
      <c r="E53" s="11">
        <v>45906</v>
      </c>
      <c r="F53" s="17">
        <v>45892</v>
      </c>
      <c r="G53" s="14">
        <f t="shared" ca="1" si="4"/>
        <v>207</v>
      </c>
      <c r="H53" s="17">
        <v>599</v>
      </c>
      <c r="I53" s="17">
        <v>317</v>
      </c>
      <c r="J53" s="75">
        <f t="shared" si="5"/>
        <v>677</v>
      </c>
      <c r="K53" s="17">
        <v>1100</v>
      </c>
      <c r="L53" s="85">
        <v>423</v>
      </c>
      <c r="M53" s="86">
        <f t="shared" ca="1" si="6"/>
        <v>2.0434782608695654</v>
      </c>
      <c r="N53" s="86">
        <f t="shared" si="7"/>
        <v>0.92883099285538351</v>
      </c>
      <c r="O53" s="86">
        <f t="shared" si="8"/>
        <v>1.2896341463414633</v>
      </c>
      <c r="P53" s="87">
        <f t="shared" si="9"/>
        <v>105.75</v>
      </c>
      <c r="Q53" s="104">
        <f t="shared" si="10"/>
        <v>6.4018912529550827</v>
      </c>
      <c r="R53" s="88">
        <f t="shared" si="11"/>
        <v>47.078464106844741</v>
      </c>
      <c r="S53" s="88">
        <f t="shared" si="12"/>
        <v>38.454545454545453</v>
      </c>
      <c r="T53" s="13">
        <f t="shared" si="13"/>
        <v>3</v>
      </c>
      <c r="U53" s="13">
        <f t="shared" si="0"/>
        <v>1</v>
      </c>
      <c r="V53" s="13">
        <f t="shared" si="14"/>
        <v>2</v>
      </c>
      <c r="W53" s="13">
        <f t="shared" ca="1" si="15"/>
        <v>3</v>
      </c>
      <c r="X53" s="13">
        <f t="shared" ca="1" si="16"/>
        <v>9</v>
      </c>
      <c r="Y53" s="81" t="str">
        <f t="shared" ca="1" si="17"/>
        <v>RE-BUY</v>
      </c>
      <c r="Z53" s="13">
        <v>14</v>
      </c>
      <c r="AA53" s="75">
        <v>46059</v>
      </c>
      <c r="AB53" s="75">
        <f t="shared" si="18"/>
        <v>45920</v>
      </c>
      <c r="AC53" s="88">
        <f t="shared" si="19"/>
        <v>19.857142857142858</v>
      </c>
      <c r="AD53" s="89" t="str">
        <f t="shared" ca="1" si="20"/>
        <v>STABLE</v>
      </c>
      <c r="AE53" s="89" t="str">
        <f t="shared" si="21"/>
        <v>FAST SELLING</v>
      </c>
      <c r="AF53" s="89" t="str">
        <f t="shared" si="22"/>
        <v>AT RISK</v>
      </c>
      <c r="AG53" s="89" t="str">
        <f t="shared" si="23"/>
        <v>FEASIBLE</v>
      </c>
      <c r="AH53" s="81" t="str">
        <f t="shared" ca="1" si="24"/>
        <v>IMMEDIATE REBUY</v>
      </c>
      <c r="AI53" s="75">
        <f t="shared" ca="1" si="25"/>
        <v>1259.9357142857143</v>
      </c>
      <c r="AJ53" s="75">
        <f t="shared" ca="1" si="26"/>
        <v>582.93571428571431</v>
      </c>
      <c r="AK53" s="13">
        <f t="shared" ca="1" si="56"/>
        <v>700</v>
      </c>
      <c r="AL53" s="79">
        <v>0.1</v>
      </c>
      <c r="AM53" s="79">
        <v>0.3</v>
      </c>
      <c r="AN53" s="79">
        <v>0.3</v>
      </c>
      <c r="AO53" s="79">
        <v>0.1</v>
      </c>
      <c r="AP53" s="79">
        <v>0.1</v>
      </c>
      <c r="AQ53" s="75">
        <f t="shared" si="28"/>
        <v>67.7</v>
      </c>
      <c r="AR53" s="75">
        <f t="shared" si="29"/>
        <v>203.1</v>
      </c>
      <c r="AS53" s="75">
        <f t="shared" si="30"/>
        <v>203.1</v>
      </c>
      <c r="AT53" s="75">
        <f t="shared" si="31"/>
        <v>67.7</v>
      </c>
      <c r="AU53" s="75">
        <f t="shared" si="62"/>
        <v>67.7</v>
      </c>
      <c r="AV53" s="13">
        <v>0.8</v>
      </c>
      <c r="AW53" s="13">
        <v>1.2</v>
      </c>
      <c r="AX53" s="13">
        <v>1.3</v>
      </c>
      <c r="AY53" s="13">
        <v>1</v>
      </c>
      <c r="AZ53" s="13">
        <v>0.7</v>
      </c>
      <c r="BA53" s="105">
        <f t="shared" si="33"/>
        <v>8.4600000000000009</v>
      </c>
      <c r="BB53" s="13">
        <f t="shared" si="34"/>
        <v>38.069999999999993</v>
      </c>
      <c r="BC53" s="13">
        <f t="shared" si="35"/>
        <v>41.2425</v>
      </c>
      <c r="BD53" s="13">
        <f t="shared" si="36"/>
        <v>10.575000000000001</v>
      </c>
      <c r="BE53" s="13">
        <f t="shared" si="37"/>
        <v>7.4024999999999999</v>
      </c>
      <c r="BF53" s="88">
        <f t="shared" si="38"/>
        <v>8.0023640661938522</v>
      </c>
      <c r="BG53" s="88">
        <f t="shared" si="39"/>
        <v>5.3349093774625693</v>
      </c>
      <c r="BH53" s="88">
        <f t="shared" si="40"/>
        <v>4.9245317330423708</v>
      </c>
      <c r="BI53" s="88">
        <f t="shared" si="41"/>
        <v>6.4018912529550827</v>
      </c>
      <c r="BJ53" s="88">
        <f t="shared" si="42"/>
        <v>9.1455589327929765</v>
      </c>
      <c r="BK53" s="105">
        <f t="shared" si="43"/>
        <v>0.12496307237813886</v>
      </c>
      <c r="BL53" s="105">
        <f t="shared" si="44"/>
        <v>0.18744460856720827</v>
      </c>
      <c r="BM53" s="105">
        <f t="shared" si="60"/>
        <v>0.20306499261447564</v>
      </c>
      <c r="BN53" s="105">
        <f t="shared" si="58"/>
        <v>0.15620384047267355</v>
      </c>
      <c r="BO53" s="105">
        <f t="shared" si="61"/>
        <v>0.10934268833087148</v>
      </c>
      <c r="BP53" s="105">
        <f t="shared" si="48"/>
        <v>0.78101920236336775</v>
      </c>
      <c r="BQ53" s="79">
        <f t="shared" si="49"/>
        <v>0.16000000000000003</v>
      </c>
      <c r="BR53" s="79">
        <f t="shared" si="50"/>
        <v>0.24000000000000002</v>
      </c>
      <c r="BS53" s="79">
        <f t="shared" si="51"/>
        <v>0.26</v>
      </c>
      <c r="BT53" s="79">
        <f t="shared" si="52"/>
        <v>0.2</v>
      </c>
      <c r="BU53" s="79">
        <f t="shared" si="53"/>
        <v>0.13999999999999999</v>
      </c>
      <c r="BV53" s="90" t="str">
        <f t="array" aca="1" ref="BV53" ca="1">_xlfn.TEXTJOIN(" ",TRUE,
_xlfn.TEXTJOIN(":",TRUE,ROUND(BK53:BO53/MIN(IF(BK53:BO53&gt;0,BK53:BO53)),0)),
"|",
ROUND(SUM(BW53:CA53),0))</f>
        <v>1:2:2:1:1 | 700</v>
      </c>
      <c r="BW53" s="106">
        <f t="shared" ca="1" si="57"/>
        <v>112.00000000000003</v>
      </c>
      <c r="BX53" s="106">
        <f t="shared" ca="1" si="1"/>
        <v>168</v>
      </c>
      <c r="BY53" s="106">
        <f t="shared" ca="1" si="2"/>
        <v>182</v>
      </c>
      <c r="BZ53" s="106">
        <f t="shared" ca="1" si="3"/>
        <v>140</v>
      </c>
      <c r="CA53" s="106">
        <f t="shared" ca="1" si="59"/>
        <v>97.999999999999986</v>
      </c>
    </row>
    <row r="54" spans="1:79" x14ac:dyDescent="0.35">
      <c r="A54" s="25" t="s">
        <v>68</v>
      </c>
      <c r="B54" s="10" t="s">
        <v>316</v>
      </c>
      <c r="C54" s="10" t="s">
        <v>341</v>
      </c>
      <c r="D54" s="10" t="s">
        <v>346</v>
      </c>
      <c r="E54" s="11">
        <v>45927</v>
      </c>
      <c r="F54" s="17">
        <v>45892</v>
      </c>
      <c r="G54" s="14">
        <f t="shared" ca="1" si="4"/>
        <v>207</v>
      </c>
      <c r="H54" s="17">
        <v>599</v>
      </c>
      <c r="I54" s="17">
        <v>317</v>
      </c>
      <c r="J54" s="75">
        <f t="shared" si="5"/>
        <v>655</v>
      </c>
      <c r="K54" s="17">
        <v>1000</v>
      </c>
      <c r="L54" s="85">
        <v>345</v>
      </c>
      <c r="M54" s="86">
        <f t="shared" ca="1" si="6"/>
        <v>1.6666666666666667</v>
      </c>
      <c r="N54" s="86">
        <f t="shared" si="7"/>
        <v>0.92883099285538351</v>
      </c>
      <c r="O54" s="86">
        <f t="shared" si="8"/>
        <v>1.0518292682926829</v>
      </c>
      <c r="P54" s="87">
        <f t="shared" si="9"/>
        <v>86.25</v>
      </c>
      <c r="Q54" s="104">
        <f t="shared" si="10"/>
        <v>7.5942028985507246</v>
      </c>
      <c r="R54" s="88">
        <f t="shared" si="11"/>
        <v>47.078464106844741</v>
      </c>
      <c r="S54" s="88">
        <f t="shared" si="12"/>
        <v>34.5</v>
      </c>
      <c r="T54" s="13">
        <f t="shared" si="13"/>
        <v>3</v>
      </c>
      <c r="U54" s="13">
        <f t="shared" si="0"/>
        <v>1</v>
      </c>
      <c r="V54" s="13">
        <f t="shared" si="14"/>
        <v>2</v>
      </c>
      <c r="W54" s="13">
        <f t="shared" ca="1" si="15"/>
        <v>3</v>
      </c>
      <c r="X54" s="13">
        <f t="shared" ca="1" si="16"/>
        <v>9</v>
      </c>
      <c r="Y54" s="81" t="str">
        <f t="shared" ca="1" si="17"/>
        <v>RE-BUY</v>
      </c>
      <c r="Z54" s="13">
        <v>14</v>
      </c>
      <c r="AA54" s="75">
        <v>46059</v>
      </c>
      <c r="AB54" s="75">
        <f t="shared" si="18"/>
        <v>45920</v>
      </c>
      <c r="AC54" s="88">
        <f t="shared" si="19"/>
        <v>19.857142857142858</v>
      </c>
      <c r="AD54" s="89" t="str">
        <f t="shared" ca="1" si="20"/>
        <v>STABLE</v>
      </c>
      <c r="AE54" s="89" t="str">
        <f t="shared" si="21"/>
        <v>FAST SELLING</v>
      </c>
      <c r="AF54" s="89" t="str">
        <f t="shared" si="22"/>
        <v>AT RISK</v>
      </c>
      <c r="AG54" s="89" t="str">
        <f t="shared" si="23"/>
        <v>FEASIBLE</v>
      </c>
      <c r="AH54" s="81" t="str">
        <f t="shared" ca="1" si="24"/>
        <v>IMMEDIATE REBUY</v>
      </c>
      <c r="AI54" s="75">
        <f t="shared" ca="1" si="25"/>
        <v>1027.6071428571429</v>
      </c>
      <c r="AJ54" s="75">
        <f t="shared" ca="1" si="26"/>
        <v>372.60714285714289</v>
      </c>
      <c r="AK54" s="13">
        <f t="shared" ca="1" si="56"/>
        <v>447</v>
      </c>
      <c r="AL54" s="79">
        <v>0.1</v>
      </c>
      <c r="AM54" s="79">
        <v>0.3</v>
      </c>
      <c r="AN54" s="79">
        <v>0.3</v>
      </c>
      <c r="AO54" s="79">
        <v>0.1</v>
      </c>
      <c r="AP54" s="79">
        <v>0.1</v>
      </c>
      <c r="AQ54" s="75">
        <f t="shared" si="28"/>
        <v>65.5</v>
      </c>
      <c r="AR54" s="75">
        <f t="shared" si="29"/>
        <v>196.5</v>
      </c>
      <c r="AS54" s="75">
        <f t="shared" si="30"/>
        <v>196.5</v>
      </c>
      <c r="AT54" s="75">
        <f t="shared" si="31"/>
        <v>65.5</v>
      </c>
      <c r="AU54" s="75">
        <f t="shared" si="62"/>
        <v>65.5</v>
      </c>
      <c r="AV54" s="13">
        <v>0.8</v>
      </c>
      <c r="AW54" s="13">
        <v>1.2</v>
      </c>
      <c r="AX54" s="13">
        <v>1.3</v>
      </c>
      <c r="AY54" s="13">
        <v>1</v>
      </c>
      <c r="AZ54" s="13">
        <v>0.7</v>
      </c>
      <c r="BA54" s="105">
        <f t="shared" si="33"/>
        <v>6.9</v>
      </c>
      <c r="BB54" s="13">
        <f t="shared" si="34"/>
        <v>31.049999999999997</v>
      </c>
      <c r="BC54" s="13">
        <f t="shared" si="35"/>
        <v>33.637500000000003</v>
      </c>
      <c r="BD54" s="13">
        <f t="shared" si="36"/>
        <v>8.625</v>
      </c>
      <c r="BE54" s="13">
        <f t="shared" si="37"/>
        <v>6.0374999999999996</v>
      </c>
      <c r="BF54" s="88">
        <f t="shared" si="38"/>
        <v>9.4927536231884044</v>
      </c>
      <c r="BG54" s="88">
        <f t="shared" si="39"/>
        <v>6.3285024154589378</v>
      </c>
      <c r="BH54" s="88">
        <f t="shared" si="40"/>
        <v>5.8416945373467106</v>
      </c>
      <c r="BI54" s="88">
        <f t="shared" si="41"/>
        <v>7.5942028985507246</v>
      </c>
      <c r="BJ54" s="88">
        <f t="shared" si="42"/>
        <v>10.848861283643894</v>
      </c>
      <c r="BK54" s="105">
        <f t="shared" si="43"/>
        <v>0.10534351145038169</v>
      </c>
      <c r="BL54" s="105">
        <f t="shared" si="44"/>
        <v>0.15801526717557252</v>
      </c>
      <c r="BM54" s="105">
        <f t="shared" si="60"/>
        <v>0.17118320610687024</v>
      </c>
      <c r="BN54" s="105">
        <f t="shared" si="58"/>
        <v>0.1316793893129771</v>
      </c>
      <c r="BO54" s="105">
        <f t="shared" si="61"/>
        <v>9.2175572519083954E-2</v>
      </c>
      <c r="BP54" s="105">
        <f t="shared" si="48"/>
        <v>0.65839694656488545</v>
      </c>
      <c r="BQ54" s="79">
        <f t="shared" si="49"/>
        <v>0.16000000000000003</v>
      </c>
      <c r="BR54" s="79">
        <f t="shared" si="50"/>
        <v>0.24000000000000002</v>
      </c>
      <c r="BS54" s="79">
        <f t="shared" si="51"/>
        <v>0.26</v>
      </c>
      <c r="BT54" s="79">
        <f t="shared" si="52"/>
        <v>0.2</v>
      </c>
      <c r="BU54" s="79">
        <f t="shared" si="53"/>
        <v>0.13999999999999999</v>
      </c>
      <c r="BV54" s="90" t="str">
        <f t="array" aca="1" ref="BV54" ca="1">_xlfn.TEXTJOIN(" ",TRUE,
_xlfn.TEXTJOIN(":",TRUE,ROUND(BK54:BO54/MIN(IF(BK54:BO54&gt;0,BK54:BO54)),0)),
"|",
ROUND(SUM(BW54:CA54),0))</f>
        <v>1:2:2:1:1 | 447</v>
      </c>
      <c r="BW54" s="106">
        <f t="shared" ca="1" si="57"/>
        <v>71.52000000000001</v>
      </c>
      <c r="BX54" s="106">
        <f t="shared" ca="1" si="1"/>
        <v>107.28000000000002</v>
      </c>
      <c r="BY54" s="106">
        <f t="shared" ca="1" si="2"/>
        <v>116.22</v>
      </c>
      <c r="BZ54" s="106">
        <f t="shared" ca="1" si="3"/>
        <v>89.4</v>
      </c>
      <c r="CA54" s="106">
        <f t="shared" ca="1" si="59"/>
        <v>62.579999999999991</v>
      </c>
    </row>
    <row r="55" spans="1:79" x14ac:dyDescent="0.35">
      <c r="A55" s="25" t="s">
        <v>69</v>
      </c>
      <c r="B55" s="10" t="s">
        <v>321</v>
      </c>
      <c r="C55" s="10" t="s">
        <v>341</v>
      </c>
      <c r="D55" s="10" t="s">
        <v>346</v>
      </c>
      <c r="E55" s="11">
        <v>45878</v>
      </c>
      <c r="F55" s="17">
        <v>45892</v>
      </c>
      <c r="G55" s="14">
        <f t="shared" ca="1" si="4"/>
        <v>207</v>
      </c>
      <c r="H55" s="17">
        <v>799</v>
      </c>
      <c r="I55" s="17">
        <v>410</v>
      </c>
      <c r="J55" s="75">
        <f t="shared" si="5"/>
        <v>886</v>
      </c>
      <c r="K55" s="17">
        <v>1100</v>
      </c>
      <c r="L55" s="85">
        <v>214</v>
      </c>
      <c r="M55" s="86">
        <f t="shared" ca="1" si="6"/>
        <v>1.0338164251207729</v>
      </c>
      <c r="N55" s="86">
        <f t="shared" si="7"/>
        <v>0.92883099285538351</v>
      </c>
      <c r="O55" s="86">
        <f t="shared" si="8"/>
        <v>0.65243902439024393</v>
      </c>
      <c r="P55" s="87">
        <f t="shared" si="9"/>
        <v>53.5</v>
      </c>
      <c r="Q55" s="104">
        <f t="shared" si="10"/>
        <v>16.560747663551403</v>
      </c>
      <c r="R55" s="88">
        <f t="shared" si="11"/>
        <v>48.685857321652065</v>
      </c>
      <c r="S55" s="88">
        <f t="shared" si="12"/>
        <v>19.454545454545453</v>
      </c>
      <c r="T55" s="13">
        <f t="shared" si="13"/>
        <v>1</v>
      </c>
      <c r="U55" s="13">
        <f t="shared" si="0"/>
        <v>1</v>
      </c>
      <c r="V55" s="13">
        <f t="shared" si="14"/>
        <v>2</v>
      </c>
      <c r="W55" s="13">
        <f t="shared" ca="1" si="15"/>
        <v>3</v>
      </c>
      <c r="X55" s="13">
        <f t="shared" ca="1" si="16"/>
        <v>7</v>
      </c>
      <c r="Y55" s="81" t="str">
        <f t="shared" ca="1" si="17"/>
        <v>MONITOR</v>
      </c>
      <c r="Z55" s="13">
        <v>14</v>
      </c>
      <c r="AA55" s="75">
        <v>46059</v>
      </c>
      <c r="AB55" s="75">
        <f t="shared" si="18"/>
        <v>45920</v>
      </c>
      <c r="AC55" s="88">
        <f t="shared" si="19"/>
        <v>19.857142857142858</v>
      </c>
      <c r="AD55" s="89" t="str">
        <f t="shared" ca="1" si="20"/>
        <v>STABLE</v>
      </c>
      <c r="AE55" s="89" t="str">
        <f t="shared" si="21"/>
        <v>SLOW SELLING</v>
      </c>
      <c r="AF55" s="89" t="str">
        <f t="shared" si="22"/>
        <v>AT RISK</v>
      </c>
      <c r="AG55" s="89" t="str">
        <f t="shared" si="23"/>
        <v>FEASIBLE</v>
      </c>
      <c r="AH55" s="81" t="str">
        <f t="shared" ca="1" si="24"/>
        <v>MONITOR</v>
      </c>
      <c r="AI55" s="75">
        <f t="shared" ca="1" si="25"/>
        <v>0</v>
      </c>
      <c r="AJ55" s="75">
        <f t="shared" ca="1" si="26"/>
        <v>-886</v>
      </c>
      <c r="AK55" s="13">
        <f t="shared" ca="1" si="56"/>
        <v>-1063</v>
      </c>
      <c r="AL55" s="79">
        <v>0.1</v>
      </c>
      <c r="AM55" s="79">
        <v>0.3</v>
      </c>
      <c r="AN55" s="79">
        <v>0.3</v>
      </c>
      <c r="AO55" s="79">
        <v>0.1</v>
      </c>
      <c r="AP55" s="79">
        <v>0.1</v>
      </c>
      <c r="AQ55" s="75">
        <f t="shared" si="28"/>
        <v>88.600000000000009</v>
      </c>
      <c r="AR55" s="75">
        <f t="shared" si="29"/>
        <v>265.8</v>
      </c>
      <c r="AS55" s="75">
        <f t="shared" si="30"/>
        <v>265.8</v>
      </c>
      <c r="AT55" s="75">
        <f t="shared" si="31"/>
        <v>88.600000000000009</v>
      </c>
      <c r="AU55" s="75">
        <f t="shared" si="62"/>
        <v>88.600000000000009</v>
      </c>
      <c r="AV55" s="13">
        <v>0.8</v>
      </c>
      <c r="AW55" s="13">
        <v>1.2</v>
      </c>
      <c r="AX55" s="13">
        <v>1.3</v>
      </c>
      <c r="AY55" s="13">
        <v>1</v>
      </c>
      <c r="AZ55" s="13">
        <v>0.7</v>
      </c>
      <c r="BA55" s="105">
        <f t="shared" si="33"/>
        <v>4.28</v>
      </c>
      <c r="BB55" s="13">
        <f t="shared" si="34"/>
        <v>19.260000000000002</v>
      </c>
      <c r="BC55" s="13">
        <f t="shared" si="35"/>
        <v>20.865000000000002</v>
      </c>
      <c r="BD55" s="13">
        <f t="shared" si="36"/>
        <v>5.3500000000000005</v>
      </c>
      <c r="BE55" s="13">
        <f t="shared" si="37"/>
        <v>3.7450000000000001</v>
      </c>
      <c r="BF55" s="88">
        <f t="shared" si="38"/>
        <v>20.700934579439252</v>
      </c>
      <c r="BG55" s="88">
        <f t="shared" si="39"/>
        <v>13.800623052959502</v>
      </c>
      <c r="BH55" s="88">
        <f t="shared" si="40"/>
        <v>12.739036664270309</v>
      </c>
      <c r="BI55" s="88">
        <f t="shared" si="41"/>
        <v>16.560747663551403</v>
      </c>
      <c r="BJ55" s="88">
        <f t="shared" si="42"/>
        <v>23.658210947930577</v>
      </c>
      <c r="BK55" s="105">
        <f t="shared" si="43"/>
        <v>4.8306997742663657E-2</v>
      </c>
      <c r="BL55" s="105">
        <f t="shared" si="44"/>
        <v>7.2460496613995479E-2</v>
      </c>
      <c r="BM55" s="105">
        <f t="shared" si="60"/>
        <v>7.8498871331828451E-2</v>
      </c>
      <c r="BN55" s="105">
        <f t="shared" si="58"/>
        <v>6.0383747178329568E-2</v>
      </c>
      <c r="BO55" s="105">
        <f t="shared" si="61"/>
        <v>4.2268623024830691E-2</v>
      </c>
      <c r="BP55" s="105">
        <f t="shared" si="48"/>
        <v>0.30191873589164786</v>
      </c>
      <c r="BQ55" s="79">
        <f t="shared" si="49"/>
        <v>0.16</v>
      </c>
      <c r="BR55" s="79">
        <f t="shared" si="50"/>
        <v>0.23999999999999996</v>
      </c>
      <c r="BS55" s="79">
        <f t="shared" si="51"/>
        <v>0.26</v>
      </c>
      <c r="BT55" s="79">
        <f t="shared" si="52"/>
        <v>0.19999999999999998</v>
      </c>
      <c r="BU55" s="79">
        <f t="shared" si="53"/>
        <v>0.13999999999999996</v>
      </c>
      <c r="BV55" s="90" t="str">
        <f t="array" aca="1" ref="BV55" ca="1">_xlfn.TEXTJOIN(" ",TRUE,
_xlfn.TEXTJOIN(":",TRUE,ROUND(BK55:BO55/MIN(IF(BK55:BO55&gt;0,BK55:BO55)),0)),
"|",
ROUND(SUM(BW55:CA55),0))</f>
        <v>1:2:2:1:1 | -1063</v>
      </c>
      <c r="BW55" s="106">
        <f t="shared" ca="1" si="57"/>
        <v>-170.08</v>
      </c>
      <c r="BX55" s="106">
        <f t="shared" ca="1" si="1"/>
        <v>-255.11999999999995</v>
      </c>
      <c r="BY55" s="106">
        <f t="shared" ca="1" si="2"/>
        <v>-276.38</v>
      </c>
      <c r="BZ55" s="106">
        <f t="shared" ca="1" si="3"/>
        <v>-212.6</v>
      </c>
      <c r="CA55" s="106">
        <f t="shared" ca="1" si="59"/>
        <v>-148.81999999999996</v>
      </c>
    </row>
    <row r="56" spans="1:79" x14ac:dyDescent="0.35">
      <c r="A56" s="25" t="s">
        <v>70</v>
      </c>
      <c r="B56" s="10" t="s">
        <v>321</v>
      </c>
      <c r="C56" s="10" t="s">
        <v>341</v>
      </c>
      <c r="D56" s="10" t="s">
        <v>346</v>
      </c>
      <c r="E56" s="11">
        <v>45878</v>
      </c>
      <c r="F56" s="17">
        <v>45892</v>
      </c>
      <c r="G56" s="14">
        <f t="shared" ca="1" si="4"/>
        <v>207</v>
      </c>
      <c r="H56" s="17">
        <v>799</v>
      </c>
      <c r="I56" s="17">
        <v>410</v>
      </c>
      <c r="J56" s="75">
        <f t="shared" si="5"/>
        <v>989</v>
      </c>
      <c r="K56" s="17">
        <v>1200</v>
      </c>
      <c r="L56" s="85">
        <v>211</v>
      </c>
      <c r="M56" s="86">
        <f t="shared" ca="1" si="6"/>
        <v>1.0193236714975846</v>
      </c>
      <c r="N56" s="86">
        <f t="shared" si="7"/>
        <v>0.92883099285538351</v>
      </c>
      <c r="O56" s="86">
        <f t="shared" si="8"/>
        <v>0.64329268292682928</v>
      </c>
      <c r="P56" s="87">
        <f t="shared" si="9"/>
        <v>52.75</v>
      </c>
      <c r="Q56" s="104">
        <f t="shared" si="10"/>
        <v>18.748815165876778</v>
      </c>
      <c r="R56" s="88">
        <f t="shared" si="11"/>
        <v>48.685857321652065</v>
      </c>
      <c r="S56" s="88">
        <f t="shared" si="12"/>
        <v>17.583333333333336</v>
      </c>
      <c r="T56" s="13">
        <f t="shared" si="13"/>
        <v>1</v>
      </c>
      <c r="U56" s="13">
        <f t="shared" si="0"/>
        <v>1</v>
      </c>
      <c r="V56" s="13">
        <f t="shared" si="14"/>
        <v>2</v>
      </c>
      <c r="W56" s="13">
        <f t="shared" ca="1" si="15"/>
        <v>3</v>
      </c>
      <c r="X56" s="13">
        <f t="shared" ca="1" si="16"/>
        <v>7</v>
      </c>
      <c r="Y56" s="81" t="str">
        <f t="shared" ca="1" si="17"/>
        <v>MONITOR</v>
      </c>
      <c r="Z56" s="13">
        <v>14</v>
      </c>
      <c r="AA56" s="75">
        <v>46059</v>
      </c>
      <c r="AB56" s="75">
        <f t="shared" si="18"/>
        <v>45920</v>
      </c>
      <c r="AC56" s="88">
        <f t="shared" si="19"/>
        <v>19.857142857142858</v>
      </c>
      <c r="AD56" s="89" t="str">
        <f t="shared" ca="1" si="20"/>
        <v>STABLE</v>
      </c>
      <c r="AE56" s="89" t="str">
        <f t="shared" si="21"/>
        <v>SLOW SELLING</v>
      </c>
      <c r="AF56" s="89" t="str">
        <f t="shared" si="22"/>
        <v>AT RISK</v>
      </c>
      <c r="AG56" s="89" t="str">
        <f t="shared" si="23"/>
        <v>FEASIBLE</v>
      </c>
      <c r="AH56" s="81" t="str">
        <f t="shared" ca="1" si="24"/>
        <v>MONITOR</v>
      </c>
      <c r="AI56" s="75">
        <f t="shared" ca="1" si="25"/>
        <v>0</v>
      </c>
      <c r="AJ56" s="75">
        <f t="shared" ca="1" si="26"/>
        <v>-989</v>
      </c>
      <c r="AK56" s="13">
        <f t="shared" ca="1" si="56"/>
        <v>-1187</v>
      </c>
      <c r="AL56" s="79">
        <v>0.1</v>
      </c>
      <c r="AM56" s="79">
        <v>0.3</v>
      </c>
      <c r="AN56" s="79">
        <v>0.3</v>
      </c>
      <c r="AO56" s="79">
        <v>0.1</v>
      </c>
      <c r="AP56" s="79">
        <v>0.1</v>
      </c>
      <c r="AQ56" s="75">
        <f t="shared" si="28"/>
        <v>98.9</v>
      </c>
      <c r="AR56" s="75">
        <f t="shared" si="29"/>
        <v>296.7</v>
      </c>
      <c r="AS56" s="75">
        <f t="shared" si="30"/>
        <v>296.7</v>
      </c>
      <c r="AT56" s="75">
        <f t="shared" si="31"/>
        <v>98.9</v>
      </c>
      <c r="AU56" s="75">
        <f t="shared" si="62"/>
        <v>98.9</v>
      </c>
      <c r="AV56" s="13">
        <v>0.8</v>
      </c>
      <c r="AW56" s="13">
        <v>1.2</v>
      </c>
      <c r="AX56" s="13">
        <v>1.3</v>
      </c>
      <c r="AY56" s="13">
        <v>1</v>
      </c>
      <c r="AZ56" s="13">
        <v>0.7</v>
      </c>
      <c r="BA56" s="105">
        <f t="shared" si="33"/>
        <v>4.2200000000000006</v>
      </c>
      <c r="BB56" s="13">
        <f t="shared" si="34"/>
        <v>18.989999999999998</v>
      </c>
      <c r="BC56" s="13">
        <f t="shared" si="35"/>
        <v>20.572499999999998</v>
      </c>
      <c r="BD56" s="13">
        <f t="shared" si="36"/>
        <v>5.2750000000000004</v>
      </c>
      <c r="BE56" s="13">
        <f t="shared" si="37"/>
        <v>3.6924999999999999</v>
      </c>
      <c r="BF56" s="88">
        <f t="shared" si="38"/>
        <v>23.436018957345969</v>
      </c>
      <c r="BG56" s="88">
        <f t="shared" si="39"/>
        <v>15.624012638230649</v>
      </c>
      <c r="BH56" s="88">
        <f t="shared" si="40"/>
        <v>14.422165512212906</v>
      </c>
      <c r="BI56" s="88">
        <f t="shared" si="41"/>
        <v>18.748815165876778</v>
      </c>
      <c r="BJ56" s="88">
        <f t="shared" si="42"/>
        <v>26.784021665538255</v>
      </c>
      <c r="BK56" s="105">
        <f t="shared" si="43"/>
        <v>4.266936299292215E-2</v>
      </c>
      <c r="BL56" s="105">
        <f t="shared" si="44"/>
        <v>6.4004044489383211E-2</v>
      </c>
      <c r="BM56" s="105">
        <f t="shared" si="60"/>
        <v>6.9337714863498476E-2</v>
      </c>
      <c r="BN56" s="105">
        <f t="shared" si="58"/>
        <v>5.333670374115268E-2</v>
      </c>
      <c r="BO56" s="105">
        <f t="shared" si="61"/>
        <v>3.7335692618806871E-2</v>
      </c>
      <c r="BP56" s="105">
        <f t="shared" si="48"/>
        <v>0.2666835187057634</v>
      </c>
      <c r="BQ56" s="79">
        <f t="shared" si="49"/>
        <v>0.16000000000000003</v>
      </c>
      <c r="BR56" s="79">
        <f t="shared" si="50"/>
        <v>0.24</v>
      </c>
      <c r="BS56" s="79">
        <f t="shared" si="51"/>
        <v>0.25999999999999995</v>
      </c>
      <c r="BT56" s="79">
        <f t="shared" si="52"/>
        <v>0.2</v>
      </c>
      <c r="BU56" s="79">
        <f t="shared" si="53"/>
        <v>0.13999999999999999</v>
      </c>
      <c r="BV56" s="90" t="str">
        <f t="array" aca="1" ref="BV56" ca="1">_xlfn.TEXTJOIN(" ",TRUE,
_xlfn.TEXTJOIN(":",TRUE,ROUND(BK56:BO56/MIN(IF(BK56:BO56&gt;0,BK56:BO56)),0)),
"|",
ROUND(SUM(BW56:CA56),0))</f>
        <v>1:2:2:1:1 | -1187</v>
      </c>
      <c r="BW56" s="106">
        <f t="shared" ca="1" si="57"/>
        <v>-189.92000000000004</v>
      </c>
      <c r="BX56" s="106">
        <f t="shared" ca="1" si="1"/>
        <v>-284.88</v>
      </c>
      <c r="BY56" s="106">
        <f t="shared" ca="1" si="2"/>
        <v>-308.61999999999995</v>
      </c>
      <c r="BZ56" s="106">
        <f t="shared" ca="1" si="3"/>
        <v>-237.4</v>
      </c>
      <c r="CA56" s="106">
        <f t="shared" ca="1" si="59"/>
        <v>-166.17999999999998</v>
      </c>
    </row>
    <row r="57" spans="1:79" x14ac:dyDescent="0.35">
      <c r="A57" s="25" t="s">
        <v>71</v>
      </c>
      <c r="B57" s="10" t="s">
        <v>321</v>
      </c>
      <c r="C57" s="10" t="s">
        <v>341</v>
      </c>
      <c r="D57" s="10" t="s">
        <v>346</v>
      </c>
      <c r="E57" s="11">
        <v>45878</v>
      </c>
      <c r="F57" s="17">
        <v>45892</v>
      </c>
      <c r="G57" s="14">
        <f t="shared" ca="1" si="4"/>
        <v>207</v>
      </c>
      <c r="H57" s="17">
        <v>799</v>
      </c>
      <c r="I57" s="17">
        <v>410</v>
      </c>
      <c r="J57" s="75">
        <f t="shared" si="5"/>
        <v>1097</v>
      </c>
      <c r="K57" s="17">
        <v>1200</v>
      </c>
      <c r="L57" s="85">
        <v>103</v>
      </c>
      <c r="M57" s="86">
        <f t="shared" ca="1" si="6"/>
        <v>0.49758454106280192</v>
      </c>
      <c r="N57" s="86">
        <f t="shared" si="7"/>
        <v>0.92883099285538351</v>
      </c>
      <c r="O57" s="86">
        <f t="shared" si="8"/>
        <v>0.31402439024390244</v>
      </c>
      <c r="P57" s="87">
        <f t="shared" si="9"/>
        <v>25.75</v>
      </c>
      <c r="Q57" s="104">
        <f t="shared" si="10"/>
        <v>42.601941747572816</v>
      </c>
      <c r="R57" s="88">
        <f t="shared" si="11"/>
        <v>48.685857321652065</v>
      </c>
      <c r="S57" s="88">
        <f t="shared" si="12"/>
        <v>8.5833333333333339</v>
      </c>
      <c r="T57" s="13">
        <f t="shared" si="13"/>
        <v>1</v>
      </c>
      <c r="U57" s="13">
        <f t="shared" si="0"/>
        <v>1</v>
      </c>
      <c r="V57" s="13">
        <f t="shared" si="14"/>
        <v>2</v>
      </c>
      <c r="W57" s="13">
        <f t="shared" ca="1" si="15"/>
        <v>3</v>
      </c>
      <c r="X57" s="13">
        <f t="shared" ca="1" si="16"/>
        <v>7</v>
      </c>
      <c r="Y57" s="81" t="str">
        <f t="shared" ca="1" si="17"/>
        <v>MONITOR</v>
      </c>
      <c r="Z57" s="13">
        <v>14</v>
      </c>
      <c r="AA57" s="75">
        <v>46059</v>
      </c>
      <c r="AB57" s="75">
        <f t="shared" si="18"/>
        <v>45920</v>
      </c>
      <c r="AC57" s="88">
        <f t="shared" si="19"/>
        <v>19.857142857142858</v>
      </c>
      <c r="AD57" s="89" t="str">
        <f t="shared" ca="1" si="20"/>
        <v>STABLE</v>
      </c>
      <c r="AE57" s="89" t="str">
        <f t="shared" si="21"/>
        <v>SLOW SELLING</v>
      </c>
      <c r="AF57" s="89" t="str">
        <f t="shared" si="22"/>
        <v>AT RISK</v>
      </c>
      <c r="AG57" s="89" t="str">
        <f t="shared" si="23"/>
        <v>FEASIBLE</v>
      </c>
      <c r="AH57" s="81" t="str">
        <f t="shared" ca="1" si="24"/>
        <v>MONITOR</v>
      </c>
      <c r="AI57" s="75">
        <f t="shared" ca="1" si="25"/>
        <v>0</v>
      </c>
      <c r="AJ57" s="75">
        <f t="shared" ca="1" si="26"/>
        <v>-1097</v>
      </c>
      <c r="AK57" s="13">
        <f t="shared" ca="1" si="56"/>
        <v>-1316</v>
      </c>
      <c r="AL57" s="79">
        <v>0.1</v>
      </c>
      <c r="AM57" s="79">
        <v>0.3</v>
      </c>
      <c r="AN57" s="79">
        <v>0.3</v>
      </c>
      <c r="AO57" s="79">
        <v>0.1</v>
      </c>
      <c r="AP57" s="79">
        <v>0.1</v>
      </c>
      <c r="AQ57" s="75">
        <f t="shared" si="28"/>
        <v>109.7</v>
      </c>
      <c r="AR57" s="75">
        <f t="shared" si="29"/>
        <v>329.09999999999997</v>
      </c>
      <c r="AS57" s="75">
        <f t="shared" si="30"/>
        <v>329.09999999999997</v>
      </c>
      <c r="AT57" s="75">
        <f t="shared" si="31"/>
        <v>109.7</v>
      </c>
      <c r="AU57" s="75">
        <f t="shared" si="62"/>
        <v>109.7</v>
      </c>
      <c r="AV57" s="13">
        <v>0.8</v>
      </c>
      <c r="AW57" s="13">
        <v>1.2</v>
      </c>
      <c r="AX57" s="13">
        <v>1.3</v>
      </c>
      <c r="AY57" s="13">
        <v>1</v>
      </c>
      <c r="AZ57" s="13">
        <v>0.7</v>
      </c>
      <c r="BA57" s="105">
        <f t="shared" si="33"/>
        <v>2.06</v>
      </c>
      <c r="BB57" s="13">
        <f t="shared" si="34"/>
        <v>9.27</v>
      </c>
      <c r="BC57" s="13">
        <f t="shared" si="35"/>
        <v>10.0425</v>
      </c>
      <c r="BD57" s="13">
        <f t="shared" si="36"/>
        <v>2.5750000000000002</v>
      </c>
      <c r="BE57" s="13">
        <f t="shared" si="37"/>
        <v>1.8025</v>
      </c>
      <c r="BF57" s="88">
        <f t="shared" si="38"/>
        <v>53.252427184466022</v>
      </c>
      <c r="BG57" s="88">
        <f t="shared" si="39"/>
        <v>35.501618122977341</v>
      </c>
      <c r="BH57" s="88">
        <f t="shared" si="40"/>
        <v>32.770724421209856</v>
      </c>
      <c r="BI57" s="88">
        <f t="shared" si="41"/>
        <v>42.601941747572816</v>
      </c>
      <c r="BJ57" s="88">
        <f t="shared" si="42"/>
        <v>60.859916782246884</v>
      </c>
      <c r="BK57" s="105">
        <f t="shared" si="43"/>
        <v>1.8778486782133088E-2</v>
      </c>
      <c r="BL57" s="105">
        <f t="shared" si="44"/>
        <v>2.8167730173199641E-2</v>
      </c>
      <c r="BM57" s="105">
        <f t="shared" si="60"/>
        <v>3.0515041020966274E-2</v>
      </c>
      <c r="BN57" s="105">
        <f t="shared" si="58"/>
        <v>2.3473108477666361E-2</v>
      </c>
      <c r="BO57" s="105">
        <f t="shared" si="61"/>
        <v>1.6431175934366452E-2</v>
      </c>
      <c r="BP57" s="105">
        <f t="shared" si="48"/>
        <v>0.11736554238833181</v>
      </c>
      <c r="BQ57" s="79">
        <f t="shared" si="49"/>
        <v>0.15999999999999998</v>
      </c>
      <c r="BR57" s="79">
        <f t="shared" si="50"/>
        <v>0.24000000000000005</v>
      </c>
      <c r="BS57" s="79">
        <f t="shared" si="51"/>
        <v>0.26</v>
      </c>
      <c r="BT57" s="79">
        <f t="shared" si="52"/>
        <v>0.19999999999999998</v>
      </c>
      <c r="BU57" s="79">
        <f t="shared" si="53"/>
        <v>0.13999999999999999</v>
      </c>
      <c r="BV57" s="90" t="str">
        <f t="array" aca="1" ref="BV57" ca="1">_xlfn.TEXTJOIN(" ",TRUE,
_xlfn.TEXTJOIN(":",TRUE,ROUND(BK57:BO57/MIN(IF(BK57:BO57&gt;0,BK57:BO57)),0)),
"|",
ROUND(SUM(BW57:CA57),0))</f>
        <v>1:2:2:1:1 | -1316</v>
      </c>
      <c r="BW57" s="106">
        <f t="shared" ca="1" si="57"/>
        <v>-210.55999999999997</v>
      </c>
      <c r="BX57" s="106">
        <f t="shared" ca="1" si="1"/>
        <v>-315.84000000000009</v>
      </c>
      <c r="BY57" s="106">
        <f t="shared" ca="1" si="2"/>
        <v>-342.16</v>
      </c>
      <c r="BZ57" s="106">
        <f t="shared" ca="1" si="3"/>
        <v>-263.2</v>
      </c>
      <c r="CA57" s="106">
        <f t="shared" ca="1" si="59"/>
        <v>-184.23999999999998</v>
      </c>
    </row>
    <row r="58" spans="1:79" x14ac:dyDescent="0.35">
      <c r="A58" s="25" t="s">
        <v>72</v>
      </c>
      <c r="B58" s="10" t="s">
        <v>321</v>
      </c>
      <c r="C58" s="10" t="s">
        <v>341</v>
      </c>
      <c r="D58" s="10" t="s">
        <v>346</v>
      </c>
      <c r="E58" s="11">
        <v>45878</v>
      </c>
      <c r="F58" s="17">
        <v>45892</v>
      </c>
      <c r="G58" s="14">
        <f t="shared" ca="1" si="4"/>
        <v>207</v>
      </c>
      <c r="H58" s="17">
        <v>799</v>
      </c>
      <c r="I58" s="17">
        <v>410</v>
      </c>
      <c r="J58" s="75">
        <f t="shared" si="5"/>
        <v>1173</v>
      </c>
      <c r="K58" s="17">
        <v>1300</v>
      </c>
      <c r="L58" s="85">
        <v>127</v>
      </c>
      <c r="M58" s="86">
        <f t="shared" ca="1" si="6"/>
        <v>0.61352657004830913</v>
      </c>
      <c r="N58" s="86">
        <f t="shared" si="7"/>
        <v>0.92883099285538351</v>
      </c>
      <c r="O58" s="86">
        <f t="shared" si="8"/>
        <v>0.38719512195121952</v>
      </c>
      <c r="P58" s="87">
        <f t="shared" si="9"/>
        <v>31.75</v>
      </c>
      <c r="Q58" s="104">
        <f t="shared" si="10"/>
        <v>36.944881889763778</v>
      </c>
      <c r="R58" s="88">
        <f t="shared" si="11"/>
        <v>48.685857321652065</v>
      </c>
      <c r="S58" s="88">
        <f t="shared" si="12"/>
        <v>9.7692307692307683</v>
      </c>
      <c r="T58" s="13">
        <f t="shared" si="13"/>
        <v>1</v>
      </c>
      <c r="U58" s="13">
        <f t="shared" si="0"/>
        <v>1</v>
      </c>
      <c r="V58" s="13">
        <f t="shared" si="14"/>
        <v>2</v>
      </c>
      <c r="W58" s="13">
        <f t="shared" ca="1" si="15"/>
        <v>3</v>
      </c>
      <c r="X58" s="13">
        <f t="shared" ca="1" si="16"/>
        <v>7</v>
      </c>
      <c r="Y58" s="81" t="str">
        <f t="shared" ca="1" si="17"/>
        <v>MONITOR</v>
      </c>
      <c r="Z58" s="13">
        <v>14</v>
      </c>
      <c r="AA58" s="75">
        <v>46059</v>
      </c>
      <c r="AB58" s="75">
        <f t="shared" si="18"/>
        <v>45920</v>
      </c>
      <c r="AC58" s="88">
        <f t="shared" si="19"/>
        <v>19.857142857142858</v>
      </c>
      <c r="AD58" s="89" t="str">
        <f t="shared" ca="1" si="20"/>
        <v>STABLE</v>
      </c>
      <c r="AE58" s="89" t="str">
        <f t="shared" si="21"/>
        <v>SLOW SELLING</v>
      </c>
      <c r="AF58" s="89" t="str">
        <f t="shared" si="22"/>
        <v>AT RISK</v>
      </c>
      <c r="AG58" s="89" t="str">
        <f t="shared" si="23"/>
        <v>FEASIBLE</v>
      </c>
      <c r="AH58" s="81" t="str">
        <f t="shared" ca="1" si="24"/>
        <v>MONITOR</v>
      </c>
      <c r="AI58" s="75">
        <f t="shared" ca="1" si="25"/>
        <v>0</v>
      </c>
      <c r="AJ58" s="75">
        <f t="shared" ca="1" si="26"/>
        <v>-1173</v>
      </c>
      <c r="AK58" s="13">
        <f t="shared" ca="1" si="56"/>
        <v>-1408</v>
      </c>
      <c r="AL58" s="79">
        <v>0.1</v>
      </c>
      <c r="AM58" s="79">
        <v>0.3</v>
      </c>
      <c r="AN58" s="79">
        <v>0.3</v>
      </c>
      <c r="AO58" s="79">
        <v>0.1</v>
      </c>
      <c r="AP58" s="79">
        <v>0.1</v>
      </c>
      <c r="AQ58" s="75">
        <f t="shared" si="28"/>
        <v>117.30000000000001</v>
      </c>
      <c r="AR58" s="75">
        <f t="shared" si="29"/>
        <v>351.9</v>
      </c>
      <c r="AS58" s="75">
        <f t="shared" si="30"/>
        <v>351.9</v>
      </c>
      <c r="AT58" s="75">
        <f t="shared" si="31"/>
        <v>117.30000000000001</v>
      </c>
      <c r="AU58" s="75">
        <f t="shared" si="62"/>
        <v>117.30000000000001</v>
      </c>
      <c r="AV58" s="13">
        <v>0.8</v>
      </c>
      <c r="AW58" s="13">
        <v>1.2</v>
      </c>
      <c r="AX58" s="13">
        <v>1.3</v>
      </c>
      <c r="AY58" s="13">
        <v>1</v>
      </c>
      <c r="AZ58" s="13">
        <v>0.7</v>
      </c>
      <c r="BA58" s="105">
        <f t="shared" si="33"/>
        <v>2.5400000000000005</v>
      </c>
      <c r="BB58" s="13">
        <f t="shared" si="34"/>
        <v>11.43</v>
      </c>
      <c r="BC58" s="13">
        <f t="shared" si="35"/>
        <v>12.3825</v>
      </c>
      <c r="BD58" s="13">
        <f t="shared" si="36"/>
        <v>3.1750000000000003</v>
      </c>
      <c r="BE58" s="13">
        <f t="shared" si="37"/>
        <v>2.2225000000000001</v>
      </c>
      <c r="BF58" s="88">
        <f t="shared" si="38"/>
        <v>46.181102362204719</v>
      </c>
      <c r="BG58" s="88">
        <f t="shared" si="39"/>
        <v>30.787401574803148</v>
      </c>
      <c r="BH58" s="88">
        <f t="shared" si="40"/>
        <v>28.419139915202905</v>
      </c>
      <c r="BI58" s="88">
        <f t="shared" si="41"/>
        <v>36.944881889763778</v>
      </c>
      <c r="BJ58" s="88">
        <f t="shared" si="42"/>
        <v>52.778402699662543</v>
      </c>
      <c r="BK58" s="105">
        <f t="shared" si="43"/>
        <v>2.1653878942881503E-2</v>
      </c>
      <c r="BL58" s="105">
        <f t="shared" si="44"/>
        <v>3.2480818414322252E-2</v>
      </c>
      <c r="BM58" s="105">
        <f t="shared" si="60"/>
        <v>3.518755328218244E-2</v>
      </c>
      <c r="BN58" s="105">
        <f t="shared" si="58"/>
        <v>2.7067348678601878E-2</v>
      </c>
      <c r="BO58" s="105">
        <f t="shared" si="61"/>
        <v>1.8947144075021311E-2</v>
      </c>
      <c r="BP58" s="105">
        <f t="shared" si="48"/>
        <v>0.13533674339300938</v>
      </c>
      <c r="BQ58" s="79">
        <f t="shared" si="49"/>
        <v>0.16</v>
      </c>
      <c r="BR58" s="79">
        <f t="shared" si="50"/>
        <v>0.24</v>
      </c>
      <c r="BS58" s="79">
        <f t="shared" si="51"/>
        <v>0.26</v>
      </c>
      <c r="BT58" s="79">
        <f t="shared" si="52"/>
        <v>0.2</v>
      </c>
      <c r="BU58" s="79">
        <f t="shared" si="53"/>
        <v>0.13999999999999999</v>
      </c>
      <c r="BV58" s="90" t="str">
        <f t="array" aca="1" ref="BV58" ca="1">_xlfn.TEXTJOIN(" ",TRUE,
_xlfn.TEXTJOIN(":",TRUE,ROUND(BK58:BO58/MIN(IF(BK58:BO58&gt;0,BK58:BO58)),0)),
"|",
ROUND(SUM(BW58:CA58),0))</f>
        <v>1:2:2:1:1 | -1408</v>
      </c>
      <c r="BW58" s="106">
        <f t="shared" ca="1" si="57"/>
        <v>-225.28</v>
      </c>
      <c r="BX58" s="106">
        <f t="shared" ca="1" si="1"/>
        <v>-337.91999999999996</v>
      </c>
      <c r="BY58" s="106">
        <f t="shared" ca="1" si="2"/>
        <v>-366.08000000000004</v>
      </c>
      <c r="BZ58" s="106">
        <f t="shared" ca="1" si="3"/>
        <v>-281.60000000000002</v>
      </c>
      <c r="CA58" s="106">
        <f t="shared" ca="1" si="59"/>
        <v>-197.11999999999998</v>
      </c>
    </row>
    <row r="59" spans="1:79" x14ac:dyDescent="0.35">
      <c r="A59" s="25" t="s">
        <v>73</v>
      </c>
      <c r="B59" s="10" t="s">
        <v>321</v>
      </c>
      <c r="C59" s="10" t="s">
        <v>341</v>
      </c>
      <c r="D59" s="10" t="s">
        <v>346</v>
      </c>
      <c r="E59" s="11">
        <v>45920</v>
      </c>
      <c r="F59" s="17">
        <v>45892</v>
      </c>
      <c r="G59" s="14">
        <f t="shared" ca="1" si="4"/>
        <v>207</v>
      </c>
      <c r="H59" s="17">
        <v>799</v>
      </c>
      <c r="I59" s="17">
        <v>410</v>
      </c>
      <c r="J59" s="75">
        <f t="shared" si="5"/>
        <v>958</v>
      </c>
      <c r="K59" s="17">
        <v>1300</v>
      </c>
      <c r="L59" s="85">
        <v>342</v>
      </c>
      <c r="M59" s="86">
        <f t="shared" ca="1" si="6"/>
        <v>1.6521739130434783</v>
      </c>
      <c r="N59" s="86">
        <f t="shared" si="7"/>
        <v>0.92883099285538351</v>
      </c>
      <c r="O59" s="86">
        <f t="shared" si="8"/>
        <v>1.0426829268292683</v>
      </c>
      <c r="P59" s="87">
        <f t="shared" si="9"/>
        <v>85.5</v>
      </c>
      <c r="Q59" s="104">
        <f t="shared" si="10"/>
        <v>11.2046783625731</v>
      </c>
      <c r="R59" s="88">
        <f t="shared" si="11"/>
        <v>48.685857321652065</v>
      </c>
      <c r="S59" s="88">
        <f t="shared" si="12"/>
        <v>26.30769230769231</v>
      </c>
      <c r="T59" s="13">
        <f t="shared" si="13"/>
        <v>3</v>
      </c>
      <c r="U59" s="13">
        <f t="shared" si="0"/>
        <v>1</v>
      </c>
      <c r="V59" s="13">
        <f t="shared" si="14"/>
        <v>2</v>
      </c>
      <c r="W59" s="13">
        <f t="shared" ca="1" si="15"/>
        <v>3</v>
      </c>
      <c r="X59" s="13">
        <f t="shared" ca="1" si="16"/>
        <v>9</v>
      </c>
      <c r="Y59" s="81" t="str">
        <f t="shared" ca="1" si="17"/>
        <v>RE-BUY</v>
      </c>
      <c r="Z59" s="13">
        <v>14</v>
      </c>
      <c r="AA59" s="75">
        <v>46059</v>
      </c>
      <c r="AB59" s="75">
        <f t="shared" si="18"/>
        <v>45920</v>
      </c>
      <c r="AC59" s="88">
        <f t="shared" si="19"/>
        <v>19.857142857142858</v>
      </c>
      <c r="AD59" s="89" t="str">
        <f t="shared" ca="1" si="20"/>
        <v>STABLE</v>
      </c>
      <c r="AE59" s="89" t="str">
        <f t="shared" si="21"/>
        <v>FAST SELLING</v>
      </c>
      <c r="AF59" s="89" t="str">
        <f t="shared" si="22"/>
        <v>AT RISK</v>
      </c>
      <c r="AG59" s="89" t="str">
        <f t="shared" si="23"/>
        <v>FEASIBLE</v>
      </c>
      <c r="AH59" s="81" t="str">
        <f t="shared" ca="1" si="24"/>
        <v>IMMEDIATE REBUY</v>
      </c>
      <c r="AI59" s="75">
        <f t="shared" ca="1" si="25"/>
        <v>1018.6714285714285</v>
      </c>
      <c r="AJ59" s="75">
        <f t="shared" ca="1" si="26"/>
        <v>60.671428571428464</v>
      </c>
      <c r="AK59" s="13">
        <f t="shared" ca="1" si="56"/>
        <v>73</v>
      </c>
      <c r="AL59" s="79">
        <v>0.1</v>
      </c>
      <c r="AM59" s="79">
        <v>0.3</v>
      </c>
      <c r="AN59" s="79">
        <v>0.3</v>
      </c>
      <c r="AO59" s="79">
        <v>0.1</v>
      </c>
      <c r="AP59" s="79">
        <v>0.1</v>
      </c>
      <c r="AQ59" s="75">
        <f t="shared" si="28"/>
        <v>95.800000000000011</v>
      </c>
      <c r="AR59" s="75">
        <f t="shared" si="29"/>
        <v>287.39999999999998</v>
      </c>
      <c r="AS59" s="75">
        <f t="shared" si="30"/>
        <v>287.39999999999998</v>
      </c>
      <c r="AT59" s="75">
        <f t="shared" si="31"/>
        <v>95.800000000000011</v>
      </c>
      <c r="AU59" s="75">
        <f t="shared" si="62"/>
        <v>95.800000000000011</v>
      </c>
      <c r="AV59" s="13">
        <v>0.8</v>
      </c>
      <c r="AW59" s="13">
        <v>1.2</v>
      </c>
      <c r="AX59" s="13">
        <v>1.3</v>
      </c>
      <c r="AY59" s="13">
        <v>1</v>
      </c>
      <c r="AZ59" s="13">
        <v>0.7</v>
      </c>
      <c r="BA59" s="105">
        <f t="shared" si="33"/>
        <v>6.8400000000000007</v>
      </c>
      <c r="BB59" s="13">
        <f t="shared" si="34"/>
        <v>30.779999999999998</v>
      </c>
      <c r="BC59" s="13">
        <f t="shared" si="35"/>
        <v>33.344999999999999</v>
      </c>
      <c r="BD59" s="13">
        <f t="shared" si="36"/>
        <v>8.5500000000000007</v>
      </c>
      <c r="BE59" s="13">
        <f t="shared" si="37"/>
        <v>5.9850000000000003</v>
      </c>
      <c r="BF59" s="88">
        <f t="shared" si="38"/>
        <v>14.005847953216374</v>
      </c>
      <c r="BG59" s="88">
        <f t="shared" si="39"/>
        <v>9.3372319688109169</v>
      </c>
      <c r="BH59" s="88">
        <f t="shared" si="40"/>
        <v>8.6189833558254598</v>
      </c>
      <c r="BI59" s="88">
        <f t="shared" si="41"/>
        <v>11.2046783625731</v>
      </c>
      <c r="BJ59" s="88">
        <f t="shared" si="42"/>
        <v>16.00668337510443</v>
      </c>
      <c r="BK59" s="105">
        <f t="shared" si="43"/>
        <v>7.1398747390396658E-2</v>
      </c>
      <c r="BL59" s="105">
        <f t="shared" si="44"/>
        <v>0.10709812108559498</v>
      </c>
      <c r="BM59" s="105">
        <f t="shared" si="60"/>
        <v>0.11602296450939459</v>
      </c>
      <c r="BN59" s="105">
        <f t="shared" si="58"/>
        <v>8.9248434237995819E-2</v>
      </c>
      <c r="BO59" s="105">
        <f t="shared" si="61"/>
        <v>6.2473903966597071E-2</v>
      </c>
      <c r="BP59" s="105">
        <f t="shared" si="48"/>
        <v>0.44624217118997911</v>
      </c>
      <c r="BQ59" s="79">
        <f t="shared" si="49"/>
        <v>0.16</v>
      </c>
      <c r="BR59" s="79">
        <f t="shared" si="50"/>
        <v>0.24</v>
      </c>
      <c r="BS59" s="79">
        <f t="shared" si="51"/>
        <v>0.26000000000000006</v>
      </c>
      <c r="BT59" s="79">
        <f t="shared" si="52"/>
        <v>0.19999999999999998</v>
      </c>
      <c r="BU59" s="79">
        <f t="shared" si="53"/>
        <v>0.13999999999999999</v>
      </c>
      <c r="BV59" s="90" t="str">
        <f t="array" aca="1" ref="BV59" ca="1">_xlfn.TEXTJOIN(" ",TRUE,
_xlfn.TEXTJOIN(":",TRUE,ROUND(BK59:BO59/MIN(IF(BK59:BO59&gt;0,BK59:BO59)),0)),
"|",
ROUND(SUM(BW59:CA59),0))</f>
        <v>1:2:2:1:1 | 73</v>
      </c>
      <c r="BW59" s="106">
        <f t="shared" ca="1" si="57"/>
        <v>11.68</v>
      </c>
      <c r="BX59" s="106">
        <f t="shared" ca="1" si="1"/>
        <v>17.52</v>
      </c>
      <c r="BY59" s="106">
        <f t="shared" ca="1" si="2"/>
        <v>18.980000000000004</v>
      </c>
      <c r="BZ59" s="106">
        <f t="shared" ca="1" si="3"/>
        <v>14.6</v>
      </c>
      <c r="CA59" s="106">
        <f t="shared" ca="1" si="59"/>
        <v>10.219999999999999</v>
      </c>
    </row>
    <row r="60" spans="1:79" x14ac:dyDescent="0.35">
      <c r="A60" s="25" t="s">
        <v>74</v>
      </c>
      <c r="B60" s="10" t="s">
        <v>321</v>
      </c>
      <c r="C60" s="10" t="s">
        <v>341</v>
      </c>
      <c r="D60" s="10" t="s">
        <v>346</v>
      </c>
      <c r="E60" s="11">
        <v>45920</v>
      </c>
      <c r="F60" s="17">
        <v>45892</v>
      </c>
      <c r="G60" s="14">
        <f t="shared" ca="1" si="4"/>
        <v>207</v>
      </c>
      <c r="H60" s="17">
        <v>799</v>
      </c>
      <c r="I60" s="17">
        <v>410</v>
      </c>
      <c r="J60" s="75">
        <f t="shared" si="5"/>
        <v>793</v>
      </c>
      <c r="K60" s="17">
        <v>1100</v>
      </c>
      <c r="L60" s="85">
        <v>307</v>
      </c>
      <c r="M60" s="86">
        <f t="shared" ca="1" si="6"/>
        <v>1.4830917874396135</v>
      </c>
      <c r="N60" s="86">
        <f t="shared" si="7"/>
        <v>0.92883099285538351</v>
      </c>
      <c r="O60" s="86">
        <f t="shared" si="8"/>
        <v>0.93597560975609762</v>
      </c>
      <c r="P60" s="87">
        <f t="shared" si="9"/>
        <v>76.75</v>
      </c>
      <c r="Q60" s="104">
        <f t="shared" si="10"/>
        <v>10.332247557003257</v>
      </c>
      <c r="R60" s="88">
        <f t="shared" si="11"/>
        <v>48.685857321652065</v>
      </c>
      <c r="S60" s="88">
        <f t="shared" si="12"/>
        <v>27.90909090909091</v>
      </c>
      <c r="T60" s="13">
        <f t="shared" si="13"/>
        <v>3</v>
      </c>
      <c r="U60" s="13">
        <f t="shared" si="0"/>
        <v>1</v>
      </c>
      <c r="V60" s="13">
        <f t="shared" si="14"/>
        <v>2</v>
      </c>
      <c r="W60" s="13">
        <f t="shared" ca="1" si="15"/>
        <v>3</v>
      </c>
      <c r="X60" s="13">
        <f t="shared" ca="1" si="16"/>
        <v>9</v>
      </c>
      <c r="Y60" s="81" t="str">
        <f t="shared" ca="1" si="17"/>
        <v>RE-BUY</v>
      </c>
      <c r="Z60" s="13">
        <v>14</v>
      </c>
      <c r="AA60" s="75">
        <v>46059</v>
      </c>
      <c r="AB60" s="75">
        <f t="shared" si="18"/>
        <v>45920</v>
      </c>
      <c r="AC60" s="88">
        <f t="shared" si="19"/>
        <v>19.857142857142858</v>
      </c>
      <c r="AD60" s="89" t="str">
        <f t="shared" ca="1" si="20"/>
        <v>STABLE</v>
      </c>
      <c r="AE60" s="89" t="str">
        <f t="shared" si="21"/>
        <v>FAST SELLING</v>
      </c>
      <c r="AF60" s="89" t="str">
        <f t="shared" si="22"/>
        <v>AT RISK</v>
      </c>
      <c r="AG60" s="89" t="str">
        <f t="shared" si="23"/>
        <v>FEASIBLE</v>
      </c>
      <c r="AH60" s="81" t="str">
        <f t="shared" ca="1" si="24"/>
        <v>IMMEDIATE REBUY</v>
      </c>
      <c r="AI60" s="75">
        <f t="shared" ca="1" si="25"/>
        <v>914.42142857142846</v>
      </c>
      <c r="AJ60" s="75">
        <f t="shared" ca="1" si="26"/>
        <v>121.42142857142846</v>
      </c>
      <c r="AK60" s="13">
        <f t="shared" ca="1" si="56"/>
        <v>146</v>
      </c>
      <c r="AL60" s="79">
        <v>0.1</v>
      </c>
      <c r="AM60" s="79">
        <v>0.3</v>
      </c>
      <c r="AN60" s="79">
        <v>0.3</v>
      </c>
      <c r="AO60" s="79">
        <v>0.1</v>
      </c>
      <c r="AP60" s="79">
        <v>0.1</v>
      </c>
      <c r="AQ60" s="75">
        <f t="shared" si="28"/>
        <v>79.300000000000011</v>
      </c>
      <c r="AR60" s="75">
        <f t="shared" si="29"/>
        <v>237.89999999999998</v>
      </c>
      <c r="AS60" s="75">
        <f t="shared" si="30"/>
        <v>237.89999999999998</v>
      </c>
      <c r="AT60" s="75">
        <f t="shared" si="31"/>
        <v>79.300000000000011</v>
      </c>
      <c r="AU60" s="75">
        <f t="shared" si="62"/>
        <v>79.300000000000011</v>
      </c>
      <c r="AV60" s="13">
        <v>0.8</v>
      </c>
      <c r="AW60" s="13">
        <v>1.2</v>
      </c>
      <c r="AX60" s="13">
        <v>1.3</v>
      </c>
      <c r="AY60" s="13">
        <v>1</v>
      </c>
      <c r="AZ60" s="13">
        <v>0.7</v>
      </c>
      <c r="BA60" s="105">
        <f t="shared" si="33"/>
        <v>6.1400000000000006</v>
      </c>
      <c r="BB60" s="13">
        <f t="shared" si="34"/>
        <v>27.63</v>
      </c>
      <c r="BC60" s="13">
        <f t="shared" si="35"/>
        <v>29.932499999999997</v>
      </c>
      <c r="BD60" s="13">
        <f t="shared" si="36"/>
        <v>7.6750000000000007</v>
      </c>
      <c r="BE60" s="13">
        <f t="shared" si="37"/>
        <v>5.3725000000000005</v>
      </c>
      <c r="BF60" s="88">
        <f t="shared" si="38"/>
        <v>12.915309446254073</v>
      </c>
      <c r="BG60" s="88">
        <f t="shared" si="39"/>
        <v>8.6102062975027138</v>
      </c>
      <c r="BH60" s="88">
        <f t="shared" si="40"/>
        <v>7.9478827361563518</v>
      </c>
      <c r="BI60" s="88">
        <f t="shared" si="41"/>
        <v>10.332247557003258</v>
      </c>
      <c r="BJ60" s="88">
        <f t="shared" si="42"/>
        <v>14.760353652861797</v>
      </c>
      <c r="BK60" s="105">
        <f t="shared" si="43"/>
        <v>7.742749054224464E-2</v>
      </c>
      <c r="BL60" s="105">
        <f t="shared" si="44"/>
        <v>0.11614123581336697</v>
      </c>
      <c r="BM60" s="105">
        <f t="shared" si="60"/>
        <v>0.12581967213114753</v>
      </c>
      <c r="BN60" s="105">
        <f t="shared" si="58"/>
        <v>9.6784363177805796E-2</v>
      </c>
      <c r="BO60" s="105">
        <f t="shared" si="61"/>
        <v>6.7749054224464061E-2</v>
      </c>
      <c r="BP60" s="105">
        <f t="shared" si="48"/>
        <v>0.48392181588902905</v>
      </c>
      <c r="BQ60" s="79">
        <f t="shared" si="49"/>
        <v>0.15999999999999998</v>
      </c>
      <c r="BR60" s="79">
        <f t="shared" si="50"/>
        <v>0.24</v>
      </c>
      <c r="BS60" s="79">
        <f t="shared" si="51"/>
        <v>0.25999999999999995</v>
      </c>
      <c r="BT60" s="79">
        <f t="shared" si="52"/>
        <v>0.19999999999999998</v>
      </c>
      <c r="BU60" s="79">
        <f t="shared" si="53"/>
        <v>0.13999999999999999</v>
      </c>
      <c r="BV60" s="90" t="str">
        <f t="array" aca="1" ref="BV60" ca="1">_xlfn.TEXTJOIN(" ",TRUE,
_xlfn.TEXTJOIN(":",TRUE,ROUND(BK60:BO60/MIN(IF(BK60:BO60&gt;0,BK60:BO60)),0)),
"|",
ROUND(SUM(BW60:CA60),0))</f>
        <v>1:2:2:1:1 | 146</v>
      </c>
      <c r="BW60" s="106">
        <f t="shared" ca="1" si="57"/>
        <v>23.359999999999996</v>
      </c>
      <c r="BX60" s="106">
        <f t="shared" ca="1" si="1"/>
        <v>35.04</v>
      </c>
      <c r="BY60" s="106">
        <f t="shared" ca="1" si="2"/>
        <v>37.959999999999994</v>
      </c>
      <c r="BZ60" s="106">
        <f t="shared" ca="1" si="3"/>
        <v>29.2</v>
      </c>
      <c r="CA60" s="106">
        <f t="shared" ca="1" si="59"/>
        <v>20.439999999999998</v>
      </c>
    </row>
    <row r="61" spans="1:79" x14ac:dyDescent="0.35">
      <c r="A61" s="25" t="s">
        <v>75</v>
      </c>
      <c r="B61" s="10" t="s">
        <v>321</v>
      </c>
      <c r="C61" s="10" t="s">
        <v>341</v>
      </c>
      <c r="D61" s="10" t="s">
        <v>346</v>
      </c>
      <c r="E61" s="11">
        <v>45871</v>
      </c>
      <c r="F61" s="17">
        <v>45892</v>
      </c>
      <c r="G61" s="14">
        <f t="shared" ca="1" si="4"/>
        <v>207</v>
      </c>
      <c r="H61" s="17">
        <v>799</v>
      </c>
      <c r="I61" s="17">
        <v>425</v>
      </c>
      <c r="J61" s="75">
        <f t="shared" si="5"/>
        <v>1155</v>
      </c>
      <c r="K61" s="17">
        <v>1200</v>
      </c>
      <c r="L61" s="85">
        <v>45</v>
      </c>
      <c r="M61" s="86">
        <f t="shared" ca="1" si="6"/>
        <v>0.21739130434782608</v>
      </c>
      <c r="N61" s="86">
        <f t="shared" si="7"/>
        <v>0.92883099285538351</v>
      </c>
      <c r="O61" s="86">
        <f t="shared" si="8"/>
        <v>0.13719512195121952</v>
      </c>
      <c r="P61" s="87">
        <f t="shared" si="9"/>
        <v>11.25</v>
      </c>
      <c r="Q61" s="104">
        <f t="shared" si="10"/>
        <v>102.66666666666667</v>
      </c>
      <c r="R61" s="88">
        <f t="shared" si="11"/>
        <v>46.808510638297875</v>
      </c>
      <c r="S61" s="88">
        <f t="shared" si="12"/>
        <v>3.75</v>
      </c>
      <c r="T61" s="13">
        <f t="shared" si="13"/>
        <v>1</v>
      </c>
      <c r="U61" s="13">
        <f t="shared" si="0"/>
        <v>1</v>
      </c>
      <c r="V61" s="13">
        <f t="shared" si="14"/>
        <v>2</v>
      </c>
      <c r="W61" s="13">
        <f t="shared" ca="1" si="15"/>
        <v>3</v>
      </c>
      <c r="X61" s="13">
        <f t="shared" ca="1" si="16"/>
        <v>7</v>
      </c>
      <c r="Y61" s="81" t="str">
        <f t="shared" ca="1" si="17"/>
        <v>MONITOR</v>
      </c>
      <c r="Z61" s="13">
        <v>14</v>
      </c>
      <c r="AA61" s="75">
        <v>46059</v>
      </c>
      <c r="AB61" s="75">
        <f t="shared" si="18"/>
        <v>45920</v>
      </c>
      <c r="AC61" s="88">
        <f t="shared" si="19"/>
        <v>19.857142857142858</v>
      </c>
      <c r="AD61" s="89" t="str">
        <f t="shared" ca="1" si="20"/>
        <v>STABLE</v>
      </c>
      <c r="AE61" s="89" t="str">
        <f t="shared" si="21"/>
        <v>SLOW SELLING</v>
      </c>
      <c r="AF61" s="89" t="str">
        <f t="shared" si="22"/>
        <v>AT RISK</v>
      </c>
      <c r="AG61" s="89" t="str">
        <f t="shared" si="23"/>
        <v>FEASIBLE</v>
      </c>
      <c r="AH61" s="81" t="str">
        <f t="shared" ca="1" si="24"/>
        <v>MONITOR</v>
      </c>
      <c r="AI61" s="75">
        <f t="shared" ca="1" si="25"/>
        <v>0</v>
      </c>
      <c r="AJ61" s="75">
        <f t="shared" ca="1" si="26"/>
        <v>-1155</v>
      </c>
      <c r="AK61" s="13">
        <f t="shared" ca="1" si="56"/>
        <v>-1386</v>
      </c>
      <c r="AL61" s="79">
        <v>0.1</v>
      </c>
      <c r="AM61" s="79">
        <v>0.3</v>
      </c>
      <c r="AN61" s="79">
        <v>0.3</v>
      </c>
      <c r="AO61" s="79">
        <v>0.1</v>
      </c>
      <c r="AP61" s="79">
        <v>0.1</v>
      </c>
      <c r="AQ61" s="75">
        <f t="shared" si="28"/>
        <v>115.5</v>
      </c>
      <c r="AR61" s="75">
        <f t="shared" si="29"/>
        <v>346.5</v>
      </c>
      <c r="AS61" s="75">
        <f t="shared" si="30"/>
        <v>346.5</v>
      </c>
      <c r="AT61" s="75">
        <f t="shared" si="31"/>
        <v>115.5</v>
      </c>
      <c r="AU61" s="75">
        <f t="shared" si="62"/>
        <v>115.5</v>
      </c>
      <c r="AV61" s="13">
        <v>0.8</v>
      </c>
      <c r="AW61" s="13">
        <v>1.2</v>
      </c>
      <c r="AX61" s="13">
        <v>1.3</v>
      </c>
      <c r="AY61" s="13">
        <v>1</v>
      </c>
      <c r="AZ61" s="13">
        <v>0.7</v>
      </c>
      <c r="BA61" s="105">
        <f t="shared" si="33"/>
        <v>0.9</v>
      </c>
      <c r="BB61" s="13">
        <f t="shared" si="34"/>
        <v>4.05</v>
      </c>
      <c r="BC61" s="13">
        <f t="shared" si="35"/>
        <v>4.3875000000000002</v>
      </c>
      <c r="BD61" s="13">
        <f t="shared" si="36"/>
        <v>1.125</v>
      </c>
      <c r="BE61" s="13">
        <f t="shared" si="37"/>
        <v>0.78749999999999998</v>
      </c>
      <c r="BF61" s="88">
        <f t="shared" si="38"/>
        <v>128.33333333333334</v>
      </c>
      <c r="BG61" s="88">
        <f t="shared" si="39"/>
        <v>85.555555555555557</v>
      </c>
      <c r="BH61" s="88">
        <f t="shared" si="40"/>
        <v>78.974358974358978</v>
      </c>
      <c r="BI61" s="88">
        <f t="shared" si="41"/>
        <v>102.66666666666667</v>
      </c>
      <c r="BJ61" s="88">
        <f t="shared" si="42"/>
        <v>146.66666666666666</v>
      </c>
      <c r="BK61" s="105">
        <f t="shared" si="43"/>
        <v>7.7922077922077913E-3</v>
      </c>
      <c r="BL61" s="105">
        <f t="shared" si="44"/>
        <v>1.1688311688311689E-2</v>
      </c>
      <c r="BM61" s="105">
        <f t="shared" si="60"/>
        <v>1.2662337662337661E-2</v>
      </c>
      <c r="BN61" s="105">
        <f t="shared" si="58"/>
        <v>9.74025974025974E-3</v>
      </c>
      <c r="BO61" s="105">
        <f t="shared" si="61"/>
        <v>6.8181818181818187E-3</v>
      </c>
      <c r="BP61" s="105">
        <f t="shared" si="48"/>
        <v>4.8701298701298704E-2</v>
      </c>
      <c r="BQ61" s="79">
        <f t="shared" si="49"/>
        <v>0.15999999999999998</v>
      </c>
      <c r="BR61" s="79">
        <f t="shared" si="50"/>
        <v>0.24</v>
      </c>
      <c r="BS61" s="79">
        <f t="shared" si="51"/>
        <v>0.25999999999999995</v>
      </c>
      <c r="BT61" s="79">
        <f t="shared" si="52"/>
        <v>0.19999999999999998</v>
      </c>
      <c r="BU61" s="79">
        <f t="shared" si="53"/>
        <v>0.14000000000000001</v>
      </c>
      <c r="BV61" s="90" t="str">
        <f t="array" aca="1" ref="BV61" ca="1">_xlfn.TEXTJOIN(" ",TRUE,
_xlfn.TEXTJOIN(":",TRUE,ROUND(BK61:BO61/MIN(IF(BK61:BO61&gt;0,BK61:BO61)),0)),
"|",
ROUND(SUM(BW61:CA61),0))</f>
        <v>1:2:2:1:1 | -1386</v>
      </c>
      <c r="BW61" s="106">
        <f t="shared" ca="1" si="57"/>
        <v>-221.75999999999996</v>
      </c>
      <c r="BX61" s="106">
        <f t="shared" ca="1" si="1"/>
        <v>-332.64</v>
      </c>
      <c r="BY61" s="106">
        <f t="shared" ca="1" si="2"/>
        <v>-360.35999999999996</v>
      </c>
      <c r="BZ61" s="106">
        <f t="shared" ca="1" si="3"/>
        <v>-277.2</v>
      </c>
      <c r="CA61" s="106">
        <f t="shared" ca="1" si="59"/>
        <v>-194.04000000000002</v>
      </c>
    </row>
    <row r="62" spans="1:79" x14ac:dyDescent="0.35">
      <c r="A62" s="25" t="s">
        <v>76</v>
      </c>
      <c r="B62" s="10" t="s">
        <v>316</v>
      </c>
      <c r="C62" s="10" t="s">
        <v>341</v>
      </c>
      <c r="D62" s="10" t="s">
        <v>346</v>
      </c>
      <c r="E62" s="11">
        <v>45871</v>
      </c>
      <c r="F62" s="17">
        <v>45892</v>
      </c>
      <c r="G62" s="14">
        <f t="shared" ca="1" si="4"/>
        <v>207</v>
      </c>
      <c r="H62" s="17">
        <v>799</v>
      </c>
      <c r="I62" s="17">
        <v>410</v>
      </c>
      <c r="J62" s="75">
        <f t="shared" si="5"/>
        <v>821</v>
      </c>
      <c r="K62" s="17">
        <v>1200</v>
      </c>
      <c r="L62" s="85">
        <v>379</v>
      </c>
      <c r="M62" s="86">
        <f t="shared" ca="1" si="6"/>
        <v>1.8309178743961352</v>
      </c>
      <c r="N62" s="86">
        <f t="shared" si="7"/>
        <v>0.92883099285538351</v>
      </c>
      <c r="O62" s="86">
        <f t="shared" si="8"/>
        <v>1.1554878048780488</v>
      </c>
      <c r="P62" s="87">
        <f t="shared" si="9"/>
        <v>94.75</v>
      </c>
      <c r="Q62" s="104">
        <f t="shared" si="10"/>
        <v>8.6649076517150387</v>
      </c>
      <c r="R62" s="88">
        <f t="shared" si="11"/>
        <v>48.685857321652065</v>
      </c>
      <c r="S62" s="88">
        <f t="shared" si="12"/>
        <v>31.583333333333336</v>
      </c>
      <c r="T62" s="13">
        <f t="shared" si="13"/>
        <v>3</v>
      </c>
      <c r="U62" s="13">
        <f t="shared" si="0"/>
        <v>1</v>
      </c>
      <c r="V62" s="13">
        <f t="shared" si="14"/>
        <v>2</v>
      </c>
      <c r="W62" s="13">
        <f t="shared" ca="1" si="15"/>
        <v>3</v>
      </c>
      <c r="X62" s="13">
        <f t="shared" ca="1" si="16"/>
        <v>9</v>
      </c>
      <c r="Y62" s="81" t="str">
        <f t="shared" ca="1" si="17"/>
        <v>RE-BUY</v>
      </c>
      <c r="Z62" s="13">
        <v>14</v>
      </c>
      <c r="AA62" s="75">
        <v>46059</v>
      </c>
      <c r="AB62" s="75">
        <f t="shared" si="18"/>
        <v>45920</v>
      </c>
      <c r="AC62" s="88">
        <f t="shared" si="19"/>
        <v>19.857142857142858</v>
      </c>
      <c r="AD62" s="89" t="str">
        <f t="shared" ca="1" si="20"/>
        <v>STABLE</v>
      </c>
      <c r="AE62" s="89" t="str">
        <f t="shared" si="21"/>
        <v>FAST SELLING</v>
      </c>
      <c r="AF62" s="89" t="str">
        <f t="shared" si="22"/>
        <v>AT RISK</v>
      </c>
      <c r="AG62" s="89" t="str">
        <f t="shared" si="23"/>
        <v>FEASIBLE</v>
      </c>
      <c r="AH62" s="81" t="str">
        <f t="shared" ca="1" si="24"/>
        <v>IMMEDIATE REBUY</v>
      </c>
      <c r="AI62" s="75">
        <f t="shared" ca="1" si="25"/>
        <v>1128.8785714285714</v>
      </c>
      <c r="AJ62" s="75">
        <f t="shared" ca="1" si="26"/>
        <v>307.87857142857138</v>
      </c>
      <c r="AK62" s="13">
        <f t="shared" ca="1" si="56"/>
        <v>369</v>
      </c>
      <c r="AL62" s="79">
        <v>0.1</v>
      </c>
      <c r="AM62" s="79">
        <v>0.3</v>
      </c>
      <c r="AN62" s="79">
        <v>0.3</v>
      </c>
      <c r="AO62" s="79">
        <v>0.1</v>
      </c>
      <c r="AP62" s="79">
        <v>0.1</v>
      </c>
      <c r="AQ62" s="75">
        <f t="shared" si="28"/>
        <v>82.100000000000009</v>
      </c>
      <c r="AR62" s="75">
        <f t="shared" si="29"/>
        <v>246.29999999999998</v>
      </c>
      <c r="AS62" s="75">
        <f t="shared" si="30"/>
        <v>246.29999999999998</v>
      </c>
      <c r="AT62" s="75">
        <f t="shared" si="31"/>
        <v>82.100000000000009</v>
      </c>
      <c r="AU62" s="75">
        <f t="shared" si="62"/>
        <v>82.100000000000009</v>
      </c>
      <c r="AV62" s="13">
        <v>0.8</v>
      </c>
      <c r="AW62" s="13">
        <v>1.2</v>
      </c>
      <c r="AX62" s="13">
        <v>1.3</v>
      </c>
      <c r="AY62" s="13">
        <v>1</v>
      </c>
      <c r="AZ62" s="13">
        <v>0.7</v>
      </c>
      <c r="BA62" s="105">
        <f t="shared" si="33"/>
        <v>7.58</v>
      </c>
      <c r="BB62" s="13">
        <f t="shared" si="34"/>
        <v>34.11</v>
      </c>
      <c r="BC62" s="13">
        <f t="shared" si="35"/>
        <v>36.952500000000001</v>
      </c>
      <c r="BD62" s="13">
        <f t="shared" si="36"/>
        <v>9.4749999999999996</v>
      </c>
      <c r="BE62" s="13">
        <f t="shared" si="37"/>
        <v>6.6324999999999994</v>
      </c>
      <c r="BF62" s="88">
        <f t="shared" si="38"/>
        <v>10.831134564643801</v>
      </c>
      <c r="BG62" s="88">
        <f t="shared" si="39"/>
        <v>7.2207563764291995</v>
      </c>
      <c r="BH62" s="88">
        <f t="shared" si="40"/>
        <v>6.6653135782423378</v>
      </c>
      <c r="BI62" s="88">
        <f t="shared" si="41"/>
        <v>8.6649076517150405</v>
      </c>
      <c r="BJ62" s="88">
        <f t="shared" si="42"/>
        <v>12.378439502450059</v>
      </c>
      <c r="BK62" s="105">
        <f t="shared" si="43"/>
        <v>9.2326431181485979E-2</v>
      </c>
      <c r="BL62" s="105">
        <f t="shared" si="44"/>
        <v>0.138489646772229</v>
      </c>
      <c r="BM62" s="105">
        <f t="shared" si="60"/>
        <v>0.15003045066991474</v>
      </c>
      <c r="BN62" s="105">
        <f t="shared" si="58"/>
        <v>0.11540803897685747</v>
      </c>
      <c r="BO62" s="105">
        <f t="shared" si="61"/>
        <v>8.0785627283800232E-2</v>
      </c>
      <c r="BP62" s="105">
        <f t="shared" si="48"/>
        <v>0.57704019488428737</v>
      </c>
      <c r="BQ62" s="79">
        <f t="shared" si="49"/>
        <v>0.16</v>
      </c>
      <c r="BR62" s="79">
        <f t="shared" si="50"/>
        <v>0.24000000000000005</v>
      </c>
      <c r="BS62" s="79">
        <f t="shared" si="51"/>
        <v>0.26000000000000006</v>
      </c>
      <c r="BT62" s="79">
        <f t="shared" si="52"/>
        <v>0.2</v>
      </c>
      <c r="BU62" s="79">
        <f t="shared" si="53"/>
        <v>0.14000000000000001</v>
      </c>
      <c r="BV62" s="90" t="str">
        <f t="array" aca="1" ref="BV62" ca="1">_xlfn.TEXTJOIN(" ",TRUE,
_xlfn.TEXTJOIN(":",TRUE,ROUND(BK62:BO62/MIN(IF(BK62:BO62&gt;0,BK62:BO62)),0)),
"|",
ROUND(SUM(BW62:CA62),0))</f>
        <v>1:2:2:1:1 | 369</v>
      </c>
      <c r="BW62" s="106">
        <f t="shared" ca="1" si="57"/>
        <v>59.04</v>
      </c>
      <c r="BX62" s="106">
        <f t="shared" ca="1" si="1"/>
        <v>88.560000000000016</v>
      </c>
      <c r="BY62" s="106">
        <f t="shared" ca="1" si="2"/>
        <v>95.940000000000026</v>
      </c>
      <c r="BZ62" s="106">
        <f t="shared" ca="1" si="3"/>
        <v>73.8</v>
      </c>
      <c r="CA62" s="106">
        <f t="shared" ca="1" si="59"/>
        <v>51.660000000000004</v>
      </c>
    </row>
    <row r="63" spans="1:79" x14ac:dyDescent="0.35">
      <c r="A63" s="25" t="s">
        <v>77</v>
      </c>
      <c r="B63" s="10" t="s">
        <v>321</v>
      </c>
      <c r="C63" s="10" t="s">
        <v>341</v>
      </c>
      <c r="D63" s="10" t="s">
        <v>346</v>
      </c>
      <c r="E63" s="11">
        <v>45871</v>
      </c>
      <c r="F63" s="17">
        <v>45892</v>
      </c>
      <c r="G63" s="14">
        <f t="shared" ca="1" si="4"/>
        <v>207</v>
      </c>
      <c r="H63" s="17">
        <v>799</v>
      </c>
      <c r="I63" s="17">
        <v>425</v>
      </c>
      <c r="J63" s="75">
        <f t="shared" si="5"/>
        <v>955</v>
      </c>
      <c r="K63" s="17">
        <v>1200</v>
      </c>
      <c r="L63" s="85">
        <v>245</v>
      </c>
      <c r="M63" s="86">
        <f t="shared" ca="1" si="6"/>
        <v>1.1835748792270531</v>
      </c>
      <c r="N63" s="86">
        <f t="shared" si="7"/>
        <v>0.92883099285538351</v>
      </c>
      <c r="O63" s="86">
        <f t="shared" si="8"/>
        <v>0.74695121951219512</v>
      </c>
      <c r="P63" s="87">
        <f t="shared" si="9"/>
        <v>61.25</v>
      </c>
      <c r="Q63" s="104">
        <f t="shared" si="10"/>
        <v>15.591836734693878</v>
      </c>
      <c r="R63" s="88">
        <f t="shared" si="11"/>
        <v>46.808510638297875</v>
      </c>
      <c r="S63" s="88">
        <f t="shared" si="12"/>
        <v>20.416666666666668</v>
      </c>
      <c r="T63" s="13">
        <f t="shared" si="13"/>
        <v>2</v>
      </c>
      <c r="U63" s="13">
        <f t="shared" si="0"/>
        <v>1</v>
      </c>
      <c r="V63" s="13">
        <f t="shared" si="14"/>
        <v>2</v>
      </c>
      <c r="W63" s="13">
        <f t="shared" ca="1" si="15"/>
        <v>3</v>
      </c>
      <c r="X63" s="13">
        <f t="shared" ca="1" si="16"/>
        <v>8</v>
      </c>
      <c r="Y63" s="81" t="str">
        <f t="shared" ca="1" si="17"/>
        <v>MONITOR</v>
      </c>
      <c r="Z63" s="13">
        <v>14</v>
      </c>
      <c r="AA63" s="75">
        <v>46059</v>
      </c>
      <c r="AB63" s="75">
        <f t="shared" si="18"/>
        <v>45920</v>
      </c>
      <c r="AC63" s="88">
        <f t="shared" si="19"/>
        <v>19.857142857142858</v>
      </c>
      <c r="AD63" s="89" t="str">
        <f t="shared" ca="1" si="20"/>
        <v>STABLE</v>
      </c>
      <c r="AE63" s="89" t="str">
        <f t="shared" si="21"/>
        <v>SLOW SELLING</v>
      </c>
      <c r="AF63" s="89" t="str">
        <f t="shared" si="22"/>
        <v>AT RISK</v>
      </c>
      <c r="AG63" s="89" t="str">
        <f t="shared" si="23"/>
        <v>FEASIBLE</v>
      </c>
      <c r="AH63" s="81" t="str">
        <f t="shared" ca="1" si="24"/>
        <v>MONITOR</v>
      </c>
      <c r="AI63" s="75">
        <f t="shared" ca="1" si="25"/>
        <v>0</v>
      </c>
      <c r="AJ63" s="75">
        <f t="shared" ca="1" si="26"/>
        <v>-955</v>
      </c>
      <c r="AK63" s="13">
        <f t="shared" ca="1" si="56"/>
        <v>-1146</v>
      </c>
      <c r="AL63" s="79">
        <v>0.1</v>
      </c>
      <c r="AM63" s="79">
        <v>0.3</v>
      </c>
      <c r="AN63" s="79">
        <v>0.3</v>
      </c>
      <c r="AO63" s="79">
        <v>0.1</v>
      </c>
      <c r="AP63" s="79">
        <v>0.1</v>
      </c>
      <c r="AQ63" s="75">
        <f t="shared" si="28"/>
        <v>95.5</v>
      </c>
      <c r="AR63" s="75">
        <f t="shared" si="29"/>
        <v>286.5</v>
      </c>
      <c r="AS63" s="75">
        <f t="shared" si="30"/>
        <v>286.5</v>
      </c>
      <c r="AT63" s="75">
        <f t="shared" si="31"/>
        <v>95.5</v>
      </c>
      <c r="AU63" s="75">
        <f t="shared" si="62"/>
        <v>95.5</v>
      </c>
      <c r="AV63" s="13">
        <v>0.8</v>
      </c>
      <c r="AW63" s="13">
        <v>1.2</v>
      </c>
      <c r="AX63" s="13">
        <v>1.3</v>
      </c>
      <c r="AY63" s="13">
        <v>1</v>
      </c>
      <c r="AZ63" s="13">
        <v>0.7</v>
      </c>
      <c r="BA63" s="105">
        <f t="shared" si="33"/>
        <v>4.9000000000000004</v>
      </c>
      <c r="BB63" s="13">
        <f t="shared" si="34"/>
        <v>22.05</v>
      </c>
      <c r="BC63" s="13">
        <f t="shared" si="35"/>
        <v>23.887499999999999</v>
      </c>
      <c r="BD63" s="13">
        <f t="shared" si="36"/>
        <v>6.125</v>
      </c>
      <c r="BE63" s="13">
        <f t="shared" si="37"/>
        <v>4.2874999999999996</v>
      </c>
      <c r="BF63" s="88">
        <f t="shared" si="38"/>
        <v>19.489795918367346</v>
      </c>
      <c r="BG63" s="88">
        <f t="shared" si="39"/>
        <v>12.993197278911564</v>
      </c>
      <c r="BH63" s="88">
        <f t="shared" si="40"/>
        <v>11.993720565149136</v>
      </c>
      <c r="BI63" s="88">
        <f t="shared" si="41"/>
        <v>15.591836734693878</v>
      </c>
      <c r="BJ63" s="88">
        <f t="shared" si="42"/>
        <v>22.274052478134113</v>
      </c>
      <c r="BK63" s="105">
        <f t="shared" si="43"/>
        <v>5.1308900523560214E-2</v>
      </c>
      <c r="BL63" s="105">
        <f t="shared" si="44"/>
        <v>7.696335078534032E-2</v>
      </c>
      <c r="BM63" s="105">
        <f t="shared" si="60"/>
        <v>8.3376963350785344E-2</v>
      </c>
      <c r="BN63" s="105">
        <f t="shared" si="58"/>
        <v>6.413612565445026E-2</v>
      </c>
      <c r="BO63" s="105">
        <f t="shared" si="61"/>
        <v>4.4895287958115176E-2</v>
      </c>
      <c r="BP63" s="105">
        <f t="shared" si="48"/>
        <v>0.3206806282722513</v>
      </c>
      <c r="BQ63" s="79">
        <f t="shared" si="49"/>
        <v>0.16000000000000003</v>
      </c>
      <c r="BR63" s="79">
        <f t="shared" si="50"/>
        <v>0.24000000000000002</v>
      </c>
      <c r="BS63" s="79">
        <f t="shared" si="51"/>
        <v>0.26</v>
      </c>
      <c r="BT63" s="79">
        <f t="shared" si="52"/>
        <v>0.2</v>
      </c>
      <c r="BU63" s="79">
        <f t="shared" si="53"/>
        <v>0.13999999999999999</v>
      </c>
      <c r="BV63" s="90" t="str">
        <f t="array" aca="1" ref="BV63" ca="1">_xlfn.TEXTJOIN(" ",TRUE,
_xlfn.TEXTJOIN(":",TRUE,ROUND(BK63:BO63/MIN(IF(BK63:BO63&gt;0,BK63:BO63)),0)),
"|",
ROUND(SUM(BW63:CA63),0))</f>
        <v>1:2:2:1:1 | -1146</v>
      </c>
      <c r="BW63" s="106">
        <f t="shared" ca="1" si="57"/>
        <v>-183.36000000000004</v>
      </c>
      <c r="BX63" s="106">
        <f t="shared" ca="1" si="1"/>
        <v>-275.04000000000002</v>
      </c>
      <c r="BY63" s="106">
        <f t="shared" ca="1" si="2"/>
        <v>-297.96000000000004</v>
      </c>
      <c r="BZ63" s="106">
        <f t="shared" ca="1" si="3"/>
        <v>-229.20000000000002</v>
      </c>
      <c r="CA63" s="106">
        <f t="shared" ca="1" si="59"/>
        <v>-160.43999999999997</v>
      </c>
    </row>
    <row r="64" spans="1:79" x14ac:dyDescent="0.35">
      <c r="A64" s="25" t="s">
        <v>78</v>
      </c>
      <c r="B64" s="10" t="s">
        <v>316</v>
      </c>
      <c r="C64" s="10" t="s">
        <v>341</v>
      </c>
      <c r="D64" s="10" t="s">
        <v>346</v>
      </c>
      <c r="E64" s="11">
        <v>45920</v>
      </c>
      <c r="F64" s="17">
        <v>45892</v>
      </c>
      <c r="G64" s="14">
        <f t="shared" ca="1" si="4"/>
        <v>207</v>
      </c>
      <c r="H64" s="17">
        <v>799</v>
      </c>
      <c r="I64" s="17">
        <v>410</v>
      </c>
      <c r="J64" s="75">
        <f t="shared" si="5"/>
        <v>1039</v>
      </c>
      <c r="K64" s="17">
        <v>1200</v>
      </c>
      <c r="L64" s="85">
        <v>161</v>
      </c>
      <c r="M64" s="86">
        <f t="shared" ca="1" si="6"/>
        <v>0.77777777777777779</v>
      </c>
      <c r="N64" s="86">
        <f t="shared" si="7"/>
        <v>0.92883099285538351</v>
      </c>
      <c r="O64" s="86">
        <f t="shared" si="8"/>
        <v>0.49085365853658536</v>
      </c>
      <c r="P64" s="87">
        <f t="shared" si="9"/>
        <v>40.25</v>
      </c>
      <c r="Q64" s="104">
        <f t="shared" si="10"/>
        <v>25.813664596273291</v>
      </c>
      <c r="R64" s="88">
        <f t="shared" si="11"/>
        <v>48.685857321652065</v>
      </c>
      <c r="S64" s="88">
        <f t="shared" si="12"/>
        <v>13.416666666666666</v>
      </c>
      <c r="T64" s="13">
        <f t="shared" si="13"/>
        <v>1</v>
      </c>
      <c r="U64" s="13">
        <f t="shared" si="0"/>
        <v>1</v>
      </c>
      <c r="V64" s="13">
        <f t="shared" si="14"/>
        <v>2</v>
      </c>
      <c r="W64" s="13">
        <f t="shared" ca="1" si="15"/>
        <v>3</v>
      </c>
      <c r="X64" s="13">
        <f t="shared" ca="1" si="16"/>
        <v>7</v>
      </c>
      <c r="Y64" s="81" t="str">
        <f t="shared" ca="1" si="17"/>
        <v>MONITOR</v>
      </c>
      <c r="Z64" s="13">
        <v>14</v>
      </c>
      <c r="AA64" s="75">
        <v>46059</v>
      </c>
      <c r="AB64" s="75">
        <f t="shared" si="18"/>
        <v>45920</v>
      </c>
      <c r="AC64" s="88">
        <f t="shared" si="19"/>
        <v>19.857142857142858</v>
      </c>
      <c r="AD64" s="89" t="str">
        <f t="shared" ca="1" si="20"/>
        <v>STABLE</v>
      </c>
      <c r="AE64" s="89" t="str">
        <f t="shared" si="21"/>
        <v>SLOW SELLING</v>
      </c>
      <c r="AF64" s="89" t="str">
        <f t="shared" si="22"/>
        <v>AT RISK</v>
      </c>
      <c r="AG64" s="89" t="str">
        <f t="shared" si="23"/>
        <v>FEASIBLE</v>
      </c>
      <c r="AH64" s="81" t="str">
        <f t="shared" ca="1" si="24"/>
        <v>MONITOR</v>
      </c>
      <c r="AI64" s="75">
        <f t="shared" ca="1" si="25"/>
        <v>0</v>
      </c>
      <c r="AJ64" s="75">
        <f t="shared" ca="1" si="26"/>
        <v>-1039</v>
      </c>
      <c r="AK64" s="13">
        <f t="shared" ca="1" si="56"/>
        <v>-1247</v>
      </c>
      <c r="AL64" s="79">
        <v>0.1</v>
      </c>
      <c r="AM64" s="79">
        <v>0.3</v>
      </c>
      <c r="AN64" s="79">
        <v>0.3</v>
      </c>
      <c r="AO64" s="79">
        <v>0.1</v>
      </c>
      <c r="AP64" s="79">
        <v>0.1</v>
      </c>
      <c r="AQ64" s="75">
        <f t="shared" si="28"/>
        <v>103.9</v>
      </c>
      <c r="AR64" s="75">
        <f t="shared" si="29"/>
        <v>311.7</v>
      </c>
      <c r="AS64" s="75">
        <f t="shared" si="30"/>
        <v>311.7</v>
      </c>
      <c r="AT64" s="75">
        <f t="shared" si="31"/>
        <v>103.9</v>
      </c>
      <c r="AU64" s="75">
        <f t="shared" si="62"/>
        <v>103.9</v>
      </c>
      <c r="AV64" s="13">
        <v>0.8</v>
      </c>
      <c r="AW64" s="13">
        <v>1.2</v>
      </c>
      <c r="AX64" s="13">
        <v>1.3</v>
      </c>
      <c r="AY64" s="13">
        <v>1</v>
      </c>
      <c r="AZ64" s="13">
        <v>0.7</v>
      </c>
      <c r="BA64" s="105">
        <f t="shared" si="33"/>
        <v>3.2200000000000006</v>
      </c>
      <c r="BB64" s="13">
        <f t="shared" si="34"/>
        <v>14.489999999999998</v>
      </c>
      <c r="BC64" s="13">
        <f t="shared" si="35"/>
        <v>15.6975</v>
      </c>
      <c r="BD64" s="13">
        <f t="shared" si="36"/>
        <v>4.0250000000000004</v>
      </c>
      <c r="BE64" s="13">
        <f t="shared" si="37"/>
        <v>2.8174999999999999</v>
      </c>
      <c r="BF64" s="88">
        <f t="shared" si="38"/>
        <v>32.267080745341609</v>
      </c>
      <c r="BG64" s="88">
        <f t="shared" si="39"/>
        <v>21.511387163561078</v>
      </c>
      <c r="BH64" s="88">
        <f t="shared" si="40"/>
        <v>19.856665074056377</v>
      </c>
      <c r="BI64" s="88">
        <f t="shared" si="41"/>
        <v>25.813664596273291</v>
      </c>
      <c r="BJ64" s="88">
        <f t="shared" si="42"/>
        <v>36.87666370896185</v>
      </c>
      <c r="BK64" s="105">
        <f t="shared" si="43"/>
        <v>3.0991337824831575E-2</v>
      </c>
      <c r="BL64" s="105">
        <f t="shared" si="44"/>
        <v>4.6487006737247351E-2</v>
      </c>
      <c r="BM64" s="105">
        <f t="shared" si="60"/>
        <v>5.0360923965351301E-2</v>
      </c>
      <c r="BN64" s="105">
        <f t="shared" si="58"/>
        <v>3.8739172281039465E-2</v>
      </c>
      <c r="BO64" s="105">
        <f t="shared" si="61"/>
        <v>2.7117420596727618E-2</v>
      </c>
      <c r="BP64" s="105">
        <f t="shared" si="48"/>
        <v>0.19369586140519729</v>
      </c>
      <c r="BQ64" s="79">
        <f t="shared" si="49"/>
        <v>0.16000000000000006</v>
      </c>
      <c r="BR64" s="79">
        <f t="shared" si="50"/>
        <v>0.24000000000000002</v>
      </c>
      <c r="BS64" s="79">
        <f t="shared" si="51"/>
        <v>0.26</v>
      </c>
      <c r="BT64" s="79">
        <f t="shared" si="52"/>
        <v>0.20000000000000004</v>
      </c>
      <c r="BU64" s="79">
        <f t="shared" si="53"/>
        <v>0.13999999999999999</v>
      </c>
      <c r="BV64" s="90" t="str">
        <f t="array" aca="1" ref="BV64" ca="1">_xlfn.TEXTJOIN(" ",TRUE,
_xlfn.TEXTJOIN(":",TRUE,ROUND(BK64:BO64/MIN(IF(BK64:BO64&gt;0,BK64:BO64)),0)),
"|",
ROUND(SUM(BW64:CA64),0))</f>
        <v>1:2:2:1:1 | -1247</v>
      </c>
      <c r="BW64" s="106">
        <f t="shared" ca="1" si="57"/>
        <v>-199.52000000000007</v>
      </c>
      <c r="BX64" s="106">
        <f t="shared" ca="1" si="1"/>
        <v>-299.28000000000003</v>
      </c>
      <c r="BY64" s="106">
        <f t="shared" ca="1" si="2"/>
        <v>-324.22000000000003</v>
      </c>
      <c r="BZ64" s="106">
        <f t="shared" ca="1" si="3"/>
        <v>-249.40000000000006</v>
      </c>
      <c r="CA64" s="106">
        <f t="shared" ca="1" si="59"/>
        <v>-174.57999999999998</v>
      </c>
    </row>
    <row r="65" spans="1:79" x14ac:dyDescent="0.35">
      <c r="A65" s="25" t="s">
        <v>79</v>
      </c>
      <c r="B65" s="10" t="s">
        <v>321</v>
      </c>
      <c r="C65" s="10" t="s">
        <v>341</v>
      </c>
      <c r="D65" s="10" t="s">
        <v>346</v>
      </c>
      <c r="E65" s="11">
        <v>45871</v>
      </c>
      <c r="F65" s="17">
        <v>45892</v>
      </c>
      <c r="G65" s="14">
        <f t="shared" ca="1" si="4"/>
        <v>207</v>
      </c>
      <c r="H65" s="17">
        <v>799</v>
      </c>
      <c r="I65" s="17">
        <v>425</v>
      </c>
      <c r="J65" s="75">
        <f t="shared" si="5"/>
        <v>1198</v>
      </c>
      <c r="K65" s="17">
        <v>1300</v>
      </c>
      <c r="L65" s="85">
        <v>102</v>
      </c>
      <c r="M65" s="86">
        <f t="shared" ca="1" si="6"/>
        <v>0.49275362318840582</v>
      </c>
      <c r="N65" s="86">
        <f t="shared" si="7"/>
        <v>0.92883099285538351</v>
      </c>
      <c r="O65" s="86">
        <f t="shared" si="8"/>
        <v>0.31097560975609756</v>
      </c>
      <c r="P65" s="87">
        <f t="shared" si="9"/>
        <v>25.5</v>
      </c>
      <c r="Q65" s="104">
        <f t="shared" si="10"/>
        <v>46.980392156862742</v>
      </c>
      <c r="R65" s="88">
        <f t="shared" si="11"/>
        <v>46.808510638297875</v>
      </c>
      <c r="S65" s="88">
        <f t="shared" si="12"/>
        <v>7.8461538461538458</v>
      </c>
      <c r="T65" s="13">
        <f t="shared" si="13"/>
        <v>1</v>
      </c>
      <c r="U65" s="13">
        <f t="shared" si="0"/>
        <v>1</v>
      </c>
      <c r="V65" s="13">
        <f t="shared" si="14"/>
        <v>2</v>
      </c>
      <c r="W65" s="13">
        <f t="shared" ca="1" si="15"/>
        <v>3</v>
      </c>
      <c r="X65" s="13">
        <f t="shared" ca="1" si="16"/>
        <v>7</v>
      </c>
      <c r="Y65" s="81" t="str">
        <f t="shared" ca="1" si="17"/>
        <v>MONITOR</v>
      </c>
      <c r="Z65" s="13">
        <v>14</v>
      </c>
      <c r="AA65" s="75">
        <v>46059</v>
      </c>
      <c r="AB65" s="75">
        <f t="shared" si="18"/>
        <v>45920</v>
      </c>
      <c r="AC65" s="88">
        <f t="shared" si="19"/>
        <v>19.857142857142858</v>
      </c>
      <c r="AD65" s="89" t="str">
        <f t="shared" ca="1" si="20"/>
        <v>STABLE</v>
      </c>
      <c r="AE65" s="89" t="str">
        <f t="shared" si="21"/>
        <v>SLOW SELLING</v>
      </c>
      <c r="AF65" s="89" t="str">
        <f t="shared" si="22"/>
        <v>AT RISK</v>
      </c>
      <c r="AG65" s="89" t="str">
        <f t="shared" si="23"/>
        <v>FEASIBLE</v>
      </c>
      <c r="AH65" s="81" t="str">
        <f t="shared" ca="1" si="24"/>
        <v>MONITOR</v>
      </c>
      <c r="AI65" s="75">
        <f t="shared" ca="1" si="25"/>
        <v>0</v>
      </c>
      <c r="AJ65" s="75">
        <f t="shared" ca="1" si="26"/>
        <v>-1198</v>
      </c>
      <c r="AK65" s="13">
        <f t="shared" ca="1" si="56"/>
        <v>-1438</v>
      </c>
      <c r="AL65" s="79">
        <v>0.1</v>
      </c>
      <c r="AM65" s="79">
        <v>0.3</v>
      </c>
      <c r="AN65" s="79">
        <v>0.3</v>
      </c>
      <c r="AO65" s="79">
        <v>0.1</v>
      </c>
      <c r="AP65" s="79">
        <v>0.1</v>
      </c>
      <c r="AQ65" s="75">
        <f t="shared" si="28"/>
        <v>119.80000000000001</v>
      </c>
      <c r="AR65" s="75">
        <f t="shared" si="29"/>
        <v>359.4</v>
      </c>
      <c r="AS65" s="75">
        <f t="shared" si="30"/>
        <v>359.4</v>
      </c>
      <c r="AT65" s="75">
        <f t="shared" si="31"/>
        <v>119.80000000000001</v>
      </c>
      <c r="AU65" s="75">
        <f t="shared" si="62"/>
        <v>119.80000000000001</v>
      </c>
      <c r="AV65" s="13">
        <v>0.8</v>
      </c>
      <c r="AW65" s="13">
        <v>1.2</v>
      </c>
      <c r="AX65" s="13">
        <v>1.3</v>
      </c>
      <c r="AY65" s="13">
        <v>1</v>
      </c>
      <c r="AZ65" s="13">
        <v>0.7</v>
      </c>
      <c r="BA65" s="105">
        <f t="shared" si="33"/>
        <v>2.0400000000000005</v>
      </c>
      <c r="BB65" s="13">
        <f t="shared" si="34"/>
        <v>9.18</v>
      </c>
      <c r="BC65" s="13">
        <f t="shared" si="35"/>
        <v>9.9450000000000003</v>
      </c>
      <c r="BD65" s="13">
        <f t="shared" si="36"/>
        <v>2.5500000000000003</v>
      </c>
      <c r="BE65" s="13">
        <f t="shared" si="37"/>
        <v>1.7850000000000001</v>
      </c>
      <c r="BF65" s="88">
        <f t="shared" si="38"/>
        <v>58.725490196078425</v>
      </c>
      <c r="BG65" s="88">
        <f t="shared" si="39"/>
        <v>39.150326797385617</v>
      </c>
      <c r="BH65" s="88">
        <f t="shared" si="40"/>
        <v>36.138763197586727</v>
      </c>
      <c r="BI65" s="88">
        <f t="shared" si="41"/>
        <v>46.980392156862742</v>
      </c>
      <c r="BJ65" s="88">
        <f t="shared" si="42"/>
        <v>67.114845938375353</v>
      </c>
      <c r="BK65" s="105">
        <f t="shared" si="43"/>
        <v>1.7028380634390654E-2</v>
      </c>
      <c r="BL65" s="105">
        <f t="shared" si="44"/>
        <v>2.5542570951585981E-2</v>
      </c>
      <c r="BM65" s="105">
        <f t="shared" si="60"/>
        <v>2.767111853088481E-2</v>
      </c>
      <c r="BN65" s="105">
        <f t="shared" si="58"/>
        <v>2.1285475792988316E-2</v>
      </c>
      <c r="BO65" s="105">
        <f t="shared" si="61"/>
        <v>1.4899833055091819E-2</v>
      </c>
      <c r="BP65" s="105">
        <f t="shared" si="48"/>
        <v>0.10642737896494159</v>
      </c>
      <c r="BQ65" s="79">
        <f t="shared" si="49"/>
        <v>0.16</v>
      </c>
      <c r="BR65" s="79">
        <f t="shared" si="50"/>
        <v>0.24</v>
      </c>
      <c r="BS65" s="79">
        <f t="shared" si="51"/>
        <v>0.25999999999999995</v>
      </c>
      <c r="BT65" s="79">
        <f t="shared" si="52"/>
        <v>0.19999999999999998</v>
      </c>
      <c r="BU65" s="79">
        <f t="shared" si="53"/>
        <v>0.13999999999999999</v>
      </c>
      <c r="BV65" s="90" t="str">
        <f t="array" aca="1" ref="BV65" ca="1">_xlfn.TEXTJOIN(" ",TRUE,
_xlfn.TEXTJOIN(":",TRUE,ROUND(BK65:BO65/MIN(IF(BK65:BO65&gt;0,BK65:BO65)),0)),
"|",
ROUND(SUM(BW65:CA65),0))</f>
        <v>1:2:2:1:1 | -1438</v>
      </c>
      <c r="BW65" s="106">
        <f t="shared" ca="1" si="57"/>
        <v>-230.08</v>
      </c>
      <c r="BX65" s="106">
        <f t="shared" ca="1" si="1"/>
        <v>-345.12</v>
      </c>
      <c r="BY65" s="106">
        <f t="shared" ca="1" si="2"/>
        <v>-373.87999999999994</v>
      </c>
      <c r="BZ65" s="106">
        <f t="shared" ca="1" si="3"/>
        <v>-287.59999999999997</v>
      </c>
      <c r="CA65" s="106">
        <f t="shared" ca="1" si="59"/>
        <v>-201.32</v>
      </c>
    </row>
    <row r="66" spans="1:79" x14ac:dyDescent="0.35">
      <c r="A66" s="25" t="s">
        <v>80</v>
      </c>
      <c r="B66" s="10" t="s">
        <v>321</v>
      </c>
      <c r="C66" s="10" t="s">
        <v>341</v>
      </c>
      <c r="D66" s="10" t="s">
        <v>346</v>
      </c>
      <c r="E66" s="11">
        <v>45871</v>
      </c>
      <c r="F66" s="17">
        <v>45892</v>
      </c>
      <c r="G66" s="14">
        <f t="shared" ca="1" si="4"/>
        <v>207</v>
      </c>
      <c r="H66" s="17">
        <v>799</v>
      </c>
      <c r="I66" s="17">
        <v>350</v>
      </c>
      <c r="J66" s="75">
        <f t="shared" si="5"/>
        <v>1016</v>
      </c>
      <c r="K66" s="17">
        <v>1200</v>
      </c>
      <c r="L66" s="85">
        <v>184</v>
      </c>
      <c r="M66" s="86">
        <f t="shared" ca="1" si="6"/>
        <v>0.88888888888888884</v>
      </c>
      <c r="N66" s="86">
        <f t="shared" si="7"/>
        <v>0.92883099285538351</v>
      </c>
      <c r="O66" s="86">
        <f t="shared" si="8"/>
        <v>0.56097560975609762</v>
      </c>
      <c r="P66" s="87">
        <f t="shared" si="9"/>
        <v>46.000000000000007</v>
      </c>
      <c r="Q66" s="104">
        <f t="shared" si="10"/>
        <v>22.086956521739125</v>
      </c>
      <c r="R66" s="88">
        <f t="shared" si="11"/>
        <v>56.195244055068841</v>
      </c>
      <c r="S66" s="88">
        <f t="shared" si="12"/>
        <v>15.333333333333332</v>
      </c>
      <c r="T66" s="13">
        <f t="shared" si="13"/>
        <v>1</v>
      </c>
      <c r="U66" s="13">
        <f t="shared" si="0"/>
        <v>1</v>
      </c>
      <c r="V66" s="13">
        <f t="shared" si="14"/>
        <v>2</v>
      </c>
      <c r="W66" s="13">
        <f t="shared" ca="1" si="15"/>
        <v>3</v>
      </c>
      <c r="X66" s="13">
        <f t="shared" ca="1" si="16"/>
        <v>7</v>
      </c>
      <c r="Y66" s="81" t="str">
        <f t="shared" ca="1" si="17"/>
        <v>MONITOR</v>
      </c>
      <c r="Z66" s="13">
        <v>14</v>
      </c>
      <c r="AA66" s="75">
        <v>46059</v>
      </c>
      <c r="AB66" s="75">
        <f t="shared" si="18"/>
        <v>45920</v>
      </c>
      <c r="AC66" s="88">
        <f t="shared" si="19"/>
        <v>19.857142857142858</v>
      </c>
      <c r="AD66" s="89" t="str">
        <f t="shared" ca="1" si="20"/>
        <v>STABLE</v>
      </c>
      <c r="AE66" s="89" t="str">
        <f t="shared" si="21"/>
        <v>SLOW SELLING</v>
      </c>
      <c r="AF66" s="89" t="str">
        <f t="shared" si="22"/>
        <v>AT RISK</v>
      </c>
      <c r="AG66" s="89" t="str">
        <f t="shared" si="23"/>
        <v>FEASIBLE</v>
      </c>
      <c r="AH66" s="81" t="str">
        <f t="shared" ca="1" si="24"/>
        <v>MONITOR</v>
      </c>
      <c r="AI66" s="75">
        <f t="shared" ca="1" si="25"/>
        <v>0</v>
      </c>
      <c r="AJ66" s="75">
        <f t="shared" ca="1" si="26"/>
        <v>-1016</v>
      </c>
      <c r="AK66" s="13">
        <f t="shared" ca="1" si="56"/>
        <v>-1219</v>
      </c>
      <c r="AL66" s="79">
        <v>0.1</v>
      </c>
      <c r="AM66" s="79">
        <v>0.3</v>
      </c>
      <c r="AN66" s="79">
        <v>0.3</v>
      </c>
      <c r="AO66" s="79">
        <v>0.1</v>
      </c>
      <c r="AP66" s="79">
        <v>0.1</v>
      </c>
      <c r="AQ66" s="75">
        <f t="shared" si="28"/>
        <v>101.60000000000001</v>
      </c>
      <c r="AR66" s="75">
        <f t="shared" si="29"/>
        <v>304.8</v>
      </c>
      <c r="AS66" s="75">
        <f t="shared" si="30"/>
        <v>304.8</v>
      </c>
      <c r="AT66" s="75">
        <f t="shared" si="31"/>
        <v>101.60000000000001</v>
      </c>
      <c r="AU66" s="75">
        <f t="shared" si="62"/>
        <v>101.60000000000001</v>
      </c>
      <c r="AV66" s="13">
        <v>0.8</v>
      </c>
      <c r="AW66" s="13">
        <v>1.2</v>
      </c>
      <c r="AX66" s="13">
        <v>1.3</v>
      </c>
      <c r="AY66" s="13">
        <v>1</v>
      </c>
      <c r="AZ66" s="13">
        <v>0.7</v>
      </c>
      <c r="BA66" s="105">
        <f t="shared" si="33"/>
        <v>3.6800000000000006</v>
      </c>
      <c r="BB66" s="13">
        <f t="shared" si="34"/>
        <v>16.560000000000002</v>
      </c>
      <c r="BC66" s="13">
        <f t="shared" si="35"/>
        <v>17.940000000000005</v>
      </c>
      <c r="BD66" s="13">
        <f t="shared" si="36"/>
        <v>4.6000000000000005</v>
      </c>
      <c r="BE66" s="13">
        <f t="shared" si="37"/>
        <v>3.22</v>
      </c>
      <c r="BF66" s="88">
        <f t="shared" si="38"/>
        <v>27.60869565217391</v>
      </c>
      <c r="BG66" s="88">
        <f t="shared" si="39"/>
        <v>18.405797101449274</v>
      </c>
      <c r="BH66" s="88">
        <f t="shared" si="40"/>
        <v>16.989966555183944</v>
      </c>
      <c r="BI66" s="88">
        <f t="shared" si="41"/>
        <v>22.086956521739129</v>
      </c>
      <c r="BJ66" s="88">
        <f t="shared" si="42"/>
        <v>31.552795031055901</v>
      </c>
      <c r="BK66" s="105">
        <f t="shared" si="43"/>
        <v>3.6220472440944888E-2</v>
      </c>
      <c r="BL66" s="105">
        <f t="shared" si="44"/>
        <v>5.4330708661417329E-2</v>
      </c>
      <c r="BM66" s="105">
        <f t="shared" si="60"/>
        <v>5.8858267716535441E-2</v>
      </c>
      <c r="BN66" s="105">
        <f t="shared" si="58"/>
        <v>4.5275590551181105E-2</v>
      </c>
      <c r="BO66" s="105">
        <f t="shared" si="61"/>
        <v>3.1692913385826769E-2</v>
      </c>
      <c r="BP66" s="105">
        <f t="shared" si="48"/>
        <v>0.22637795275590553</v>
      </c>
      <c r="BQ66" s="79">
        <f t="shared" si="49"/>
        <v>0.16000000000000003</v>
      </c>
      <c r="BR66" s="79">
        <f t="shared" si="50"/>
        <v>0.24000000000000002</v>
      </c>
      <c r="BS66" s="79">
        <f t="shared" si="51"/>
        <v>0.26</v>
      </c>
      <c r="BT66" s="79">
        <f t="shared" si="52"/>
        <v>0.2</v>
      </c>
      <c r="BU66" s="79">
        <f t="shared" si="53"/>
        <v>0.13999999999999999</v>
      </c>
      <c r="BV66" s="90" t="str">
        <f t="array" aca="1" ref="BV66" ca="1">_xlfn.TEXTJOIN(" ",TRUE,
_xlfn.TEXTJOIN(":",TRUE,ROUND(BK66:BO66/MIN(IF(BK66:BO66&gt;0,BK66:BO66)),0)),
"|",
ROUND(SUM(BW66:CA66),0))</f>
        <v>1:2:2:1:1 | -1219</v>
      </c>
      <c r="BW66" s="106">
        <f t="shared" ca="1" si="57"/>
        <v>-195.04000000000005</v>
      </c>
      <c r="BX66" s="106">
        <f t="shared" ref="BX66:BX129" ca="1" si="63">AK66*BR66</f>
        <v>-292.56</v>
      </c>
      <c r="BY66" s="106">
        <f t="shared" ref="BY66:BY129" ca="1" si="64">AK66*BS66</f>
        <v>-316.94</v>
      </c>
      <c r="BZ66" s="106">
        <f t="shared" ref="BZ66:BZ129" ca="1" si="65">AK66*BT66</f>
        <v>-243.8</v>
      </c>
      <c r="CA66" s="106">
        <f t="shared" ca="1" si="59"/>
        <v>-170.66</v>
      </c>
    </row>
    <row r="67" spans="1:79" x14ac:dyDescent="0.35">
      <c r="A67" s="25" t="s">
        <v>81</v>
      </c>
      <c r="B67" s="10" t="s">
        <v>321</v>
      </c>
      <c r="C67" s="10" t="s">
        <v>341</v>
      </c>
      <c r="D67" s="10" t="s">
        <v>346</v>
      </c>
      <c r="E67" s="11">
        <v>45920</v>
      </c>
      <c r="F67" s="17">
        <v>45892</v>
      </c>
      <c r="G67" s="14">
        <f t="shared" ref="G67:G130" ca="1" si="66">TODAY()-F67</f>
        <v>207</v>
      </c>
      <c r="H67" s="17">
        <v>799</v>
      </c>
      <c r="I67" s="17">
        <v>350</v>
      </c>
      <c r="J67" s="75">
        <f t="shared" ref="J67:J130" si="67">K67-L67</f>
        <v>1183</v>
      </c>
      <c r="K67" s="17">
        <v>1500</v>
      </c>
      <c r="L67" s="85">
        <v>317</v>
      </c>
      <c r="M67" s="86">
        <f t="shared" ref="M67:M130" ca="1" si="68">L67/G67</f>
        <v>1.5314009661835748</v>
      </c>
      <c r="N67" s="86">
        <f t="shared" ref="N67:N130" si="69">AVERAGEIFS(O:O,C:C,C67)</f>
        <v>0.92883099285538351</v>
      </c>
      <c r="O67" s="86">
        <f t="shared" ref="O67:O130" si="70">L67/328</f>
        <v>0.96646341463414631</v>
      </c>
      <c r="P67" s="87">
        <f t="shared" ref="P67:P130" si="71">O67*82</f>
        <v>79.25</v>
      </c>
      <c r="Q67" s="104">
        <f t="shared" ref="Q67:Q130" si="72">J67/P67</f>
        <v>14.927444794952681</v>
      </c>
      <c r="R67" s="88">
        <f t="shared" ref="R67:R130" si="73">(H67-I67)/H67*100</f>
        <v>56.195244055068841</v>
      </c>
      <c r="S67" s="88">
        <f t="shared" ref="S67:S130" si="74">L67/K67*100</f>
        <v>21.133333333333333</v>
      </c>
      <c r="T67" s="13">
        <f t="shared" ref="T67:T130" si="75">IF(O67&gt;=N67,3,IF(O67&gt;=0.8*N67,2,1))</f>
        <v>3</v>
      </c>
      <c r="U67" s="13">
        <f t="shared" ref="U67:U130" si="76">IF(Q67&lt;=4,3,IF(Q67&lt;=6,2,1))</f>
        <v>1</v>
      </c>
      <c r="V67" s="13">
        <f t="shared" ref="V67:V130" si="77">IF(R67&gt;=60,3,IF(R67&gt;=45,2,1))</f>
        <v>2</v>
      </c>
      <c r="W67" s="13">
        <f t="shared" ref="W67:W130" ca="1" si="78">IF(M67&lt;=10,3,IF(M67&lt;=25,2,1))</f>
        <v>3</v>
      </c>
      <c r="X67" s="13">
        <f t="shared" ref="X67:X130" ca="1" si="79">T67+U67+V67+W67</f>
        <v>9</v>
      </c>
      <c r="Y67" s="81" t="str">
        <f t="shared" ref="Y67:Y130" ca="1" si="80">IFERROR(IF(X67&gt;=9,"RE-BUY",IF(X67&gt;=6,"MONITOR","EXIT")),"EXIT")</f>
        <v>RE-BUY</v>
      </c>
      <c r="Z67" s="13">
        <v>14</v>
      </c>
      <c r="AA67" s="75">
        <v>46059</v>
      </c>
      <c r="AB67" s="75">
        <f t="shared" ref="AB67:AB130" si="81">F67+28</f>
        <v>45920</v>
      </c>
      <c r="AC67" s="88">
        <f t="shared" ref="AC67:AC130" si="82">(AA67-AB67)/7</f>
        <v>19.857142857142858</v>
      </c>
      <c r="AD67" s="89" t="str">
        <f t="shared" ref="AD67:AD130" ca="1" si="83">IF(G67&gt;=21,"STABLE","TOO EARLY")</f>
        <v>STABLE</v>
      </c>
      <c r="AE67" s="89" t="str">
        <f t="shared" ref="AE67:AE130" si="84">IF(O67&gt;=N67,"FAST SELLING","SLOW SELLING")</f>
        <v>FAST SELLING</v>
      </c>
      <c r="AF67" s="89" t="str">
        <f t="shared" ref="AF67:AF130" si="85">IF(U67&lt;=Z67,"AT RISK","SAFE")</f>
        <v>AT RISK</v>
      </c>
      <c r="AG67" s="89" t="str">
        <f t="shared" ref="AG67:AG130" si="86">IF(Z67&lt;=AC67,"FEASIBLE","NOT FEASIBLE")</f>
        <v>FEASIBLE</v>
      </c>
      <c r="AH67" s="81" t="str">
        <f t="shared" ref="AH67:AH130" ca="1" si="87">IF(AND(Y67="RE-BUY",AD67="STABLE",AE67="FAST SELLING",AG67="FEASIBLE"),"IMMEDIATE REBUY","MONITOR")</f>
        <v>IMMEDIATE REBUY</v>
      </c>
      <c r="AI67" s="75">
        <f t="shared" ref="AI67:AI130" ca="1" si="88">IF(Y67="RE-BUY",O67*82*AC67*0.6,0)</f>
        <v>944.20714285714291</v>
      </c>
      <c r="AJ67" s="75">
        <f t="shared" ref="AJ67:AJ130" ca="1" si="89">MAX(AI67-J67)</f>
        <v>-238.79285714285709</v>
      </c>
      <c r="AK67" s="13">
        <f t="shared" ref="AK67:AK130" ca="1" si="90">ROUND(AJ67*1.2,0)</f>
        <v>-287</v>
      </c>
      <c r="AL67" s="79">
        <v>0.1</v>
      </c>
      <c r="AM67" s="79">
        <v>0.3</v>
      </c>
      <c r="AN67" s="79">
        <v>0.3</v>
      </c>
      <c r="AO67" s="79">
        <v>0.1</v>
      </c>
      <c r="AP67" s="79">
        <v>0.1</v>
      </c>
      <c r="AQ67" s="75">
        <f t="shared" ref="AQ67:AQ130" si="91">J67*AL67</f>
        <v>118.30000000000001</v>
      </c>
      <c r="AR67" s="75">
        <f t="shared" ref="AR67:AR130" si="92">J67*AM67</f>
        <v>354.9</v>
      </c>
      <c r="AS67" s="75">
        <f t="shared" ref="AS67:AS130" si="93">J67*AN67</f>
        <v>354.9</v>
      </c>
      <c r="AT67" s="75">
        <f t="shared" ref="AT67:AT130" si="94">J67*AO67</f>
        <v>118.30000000000001</v>
      </c>
      <c r="AU67" s="75">
        <f t="shared" ref="AU67:AU130" si="95">J67*AP67</f>
        <v>118.30000000000001</v>
      </c>
      <c r="AV67" s="13">
        <v>0.8</v>
      </c>
      <c r="AW67" s="13">
        <v>1.2</v>
      </c>
      <c r="AX67" s="13">
        <v>1.3</v>
      </c>
      <c r="AY67" s="13">
        <v>1</v>
      </c>
      <c r="AZ67" s="13">
        <v>0.7</v>
      </c>
      <c r="BA67" s="105">
        <f t="shared" ref="BA67:BA130" si="96">P67*AL67*AV67</f>
        <v>6.3400000000000007</v>
      </c>
      <c r="BB67" s="13">
        <f t="shared" ref="BB67:BB130" si="97">P67*AM67*AW67</f>
        <v>28.529999999999998</v>
      </c>
      <c r="BC67" s="13">
        <f t="shared" ref="BC67:BC130" si="98">P67*AN67*AX67</f>
        <v>30.907499999999999</v>
      </c>
      <c r="BD67" s="13">
        <f t="shared" ref="BD67:BD130" si="99">P67*AO67*AY67</f>
        <v>7.9250000000000007</v>
      </c>
      <c r="BE67" s="13">
        <f t="shared" ref="BE67:BE130" si="100">P67*AP67*AZ67</f>
        <v>5.5475000000000003</v>
      </c>
      <c r="BF67" s="88">
        <f t="shared" ref="BF67:BF130" si="101">AQ67/BA67</f>
        <v>18.65930599369085</v>
      </c>
      <c r="BG67" s="88">
        <f t="shared" ref="BG67:BG130" si="102">AR67/BB67</f>
        <v>12.439537329127235</v>
      </c>
      <c r="BH67" s="88">
        <f t="shared" ref="BH67:BH130" si="103">AS67/BC67</f>
        <v>11.482649842271293</v>
      </c>
      <c r="BI67" s="88">
        <f t="shared" ref="BI67:BI130" si="104">AT67/BD67</f>
        <v>14.927444794952681</v>
      </c>
      <c r="BJ67" s="88">
        <f t="shared" ref="BJ67:BJ130" si="105">AU67/BE67</f>
        <v>21.32492113564669</v>
      </c>
      <c r="BK67" s="105">
        <f t="shared" ref="BK67:BK130" si="106">1/BF67</f>
        <v>5.3592561284868979E-2</v>
      </c>
      <c r="BL67" s="105">
        <f t="shared" ref="BL67:BL130" si="107">1/BG67</f>
        <v>8.0388841927303459E-2</v>
      </c>
      <c r="BM67" s="105">
        <f t="shared" ref="BM67:BM130" si="108">1/BH67</f>
        <v>8.7087912087912084E-2</v>
      </c>
      <c r="BN67" s="105">
        <f t="shared" ref="BN67:BN130" si="109">1/BI67</f>
        <v>6.6990701606086223E-2</v>
      </c>
      <c r="BO67" s="105">
        <f t="shared" ref="BO67:BO130" si="110">1/BJ67</f>
        <v>4.6893491124260347E-2</v>
      </c>
      <c r="BP67" s="105">
        <f t="shared" ref="BP67:BP130" si="111">BK67+BL67+BM67+BN67+BO67</f>
        <v>0.33495350803043111</v>
      </c>
      <c r="BQ67" s="79">
        <f t="shared" ref="BQ67:BQ130" si="112">BK67/BP67</f>
        <v>0.16</v>
      </c>
      <c r="BR67" s="79">
        <f t="shared" ref="BR67:BR130" si="113">BL67/BP67</f>
        <v>0.23999999999999996</v>
      </c>
      <c r="BS67" s="79">
        <f t="shared" ref="BS67:BS130" si="114">BM67/BP67</f>
        <v>0.26</v>
      </c>
      <c r="BT67" s="79">
        <f t="shared" ref="BT67:BT130" si="115">BN67/BP67</f>
        <v>0.2</v>
      </c>
      <c r="BU67" s="79">
        <f t="shared" ref="BU67:BU130" si="116">BO67/BP67</f>
        <v>0.13999999999999999</v>
      </c>
      <c r="BV67" s="90" t="str">
        <f t="array" aca="1" ref="BV67" ca="1">_xlfn.TEXTJOIN(" ",TRUE,
_xlfn.TEXTJOIN(":",TRUE,ROUND(BK67:BO67/MIN(IF(BK67:BO67&gt;0,BK67:BO67)),0)),
"|",
ROUND(SUM(BW67:CA67),0))</f>
        <v>1:2:2:1:1 | -287</v>
      </c>
      <c r="BW67" s="106">
        <f t="shared" ca="1" si="57"/>
        <v>-45.92</v>
      </c>
      <c r="BX67" s="106">
        <f t="shared" ca="1" si="63"/>
        <v>-68.88</v>
      </c>
      <c r="BY67" s="106">
        <f t="shared" ca="1" si="64"/>
        <v>-74.62</v>
      </c>
      <c r="BZ67" s="106">
        <f t="shared" ca="1" si="65"/>
        <v>-57.400000000000006</v>
      </c>
      <c r="CA67" s="106">
        <f t="shared" ca="1" si="59"/>
        <v>-40.179999999999993</v>
      </c>
    </row>
    <row r="68" spans="1:79" x14ac:dyDescent="0.35">
      <c r="A68" s="25" t="s">
        <v>82</v>
      </c>
      <c r="B68" s="10" t="s">
        <v>321</v>
      </c>
      <c r="C68" s="10" t="s">
        <v>341</v>
      </c>
      <c r="D68" s="10" t="s">
        <v>346</v>
      </c>
      <c r="E68" s="11">
        <v>45920</v>
      </c>
      <c r="F68" s="17">
        <v>45892</v>
      </c>
      <c r="G68" s="14">
        <f t="shared" ca="1" si="66"/>
        <v>207</v>
      </c>
      <c r="H68" s="17">
        <v>799</v>
      </c>
      <c r="I68" s="17">
        <v>425</v>
      </c>
      <c r="J68" s="75">
        <f t="shared" si="67"/>
        <v>1118</v>
      </c>
      <c r="K68" s="17">
        <v>1400</v>
      </c>
      <c r="L68" s="85">
        <v>282</v>
      </c>
      <c r="M68" s="86">
        <f t="shared" ca="1" si="68"/>
        <v>1.3623188405797102</v>
      </c>
      <c r="N68" s="86">
        <f t="shared" si="69"/>
        <v>0.92883099285538351</v>
      </c>
      <c r="O68" s="86">
        <f t="shared" si="70"/>
        <v>0.8597560975609756</v>
      </c>
      <c r="P68" s="87">
        <f t="shared" si="71"/>
        <v>70.5</v>
      </c>
      <c r="Q68" s="104">
        <f t="shared" si="72"/>
        <v>15.858156028368795</v>
      </c>
      <c r="R68" s="88">
        <f t="shared" si="73"/>
        <v>46.808510638297875</v>
      </c>
      <c r="S68" s="88">
        <f t="shared" si="74"/>
        <v>20.142857142857142</v>
      </c>
      <c r="T68" s="13">
        <f t="shared" si="75"/>
        <v>2</v>
      </c>
      <c r="U68" s="13">
        <f t="shared" si="76"/>
        <v>1</v>
      </c>
      <c r="V68" s="13">
        <f t="shared" si="77"/>
        <v>2</v>
      </c>
      <c r="W68" s="13">
        <f t="shared" ca="1" si="78"/>
        <v>3</v>
      </c>
      <c r="X68" s="13">
        <f t="shared" ca="1" si="79"/>
        <v>8</v>
      </c>
      <c r="Y68" s="81" t="str">
        <f t="shared" ca="1" si="80"/>
        <v>MONITOR</v>
      </c>
      <c r="Z68" s="13">
        <v>14</v>
      </c>
      <c r="AA68" s="75">
        <v>46059</v>
      </c>
      <c r="AB68" s="75">
        <f t="shared" si="81"/>
        <v>45920</v>
      </c>
      <c r="AC68" s="88">
        <f t="shared" si="82"/>
        <v>19.857142857142858</v>
      </c>
      <c r="AD68" s="89" t="str">
        <f t="shared" ca="1" si="83"/>
        <v>STABLE</v>
      </c>
      <c r="AE68" s="89" t="str">
        <f t="shared" si="84"/>
        <v>SLOW SELLING</v>
      </c>
      <c r="AF68" s="89" t="str">
        <f t="shared" si="85"/>
        <v>AT RISK</v>
      </c>
      <c r="AG68" s="89" t="str">
        <f t="shared" si="86"/>
        <v>FEASIBLE</v>
      </c>
      <c r="AH68" s="81" t="str">
        <f t="shared" ca="1" si="87"/>
        <v>MONITOR</v>
      </c>
      <c r="AI68" s="75">
        <f t="shared" ca="1" si="88"/>
        <v>0</v>
      </c>
      <c r="AJ68" s="75">
        <f t="shared" ca="1" si="89"/>
        <v>-1118</v>
      </c>
      <c r="AK68" s="13">
        <f t="shared" ca="1" si="90"/>
        <v>-1342</v>
      </c>
      <c r="AL68" s="79">
        <v>0.1</v>
      </c>
      <c r="AM68" s="79">
        <v>0.3</v>
      </c>
      <c r="AN68" s="79">
        <v>0.3</v>
      </c>
      <c r="AO68" s="79">
        <v>0.1</v>
      </c>
      <c r="AP68" s="79">
        <v>0.1</v>
      </c>
      <c r="AQ68" s="75">
        <f t="shared" si="91"/>
        <v>111.80000000000001</v>
      </c>
      <c r="AR68" s="75">
        <f t="shared" si="92"/>
        <v>335.4</v>
      </c>
      <c r="AS68" s="75">
        <f t="shared" si="93"/>
        <v>335.4</v>
      </c>
      <c r="AT68" s="75">
        <f t="shared" si="94"/>
        <v>111.80000000000001</v>
      </c>
      <c r="AU68" s="75">
        <f t="shared" si="95"/>
        <v>111.80000000000001</v>
      </c>
      <c r="AV68" s="13">
        <v>0.8</v>
      </c>
      <c r="AW68" s="13">
        <v>1.2</v>
      </c>
      <c r="AX68" s="13">
        <v>1.3</v>
      </c>
      <c r="AY68" s="13">
        <v>1</v>
      </c>
      <c r="AZ68" s="13">
        <v>0.7</v>
      </c>
      <c r="BA68" s="105">
        <f t="shared" si="96"/>
        <v>5.6400000000000006</v>
      </c>
      <c r="BB68" s="13">
        <f t="shared" si="97"/>
        <v>25.38</v>
      </c>
      <c r="BC68" s="13">
        <f t="shared" si="98"/>
        <v>27.494999999999997</v>
      </c>
      <c r="BD68" s="13">
        <f t="shared" si="99"/>
        <v>7.0500000000000007</v>
      </c>
      <c r="BE68" s="13">
        <f t="shared" si="100"/>
        <v>4.9350000000000005</v>
      </c>
      <c r="BF68" s="88">
        <f t="shared" si="101"/>
        <v>19.822695035460992</v>
      </c>
      <c r="BG68" s="88">
        <f t="shared" si="102"/>
        <v>13.215130023640661</v>
      </c>
      <c r="BH68" s="88">
        <f t="shared" si="103"/>
        <v>12.198581560283689</v>
      </c>
      <c r="BI68" s="88">
        <f t="shared" si="104"/>
        <v>15.858156028368795</v>
      </c>
      <c r="BJ68" s="88">
        <f t="shared" si="105"/>
        <v>22.654508611955421</v>
      </c>
      <c r="BK68" s="105">
        <f t="shared" si="106"/>
        <v>5.0447227191413244E-2</v>
      </c>
      <c r="BL68" s="105">
        <f t="shared" si="107"/>
        <v>7.5670840787119859E-2</v>
      </c>
      <c r="BM68" s="105">
        <f t="shared" si="108"/>
        <v>8.1976744186046502E-2</v>
      </c>
      <c r="BN68" s="105">
        <f t="shared" si="109"/>
        <v>6.3059033989266544E-2</v>
      </c>
      <c r="BO68" s="105">
        <f t="shared" si="110"/>
        <v>4.414132379248658E-2</v>
      </c>
      <c r="BP68" s="105">
        <f t="shared" si="111"/>
        <v>0.31529516994633272</v>
      </c>
      <c r="BQ68" s="79">
        <f t="shared" si="112"/>
        <v>0.16000000000000003</v>
      </c>
      <c r="BR68" s="79">
        <f t="shared" si="113"/>
        <v>0.24000000000000002</v>
      </c>
      <c r="BS68" s="79">
        <f t="shared" si="114"/>
        <v>0.26</v>
      </c>
      <c r="BT68" s="79">
        <f t="shared" si="115"/>
        <v>0.2</v>
      </c>
      <c r="BU68" s="79">
        <f t="shared" si="116"/>
        <v>0.13999999999999999</v>
      </c>
      <c r="BV68" s="90" t="str">
        <f t="array" aca="1" ref="BV68" ca="1">_xlfn.TEXTJOIN(" ",TRUE,
_xlfn.TEXTJOIN(":",TRUE,ROUND(BK68:BO68/MIN(IF(BK68:BO68&gt;0,BK68:BO68)),0)),
"|",
ROUND(SUM(BW68:CA68),0))</f>
        <v>1:2:2:1:1 | -1342</v>
      </c>
      <c r="BW68" s="106">
        <f t="shared" ca="1" si="57"/>
        <v>-214.72000000000006</v>
      </c>
      <c r="BX68" s="106">
        <f t="shared" ca="1" si="63"/>
        <v>-322.08000000000004</v>
      </c>
      <c r="BY68" s="106">
        <f t="shared" ca="1" si="64"/>
        <v>-348.92</v>
      </c>
      <c r="BZ68" s="106">
        <f t="shared" ca="1" si="65"/>
        <v>-268.40000000000003</v>
      </c>
      <c r="CA68" s="106">
        <f t="shared" ca="1" si="59"/>
        <v>-187.87999999999997</v>
      </c>
    </row>
    <row r="69" spans="1:79" x14ac:dyDescent="0.35">
      <c r="A69" s="25" t="s">
        <v>83</v>
      </c>
      <c r="B69" s="10" t="s">
        <v>316</v>
      </c>
      <c r="C69" s="10" t="s">
        <v>341</v>
      </c>
      <c r="D69" s="10" t="s">
        <v>346</v>
      </c>
      <c r="E69" s="11">
        <v>45871</v>
      </c>
      <c r="F69" s="17">
        <v>45892</v>
      </c>
      <c r="G69" s="14">
        <f t="shared" ca="1" si="66"/>
        <v>207</v>
      </c>
      <c r="H69" s="17">
        <v>999</v>
      </c>
      <c r="I69" s="17">
        <v>500</v>
      </c>
      <c r="J69" s="75">
        <f t="shared" si="67"/>
        <v>1131</v>
      </c>
      <c r="K69" s="17">
        <v>1200</v>
      </c>
      <c r="L69" s="85">
        <v>69</v>
      </c>
      <c r="M69" s="86">
        <f t="shared" ca="1" si="68"/>
        <v>0.33333333333333331</v>
      </c>
      <c r="N69" s="86">
        <f t="shared" si="69"/>
        <v>0.92883099285538351</v>
      </c>
      <c r="O69" s="86">
        <f t="shared" si="70"/>
        <v>0.21036585365853658</v>
      </c>
      <c r="P69" s="87">
        <f t="shared" si="71"/>
        <v>17.25</v>
      </c>
      <c r="Q69" s="104">
        <f t="shared" si="72"/>
        <v>65.565217391304344</v>
      </c>
      <c r="R69" s="88">
        <f t="shared" si="73"/>
        <v>49.949949949949954</v>
      </c>
      <c r="S69" s="88">
        <f t="shared" si="74"/>
        <v>5.75</v>
      </c>
      <c r="T69" s="13">
        <f t="shared" si="75"/>
        <v>1</v>
      </c>
      <c r="U69" s="13">
        <f t="shared" si="76"/>
        <v>1</v>
      </c>
      <c r="V69" s="13">
        <f t="shared" si="77"/>
        <v>2</v>
      </c>
      <c r="W69" s="13">
        <f t="shared" ca="1" si="78"/>
        <v>3</v>
      </c>
      <c r="X69" s="13">
        <f t="shared" ca="1" si="79"/>
        <v>7</v>
      </c>
      <c r="Y69" s="81" t="str">
        <f t="shared" ca="1" si="80"/>
        <v>MONITOR</v>
      </c>
      <c r="Z69" s="13">
        <v>14</v>
      </c>
      <c r="AA69" s="75">
        <v>46059</v>
      </c>
      <c r="AB69" s="75">
        <f t="shared" si="81"/>
        <v>45920</v>
      </c>
      <c r="AC69" s="88">
        <f t="shared" si="82"/>
        <v>19.857142857142858</v>
      </c>
      <c r="AD69" s="89" t="str">
        <f t="shared" ca="1" si="83"/>
        <v>STABLE</v>
      </c>
      <c r="AE69" s="89" t="str">
        <f t="shared" si="84"/>
        <v>SLOW SELLING</v>
      </c>
      <c r="AF69" s="89" t="str">
        <f t="shared" si="85"/>
        <v>AT RISK</v>
      </c>
      <c r="AG69" s="89" t="str">
        <f t="shared" si="86"/>
        <v>FEASIBLE</v>
      </c>
      <c r="AH69" s="81" t="str">
        <f t="shared" ca="1" si="87"/>
        <v>MONITOR</v>
      </c>
      <c r="AI69" s="75">
        <f t="shared" ca="1" si="88"/>
        <v>0</v>
      </c>
      <c r="AJ69" s="75">
        <f t="shared" ca="1" si="89"/>
        <v>-1131</v>
      </c>
      <c r="AK69" s="13">
        <f t="shared" ca="1" si="90"/>
        <v>-1357</v>
      </c>
      <c r="AL69" s="79">
        <v>0.1</v>
      </c>
      <c r="AM69" s="79">
        <v>0.3</v>
      </c>
      <c r="AN69" s="79">
        <v>0.3</v>
      </c>
      <c r="AO69" s="79">
        <v>0.1</v>
      </c>
      <c r="AP69" s="79">
        <v>0.1</v>
      </c>
      <c r="AQ69" s="75">
        <f t="shared" si="91"/>
        <v>113.10000000000001</v>
      </c>
      <c r="AR69" s="75">
        <f t="shared" si="92"/>
        <v>339.3</v>
      </c>
      <c r="AS69" s="75">
        <f t="shared" si="93"/>
        <v>339.3</v>
      </c>
      <c r="AT69" s="75">
        <f t="shared" si="94"/>
        <v>113.10000000000001</v>
      </c>
      <c r="AU69" s="75">
        <f t="shared" si="95"/>
        <v>113.10000000000001</v>
      </c>
      <c r="AV69" s="13">
        <v>0.8</v>
      </c>
      <c r="AW69" s="13">
        <v>1.2</v>
      </c>
      <c r="AX69" s="13">
        <v>1.3</v>
      </c>
      <c r="AY69" s="13">
        <v>1</v>
      </c>
      <c r="AZ69" s="13">
        <v>0.7</v>
      </c>
      <c r="BA69" s="105">
        <f t="shared" si="96"/>
        <v>1.3800000000000001</v>
      </c>
      <c r="BB69" s="13">
        <f t="shared" si="97"/>
        <v>6.21</v>
      </c>
      <c r="BC69" s="13">
        <f t="shared" si="98"/>
        <v>6.7275</v>
      </c>
      <c r="BD69" s="13">
        <f t="shared" si="99"/>
        <v>1.7250000000000001</v>
      </c>
      <c r="BE69" s="13">
        <f t="shared" si="100"/>
        <v>1.2075</v>
      </c>
      <c r="BF69" s="88">
        <f t="shared" si="101"/>
        <v>81.956521739130437</v>
      </c>
      <c r="BG69" s="88">
        <f t="shared" si="102"/>
        <v>54.637681159420289</v>
      </c>
      <c r="BH69" s="88">
        <f t="shared" si="103"/>
        <v>50.434782608695656</v>
      </c>
      <c r="BI69" s="88">
        <f t="shared" si="104"/>
        <v>65.565217391304344</v>
      </c>
      <c r="BJ69" s="88">
        <f t="shared" si="105"/>
        <v>93.664596273291934</v>
      </c>
      <c r="BK69" s="105">
        <f t="shared" si="106"/>
        <v>1.220159151193634E-2</v>
      </c>
      <c r="BL69" s="105">
        <f t="shared" si="107"/>
        <v>1.8302387267904511E-2</v>
      </c>
      <c r="BM69" s="105">
        <f t="shared" si="108"/>
        <v>1.982758620689655E-2</v>
      </c>
      <c r="BN69" s="105">
        <f t="shared" si="109"/>
        <v>1.5251989389920425E-2</v>
      </c>
      <c r="BO69" s="105">
        <f t="shared" si="110"/>
        <v>1.0676392572944296E-2</v>
      </c>
      <c r="BP69" s="105">
        <f t="shared" si="111"/>
        <v>7.6259946949602128E-2</v>
      </c>
      <c r="BQ69" s="79">
        <f t="shared" si="112"/>
        <v>0.16</v>
      </c>
      <c r="BR69" s="79">
        <f t="shared" si="113"/>
        <v>0.24</v>
      </c>
      <c r="BS69" s="79">
        <f t="shared" si="114"/>
        <v>0.25999999999999995</v>
      </c>
      <c r="BT69" s="79">
        <f t="shared" si="115"/>
        <v>0.19999999999999998</v>
      </c>
      <c r="BU69" s="79">
        <f t="shared" si="116"/>
        <v>0.13999999999999999</v>
      </c>
      <c r="BV69" s="90" t="str">
        <f t="array" aca="1" ref="BV69" ca="1">_xlfn.TEXTJOIN(" ",TRUE,
_xlfn.TEXTJOIN(":",TRUE,ROUND(BK69:BO69/MIN(IF(BK69:BO69&gt;0,BK69:BO69)),0)),
"|",
ROUND(SUM(BW69:CA69),0))</f>
        <v>1:2:2:1:1 | -1357</v>
      </c>
      <c r="BW69" s="106">
        <f t="shared" ca="1" si="57"/>
        <v>-217.12</v>
      </c>
      <c r="BX69" s="106">
        <f t="shared" ca="1" si="63"/>
        <v>-325.68</v>
      </c>
      <c r="BY69" s="106">
        <f t="shared" ca="1" si="64"/>
        <v>-352.81999999999994</v>
      </c>
      <c r="BZ69" s="106">
        <f t="shared" ca="1" si="65"/>
        <v>-271.39999999999998</v>
      </c>
      <c r="CA69" s="106">
        <f t="shared" ca="1" si="59"/>
        <v>-189.98</v>
      </c>
    </row>
    <row r="70" spans="1:79" x14ac:dyDescent="0.35">
      <c r="A70" s="25" t="s">
        <v>84</v>
      </c>
      <c r="B70" s="10" t="s">
        <v>321</v>
      </c>
      <c r="C70" s="10" t="s">
        <v>341</v>
      </c>
      <c r="D70" s="10" t="s">
        <v>346</v>
      </c>
      <c r="E70" s="11">
        <v>45920</v>
      </c>
      <c r="F70" s="17">
        <v>45892</v>
      </c>
      <c r="G70" s="14">
        <f t="shared" ca="1" si="66"/>
        <v>207</v>
      </c>
      <c r="H70" s="17">
        <v>799</v>
      </c>
      <c r="I70" s="17">
        <v>413</v>
      </c>
      <c r="J70" s="75">
        <f t="shared" si="67"/>
        <v>1544</v>
      </c>
      <c r="K70" s="17">
        <v>1600</v>
      </c>
      <c r="L70" s="85">
        <v>56</v>
      </c>
      <c r="M70" s="86">
        <f t="shared" ca="1" si="68"/>
        <v>0.27053140096618356</v>
      </c>
      <c r="N70" s="86">
        <f t="shared" si="69"/>
        <v>0.92883099285538351</v>
      </c>
      <c r="O70" s="86">
        <f t="shared" si="70"/>
        <v>0.17073170731707318</v>
      </c>
      <c r="P70" s="87">
        <f t="shared" si="71"/>
        <v>14.000000000000002</v>
      </c>
      <c r="Q70" s="104">
        <f t="shared" si="72"/>
        <v>110.28571428571428</v>
      </c>
      <c r="R70" s="88">
        <f t="shared" si="73"/>
        <v>48.310387984981226</v>
      </c>
      <c r="S70" s="88">
        <f t="shared" si="74"/>
        <v>3.5000000000000004</v>
      </c>
      <c r="T70" s="13">
        <f t="shared" si="75"/>
        <v>1</v>
      </c>
      <c r="U70" s="13">
        <f t="shared" si="76"/>
        <v>1</v>
      </c>
      <c r="V70" s="13">
        <f t="shared" si="77"/>
        <v>2</v>
      </c>
      <c r="W70" s="13">
        <f t="shared" ca="1" si="78"/>
        <v>3</v>
      </c>
      <c r="X70" s="13">
        <f t="shared" ca="1" si="79"/>
        <v>7</v>
      </c>
      <c r="Y70" s="81" t="str">
        <f t="shared" ca="1" si="80"/>
        <v>MONITOR</v>
      </c>
      <c r="Z70" s="13">
        <v>14</v>
      </c>
      <c r="AA70" s="75">
        <v>46059</v>
      </c>
      <c r="AB70" s="75">
        <f t="shared" si="81"/>
        <v>45920</v>
      </c>
      <c r="AC70" s="88">
        <f t="shared" si="82"/>
        <v>19.857142857142858</v>
      </c>
      <c r="AD70" s="89" t="str">
        <f t="shared" ca="1" si="83"/>
        <v>STABLE</v>
      </c>
      <c r="AE70" s="89" t="str">
        <f t="shared" si="84"/>
        <v>SLOW SELLING</v>
      </c>
      <c r="AF70" s="89" t="str">
        <f t="shared" si="85"/>
        <v>AT RISK</v>
      </c>
      <c r="AG70" s="89" t="str">
        <f t="shared" si="86"/>
        <v>FEASIBLE</v>
      </c>
      <c r="AH70" s="81" t="str">
        <f t="shared" ca="1" si="87"/>
        <v>MONITOR</v>
      </c>
      <c r="AI70" s="75">
        <f t="shared" ca="1" si="88"/>
        <v>0</v>
      </c>
      <c r="AJ70" s="75">
        <f t="shared" ca="1" si="89"/>
        <v>-1544</v>
      </c>
      <c r="AK70" s="13">
        <f t="shared" ca="1" si="90"/>
        <v>-1853</v>
      </c>
      <c r="AL70" s="79">
        <v>0.1</v>
      </c>
      <c r="AM70" s="79">
        <v>0.3</v>
      </c>
      <c r="AN70" s="79">
        <v>0.3</v>
      </c>
      <c r="AO70" s="79">
        <v>0.1</v>
      </c>
      <c r="AP70" s="79">
        <v>0.1</v>
      </c>
      <c r="AQ70" s="75">
        <f t="shared" si="91"/>
        <v>154.4</v>
      </c>
      <c r="AR70" s="75">
        <f t="shared" si="92"/>
        <v>463.2</v>
      </c>
      <c r="AS70" s="75">
        <f t="shared" si="93"/>
        <v>463.2</v>
      </c>
      <c r="AT70" s="75">
        <f t="shared" si="94"/>
        <v>154.4</v>
      </c>
      <c r="AU70" s="75">
        <f t="shared" si="95"/>
        <v>154.4</v>
      </c>
      <c r="AV70" s="13">
        <v>0.8</v>
      </c>
      <c r="AW70" s="13">
        <v>1.2</v>
      </c>
      <c r="AX70" s="13">
        <v>1.3</v>
      </c>
      <c r="AY70" s="13">
        <v>1</v>
      </c>
      <c r="AZ70" s="13">
        <v>0.7</v>
      </c>
      <c r="BA70" s="105">
        <f t="shared" si="96"/>
        <v>1.1200000000000003</v>
      </c>
      <c r="BB70" s="13">
        <f t="shared" si="97"/>
        <v>5.04</v>
      </c>
      <c r="BC70" s="13">
        <f t="shared" si="98"/>
        <v>5.4600000000000009</v>
      </c>
      <c r="BD70" s="13">
        <f t="shared" si="99"/>
        <v>1.4000000000000004</v>
      </c>
      <c r="BE70" s="13">
        <f t="shared" si="100"/>
        <v>0.9800000000000002</v>
      </c>
      <c r="BF70" s="88">
        <f t="shared" si="101"/>
        <v>137.85714285714283</v>
      </c>
      <c r="BG70" s="88">
        <f t="shared" si="102"/>
        <v>91.904761904761898</v>
      </c>
      <c r="BH70" s="88">
        <f t="shared" si="103"/>
        <v>84.835164835164818</v>
      </c>
      <c r="BI70" s="88">
        <f t="shared" si="104"/>
        <v>110.28571428571426</v>
      </c>
      <c r="BJ70" s="88">
        <f t="shared" si="105"/>
        <v>157.55102040816323</v>
      </c>
      <c r="BK70" s="105">
        <f t="shared" si="106"/>
        <v>7.2538860103626953E-3</v>
      </c>
      <c r="BL70" s="105">
        <f t="shared" si="107"/>
        <v>1.0880829015544042E-2</v>
      </c>
      <c r="BM70" s="105">
        <f t="shared" si="108"/>
        <v>1.1787564766839381E-2</v>
      </c>
      <c r="BN70" s="105">
        <f t="shared" si="109"/>
        <v>9.0673575129533689E-3</v>
      </c>
      <c r="BO70" s="105">
        <f t="shared" si="110"/>
        <v>6.3471502590673589E-3</v>
      </c>
      <c r="BP70" s="105">
        <f t="shared" si="111"/>
        <v>4.5336787564766848E-2</v>
      </c>
      <c r="BQ70" s="79">
        <f t="shared" si="112"/>
        <v>0.16</v>
      </c>
      <c r="BR70" s="79">
        <f t="shared" si="113"/>
        <v>0.23999999999999996</v>
      </c>
      <c r="BS70" s="79">
        <f t="shared" si="114"/>
        <v>0.26</v>
      </c>
      <c r="BT70" s="79">
        <f t="shared" si="115"/>
        <v>0.19999999999999998</v>
      </c>
      <c r="BU70" s="79">
        <f t="shared" si="116"/>
        <v>0.14000000000000001</v>
      </c>
      <c r="BV70" s="90" t="str">
        <f t="array" aca="1" ref="BV70" ca="1">_xlfn.TEXTJOIN(" ",TRUE,
_xlfn.TEXTJOIN(":",TRUE,ROUND(BK70:BO70/MIN(IF(BK70:BO70&gt;0,BK70:BO70)),0)),
"|",
ROUND(SUM(BW70:CA70),0))</f>
        <v>1:2:2:1:1 | -1853</v>
      </c>
      <c r="BW70" s="106">
        <f t="shared" ca="1" si="57"/>
        <v>-296.48</v>
      </c>
      <c r="BX70" s="106">
        <f t="shared" ca="1" si="63"/>
        <v>-444.71999999999991</v>
      </c>
      <c r="BY70" s="106">
        <f t="shared" ca="1" si="64"/>
        <v>-481.78000000000003</v>
      </c>
      <c r="BZ70" s="106">
        <f t="shared" ca="1" si="65"/>
        <v>-370.59999999999997</v>
      </c>
      <c r="CA70" s="106">
        <f t="shared" ca="1" si="59"/>
        <v>-259.42</v>
      </c>
    </row>
    <row r="71" spans="1:79" x14ac:dyDescent="0.35">
      <c r="A71" s="25" t="s">
        <v>85</v>
      </c>
      <c r="B71" s="10" t="s">
        <v>316</v>
      </c>
      <c r="C71" s="10" t="s">
        <v>341</v>
      </c>
      <c r="D71" s="10" t="s">
        <v>346</v>
      </c>
      <c r="E71" s="11">
        <v>45871</v>
      </c>
      <c r="F71" s="17">
        <v>45892</v>
      </c>
      <c r="G71" s="14">
        <f t="shared" ca="1" si="66"/>
        <v>207</v>
      </c>
      <c r="H71" s="17">
        <v>799</v>
      </c>
      <c r="I71" s="17">
        <v>455</v>
      </c>
      <c r="J71" s="75">
        <f t="shared" si="67"/>
        <v>1059</v>
      </c>
      <c r="K71" s="17">
        <v>1200</v>
      </c>
      <c r="L71" s="85">
        <v>141</v>
      </c>
      <c r="M71" s="86">
        <f t="shared" ca="1" si="68"/>
        <v>0.6811594202898551</v>
      </c>
      <c r="N71" s="86">
        <f t="shared" si="69"/>
        <v>0.92883099285538351</v>
      </c>
      <c r="O71" s="86">
        <f t="shared" si="70"/>
        <v>0.4298780487804878</v>
      </c>
      <c r="P71" s="87">
        <f t="shared" si="71"/>
        <v>35.25</v>
      </c>
      <c r="Q71" s="104">
        <f t="shared" si="72"/>
        <v>30.042553191489361</v>
      </c>
      <c r="R71" s="88">
        <f t="shared" si="73"/>
        <v>43.053817271589487</v>
      </c>
      <c r="S71" s="88">
        <f t="shared" si="74"/>
        <v>11.75</v>
      </c>
      <c r="T71" s="13">
        <f t="shared" si="75"/>
        <v>1</v>
      </c>
      <c r="U71" s="13">
        <f t="shared" si="76"/>
        <v>1</v>
      </c>
      <c r="V71" s="13">
        <f t="shared" si="77"/>
        <v>1</v>
      </c>
      <c r="W71" s="13">
        <f t="shared" ca="1" si="78"/>
        <v>3</v>
      </c>
      <c r="X71" s="13">
        <f t="shared" ca="1" si="79"/>
        <v>6</v>
      </c>
      <c r="Y71" s="81" t="str">
        <f t="shared" ca="1" si="80"/>
        <v>MONITOR</v>
      </c>
      <c r="Z71" s="13">
        <v>14</v>
      </c>
      <c r="AA71" s="75">
        <v>46059</v>
      </c>
      <c r="AB71" s="75">
        <f t="shared" si="81"/>
        <v>45920</v>
      </c>
      <c r="AC71" s="88">
        <f t="shared" si="82"/>
        <v>19.857142857142858</v>
      </c>
      <c r="AD71" s="89" t="str">
        <f t="shared" ca="1" si="83"/>
        <v>STABLE</v>
      </c>
      <c r="AE71" s="89" t="str">
        <f t="shared" si="84"/>
        <v>SLOW SELLING</v>
      </c>
      <c r="AF71" s="89" t="str">
        <f t="shared" si="85"/>
        <v>AT RISK</v>
      </c>
      <c r="AG71" s="89" t="str">
        <f t="shared" si="86"/>
        <v>FEASIBLE</v>
      </c>
      <c r="AH71" s="81" t="str">
        <f t="shared" ca="1" si="87"/>
        <v>MONITOR</v>
      </c>
      <c r="AI71" s="75">
        <f t="shared" ca="1" si="88"/>
        <v>0</v>
      </c>
      <c r="AJ71" s="75">
        <f t="shared" ca="1" si="89"/>
        <v>-1059</v>
      </c>
      <c r="AK71" s="13">
        <f t="shared" ca="1" si="90"/>
        <v>-1271</v>
      </c>
      <c r="AL71" s="79">
        <v>0.1</v>
      </c>
      <c r="AM71" s="79">
        <v>0.3</v>
      </c>
      <c r="AN71" s="79">
        <v>0.3</v>
      </c>
      <c r="AO71" s="79">
        <v>0.1</v>
      </c>
      <c r="AP71" s="79">
        <v>0.1</v>
      </c>
      <c r="AQ71" s="75">
        <f t="shared" si="91"/>
        <v>105.9</v>
      </c>
      <c r="AR71" s="75">
        <f t="shared" si="92"/>
        <v>317.7</v>
      </c>
      <c r="AS71" s="75">
        <f t="shared" si="93"/>
        <v>317.7</v>
      </c>
      <c r="AT71" s="75">
        <f t="shared" si="94"/>
        <v>105.9</v>
      </c>
      <c r="AU71" s="75">
        <f t="shared" si="95"/>
        <v>105.9</v>
      </c>
      <c r="AV71" s="13">
        <v>0.8</v>
      </c>
      <c r="AW71" s="13">
        <v>1.2</v>
      </c>
      <c r="AX71" s="13">
        <v>1.3</v>
      </c>
      <c r="AY71" s="13">
        <v>1</v>
      </c>
      <c r="AZ71" s="13">
        <v>0.7</v>
      </c>
      <c r="BA71" s="105">
        <f t="shared" si="96"/>
        <v>2.8200000000000003</v>
      </c>
      <c r="BB71" s="13">
        <f t="shared" si="97"/>
        <v>12.69</v>
      </c>
      <c r="BC71" s="13">
        <f t="shared" si="98"/>
        <v>13.747499999999999</v>
      </c>
      <c r="BD71" s="13">
        <f t="shared" si="99"/>
        <v>3.5250000000000004</v>
      </c>
      <c r="BE71" s="13">
        <f t="shared" si="100"/>
        <v>2.4675000000000002</v>
      </c>
      <c r="BF71" s="88">
        <f t="shared" si="101"/>
        <v>37.553191489361701</v>
      </c>
      <c r="BG71" s="88">
        <f t="shared" si="102"/>
        <v>25.035460992907801</v>
      </c>
      <c r="BH71" s="88">
        <f t="shared" si="103"/>
        <v>23.109656301145666</v>
      </c>
      <c r="BI71" s="88">
        <f t="shared" si="104"/>
        <v>30.042553191489361</v>
      </c>
      <c r="BJ71" s="88">
        <f t="shared" si="105"/>
        <v>42.917933130699083</v>
      </c>
      <c r="BK71" s="105">
        <f t="shared" si="106"/>
        <v>2.6628895184135977E-2</v>
      </c>
      <c r="BL71" s="105">
        <f t="shared" si="107"/>
        <v>3.9943342776203969E-2</v>
      </c>
      <c r="BM71" s="105">
        <f t="shared" si="108"/>
        <v>4.3271954674220958E-2</v>
      </c>
      <c r="BN71" s="105">
        <f t="shared" si="109"/>
        <v>3.3286118980169969E-2</v>
      </c>
      <c r="BO71" s="105">
        <f t="shared" si="110"/>
        <v>2.3300283286118984E-2</v>
      </c>
      <c r="BP71" s="105">
        <f t="shared" si="111"/>
        <v>0.16643059490084988</v>
      </c>
      <c r="BQ71" s="79">
        <f t="shared" si="112"/>
        <v>0.15999999999999998</v>
      </c>
      <c r="BR71" s="79">
        <f t="shared" si="113"/>
        <v>0.24</v>
      </c>
      <c r="BS71" s="79">
        <f t="shared" si="114"/>
        <v>0.25999999999999995</v>
      </c>
      <c r="BT71" s="79">
        <f t="shared" si="115"/>
        <v>0.19999999999999996</v>
      </c>
      <c r="BU71" s="79">
        <f t="shared" si="116"/>
        <v>0.14000000000000001</v>
      </c>
      <c r="BV71" s="90" t="str">
        <f t="array" aca="1" ref="BV71" ca="1">_xlfn.TEXTJOIN(" ",TRUE,
_xlfn.TEXTJOIN(":",TRUE,ROUND(BK71:BO71/MIN(IF(BK71:BO71&gt;0,BK71:BO71)),0)),
"|",
ROUND(SUM(BW71:CA71),0))</f>
        <v>1:2:2:1:1 | -1271</v>
      </c>
      <c r="BW71" s="106">
        <f t="shared" ca="1" si="57"/>
        <v>-203.35999999999996</v>
      </c>
      <c r="BX71" s="106">
        <f t="shared" ca="1" si="63"/>
        <v>-305.03999999999996</v>
      </c>
      <c r="BY71" s="106">
        <f t="shared" ca="1" si="64"/>
        <v>-330.45999999999992</v>
      </c>
      <c r="BZ71" s="106">
        <f t="shared" ca="1" si="65"/>
        <v>-254.19999999999993</v>
      </c>
      <c r="CA71" s="106">
        <f t="shared" ca="1" si="59"/>
        <v>-177.94000000000003</v>
      </c>
    </row>
    <row r="72" spans="1:79" x14ac:dyDescent="0.35">
      <c r="A72" s="25" t="s">
        <v>86</v>
      </c>
      <c r="B72" s="10" t="s">
        <v>316</v>
      </c>
      <c r="C72" s="10" t="s">
        <v>341</v>
      </c>
      <c r="D72" s="10" t="s">
        <v>346</v>
      </c>
      <c r="E72" s="11">
        <v>45871</v>
      </c>
      <c r="F72" s="17">
        <v>45892</v>
      </c>
      <c r="G72" s="14">
        <f t="shared" ca="1" si="66"/>
        <v>207</v>
      </c>
      <c r="H72" s="17">
        <v>799</v>
      </c>
      <c r="I72" s="17">
        <v>455</v>
      </c>
      <c r="J72" s="75">
        <f t="shared" si="67"/>
        <v>777</v>
      </c>
      <c r="K72" s="17">
        <v>1000</v>
      </c>
      <c r="L72" s="85">
        <v>223</v>
      </c>
      <c r="M72" s="86">
        <f t="shared" ca="1" si="68"/>
        <v>1.0772946859903381</v>
      </c>
      <c r="N72" s="86">
        <f t="shared" si="69"/>
        <v>0.92883099285538351</v>
      </c>
      <c r="O72" s="86">
        <f t="shared" si="70"/>
        <v>0.67987804878048785</v>
      </c>
      <c r="P72" s="87">
        <f t="shared" si="71"/>
        <v>55.750000000000007</v>
      </c>
      <c r="Q72" s="104">
        <f t="shared" si="72"/>
        <v>13.937219730941703</v>
      </c>
      <c r="R72" s="88">
        <f t="shared" si="73"/>
        <v>43.053817271589487</v>
      </c>
      <c r="S72" s="88">
        <f t="shared" si="74"/>
        <v>22.3</v>
      </c>
      <c r="T72" s="13">
        <f t="shared" si="75"/>
        <v>1</v>
      </c>
      <c r="U72" s="13">
        <f t="shared" si="76"/>
        <v>1</v>
      </c>
      <c r="V72" s="13">
        <f t="shared" si="77"/>
        <v>1</v>
      </c>
      <c r="W72" s="13">
        <f t="shared" ca="1" si="78"/>
        <v>3</v>
      </c>
      <c r="X72" s="13">
        <f t="shared" ca="1" si="79"/>
        <v>6</v>
      </c>
      <c r="Y72" s="81" t="str">
        <f t="shared" ca="1" si="80"/>
        <v>MONITOR</v>
      </c>
      <c r="Z72" s="13">
        <v>14</v>
      </c>
      <c r="AA72" s="75">
        <v>46059</v>
      </c>
      <c r="AB72" s="75">
        <f t="shared" si="81"/>
        <v>45920</v>
      </c>
      <c r="AC72" s="88">
        <f t="shared" si="82"/>
        <v>19.857142857142858</v>
      </c>
      <c r="AD72" s="89" t="str">
        <f t="shared" ca="1" si="83"/>
        <v>STABLE</v>
      </c>
      <c r="AE72" s="89" t="str">
        <f t="shared" si="84"/>
        <v>SLOW SELLING</v>
      </c>
      <c r="AF72" s="89" t="str">
        <f t="shared" si="85"/>
        <v>AT RISK</v>
      </c>
      <c r="AG72" s="89" t="str">
        <f t="shared" si="86"/>
        <v>FEASIBLE</v>
      </c>
      <c r="AH72" s="81" t="str">
        <f t="shared" ca="1" si="87"/>
        <v>MONITOR</v>
      </c>
      <c r="AI72" s="75">
        <f t="shared" ca="1" si="88"/>
        <v>0</v>
      </c>
      <c r="AJ72" s="75">
        <f t="shared" ca="1" si="89"/>
        <v>-777</v>
      </c>
      <c r="AK72" s="13">
        <f t="shared" ca="1" si="90"/>
        <v>-932</v>
      </c>
      <c r="AL72" s="79">
        <v>0.1</v>
      </c>
      <c r="AM72" s="79">
        <v>0.3</v>
      </c>
      <c r="AN72" s="79">
        <v>0.3</v>
      </c>
      <c r="AO72" s="79">
        <v>0.1</v>
      </c>
      <c r="AP72" s="79">
        <v>0.1</v>
      </c>
      <c r="AQ72" s="75">
        <f t="shared" si="91"/>
        <v>77.7</v>
      </c>
      <c r="AR72" s="75">
        <f t="shared" si="92"/>
        <v>233.1</v>
      </c>
      <c r="AS72" s="75">
        <f t="shared" si="93"/>
        <v>233.1</v>
      </c>
      <c r="AT72" s="75">
        <f t="shared" si="94"/>
        <v>77.7</v>
      </c>
      <c r="AU72" s="75">
        <f t="shared" si="95"/>
        <v>77.7</v>
      </c>
      <c r="AV72" s="13">
        <v>0.8</v>
      </c>
      <c r="AW72" s="13">
        <v>1.2</v>
      </c>
      <c r="AX72" s="13">
        <v>1.3</v>
      </c>
      <c r="AY72" s="13">
        <v>1</v>
      </c>
      <c r="AZ72" s="13">
        <v>0.7</v>
      </c>
      <c r="BA72" s="105">
        <f t="shared" si="96"/>
        <v>4.4600000000000009</v>
      </c>
      <c r="BB72" s="13">
        <f t="shared" si="97"/>
        <v>20.07</v>
      </c>
      <c r="BC72" s="13">
        <f t="shared" si="98"/>
        <v>21.742500000000003</v>
      </c>
      <c r="BD72" s="13">
        <f t="shared" si="99"/>
        <v>5.5750000000000011</v>
      </c>
      <c r="BE72" s="13">
        <f t="shared" si="100"/>
        <v>3.9025000000000003</v>
      </c>
      <c r="BF72" s="88">
        <f t="shared" si="101"/>
        <v>17.421524663677129</v>
      </c>
      <c r="BG72" s="88">
        <f t="shared" si="102"/>
        <v>11.614349775784753</v>
      </c>
      <c r="BH72" s="88">
        <f t="shared" si="103"/>
        <v>10.720938254570539</v>
      </c>
      <c r="BI72" s="88">
        <f t="shared" si="104"/>
        <v>13.937219730941703</v>
      </c>
      <c r="BJ72" s="88">
        <f t="shared" si="105"/>
        <v>19.91031390134529</v>
      </c>
      <c r="BK72" s="105">
        <f t="shared" si="106"/>
        <v>5.7400257400257407E-2</v>
      </c>
      <c r="BL72" s="105">
        <f t="shared" si="107"/>
        <v>8.6100386100386103E-2</v>
      </c>
      <c r="BM72" s="105">
        <f t="shared" si="108"/>
        <v>9.3275418275418298E-2</v>
      </c>
      <c r="BN72" s="105">
        <f t="shared" si="109"/>
        <v>7.1750321750321755E-2</v>
      </c>
      <c r="BO72" s="105">
        <f t="shared" si="110"/>
        <v>5.0225225225225226E-2</v>
      </c>
      <c r="BP72" s="105">
        <f t="shared" si="111"/>
        <v>0.35875160875160877</v>
      </c>
      <c r="BQ72" s="79">
        <f t="shared" si="112"/>
        <v>0.16</v>
      </c>
      <c r="BR72" s="79">
        <f t="shared" si="113"/>
        <v>0.24</v>
      </c>
      <c r="BS72" s="79">
        <f t="shared" si="114"/>
        <v>0.26000000000000006</v>
      </c>
      <c r="BT72" s="79">
        <f t="shared" si="115"/>
        <v>0.2</v>
      </c>
      <c r="BU72" s="79">
        <f t="shared" si="116"/>
        <v>0.13999999999999999</v>
      </c>
      <c r="BV72" s="90" t="str">
        <f t="array" aca="1" ref="BV72" ca="1">_xlfn.TEXTJOIN(" ",TRUE,
_xlfn.TEXTJOIN(":",TRUE,ROUND(BK72:BO72/MIN(IF(BK72:BO72&gt;0,BK72:BO72)),0)),
"|",
ROUND(SUM(BW72:CA72),0))</f>
        <v>1:2:2:1:1 | -932</v>
      </c>
      <c r="BW72" s="106">
        <f t="shared" ca="1" si="57"/>
        <v>-149.12</v>
      </c>
      <c r="BX72" s="106">
        <f t="shared" ca="1" si="63"/>
        <v>-223.67999999999998</v>
      </c>
      <c r="BY72" s="106">
        <f t="shared" ca="1" si="64"/>
        <v>-242.32000000000005</v>
      </c>
      <c r="BZ72" s="106">
        <f t="shared" ca="1" si="65"/>
        <v>-186.4</v>
      </c>
      <c r="CA72" s="106">
        <f t="shared" ca="1" si="59"/>
        <v>-130.47999999999999</v>
      </c>
    </row>
    <row r="73" spans="1:79" x14ac:dyDescent="0.35">
      <c r="A73" s="25" t="s">
        <v>87</v>
      </c>
      <c r="B73" s="10" t="s">
        <v>316</v>
      </c>
      <c r="C73" s="10" t="s">
        <v>341</v>
      </c>
      <c r="D73" s="10" t="s">
        <v>346</v>
      </c>
      <c r="E73" s="11">
        <v>45871</v>
      </c>
      <c r="F73" s="17">
        <v>45892</v>
      </c>
      <c r="G73" s="14">
        <f t="shared" ca="1" si="66"/>
        <v>207</v>
      </c>
      <c r="H73" s="17">
        <v>799</v>
      </c>
      <c r="I73" s="17">
        <v>390</v>
      </c>
      <c r="J73" s="75">
        <f t="shared" si="67"/>
        <v>640</v>
      </c>
      <c r="K73" s="17">
        <v>800</v>
      </c>
      <c r="L73" s="85">
        <v>160</v>
      </c>
      <c r="M73" s="86">
        <f t="shared" ca="1" si="68"/>
        <v>0.77294685990338163</v>
      </c>
      <c r="N73" s="86">
        <f t="shared" si="69"/>
        <v>0.92883099285538351</v>
      </c>
      <c r="O73" s="86">
        <f t="shared" si="70"/>
        <v>0.48780487804878048</v>
      </c>
      <c r="P73" s="87">
        <f t="shared" si="71"/>
        <v>40</v>
      </c>
      <c r="Q73" s="104">
        <f t="shared" si="72"/>
        <v>16</v>
      </c>
      <c r="R73" s="88">
        <f t="shared" si="73"/>
        <v>51.188986232790988</v>
      </c>
      <c r="S73" s="88">
        <f t="shared" si="74"/>
        <v>20</v>
      </c>
      <c r="T73" s="13">
        <f t="shared" si="75"/>
        <v>1</v>
      </c>
      <c r="U73" s="13">
        <f t="shared" si="76"/>
        <v>1</v>
      </c>
      <c r="V73" s="13">
        <f t="shared" si="77"/>
        <v>2</v>
      </c>
      <c r="W73" s="13">
        <f t="shared" ca="1" si="78"/>
        <v>3</v>
      </c>
      <c r="X73" s="13">
        <f t="shared" ca="1" si="79"/>
        <v>7</v>
      </c>
      <c r="Y73" s="81" t="str">
        <f t="shared" ca="1" si="80"/>
        <v>MONITOR</v>
      </c>
      <c r="Z73" s="13">
        <v>14</v>
      </c>
      <c r="AA73" s="75">
        <v>46059</v>
      </c>
      <c r="AB73" s="75">
        <f t="shared" si="81"/>
        <v>45920</v>
      </c>
      <c r="AC73" s="88">
        <f t="shared" si="82"/>
        <v>19.857142857142858</v>
      </c>
      <c r="AD73" s="89" t="str">
        <f t="shared" ca="1" si="83"/>
        <v>STABLE</v>
      </c>
      <c r="AE73" s="89" t="str">
        <f t="shared" si="84"/>
        <v>SLOW SELLING</v>
      </c>
      <c r="AF73" s="89" t="str">
        <f t="shared" si="85"/>
        <v>AT RISK</v>
      </c>
      <c r="AG73" s="89" t="str">
        <f t="shared" si="86"/>
        <v>FEASIBLE</v>
      </c>
      <c r="AH73" s="81" t="str">
        <f t="shared" ca="1" si="87"/>
        <v>MONITOR</v>
      </c>
      <c r="AI73" s="75">
        <f t="shared" ca="1" si="88"/>
        <v>0</v>
      </c>
      <c r="AJ73" s="75">
        <f t="shared" ca="1" si="89"/>
        <v>-640</v>
      </c>
      <c r="AK73" s="13">
        <f t="shared" ca="1" si="90"/>
        <v>-768</v>
      </c>
      <c r="AL73" s="79">
        <v>0.1</v>
      </c>
      <c r="AM73" s="79">
        <v>0.3</v>
      </c>
      <c r="AN73" s="79">
        <v>0.3</v>
      </c>
      <c r="AO73" s="79">
        <v>0.1</v>
      </c>
      <c r="AP73" s="79">
        <v>0.1</v>
      </c>
      <c r="AQ73" s="75">
        <f t="shared" si="91"/>
        <v>64</v>
      </c>
      <c r="AR73" s="75">
        <f t="shared" si="92"/>
        <v>192</v>
      </c>
      <c r="AS73" s="75">
        <f t="shared" si="93"/>
        <v>192</v>
      </c>
      <c r="AT73" s="75">
        <f t="shared" si="94"/>
        <v>64</v>
      </c>
      <c r="AU73" s="75">
        <f t="shared" si="95"/>
        <v>64</v>
      </c>
      <c r="AV73" s="13">
        <v>0.8</v>
      </c>
      <c r="AW73" s="13">
        <v>1.2</v>
      </c>
      <c r="AX73" s="13">
        <v>1.3</v>
      </c>
      <c r="AY73" s="13">
        <v>1</v>
      </c>
      <c r="AZ73" s="13">
        <v>0.7</v>
      </c>
      <c r="BA73" s="105">
        <f t="shared" si="96"/>
        <v>3.2</v>
      </c>
      <c r="BB73" s="13">
        <f t="shared" si="97"/>
        <v>14.399999999999999</v>
      </c>
      <c r="BC73" s="13">
        <f t="shared" si="98"/>
        <v>15.600000000000001</v>
      </c>
      <c r="BD73" s="13">
        <f t="shared" si="99"/>
        <v>4</v>
      </c>
      <c r="BE73" s="13">
        <f t="shared" si="100"/>
        <v>2.8</v>
      </c>
      <c r="BF73" s="88">
        <f t="shared" si="101"/>
        <v>20</v>
      </c>
      <c r="BG73" s="88">
        <f t="shared" si="102"/>
        <v>13.333333333333334</v>
      </c>
      <c r="BH73" s="88">
        <f t="shared" si="103"/>
        <v>12.307692307692307</v>
      </c>
      <c r="BI73" s="88">
        <f t="shared" si="104"/>
        <v>16</v>
      </c>
      <c r="BJ73" s="88">
        <f t="shared" si="105"/>
        <v>22.857142857142858</v>
      </c>
      <c r="BK73" s="105">
        <f t="shared" si="106"/>
        <v>0.05</v>
      </c>
      <c r="BL73" s="105">
        <f t="shared" si="107"/>
        <v>7.4999999999999997E-2</v>
      </c>
      <c r="BM73" s="105">
        <f t="shared" si="108"/>
        <v>8.1250000000000003E-2</v>
      </c>
      <c r="BN73" s="105">
        <f t="shared" si="109"/>
        <v>6.25E-2</v>
      </c>
      <c r="BO73" s="105">
        <f t="shared" si="110"/>
        <v>4.3749999999999997E-2</v>
      </c>
      <c r="BP73" s="105">
        <f t="shared" si="111"/>
        <v>0.3125</v>
      </c>
      <c r="BQ73" s="79">
        <f t="shared" si="112"/>
        <v>0.16</v>
      </c>
      <c r="BR73" s="79">
        <f t="shared" si="113"/>
        <v>0.24</v>
      </c>
      <c r="BS73" s="79">
        <f t="shared" si="114"/>
        <v>0.26</v>
      </c>
      <c r="BT73" s="79">
        <f t="shared" si="115"/>
        <v>0.2</v>
      </c>
      <c r="BU73" s="79">
        <f t="shared" si="116"/>
        <v>0.13999999999999999</v>
      </c>
      <c r="BV73" s="90" t="str">
        <f t="array" aca="1" ref="BV73" ca="1">_xlfn.TEXTJOIN(" ",TRUE,
_xlfn.TEXTJOIN(":",TRUE,ROUND(BK73:BO73/MIN(IF(BK73:BO73&gt;0,BK73:BO73)),0)),
"|",
ROUND(SUM(BW73:CA73),0))</f>
        <v>1:2:2:1:1 | -768</v>
      </c>
      <c r="BW73" s="106">
        <f t="shared" ca="1" si="57"/>
        <v>-122.88</v>
      </c>
      <c r="BX73" s="106">
        <f t="shared" ca="1" si="63"/>
        <v>-184.32</v>
      </c>
      <c r="BY73" s="106">
        <f t="shared" ca="1" si="64"/>
        <v>-199.68</v>
      </c>
      <c r="BZ73" s="106">
        <f t="shared" ca="1" si="65"/>
        <v>-153.60000000000002</v>
      </c>
      <c r="CA73" s="106">
        <f t="shared" ca="1" si="59"/>
        <v>-107.51999999999998</v>
      </c>
    </row>
    <row r="74" spans="1:79" x14ac:dyDescent="0.35">
      <c r="A74" s="25" t="s">
        <v>88</v>
      </c>
      <c r="B74" s="10" t="s">
        <v>316</v>
      </c>
      <c r="C74" s="10" t="s">
        <v>341</v>
      </c>
      <c r="D74" s="10" t="s">
        <v>346</v>
      </c>
      <c r="E74" s="11">
        <v>45871</v>
      </c>
      <c r="F74" s="17">
        <v>45892</v>
      </c>
      <c r="G74" s="14">
        <f t="shared" ca="1" si="66"/>
        <v>207</v>
      </c>
      <c r="H74" s="17">
        <v>799</v>
      </c>
      <c r="I74" s="17">
        <v>390</v>
      </c>
      <c r="J74" s="75">
        <f t="shared" si="67"/>
        <v>564</v>
      </c>
      <c r="K74" s="17">
        <v>800</v>
      </c>
      <c r="L74" s="85">
        <v>236</v>
      </c>
      <c r="M74" s="86">
        <f t="shared" ca="1" si="68"/>
        <v>1.1400966183574879</v>
      </c>
      <c r="N74" s="86">
        <f t="shared" si="69"/>
        <v>0.92883099285538351</v>
      </c>
      <c r="O74" s="86">
        <f t="shared" si="70"/>
        <v>0.71951219512195119</v>
      </c>
      <c r="P74" s="87">
        <f t="shared" si="71"/>
        <v>59</v>
      </c>
      <c r="Q74" s="104">
        <f t="shared" si="72"/>
        <v>9.5593220338983045</v>
      </c>
      <c r="R74" s="88">
        <f t="shared" si="73"/>
        <v>51.188986232790988</v>
      </c>
      <c r="S74" s="88">
        <f t="shared" si="74"/>
        <v>29.5</v>
      </c>
      <c r="T74" s="13">
        <f t="shared" si="75"/>
        <v>1</v>
      </c>
      <c r="U74" s="13">
        <f t="shared" si="76"/>
        <v>1</v>
      </c>
      <c r="V74" s="13">
        <f t="shared" si="77"/>
        <v>2</v>
      </c>
      <c r="W74" s="13">
        <f t="shared" ca="1" si="78"/>
        <v>3</v>
      </c>
      <c r="X74" s="13">
        <f t="shared" ca="1" si="79"/>
        <v>7</v>
      </c>
      <c r="Y74" s="81" t="str">
        <f t="shared" ca="1" si="80"/>
        <v>MONITOR</v>
      </c>
      <c r="Z74" s="13">
        <v>14</v>
      </c>
      <c r="AA74" s="75">
        <v>46059</v>
      </c>
      <c r="AB74" s="75">
        <f t="shared" si="81"/>
        <v>45920</v>
      </c>
      <c r="AC74" s="88">
        <f t="shared" si="82"/>
        <v>19.857142857142858</v>
      </c>
      <c r="AD74" s="89" t="str">
        <f t="shared" ca="1" si="83"/>
        <v>STABLE</v>
      </c>
      <c r="AE74" s="89" t="str">
        <f t="shared" si="84"/>
        <v>SLOW SELLING</v>
      </c>
      <c r="AF74" s="89" t="str">
        <f t="shared" si="85"/>
        <v>AT RISK</v>
      </c>
      <c r="AG74" s="89" t="str">
        <f t="shared" si="86"/>
        <v>FEASIBLE</v>
      </c>
      <c r="AH74" s="81" t="str">
        <f t="shared" ca="1" si="87"/>
        <v>MONITOR</v>
      </c>
      <c r="AI74" s="75">
        <f t="shared" ca="1" si="88"/>
        <v>0</v>
      </c>
      <c r="AJ74" s="75">
        <f t="shared" ca="1" si="89"/>
        <v>-564</v>
      </c>
      <c r="AK74" s="13">
        <f t="shared" ca="1" si="90"/>
        <v>-677</v>
      </c>
      <c r="AL74" s="79">
        <v>0.1</v>
      </c>
      <c r="AM74" s="79">
        <v>0.3</v>
      </c>
      <c r="AN74" s="79">
        <v>0.3</v>
      </c>
      <c r="AO74" s="79">
        <v>0.1</v>
      </c>
      <c r="AP74" s="79">
        <v>0.1</v>
      </c>
      <c r="AQ74" s="75">
        <f t="shared" si="91"/>
        <v>56.400000000000006</v>
      </c>
      <c r="AR74" s="75">
        <f t="shared" si="92"/>
        <v>169.2</v>
      </c>
      <c r="AS74" s="75">
        <f t="shared" si="93"/>
        <v>169.2</v>
      </c>
      <c r="AT74" s="75">
        <f t="shared" si="94"/>
        <v>56.400000000000006</v>
      </c>
      <c r="AU74" s="75">
        <f t="shared" si="95"/>
        <v>56.400000000000006</v>
      </c>
      <c r="AV74" s="13">
        <v>0.8</v>
      </c>
      <c r="AW74" s="13">
        <v>1.2</v>
      </c>
      <c r="AX74" s="13">
        <v>1.3</v>
      </c>
      <c r="AY74" s="13">
        <v>1</v>
      </c>
      <c r="AZ74" s="13">
        <v>0.7</v>
      </c>
      <c r="BA74" s="105">
        <f t="shared" si="96"/>
        <v>4.7200000000000006</v>
      </c>
      <c r="BB74" s="13">
        <f t="shared" si="97"/>
        <v>21.24</v>
      </c>
      <c r="BC74" s="13">
        <f t="shared" si="98"/>
        <v>23.01</v>
      </c>
      <c r="BD74" s="13">
        <f t="shared" si="99"/>
        <v>5.9</v>
      </c>
      <c r="BE74" s="13">
        <f t="shared" si="100"/>
        <v>4.13</v>
      </c>
      <c r="BF74" s="88">
        <f t="shared" si="101"/>
        <v>11.949152542372881</v>
      </c>
      <c r="BG74" s="88">
        <f t="shared" si="102"/>
        <v>7.9661016949152543</v>
      </c>
      <c r="BH74" s="88">
        <f t="shared" si="103"/>
        <v>7.353324641460234</v>
      </c>
      <c r="BI74" s="88">
        <f t="shared" si="104"/>
        <v>9.5593220338983063</v>
      </c>
      <c r="BJ74" s="88">
        <f t="shared" si="105"/>
        <v>13.656174334140438</v>
      </c>
      <c r="BK74" s="105">
        <f t="shared" si="106"/>
        <v>8.3687943262411357E-2</v>
      </c>
      <c r="BL74" s="105">
        <f t="shared" si="107"/>
        <v>0.12553191489361701</v>
      </c>
      <c r="BM74" s="105">
        <f t="shared" si="108"/>
        <v>0.13599290780141846</v>
      </c>
      <c r="BN74" s="105">
        <f t="shared" si="109"/>
        <v>0.10460992907801417</v>
      </c>
      <c r="BO74" s="105">
        <f t="shared" si="110"/>
        <v>7.3226950354609924E-2</v>
      </c>
      <c r="BP74" s="105">
        <f t="shared" si="111"/>
        <v>0.52304964539007093</v>
      </c>
      <c r="BQ74" s="79">
        <f t="shared" si="112"/>
        <v>0.16</v>
      </c>
      <c r="BR74" s="79">
        <f t="shared" si="113"/>
        <v>0.23999999999999996</v>
      </c>
      <c r="BS74" s="79">
        <f t="shared" si="114"/>
        <v>0.26</v>
      </c>
      <c r="BT74" s="79">
        <f t="shared" si="115"/>
        <v>0.19999999999999996</v>
      </c>
      <c r="BU74" s="79">
        <f t="shared" si="116"/>
        <v>0.13999999999999999</v>
      </c>
      <c r="BV74" s="90" t="str">
        <f t="array" aca="1" ref="BV74" ca="1">_xlfn.TEXTJOIN(" ",TRUE,
_xlfn.TEXTJOIN(":",TRUE,ROUND(BK74:BO74/MIN(IF(BK74:BO74&gt;0,BK74:BO74)),0)),
"|",
ROUND(SUM(BW74:CA74),0))</f>
        <v>1:2:2:1:1 | -677</v>
      </c>
      <c r="BW74" s="106">
        <f t="shared" ca="1" si="57"/>
        <v>-108.32000000000001</v>
      </c>
      <c r="BX74" s="106">
        <f t="shared" ca="1" si="63"/>
        <v>-162.47999999999996</v>
      </c>
      <c r="BY74" s="106">
        <f t="shared" ca="1" si="64"/>
        <v>-176.02</v>
      </c>
      <c r="BZ74" s="106">
        <f t="shared" ca="1" si="65"/>
        <v>-135.39999999999998</v>
      </c>
      <c r="CA74" s="106">
        <f t="shared" ca="1" si="59"/>
        <v>-94.779999999999987</v>
      </c>
    </row>
    <row r="75" spans="1:79" x14ac:dyDescent="0.35">
      <c r="A75" s="25" t="s">
        <v>89</v>
      </c>
      <c r="B75" s="10" t="s">
        <v>316</v>
      </c>
      <c r="C75" s="10" t="s">
        <v>341</v>
      </c>
      <c r="D75" s="10" t="s">
        <v>346</v>
      </c>
      <c r="E75" s="11">
        <v>45976</v>
      </c>
      <c r="F75" s="17">
        <v>45892</v>
      </c>
      <c r="G75" s="14">
        <f t="shared" ca="1" si="66"/>
        <v>207</v>
      </c>
      <c r="H75" s="17">
        <v>799</v>
      </c>
      <c r="I75" s="17">
        <v>390</v>
      </c>
      <c r="J75" s="75">
        <f t="shared" si="67"/>
        <v>500</v>
      </c>
      <c r="K75" s="17">
        <v>800</v>
      </c>
      <c r="L75" s="85">
        <v>300</v>
      </c>
      <c r="M75" s="86">
        <f t="shared" ca="1" si="68"/>
        <v>1.4492753623188406</v>
      </c>
      <c r="N75" s="86">
        <f t="shared" si="69"/>
        <v>0.92883099285538351</v>
      </c>
      <c r="O75" s="86">
        <f t="shared" si="70"/>
        <v>0.91463414634146345</v>
      </c>
      <c r="P75" s="87">
        <f t="shared" si="71"/>
        <v>75</v>
      </c>
      <c r="Q75" s="104">
        <f t="shared" si="72"/>
        <v>6.666666666666667</v>
      </c>
      <c r="R75" s="88">
        <f t="shared" si="73"/>
        <v>51.188986232790988</v>
      </c>
      <c r="S75" s="88">
        <f t="shared" si="74"/>
        <v>37.5</v>
      </c>
      <c r="T75" s="13">
        <f t="shared" si="75"/>
        <v>2</v>
      </c>
      <c r="U75" s="13">
        <f t="shared" si="76"/>
        <v>1</v>
      </c>
      <c r="V75" s="13">
        <f t="shared" si="77"/>
        <v>2</v>
      </c>
      <c r="W75" s="13">
        <f t="shared" ca="1" si="78"/>
        <v>3</v>
      </c>
      <c r="X75" s="13">
        <f t="shared" ca="1" si="79"/>
        <v>8</v>
      </c>
      <c r="Y75" s="81" t="str">
        <f t="shared" ca="1" si="80"/>
        <v>MONITOR</v>
      </c>
      <c r="Z75" s="13">
        <v>14</v>
      </c>
      <c r="AA75" s="75">
        <v>46059</v>
      </c>
      <c r="AB75" s="75">
        <f t="shared" si="81"/>
        <v>45920</v>
      </c>
      <c r="AC75" s="88">
        <f t="shared" si="82"/>
        <v>19.857142857142858</v>
      </c>
      <c r="AD75" s="89" t="str">
        <f t="shared" ca="1" si="83"/>
        <v>STABLE</v>
      </c>
      <c r="AE75" s="89" t="str">
        <f t="shared" si="84"/>
        <v>SLOW SELLING</v>
      </c>
      <c r="AF75" s="89" t="str">
        <f t="shared" si="85"/>
        <v>AT RISK</v>
      </c>
      <c r="AG75" s="89" t="str">
        <f t="shared" si="86"/>
        <v>FEASIBLE</v>
      </c>
      <c r="AH75" s="81" t="str">
        <f t="shared" ca="1" si="87"/>
        <v>MONITOR</v>
      </c>
      <c r="AI75" s="75">
        <f t="shared" ca="1" si="88"/>
        <v>0</v>
      </c>
      <c r="AJ75" s="75">
        <f t="shared" ca="1" si="89"/>
        <v>-500</v>
      </c>
      <c r="AK75" s="13">
        <f t="shared" ca="1" si="90"/>
        <v>-600</v>
      </c>
      <c r="AL75" s="79">
        <v>0.1</v>
      </c>
      <c r="AM75" s="79">
        <v>0.3</v>
      </c>
      <c r="AN75" s="79">
        <v>0.3</v>
      </c>
      <c r="AO75" s="79">
        <v>0.1</v>
      </c>
      <c r="AP75" s="79">
        <v>0.1</v>
      </c>
      <c r="AQ75" s="75">
        <f t="shared" si="91"/>
        <v>50</v>
      </c>
      <c r="AR75" s="75">
        <f t="shared" si="92"/>
        <v>150</v>
      </c>
      <c r="AS75" s="75">
        <f t="shared" si="93"/>
        <v>150</v>
      </c>
      <c r="AT75" s="75">
        <f t="shared" si="94"/>
        <v>50</v>
      </c>
      <c r="AU75" s="75">
        <f t="shared" si="95"/>
        <v>50</v>
      </c>
      <c r="AV75" s="13">
        <v>0.8</v>
      </c>
      <c r="AW75" s="13">
        <v>1.2</v>
      </c>
      <c r="AX75" s="13">
        <v>1.3</v>
      </c>
      <c r="AY75" s="13">
        <v>1</v>
      </c>
      <c r="AZ75" s="13">
        <v>0.7</v>
      </c>
      <c r="BA75" s="105">
        <f t="shared" si="96"/>
        <v>6</v>
      </c>
      <c r="BB75" s="13">
        <f t="shared" si="97"/>
        <v>27</v>
      </c>
      <c r="BC75" s="13">
        <f t="shared" si="98"/>
        <v>29.25</v>
      </c>
      <c r="BD75" s="13">
        <f t="shared" si="99"/>
        <v>7.5</v>
      </c>
      <c r="BE75" s="13">
        <f t="shared" si="100"/>
        <v>5.25</v>
      </c>
      <c r="BF75" s="88">
        <f t="shared" si="101"/>
        <v>8.3333333333333339</v>
      </c>
      <c r="BG75" s="88">
        <f t="shared" si="102"/>
        <v>5.5555555555555554</v>
      </c>
      <c r="BH75" s="88">
        <f t="shared" si="103"/>
        <v>5.1282051282051286</v>
      </c>
      <c r="BI75" s="88">
        <f t="shared" si="104"/>
        <v>6.666666666666667</v>
      </c>
      <c r="BJ75" s="88">
        <f t="shared" si="105"/>
        <v>9.5238095238095237</v>
      </c>
      <c r="BK75" s="105">
        <f t="shared" si="106"/>
        <v>0.12</v>
      </c>
      <c r="BL75" s="105">
        <f t="shared" si="107"/>
        <v>0.18</v>
      </c>
      <c r="BM75" s="105">
        <f t="shared" si="108"/>
        <v>0.19499999999999998</v>
      </c>
      <c r="BN75" s="105">
        <f t="shared" si="109"/>
        <v>0.15</v>
      </c>
      <c r="BO75" s="105">
        <f t="shared" si="110"/>
        <v>0.105</v>
      </c>
      <c r="BP75" s="105">
        <f t="shared" si="111"/>
        <v>0.75</v>
      </c>
      <c r="BQ75" s="79">
        <f t="shared" si="112"/>
        <v>0.16</v>
      </c>
      <c r="BR75" s="79">
        <f t="shared" si="113"/>
        <v>0.24</v>
      </c>
      <c r="BS75" s="79">
        <f t="shared" si="114"/>
        <v>0.25999999999999995</v>
      </c>
      <c r="BT75" s="79">
        <f t="shared" si="115"/>
        <v>0.19999999999999998</v>
      </c>
      <c r="BU75" s="79">
        <f t="shared" si="116"/>
        <v>0.13999999999999999</v>
      </c>
      <c r="BV75" s="90" t="str">
        <f t="array" aca="1" ref="BV75" ca="1">_xlfn.TEXTJOIN(" ",TRUE,
_xlfn.TEXTJOIN(":",TRUE,ROUND(BK75:BO75/MIN(IF(BK75:BO75&gt;0,BK75:BO75)),0)),
"|",
ROUND(SUM(BW75:CA75),0))</f>
        <v>1:2:2:1:1 | -600</v>
      </c>
      <c r="BW75" s="106">
        <f t="shared" ca="1" si="57"/>
        <v>-96</v>
      </c>
      <c r="BX75" s="106">
        <f t="shared" ca="1" si="63"/>
        <v>-144</v>
      </c>
      <c r="BY75" s="106">
        <f t="shared" ca="1" si="64"/>
        <v>-155.99999999999997</v>
      </c>
      <c r="BZ75" s="106">
        <f t="shared" ca="1" si="65"/>
        <v>-119.99999999999999</v>
      </c>
      <c r="CA75" s="106">
        <f t="shared" ca="1" si="59"/>
        <v>-83.999999999999986</v>
      </c>
    </row>
    <row r="76" spans="1:79" x14ac:dyDescent="0.35">
      <c r="A76" s="25" t="s">
        <v>90</v>
      </c>
      <c r="B76" s="10" t="s">
        <v>322</v>
      </c>
      <c r="C76" s="10" t="s">
        <v>341</v>
      </c>
      <c r="D76" s="10" t="s">
        <v>346</v>
      </c>
      <c r="E76" s="11">
        <v>45871</v>
      </c>
      <c r="F76" s="17">
        <v>45892</v>
      </c>
      <c r="G76" s="14">
        <f t="shared" ca="1" si="66"/>
        <v>207</v>
      </c>
      <c r="H76" s="17">
        <v>499</v>
      </c>
      <c r="I76" s="17">
        <v>261</v>
      </c>
      <c r="J76" s="75">
        <f t="shared" si="67"/>
        <v>784</v>
      </c>
      <c r="K76" s="17">
        <v>1000</v>
      </c>
      <c r="L76" s="85">
        <v>216</v>
      </c>
      <c r="M76" s="86">
        <f t="shared" ca="1" si="68"/>
        <v>1.0434782608695652</v>
      </c>
      <c r="N76" s="86">
        <f t="shared" si="69"/>
        <v>0.92883099285538351</v>
      </c>
      <c r="O76" s="86">
        <f t="shared" si="70"/>
        <v>0.65853658536585369</v>
      </c>
      <c r="P76" s="87">
        <f t="shared" si="71"/>
        <v>54</v>
      </c>
      <c r="Q76" s="104">
        <f t="shared" si="72"/>
        <v>14.518518518518519</v>
      </c>
      <c r="R76" s="88">
        <f t="shared" si="73"/>
        <v>47.695390781563127</v>
      </c>
      <c r="S76" s="88">
        <f t="shared" si="74"/>
        <v>21.6</v>
      </c>
      <c r="T76" s="13">
        <f t="shared" si="75"/>
        <v>1</v>
      </c>
      <c r="U76" s="13">
        <f t="shared" si="76"/>
        <v>1</v>
      </c>
      <c r="V76" s="13">
        <f t="shared" si="77"/>
        <v>2</v>
      </c>
      <c r="W76" s="13">
        <f t="shared" ca="1" si="78"/>
        <v>3</v>
      </c>
      <c r="X76" s="13">
        <f t="shared" ca="1" si="79"/>
        <v>7</v>
      </c>
      <c r="Y76" s="81" t="str">
        <f t="shared" ca="1" si="80"/>
        <v>MONITOR</v>
      </c>
      <c r="Z76" s="13">
        <v>14</v>
      </c>
      <c r="AA76" s="75">
        <v>46059</v>
      </c>
      <c r="AB76" s="75">
        <f t="shared" si="81"/>
        <v>45920</v>
      </c>
      <c r="AC76" s="88">
        <f t="shared" si="82"/>
        <v>19.857142857142858</v>
      </c>
      <c r="AD76" s="89" t="str">
        <f t="shared" ca="1" si="83"/>
        <v>STABLE</v>
      </c>
      <c r="AE76" s="89" t="str">
        <f t="shared" si="84"/>
        <v>SLOW SELLING</v>
      </c>
      <c r="AF76" s="89" t="str">
        <f t="shared" si="85"/>
        <v>AT RISK</v>
      </c>
      <c r="AG76" s="89" t="str">
        <f t="shared" si="86"/>
        <v>FEASIBLE</v>
      </c>
      <c r="AH76" s="81" t="str">
        <f t="shared" ca="1" si="87"/>
        <v>MONITOR</v>
      </c>
      <c r="AI76" s="75">
        <f t="shared" ca="1" si="88"/>
        <v>0</v>
      </c>
      <c r="AJ76" s="75">
        <f t="shared" ca="1" si="89"/>
        <v>-784</v>
      </c>
      <c r="AK76" s="13">
        <f t="shared" ca="1" si="90"/>
        <v>-941</v>
      </c>
      <c r="AL76" s="79">
        <v>0.1</v>
      </c>
      <c r="AM76" s="79">
        <v>0.3</v>
      </c>
      <c r="AN76" s="79">
        <v>0.3</v>
      </c>
      <c r="AO76" s="79">
        <v>0.1</v>
      </c>
      <c r="AP76" s="79">
        <v>0.1</v>
      </c>
      <c r="AQ76" s="75">
        <f t="shared" si="91"/>
        <v>78.400000000000006</v>
      </c>
      <c r="AR76" s="75">
        <f t="shared" si="92"/>
        <v>235.2</v>
      </c>
      <c r="AS76" s="75">
        <f t="shared" si="93"/>
        <v>235.2</v>
      </c>
      <c r="AT76" s="75">
        <f t="shared" si="94"/>
        <v>78.400000000000006</v>
      </c>
      <c r="AU76" s="75">
        <f t="shared" si="95"/>
        <v>78.400000000000006</v>
      </c>
      <c r="AV76" s="13">
        <v>0.8</v>
      </c>
      <c r="AW76" s="13">
        <v>1.2</v>
      </c>
      <c r="AX76" s="13">
        <v>1.3</v>
      </c>
      <c r="AY76" s="13">
        <v>1</v>
      </c>
      <c r="AZ76" s="13">
        <v>0.7</v>
      </c>
      <c r="BA76" s="105">
        <f t="shared" si="96"/>
        <v>4.32</v>
      </c>
      <c r="BB76" s="13">
        <f t="shared" si="97"/>
        <v>19.439999999999998</v>
      </c>
      <c r="BC76" s="13">
        <f t="shared" si="98"/>
        <v>21.06</v>
      </c>
      <c r="BD76" s="13">
        <f t="shared" si="99"/>
        <v>5.4</v>
      </c>
      <c r="BE76" s="13">
        <f t="shared" si="100"/>
        <v>3.78</v>
      </c>
      <c r="BF76" s="88">
        <f t="shared" si="101"/>
        <v>18.148148148148149</v>
      </c>
      <c r="BG76" s="88">
        <f t="shared" si="102"/>
        <v>12.098765432098766</v>
      </c>
      <c r="BH76" s="88">
        <f t="shared" si="103"/>
        <v>11.168091168091168</v>
      </c>
      <c r="BI76" s="88">
        <f t="shared" si="104"/>
        <v>14.518518518518519</v>
      </c>
      <c r="BJ76" s="88">
        <f t="shared" si="105"/>
        <v>20.740740740740744</v>
      </c>
      <c r="BK76" s="105">
        <f t="shared" si="106"/>
        <v>5.5102040816326525E-2</v>
      </c>
      <c r="BL76" s="105">
        <f t="shared" si="107"/>
        <v>8.2653061224489788E-2</v>
      </c>
      <c r="BM76" s="105">
        <f t="shared" si="108"/>
        <v>8.9540816326530617E-2</v>
      </c>
      <c r="BN76" s="105">
        <f t="shared" si="109"/>
        <v>6.8877551020408156E-2</v>
      </c>
      <c r="BO76" s="105">
        <f t="shared" si="110"/>
        <v>4.821428571428571E-2</v>
      </c>
      <c r="BP76" s="105">
        <f t="shared" si="111"/>
        <v>0.34438775510204078</v>
      </c>
      <c r="BQ76" s="79">
        <f t="shared" si="112"/>
        <v>0.16</v>
      </c>
      <c r="BR76" s="79">
        <f t="shared" si="113"/>
        <v>0.24</v>
      </c>
      <c r="BS76" s="79">
        <f t="shared" si="114"/>
        <v>0.26000000000000006</v>
      </c>
      <c r="BT76" s="79">
        <f t="shared" si="115"/>
        <v>0.2</v>
      </c>
      <c r="BU76" s="79">
        <f t="shared" si="116"/>
        <v>0.14000000000000001</v>
      </c>
      <c r="BV76" s="90" t="str">
        <f t="array" aca="1" ref="BV76" ca="1">_xlfn.TEXTJOIN(" ",TRUE,
_xlfn.TEXTJOIN(":",TRUE,ROUND(BK76:BO76/MIN(IF(BK76:BO76&gt;0,BK76:BO76)),0)),
"|",
ROUND(SUM(BW76:CA76),0))</f>
        <v>1:2:2:1:1 | -941</v>
      </c>
      <c r="BW76" s="106">
        <f t="shared" ca="1" si="57"/>
        <v>-150.56</v>
      </c>
      <c r="BX76" s="106">
        <f t="shared" ca="1" si="63"/>
        <v>-225.84</v>
      </c>
      <c r="BY76" s="106">
        <f t="shared" ca="1" si="64"/>
        <v>-244.66000000000005</v>
      </c>
      <c r="BZ76" s="106">
        <f t="shared" ca="1" si="65"/>
        <v>-188.20000000000002</v>
      </c>
      <c r="CA76" s="106">
        <f t="shared" ca="1" si="59"/>
        <v>-131.74</v>
      </c>
    </row>
    <row r="77" spans="1:79" x14ac:dyDescent="0.35">
      <c r="A77" s="25" t="s">
        <v>91</v>
      </c>
      <c r="B77" s="10" t="s">
        <v>322</v>
      </c>
      <c r="C77" s="10" t="s">
        <v>341</v>
      </c>
      <c r="D77" s="10" t="s">
        <v>346</v>
      </c>
      <c r="E77" s="11">
        <v>45913</v>
      </c>
      <c r="F77" s="17">
        <v>45892</v>
      </c>
      <c r="G77" s="14">
        <f t="shared" ca="1" si="66"/>
        <v>207</v>
      </c>
      <c r="H77" s="17">
        <v>499</v>
      </c>
      <c r="I77" s="17">
        <v>261</v>
      </c>
      <c r="J77" s="75">
        <f t="shared" si="67"/>
        <v>465</v>
      </c>
      <c r="K77" s="17">
        <v>1000</v>
      </c>
      <c r="L77" s="85">
        <v>535</v>
      </c>
      <c r="M77" s="86">
        <f t="shared" ca="1" si="68"/>
        <v>2.5845410628019323</v>
      </c>
      <c r="N77" s="86">
        <f t="shared" si="69"/>
        <v>0.92883099285538351</v>
      </c>
      <c r="O77" s="86">
        <f t="shared" si="70"/>
        <v>1.6310975609756098</v>
      </c>
      <c r="P77" s="87">
        <f t="shared" si="71"/>
        <v>133.75</v>
      </c>
      <c r="Q77" s="104">
        <f t="shared" si="72"/>
        <v>3.4766355140186915</v>
      </c>
      <c r="R77" s="88">
        <f t="shared" si="73"/>
        <v>47.695390781563127</v>
      </c>
      <c r="S77" s="88">
        <f t="shared" si="74"/>
        <v>53.5</v>
      </c>
      <c r="T77" s="13">
        <f t="shared" si="75"/>
        <v>3</v>
      </c>
      <c r="U77" s="13">
        <f t="shared" si="76"/>
        <v>3</v>
      </c>
      <c r="V77" s="13">
        <f t="shared" si="77"/>
        <v>2</v>
      </c>
      <c r="W77" s="13">
        <f t="shared" ca="1" si="78"/>
        <v>3</v>
      </c>
      <c r="X77" s="13">
        <f t="shared" ca="1" si="79"/>
        <v>11</v>
      </c>
      <c r="Y77" s="81" t="str">
        <f t="shared" ca="1" si="80"/>
        <v>RE-BUY</v>
      </c>
      <c r="Z77" s="13">
        <v>14</v>
      </c>
      <c r="AA77" s="75">
        <v>46059</v>
      </c>
      <c r="AB77" s="75">
        <f t="shared" si="81"/>
        <v>45920</v>
      </c>
      <c r="AC77" s="88">
        <f t="shared" si="82"/>
        <v>19.857142857142858</v>
      </c>
      <c r="AD77" s="89" t="str">
        <f t="shared" ca="1" si="83"/>
        <v>STABLE</v>
      </c>
      <c r="AE77" s="89" t="str">
        <f t="shared" si="84"/>
        <v>FAST SELLING</v>
      </c>
      <c r="AF77" s="89" t="str">
        <f t="shared" si="85"/>
        <v>AT RISK</v>
      </c>
      <c r="AG77" s="89" t="str">
        <f t="shared" si="86"/>
        <v>FEASIBLE</v>
      </c>
      <c r="AH77" s="81" t="str">
        <f t="shared" ca="1" si="87"/>
        <v>IMMEDIATE REBUY</v>
      </c>
      <c r="AI77" s="75">
        <f t="shared" ca="1" si="88"/>
        <v>1593.5357142857144</v>
      </c>
      <c r="AJ77" s="75">
        <f t="shared" ca="1" si="89"/>
        <v>1128.5357142857144</v>
      </c>
      <c r="AK77" s="13">
        <f t="shared" ca="1" si="90"/>
        <v>1354</v>
      </c>
      <c r="AL77" s="79">
        <v>0.1</v>
      </c>
      <c r="AM77" s="79">
        <v>0.3</v>
      </c>
      <c r="AN77" s="79">
        <v>0.3</v>
      </c>
      <c r="AO77" s="79">
        <v>0.1</v>
      </c>
      <c r="AP77" s="79">
        <v>0.1</v>
      </c>
      <c r="AQ77" s="75">
        <f t="shared" si="91"/>
        <v>46.5</v>
      </c>
      <c r="AR77" s="75">
        <f t="shared" si="92"/>
        <v>139.5</v>
      </c>
      <c r="AS77" s="75">
        <f t="shared" si="93"/>
        <v>139.5</v>
      </c>
      <c r="AT77" s="75">
        <f t="shared" si="94"/>
        <v>46.5</v>
      </c>
      <c r="AU77" s="75">
        <f t="shared" si="95"/>
        <v>46.5</v>
      </c>
      <c r="AV77" s="13">
        <v>0.8</v>
      </c>
      <c r="AW77" s="13">
        <v>1.2</v>
      </c>
      <c r="AX77" s="13">
        <v>1.3</v>
      </c>
      <c r="AY77" s="13">
        <v>1</v>
      </c>
      <c r="AZ77" s="13">
        <v>0.7</v>
      </c>
      <c r="BA77" s="105">
        <f t="shared" si="96"/>
        <v>10.700000000000001</v>
      </c>
      <c r="BB77" s="13">
        <f t="shared" si="97"/>
        <v>48.15</v>
      </c>
      <c r="BC77" s="13">
        <f t="shared" si="98"/>
        <v>52.162500000000001</v>
      </c>
      <c r="BD77" s="13">
        <f t="shared" si="99"/>
        <v>13.375</v>
      </c>
      <c r="BE77" s="13">
        <f t="shared" si="100"/>
        <v>9.3624999999999989</v>
      </c>
      <c r="BF77" s="88">
        <f t="shared" si="101"/>
        <v>4.3457943925233637</v>
      </c>
      <c r="BG77" s="88">
        <f t="shared" si="102"/>
        <v>2.8971962616822431</v>
      </c>
      <c r="BH77" s="88">
        <f t="shared" si="103"/>
        <v>2.6743350107836088</v>
      </c>
      <c r="BI77" s="88">
        <f t="shared" si="104"/>
        <v>3.4766355140186915</v>
      </c>
      <c r="BJ77" s="88">
        <f t="shared" si="105"/>
        <v>4.9666221628838461</v>
      </c>
      <c r="BK77" s="105">
        <f t="shared" si="106"/>
        <v>0.23010752688172048</v>
      </c>
      <c r="BL77" s="105">
        <f t="shared" si="107"/>
        <v>0.34516129032258064</v>
      </c>
      <c r="BM77" s="105">
        <f t="shared" si="108"/>
        <v>0.37392473118279573</v>
      </c>
      <c r="BN77" s="105">
        <f t="shared" si="109"/>
        <v>0.28763440860215056</v>
      </c>
      <c r="BO77" s="105">
        <f t="shared" si="110"/>
        <v>0.20134408602150533</v>
      </c>
      <c r="BP77" s="105">
        <f t="shared" si="111"/>
        <v>1.4381720430107525</v>
      </c>
      <c r="BQ77" s="79">
        <f t="shared" si="112"/>
        <v>0.16000000000000006</v>
      </c>
      <c r="BR77" s="79">
        <f t="shared" si="113"/>
        <v>0.24000000000000002</v>
      </c>
      <c r="BS77" s="79">
        <f t="shared" si="114"/>
        <v>0.26000000000000006</v>
      </c>
      <c r="BT77" s="79">
        <f t="shared" si="115"/>
        <v>0.20000000000000004</v>
      </c>
      <c r="BU77" s="79">
        <f t="shared" si="116"/>
        <v>0.13999999999999999</v>
      </c>
      <c r="BV77" s="90" t="str">
        <f t="array" aca="1" ref="BV77" ca="1">_xlfn.TEXTJOIN(" ",TRUE,
_xlfn.TEXTJOIN(":",TRUE,ROUND(BK77:BO77/MIN(IF(BK77:BO77&gt;0,BK77:BO77)),0)),
"|",
ROUND(SUM(BW77:CA77),0))</f>
        <v>1:2:2:1:1 | 1354</v>
      </c>
      <c r="BW77" s="106">
        <f t="shared" ref="BW77:BW140" ca="1" si="117">AK77*BQ77</f>
        <v>216.64000000000007</v>
      </c>
      <c r="BX77" s="106">
        <f t="shared" ca="1" si="63"/>
        <v>324.96000000000004</v>
      </c>
      <c r="BY77" s="106">
        <f t="shared" ca="1" si="64"/>
        <v>352.04000000000008</v>
      </c>
      <c r="BZ77" s="106">
        <f t="shared" ca="1" si="65"/>
        <v>270.80000000000007</v>
      </c>
      <c r="CA77" s="106">
        <f t="shared" ca="1" si="59"/>
        <v>189.55999999999997</v>
      </c>
    </row>
    <row r="78" spans="1:79" x14ac:dyDescent="0.35">
      <c r="A78" s="25" t="s">
        <v>92</v>
      </c>
      <c r="B78" s="10" t="s">
        <v>322</v>
      </c>
      <c r="C78" s="10" t="s">
        <v>341</v>
      </c>
      <c r="D78" s="10" t="s">
        <v>346</v>
      </c>
      <c r="E78" s="11">
        <v>45871</v>
      </c>
      <c r="F78" s="17">
        <v>45892</v>
      </c>
      <c r="G78" s="14">
        <f t="shared" ca="1" si="66"/>
        <v>207</v>
      </c>
      <c r="H78" s="17">
        <v>499</v>
      </c>
      <c r="I78" s="17">
        <v>261</v>
      </c>
      <c r="J78" s="75">
        <f t="shared" si="67"/>
        <v>879</v>
      </c>
      <c r="K78" s="17">
        <v>1000</v>
      </c>
      <c r="L78" s="85">
        <v>121</v>
      </c>
      <c r="M78" s="86">
        <f t="shared" ca="1" si="68"/>
        <v>0.58454106280193241</v>
      </c>
      <c r="N78" s="86">
        <f t="shared" si="69"/>
        <v>0.92883099285538351</v>
      </c>
      <c r="O78" s="86">
        <f t="shared" si="70"/>
        <v>0.36890243902439024</v>
      </c>
      <c r="P78" s="87">
        <f t="shared" si="71"/>
        <v>30.25</v>
      </c>
      <c r="Q78" s="104">
        <f t="shared" si="72"/>
        <v>29.057851239669422</v>
      </c>
      <c r="R78" s="88">
        <f t="shared" si="73"/>
        <v>47.695390781563127</v>
      </c>
      <c r="S78" s="88">
        <f t="shared" si="74"/>
        <v>12.1</v>
      </c>
      <c r="T78" s="13">
        <f t="shared" si="75"/>
        <v>1</v>
      </c>
      <c r="U78" s="13">
        <f t="shared" si="76"/>
        <v>1</v>
      </c>
      <c r="V78" s="13">
        <f t="shared" si="77"/>
        <v>2</v>
      </c>
      <c r="W78" s="13">
        <f t="shared" ca="1" si="78"/>
        <v>3</v>
      </c>
      <c r="X78" s="13">
        <f t="shared" ca="1" si="79"/>
        <v>7</v>
      </c>
      <c r="Y78" s="81" t="str">
        <f t="shared" ca="1" si="80"/>
        <v>MONITOR</v>
      </c>
      <c r="Z78" s="13">
        <v>14</v>
      </c>
      <c r="AA78" s="75">
        <v>46059</v>
      </c>
      <c r="AB78" s="75">
        <f t="shared" si="81"/>
        <v>45920</v>
      </c>
      <c r="AC78" s="88">
        <f t="shared" si="82"/>
        <v>19.857142857142858</v>
      </c>
      <c r="AD78" s="89" t="str">
        <f t="shared" ca="1" si="83"/>
        <v>STABLE</v>
      </c>
      <c r="AE78" s="89" t="str">
        <f t="shared" si="84"/>
        <v>SLOW SELLING</v>
      </c>
      <c r="AF78" s="89" t="str">
        <f t="shared" si="85"/>
        <v>AT RISK</v>
      </c>
      <c r="AG78" s="89" t="str">
        <f t="shared" si="86"/>
        <v>FEASIBLE</v>
      </c>
      <c r="AH78" s="81" t="str">
        <f t="shared" ca="1" si="87"/>
        <v>MONITOR</v>
      </c>
      <c r="AI78" s="75">
        <f t="shared" ca="1" si="88"/>
        <v>0</v>
      </c>
      <c r="AJ78" s="75">
        <f t="shared" ca="1" si="89"/>
        <v>-879</v>
      </c>
      <c r="AK78" s="13">
        <f t="shared" ca="1" si="90"/>
        <v>-1055</v>
      </c>
      <c r="AL78" s="79">
        <v>0.1</v>
      </c>
      <c r="AM78" s="79">
        <v>0.3</v>
      </c>
      <c r="AN78" s="79">
        <v>0.3</v>
      </c>
      <c r="AO78" s="79">
        <v>0.1</v>
      </c>
      <c r="AP78" s="79">
        <v>0.1</v>
      </c>
      <c r="AQ78" s="75">
        <f t="shared" si="91"/>
        <v>87.9</v>
      </c>
      <c r="AR78" s="75">
        <f t="shared" si="92"/>
        <v>263.7</v>
      </c>
      <c r="AS78" s="75">
        <f t="shared" si="93"/>
        <v>263.7</v>
      </c>
      <c r="AT78" s="75">
        <f t="shared" si="94"/>
        <v>87.9</v>
      </c>
      <c r="AU78" s="75">
        <f t="shared" si="95"/>
        <v>87.9</v>
      </c>
      <c r="AV78" s="13">
        <v>0.8</v>
      </c>
      <c r="AW78" s="13">
        <v>1.2</v>
      </c>
      <c r="AX78" s="13">
        <v>1.3</v>
      </c>
      <c r="AY78" s="13">
        <v>1</v>
      </c>
      <c r="AZ78" s="13">
        <v>0.7</v>
      </c>
      <c r="BA78" s="105">
        <f t="shared" si="96"/>
        <v>2.4200000000000004</v>
      </c>
      <c r="BB78" s="13">
        <f t="shared" si="97"/>
        <v>10.889999999999999</v>
      </c>
      <c r="BC78" s="13">
        <f t="shared" si="98"/>
        <v>11.797499999999999</v>
      </c>
      <c r="BD78" s="13">
        <f t="shared" si="99"/>
        <v>3.0250000000000004</v>
      </c>
      <c r="BE78" s="13">
        <f t="shared" si="100"/>
        <v>2.1175000000000002</v>
      </c>
      <c r="BF78" s="88">
        <f t="shared" si="101"/>
        <v>36.322314049586772</v>
      </c>
      <c r="BG78" s="88">
        <f t="shared" si="102"/>
        <v>24.214876033057852</v>
      </c>
      <c r="BH78" s="88">
        <f t="shared" si="103"/>
        <v>22.352193261284171</v>
      </c>
      <c r="BI78" s="88">
        <f t="shared" si="104"/>
        <v>29.057851239669422</v>
      </c>
      <c r="BJ78" s="88">
        <f t="shared" si="105"/>
        <v>41.511216056670605</v>
      </c>
      <c r="BK78" s="105">
        <f t="shared" si="106"/>
        <v>2.753128555176337E-2</v>
      </c>
      <c r="BL78" s="105">
        <f t="shared" si="107"/>
        <v>4.1296928327645054E-2</v>
      </c>
      <c r="BM78" s="105">
        <f t="shared" si="108"/>
        <v>4.4738339021615468E-2</v>
      </c>
      <c r="BN78" s="105">
        <f t="shared" si="109"/>
        <v>3.441410693970421E-2</v>
      </c>
      <c r="BO78" s="105">
        <f t="shared" si="110"/>
        <v>2.4089874857792945E-2</v>
      </c>
      <c r="BP78" s="105">
        <f t="shared" si="111"/>
        <v>0.17207053469852102</v>
      </c>
      <c r="BQ78" s="79">
        <f t="shared" si="112"/>
        <v>0.16000000000000003</v>
      </c>
      <c r="BR78" s="79">
        <f t="shared" si="113"/>
        <v>0.24000000000000005</v>
      </c>
      <c r="BS78" s="79">
        <f t="shared" si="114"/>
        <v>0.26</v>
      </c>
      <c r="BT78" s="79">
        <f t="shared" si="115"/>
        <v>0.20000000000000004</v>
      </c>
      <c r="BU78" s="79">
        <f t="shared" si="116"/>
        <v>0.14000000000000001</v>
      </c>
      <c r="BV78" s="90" t="str">
        <f t="array" aca="1" ref="BV78" ca="1">_xlfn.TEXTJOIN(" ",TRUE,
_xlfn.TEXTJOIN(":",TRUE,ROUND(BK78:BO78/MIN(IF(BK78:BO78&gt;0,BK78:BO78)),0)),
"|",
ROUND(SUM(BW78:CA78),0))</f>
        <v>1:2:2:1:1 | -1055</v>
      </c>
      <c r="BW78" s="106">
        <f t="shared" ca="1" si="117"/>
        <v>-168.80000000000004</v>
      </c>
      <c r="BX78" s="106">
        <f t="shared" ca="1" si="63"/>
        <v>-253.20000000000005</v>
      </c>
      <c r="BY78" s="106">
        <f t="shared" ca="1" si="64"/>
        <v>-274.3</v>
      </c>
      <c r="BZ78" s="106">
        <f t="shared" ca="1" si="65"/>
        <v>-211.00000000000003</v>
      </c>
      <c r="CA78" s="106">
        <f t="shared" ca="1" si="59"/>
        <v>-147.70000000000002</v>
      </c>
    </row>
    <row r="79" spans="1:79" x14ac:dyDescent="0.35">
      <c r="A79" s="25" t="s">
        <v>93</v>
      </c>
      <c r="B79" s="10" t="s">
        <v>322</v>
      </c>
      <c r="C79" s="10" t="s">
        <v>341</v>
      </c>
      <c r="D79" s="10" t="s">
        <v>346</v>
      </c>
      <c r="E79" s="11">
        <v>45913</v>
      </c>
      <c r="F79" s="17">
        <v>45892</v>
      </c>
      <c r="G79" s="14">
        <f t="shared" ca="1" si="66"/>
        <v>207</v>
      </c>
      <c r="H79" s="17">
        <v>499</v>
      </c>
      <c r="I79" s="17">
        <v>261</v>
      </c>
      <c r="J79" s="75">
        <f t="shared" si="67"/>
        <v>560</v>
      </c>
      <c r="K79" s="17">
        <v>1000</v>
      </c>
      <c r="L79" s="85">
        <v>440</v>
      </c>
      <c r="M79" s="86">
        <f t="shared" ca="1" si="68"/>
        <v>2.1256038647342996</v>
      </c>
      <c r="N79" s="86">
        <f t="shared" si="69"/>
        <v>0.92883099285538351</v>
      </c>
      <c r="O79" s="86">
        <f t="shared" si="70"/>
        <v>1.3414634146341464</v>
      </c>
      <c r="P79" s="87">
        <f t="shared" si="71"/>
        <v>110</v>
      </c>
      <c r="Q79" s="104">
        <f t="shared" si="72"/>
        <v>5.0909090909090908</v>
      </c>
      <c r="R79" s="88">
        <f t="shared" si="73"/>
        <v>47.695390781563127</v>
      </c>
      <c r="S79" s="88">
        <f t="shared" si="74"/>
        <v>44</v>
      </c>
      <c r="T79" s="13">
        <f t="shared" si="75"/>
        <v>3</v>
      </c>
      <c r="U79" s="13">
        <f t="shared" si="76"/>
        <v>2</v>
      </c>
      <c r="V79" s="13">
        <f t="shared" si="77"/>
        <v>2</v>
      </c>
      <c r="W79" s="13">
        <f t="shared" ca="1" si="78"/>
        <v>3</v>
      </c>
      <c r="X79" s="13">
        <f t="shared" ca="1" si="79"/>
        <v>10</v>
      </c>
      <c r="Y79" s="81" t="str">
        <f t="shared" ca="1" si="80"/>
        <v>RE-BUY</v>
      </c>
      <c r="Z79" s="13">
        <v>14</v>
      </c>
      <c r="AA79" s="75">
        <v>46059</v>
      </c>
      <c r="AB79" s="75">
        <f t="shared" si="81"/>
        <v>45920</v>
      </c>
      <c r="AC79" s="88">
        <f t="shared" si="82"/>
        <v>19.857142857142858</v>
      </c>
      <c r="AD79" s="89" t="str">
        <f t="shared" ca="1" si="83"/>
        <v>STABLE</v>
      </c>
      <c r="AE79" s="89" t="str">
        <f t="shared" si="84"/>
        <v>FAST SELLING</v>
      </c>
      <c r="AF79" s="89" t="str">
        <f t="shared" si="85"/>
        <v>AT RISK</v>
      </c>
      <c r="AG79" s="89" t="str">
        <f t="shared" si="86"/>
        <v>FEASIBLE</v>
      </c>
      <c r="AH79" s="81" t="str">
        <f t="shared" ca="1" si="87"/>
        <v>IMMEDIATE REBUY</v>
      </c>
      <c r="AI79" s="75">
        <f t="shared" ca="1" si="88"/>
        <v>1310.5714285714284</v>
      </c>
      <c r="AJ79" s="75">
        <f t="shared" ca="1" si="89"/>
        <v>750.57142857142844</v>
      </c>
      <c r="AK79" s="13">
        <f t="shared" ca="1" si="90"/>
        <v>901</v>
      </c>
      <c r="AL79" s="79">
        <v>0.1</v>
      </c>
      <c r="AM79" s="79">
        <v>0.3</v>
      </c>
      <c r="AN79" s="79">
        <v>0.3</v>
      </c>
      <c r="AO79" s="79">
        <v>0.1</v>
      </c>
      <c r="AP79" s="79">
        <v>0.1</v>
      </c>
      <c r="AQ79" s="75">
        <f t="shared" si="91"/>
        <v>56</v>
      </c>
      <c r="AR79" s="75">
        <f t="shared" si="92"/>
        <v>168</v>
      </c>
      <c r="AS79" s="75">
        <f t="shared" si="93"/>
        <v>168</v>
      </c>
      <c r="AT79" s="75">
        <f t="shared" si="94"/>
        <v>56</v>
      </c>
      <c r="AU79" s="75">
        <f t="shared" si="95"/>
        <v>56</v>
      </c>
      <c r="AV79" s="13">
        <v>0.8</v>
      </c>
      <c r="AW79" s="13">
        <v>1.2</v>
      </c>
      <c r="AX79" s="13">
        <v>1.3</v>
      </c>
      <c r="AY79" s="13">
        <v>1</v>
      </c>
      <c r="AZ79" s="13">
        <v>0.7</v>
      </c>
      <c r="BA79" s="105">
        <f t="shared" si="96"/>
        <v>8.8000000000000007</v>
      </c>
      <c r="BB79" s="13">
        <f t="shared" si="97"/>
        <v>39.6</v>
      </c>
      <c r="BC79" s="13">
        <f t="shared" si="98"/>
        <v>42.9</v>
      </c>
      <c r="BD79" s="13">
        <f t="shared" si="99"/>
        <v>11</v>
      </c>
      <c r="BE79" s="13">
        <f t="shared" si="100"/>
        <v>7.6999999999999993</v>
      </c>
      <c r="BF79" s="88">
        <f t="shared" si="101"/>
        <v>6.3636363636363633</v>
      </c>
      <c r="BG79" s="88">
        <f t="shared" si="102"/>
        <v>4.2424242424242422</v>
      </c>
      <c r="BH79" s="88">
        <f t="shared" si="103"/>
        <v>3.9160839160839163</v>
      </c>
      <c r="BI79" s="88">
        <f t="shared" si="104"/>
        <v>5.0909090909090908</v>
      </c>
      <c r="BJ79" s="88">
        <f t="shared" si="105"/>
        <v>7.2727272727272734</v>
      </c>
      <c r="BK79" s="105">
        <f t="shared" si="106"/>
        <v>0.15714285714285714</v>
      </c>
      <c r="BL79" s="105">
        <f t="shared" si="107"/>
        <v>0.23571428571428574</v>
      </c>
      <c r="BM79" s="105">
        <f t="shared" si="108"/>
        <v>0.25535714285714284</v>
      </c>
      <c r="BN79" s="105">
        <f t="shared" si="109"/>
        <v>0.19642857142857142</v>
      </c>
      <c r="BO79" s="105">
        <f t="shared" si="110"/>
        <v>0.13749999999999998</v>
      </c>
      <c r="BP79" s="105">
        <f t="shared" si="111"/>
        <v>0.9821428571428571</v>
      </c>
      <c r="BQ79" s="79">
        <f t="shared" si="112"/>
        <v>0.16</v>
      </c>
      <c r="BR79" s="79">
        <f t="shared" si="113"/>
        <v>0.24000000000000005</v>
      </c>
      <c r="BS79" s="79">
        <f t="shared" si="114"/>
        <v>0.26</v>
      </c>
      <c r="BT79" s="79">
        <f t="shared" si="115"/>
        <v>0.2</v>
      </c>
      <c r="BU79" s="79">
        <f t="shared" si="116"/>
        <v>0.13999999999999999</v>
      </c>
      <c r="BV79" s="90" t="str">
        <f t="array" aca="1" ref="BV79" ca="1">_xlfn.TEXTJOIN(" ",TRUE,
_xlfn.TEXTJOIN(":",TRUE,ROUND(BK79:BO79/MIN(IF(BK79:BO79&gt;0,BK79:BO79)),0)),
"|",
ROUND(SUM(BW79:CA79),0))</f>
        <v>1:2:2:1:1 | 901</v>
      </c>
      <c r="BW79" s="106">
        <f t="shared" ca="1" si="117"/>
        <v>144.16</v>
      </c>
      <c r="BX79" s="106">
        <f t="shared" ca="1" si="63"/>
        <v>216.24000000000004</v>
      </c>
      <c r="BY79" s="106">
        <f t="shared" ca="1" si="64"/>
        <v>234.26000000000002</v>
      </c>
      <c r="BZ79" s="106">
        <f t="shared" ca="1" si="65"/>
        <v>180.20000000000002</v>
      </c>
      <c r="CA79" s="106">
        <f t="shared" ca="1" si="59"/>
        <v>126.13999999999999</v>
      </c>
    </row>
    <row r="80" spans="1:79" x14ac:dyDescent="0.35">
      <c r="A80" s="25" t="s">
        <v>94</v>
      </c>
      <c r="B80" s="10" t="s">
        <v>322</v>
      </c>
      <c r="C80" s="10" t="s">
        <v>341</v>
      </c>
      <c r="D80" s="10" t="s">
        <v>346</v>
      </c>
      <c r="E80" s="11">
        <v>45871</v>
      </c>
      <c r="F80" s="17">
        <v>45892</v>
      </c>
      <c r="G80" s="14">
        <f t="shared" ca="1" si="66"/>
        <v>207</v>
      </c>
      <c r="H80" s="17">
        <v>499</v>
      </c>
      <c r="I80" s="17">
        <v>261</v>
      </c>
      <c r="J80" s="75">
        <f t="shared" si="67"/>
        <v>771</v>
      </c>
      <c r="K80" s="17">
        <v>1000</v>
      </c>
      <c r="L80" s="85">
        <v>229</v>
      </c>
      <c r="M80" s="86">
        <f t="shared" ca="1" si="68"/>
        <v>1.106280193236715</v>
      </c>
      <c r="N80" s="86">
        <f t="shared" si="69"/>
        <v>0.92883099285538351</v>
      </c>
      <c r="O80" s="86">
        <f t="shared" si="70"/>
        <v>0.69817073170731703</v>
      </c>
      <c r="P80" s="87">
        <f t="shared" si="71"/>
        <v>57.249999999999993</v>
      </c>
      <c r="Q80" s="104">
        <f t="shared" si="72"/>
        <v>13.467248908296945</v>
      </c>
      <c r="R80" s="88">
        <f t="shared" si="73"/>
        <v>47.695390781563127</v>
      </c>
      <c r="S80" s="88">
        <f t="shared" si="74"/>
        <v>22.900000000000002</v>
      </c>
      <c r="T80" s="13">
        <f t="shared" si="75"/>
        <v>1</v>
      </c>
      <c r="U80" s="13">
        <f t="shared" si="76"/>
        <v>1</v>
      </c>
      <c r="V80" s="13">
        <f t="shared" si="77"/>
        <v>2</v>
      </c>
      <c r="W80" s="13">
        <f t="shared" ca="1" si="78"/>
        <v>3</v>
      </c>
      <c r="X80" s="13">
        <f t="shared" ca="1" si="79"/>
        <v>7</v>
      </c>
      <c r="Y80" s="81" t="str">
        <f t="shared" ca="1" si="80"/>
        <v>MONITOR</v>
      </c>
      <c r="Z80" s="13">
        <v>14</v>
      </c>
      <c r="AA80" s="75">
        <v>46059</v>
      </c>
      <c r="AB80" s="75">
        <f t="shared" si="81"/>
        <v>45920</v>
      </c>
      <c r="AC80" s="88">
        <f t="shared" si="82"/>
        <v>19.857142857142858</v>
      </c>
      <c r="AD80" s="89" t="str">
        <f t="shared" ca="1" si="83"/>
        <v>STABLE</v>
      </c>
      <c r="AE80" s="89" t="str">
        <f t="shared" si="84"/>
        <v>SLOW SELLING</v>
      </c>
      <c r="AF80" s="89" t="str">
        <f t="shared" si="85"/>
        <v>AT RISK</v>
      </c>
      <c r="AG80" s="89" t="str">
        <f t="shared" si="86"/>
        <v>FEASIBLE</v>
      </c>
      <c r="AH80" s="81" t="str">
        <f t="shared" ca="1" si="87"/>
        <v>MONITOR</v>
      </c>
      <c r="AI80" s="75">
        <f t="shared" ca="1" si="88"/>
        <v>0</v>
      </c>
      <c r="AJ80" s="75">
        <f t="shared" ca="1" si="89"/>
        <v>-771</v>
      </c>
      <c r="AK80" s="13">
        <f t="shared" ca="1" si="90"/>
        <v>-925</v>
      </c>
      <c r="AL80" s="79">
        <v>0.1</v>
      </c>
      <c r="AM80" s="79">
        <v>0.3</v>
      </c>
      <c r="AN80" s="79">
        <v>0.3</v>
      </c>
      <c r="AO80" s="79">
        <v>0.1</v>
      </c>
      <c r="AP80" s="79">
        <v>0.1</v>
      </c>
      <c r="AQ80" s="75">
        <f t="shared" si="91"/>
        <v>77.100000000000009</v>
      </c>
      <c r="AR80" s="75">
        <f t="shared" si="92"/>
        <v>231.29999999999998</v>
      </c>
      <c r="AS80" s="75">
        <f t="shared" si="93"/>
        <v>231.29999999999998</v>
      </c>
      <c r="AT80" s="75">
        <f t="shared" si="94"/>
        <v>77.100000000000009</v>
      </c>
      <c r="AU80" s="75">
        <f t="shared" si="95"/>
        <v>77.100000000000009</v>
      </c>
      <c r="AV80" s="13">
        <v>0.8</v>
      </c>
      <c r="AW80" s="13">
        <v>1.2</v>
      </c>
      <c r="AX80" s="13">
        <v>1.3</v>
      </c>
      <c r="AY80" s="13">
        <v>1</v>
      </c>
      <c r="AZ80" s="13">
        <v>0.7</v>
      </c>
      <c r="BA80" s="105">
        <f t="shared" si="96"/>
        <v>4.58</v>
      </c>
      <c r="BB80" s="13">
        <f t="shared" si="97"/>
        <v>20.609999999999996</v>
      </c>
      <c r="BC80" s="13">
        <f t="shared" si="98"/>
        <v>22.327499999999997</v>
      </c>
      <c r="BD80" s="13">
        <f t="shared" si="99"/>
        <v>5.7249999999999996</v>
      </c>
      <c r="BE80" s="13">
        <f t="shared" si="100"/>
        <v>4.0074999999999994</v>
      </c>
      <c r="BF80" s="88">
        <f t="shared" si="101"/>
        <v>16.834061135371179</v>
      </c>
      <c r="BG80" s="88">
        <f t="shared" si="102"/>
        <v>11.222707423580788</v>
      </c>
      <c r="BH80" s="88">
        <f t="shared" si="103"/>
        <v>10.359422237151495</v>
      </c>
      <c r="BI80" s="88">
        <f t="shared" si="104"/>
        <v>13.467248908296945</v>
      </c>
      <c r="BJ80" s="88">
        <f t="shared" si="105"/>
        <v>19.23892701185278</v>
      </c>
      <c r="BK80" s="105">
        <f t="shared" si="106"/>
        <v>5.9403372243839167E-2</v>
      </c>
      <c r="BL80" s="105">
        <f t="shared" si="107"/>
        <v>8.9105058365758744E-2</v>
      </c>
      <c r="BM80" s="105">
        <f t="shared" si="108"/>
        <v>9.6530479896238641E-2</v>
      </c>
      <c r="BN80" s="105">
        <f t="shared" si="109"/>
        <v>7.4254215304798948E-2</v>
      </c>
      <c r="BO80" s="105">
        <f t="shared" si="110"/>
        <v>5.1977950713359262E-2</v>
      </c>
      <c r="BP80" s="105">
        <f t="shared" si="111"/>
        <v>0.37127107652399477</v>
      </c>
      <c r="BQ80" s="79">
        <f t="shared" si="112"/>
        <v>0.16</v>
      </c>
      <c r="BR80" s="79">
        <f t="shared" si="113"/>
        <v>0.24</v>
      </c>
      <c r="BS80" s="79">
        <f t="shared" si="114"/>
        <v>0.26</v>
      </c>
      <c r="BT80" s="79">
        <f t="shared" si="115"/>
        <v>0.19999999999999998</v>
      </c>
      <c r="BU80" s="79">
        <f t="shared" si="116"/>
        <v>0.13999999999999999</v>
      </c>
      <c r="BV80" s="90" t="str">
        <f t="array" aca="1" ref="BV80" ca="1">_xlfn.TEXTJOIN(" ",TRUE,
_xlfn.TEXTJOIN(":",TRUE,ROUND(BK80:BO80/MIN(IF(BK80:BO80&gt;0,BK80:BO80)),0)),
"|",
ROUND(SUM(BW80:CA80),0))</f>
        <v>1:2:2:1:1 | -925</v>
      </c>
      <c r="BW80" s="106">
        <f t="shared" ca="1" si="117"/>
        <v>-148</v>
      </c>
      <c r="BX80" s="106">
        <f t="shared" ca="1" si="63"/>
        <v>-222</v>
      </c>
      <c r="BY80" s="106">
        <f t="shared" ca="1" si="64"/>
        <v>-240.5</v>
      </c>
      <c r="BZ80" s="106">
        <f t="shared" ca="1" si="65"/>
        <v>-184.99999999999997</v>
      </c>
      <c r="CA80" s="106">
        <f t="shared" ca="1" si="59"/>
        <v>-129.5</v>
      </c>
    </row>
    <row r="81" spans="1:79" x14ac:dyDescent="0.35">
      <c r="A81" s="25" t="s">
        <v>95</v>
      </c>
      <c r="B81" s="10" t="s">
        <v>322</v>
      </c>
      <c r="C81" s="10" t="s">
        <v>341</v>
      </c>
      <c r="D81" s="10" t="s">
        <v>346</v>
      </c>
      <c r="E81" s="11">
        <v>45871</v>
      </c>
      <c r="F81" s="17">
        <v>45892</v>
      </c>
      <c r="G81" s="14">
        <f t="shared" ca="1" si="66"/>
        <v>207</v>
      </c>
      <c r="H81" s="17">
        <v>499</v>
      </c>
      <c r="I81" s="17">
        <v>261</v>
      </c>
      <c r="J81" s="75">
        <f t="shared" si="67"/>
        <v>750</v>
      </c>
      <c r="K81" s="17">
        <v>1000</v>
      </c>
      <c r="L81" s="85">
        <v>250</v>
      </c>
      <c r="M81" s="86">
        <f t="shared" ca="1" si="68"/>
        <v>1.2077294685990339</v>
      </c>
      <c r="N81" s="86">
        <f t="shared" si="69"/>
        <v>0.92883099285538351</v>
      </c>
      <c r="O81" s="86">
        <f t="shared" si="70"/>
        <v>0.76219512195121952</v>
      </c>
      <c r="P81" s="87">
        <f t="shared" si="71"/>
        <v>62.5</v>
      </c>
      <c r="Q81" s="104">
        <f t="shared" si="72"/>
        <v>12</v>
      </c>
      <c r="R81" s="88">
        <f t="shared" si="73"/>
        <v>47.695390781563127</v>
      </c>
      <c r="S81" s="88">
        <f t="shared" si="74"/>
        <v>25</v>
      </c>
      <c r="T81" s="13">
        <f t="shared" si="75"/>
        <v>2</v>
      </c>
      <c r="U81" s="13">
        <f t="shared" si="76"/>
        <v>1</v>
      </c>
      <c r="V81" s="13">
        <f t="shared" si="77"/>
        <v>2</v>
      </c>
      <c r="W81" s="13">
        <f t="shared" ca="1" si="78"/>
        <v>3</v>
      </c>
      <c r="X81" s="13">
        <f t="shared" ca="1" si="79"/>
        <v>8</v>
      </c>
      <c r="Y81" s="81" t="str">
        <f t="shared" ca="1" si="80"/>
        <v>MONITOR</v>
      </c>
      <c r="Z81" s="13">
        <v>14</v>
      </c>
      <c r="AA81" s="75">
        <v>46059</v>
      </c>
      <c r="AB81" s="75">
        <f t="shared" si="81"/>
        <v>45920</v>
      </c>
      <c r="AC81" s="88">
        <f t="shared" si="82"/>
        <v>19.857142857142858</v>
      </c>
      <c r="AD81" s="89" t="str">
        <f t="shared" ca="1" si="83"/>
        <v>STABLE</v>
      </c>
      <c r="AE81" s="89" t="str">
        <f t="shared" si="84"/>
        <v>SLOW SELLING</v>
      </c>
      <c r="AF81" s="89" t="str">
        <f t="shared" si="85"/>
        <v>AT RISK</v>
      </c>
      <c r="AG81" s="89" t="str">
        <f t="shared" si="86"/>
        <v>FEASIBLE</v>
      </c>
      <c r="AH81" s="81" t="str">
        <f t="shared" ca="1" si="87"/>
        <v>MONITOR</v>
      </c>
      <c r="AI81" s="75">
        <f t="shared" ca="1" si="88"/>
        <v>0</v>
      </c>
      <c r="AJ81" s="75">
        <f t="shared" ca="1" si="89"/>
        <v>-750</v>
      </c>
      <c r="AK81" s="13">
        <f t="shared" ca="1" si="90"/>
        <v>-900</v>
      </c>
      <c r="AL81" s="79">
        <v>0.1</v>
      </c>
      <c r="AM81" s="79">
        <v>0.3</v>
      </c>
      <c r="AN81" s="79">
        <v>0.3</v>
      </c>
      <c r="AO81" s="79">
        <v>0.1</v>
      </c>
      <c r="AP81" s="79">
        <v>0.1</v>
      </c>
      <c r="AQ81" s="75">
        <f t="shared" si="91"/>
        <v>75</v>
      </c>
      <c r="AR81" s="75">
        <f t="shared" si="92"/>
        <v>225</v>
      </c>
      <c r="AS81" s="75">
        <f t="shared" si="93"/>
        <v>225</v>
      </c>
      <c r="AT81" s="75">
        <f t="shared" si="94"/>
        <v>75</v>
      </c>
      <c r="AU81" s="75">
        <f t="shared" si="95"/>
        <v>75</v>
      </c>
      <c r="AV81" s="13">
        <v>0.8</v>
      </c>
      <c r="AW81" s="13">
        <v>1.2</v>
      </c>
      <c r="AX81" s="13">
        <v>1.3</v>
      </c>
      <c r="AY81" s="13">
        <v>1</v>
      </c>
      <c r="AZ81" s="13">
        <v>0.7</v>
      </c>
      <c r="BA81" s="105">
        <f t="shared" si="96"/>
        <v>5</v>
      </c>
      <c r="BB81" s="13">
        <f t="shared" si="97"/>
        <v>22.5</v>
      </c>
      <c r="BC81" s="13">
        <f t="shared" si="98"/>
        <v>24.375</v>
      </c>
      <c r="BD81" s="13">
        <f t="shared" si="99"/>
        <v>6.25</v>
      </c>
      <c r="BE81" s="13">
        <f t="shared" si="100"/>
        <v>4.375</v>
      </c>
      <c r="BF81" s="88">
        <f t="shared" si="101"/>
        <v>15</v>
      </c>
      <c r="BG81" s="88">
        <f t="shared" si="102"/>
        <v>10</v>
      </c>
      <c r="BH81" s="88">
        <f t="shared" si="103"/>
        <v>9.2307692307692299</v>
      </c>
      <c r="BI81" s="88">
        <f t="shared" si="104"/>
        <v>12</v>
      </c>
      <c r="BJ81" s="88">
        <f t="shared" si="105"/>
        <v>17.142857142857142</v>
      </c>
      <c r="BK81" s="105">
        <f t="shared" si="106"/>
        <v>6.6666666666666666E-2</v>
      </c>
      <c r="BL81" s="105">
        <f t="shared" si="107"/>
        <v>0.1</v>
      </c>
      <c r="BM81" s="105">
        <f t="shared" si="108"/>
        <v>0.10833333333333334</v>
      </c>
      <c r="BN81" s="105">
        <f t="shared" si="109"/>
        <v>8.3333333333333329E-2</v>
      </c>
      <c r="BO81" s="105">
        <f t="shared" si="110"/>
        <v>5.8333333333333334E-2</v>
      </c>
      <c r="BP81" s="105">
        <f t="shared" si="111"/>
        <v>0.41666666666666669</v>
      </c>
      <c r="BQ81" s="79">
        <f t="shared" si="112"/>
        <v>0.16</v>
      </c>
      <c r="BR81" s="79">
        <f t="shared" si="113"/>
        <v>0.24</v>
      </c>
      <c r="BS81" s="79">
        <f t="shared" si="114"/>
        <v>0.26</v>
      </c>
      <c r="BT81" s="79">
        <f t="shared" si="115"/>
        <v>0.19999999999999998</v>
      </c>
      <c r="BU81" s="79">
        <f t="shared" si="116"/>
        <v>0.13999999999999999</v>
      </c>
      <c r="BV81" s="90" t="str">
        <f t="array" aca="1" ref="BV81" ca="1">_xlfn.TEXTJOIN(" ",TRUE,
_xlfn.TEXTJOIN(":",TRUE,ROUND(BK81:BO81/MIN(IF(BK81:BO81&gt;0,BK81:BO81)),0)),
"|",
ROUND(SUM(BW81:CA81),0))</f>
        <v>1:2:2:1:1 | -900</v>
      </c>
      <c r="BW81" s="106">
        <f t="shared" ca="1" si="117"/>
        <v>-144</v>
      </c>
      <c r="BX81" s="106">
        <f t="shared" ca="1" si="63"/>
        <v>-216</v>
      </c>
      <c r="BY81" s="106">
        <f t="shared" ca="1" si="64"/>
        <v>-234</v>
      </c>
      <c r="BZ81" s="106">
        <f t="shared" ca="1" si="65"/>
        <v>-179.99999999999997</v>
      </c>
      <c r="CA81" s="106">
        <f t="shared" ca="1" si="59"/>
        <v>-125.99999999999999</v>
      </c>
    </row>
    <row r="82" spans="1:79" x14ac:dyDescent="0.35">
      <c r="A82" s="25" t="s">
        <v>96</v>
      </c>
      <c r="B82" s="10" t="s">
        <v>322</v>
      </c>
      <c r="C82" s="10" t="s">
        <v>341</v>
      </c>
      <c r="D82" s="10" t="s">
        <v>346</v>
      </c>
      <c r="E82" s="11">
        <v>45920</v>
      </c>
      <c r="F82" s="17">
        <v>45892</v>
      </c>
      <c r="G82" s="14">
        <f t="shared" ca="1" si="66"/>
        <v>207</v>
      </c>
      <c r="H82" s="17">
        <v>499</v>
      </c>
      <c r="I82" s="17">
        <v>261</v>
      </c>
      <c r="J82" s="75">
        <f t="shared" si="67"/>
        <v>302</v>
      </c>
      <c r="K82" s="17">
        <v>750</v>
      </c>
      <c r="L82" s="85">
        <v>448</v>
      </c>
      <c r="M82" s="86">
        <f t="shared" ca="1" si="68"/>
        <v>2.1642512077294684</v>
      </c>
      <c r="N82" s="86">
        <f t="shared" si="69"/>
        <v>0.92883099285538351</v>
      </c>
      <c r="O82" s="86">
        <f t="shared" si="70"/>
        <v>1.3658536585365855</v>
      </c>
      <c r="P82" s="87">
        <f t="shared" si="71"/>
        <v>112.00000000000001</v>
      </c>
      <c r="Q82" s="104">
        <f t="shared" si="72"/>
        <v>2.6964285714285712</v>
      </c>
      <c r="R82" s="88">
        <f t="shared" si="73"/>
        <v>47.695390781563127</v>
      </c>
      <c r="S82" s="88">
        <f t="shared" si="74"/>
        <v>59.733333333333341</v>
      </c>
      <c r="T82" s="13">
        <f t="shared" si="75"/>
        <v>3</v>
      </c>
      <c r="U82" s="13">
        <f t="shared" si="76"/>
        <v>3</v>
      </c>
      <c r="V82" s="13">
        <f t="shared" si="77"/>
        <v>2</v>
      </c>
      <c r="W82" s="13">
        <f t="shared" ca="1" si="78"/>
        <v>3</v>
      </c>
      <c r="X82" s="13">
        <f t="shared" ca="1" si="79"/>
        <v>11</v>
      </c>
      <c r="Y82" s="81" t="str">
        <f t="shared" ca="1" si="80"/>
        <v>RE-BUY</v>
      </c>
      <c r="Z82" s="13">
        <v>14</v>
      </c>
      <c r="AA82" s="75">
        <v>46059</v>
      </c>
      <c r="AB82" s="75">
        <f t="shared" si="81"/>
        <v>45920</v>
      </c>
      <c r="AC82" s="88">
        <f t="shared" si="82"/>
        <v>19.857142857142858</v>
      </c>
      <c r="AD82" s="89" t="str">
        <f t="shared" ca="1" si="83"/>
        <v>STABLE</v>
      </c>
      <c r="AE82" s="89" t="str">
        <f t="shared" si="84"/>
        <v>FAST SELLING</v>
      </c>
      <c r="AF82" s="89" t="str">
        <f t="shared" si="85"/>
        <v>AT RISK</v>
      </c>
      <c r="AG82" s="89" t="str">
        <f t="shared" si="86"/>
        <v>FEASIBLE</v>
      </c>
      <c r="AH82" s="81" t="str">
        <f t="shared" ca="1" si="87"/>
        <v>IMMEDIATE REBUY</v>
      </c>
      <c r="AI82" s="75">
        <f t="shared" ca="1" si="88"/>
        <v>1334.4000000000003</v>
      </c>
      <c r="AJ82" s="75">
        <f t="shared" ca="1" si="89"/>
        <v>1032.4000000000003</v>
      </c>
      <c r="AK82" s="13">
        <f t="shared" ca="1" si="90"/>
        <v>1239</v>
      </c>
      <c r="AL82" s="79">
        <v>0.1</v>
      </c>
      <c r="AM82" s="79">
        <v>0.3</v>
      </c>
      <c r="AN82" s="79">
        <v>0.3</v>
      </c>
      <c r="AO82" s="79">
        <v>0.1</v>
      </c>
      <c r="AP82" s="79">
        <v>0.1</v>
      </c>
      <c r="AQ82" s="75">
        <f t="shared" si="91"/>
        <v>30.200000000000003</v>
      </c>
      <c r="AR82" s="75">
        <f t="shared" si="92"/>
        <v>90.6</v>
      </c>
      <c r="AS82" s="75">
        <f t="shared" si="93"/>
        <v>90.6</v>
      </c>
      <c r="AT82" s="75">
        <f t="shared" si="94"/>
        <v>30.200000000000003</v>
      </c>
      <c r="AU82" s="75">
        <f t="shared" si="95"/>
        <v>30.200000000000003</v>
      </c>
      <c r="AV82" s="13">
        <v>0.8</v>
      </c>
      <c r="AW82" s="13">
        <v>1.2</v>
      </c>
      <c r="AX82" s="13">
        <v>1.3</v>
      </c>
      <c r="AY82" s="13">
        <v>1</v>
      </c>
      <c r="AZ82" s="13">
        <v>0.7</v>
      </c>
      <c r="BA82" s="105">
        <f t="shared" si="96"/>
        <v>8.9600000000000026</v>
      </c>
      <c r="BB82" s="13">
        <f t="shared" si="97"/>
        <v>40.32</v>
      </c>
      <c r="BC82" s="13">
        <f t="shared" si="98"/>
        <v>43.680000000000007</v>
      </c>
      <c r="BD82" s="13">
        <f t="shared" si="99"/>
        <v>11.200000000000003</v>
      </c>
      <c r="BE82" s="13">
        <f t="shared" si="100"/>
        <v>7.8400000000000016</v>
      </c>
      <c r="BF82" s="88">
        <f t="shared" si="101"/>
        <v>3.3705357142857135</v>
      </c>
      <c r="BG82" s="88">
        <f t="shared" si="102"/>
        <v>2.2470238095238093</v>
      </c>
      <c r="BH82" s="88">
        <f t="shared" si="103"/>
        <v>2.0741758241758239</v>
      </c>
      <c r="BI82" s="88">
        <f t="shared" si="104"/>
        <v>2.6964285714285712</v>
      </c>
      <c r="BJ82" s="88">
        <f t="shared" si="105"/>
        <v>3.8520408163265301</v>
      </c>
      <c r="BK82" s="105">
        <f t="shared" si="106"/>
        <v>0.29668874172185439</v>
      </c>
      <c r="BL82" s="105">
        <f t="shared" si="107"/>
        <v>0.4450331125827815</v>
      </c>
      <c r="BM82" s="105">
        <f t="shared" si="108"/>
        <v>0.48211920529801333</v>
      </c>
      <c r="BN82" s="105">
        <f t="shared" si="109"/>
        <v>0.37086092715231794</v>
      </c>
      <c r="BO82" s="105">
        <f t="shared" si="110"/>
        <v>0.25960264900662255</v>
      </c>
      <c r="BP82" s="105">
        <f t="shared" si="111"/>
        <v>1.8543046357615898</v>
      </c>
      <c r="BQ82" s="79">
        <f t="shared" si="112"/>
        <v>0.16</v>
      </c>
      <c r="BR82" s="79">
        <f t="shared" si="113"/>
        <v>0.23999999999999996</v>
      </c>
      <c r="BS82" s="79">
        <f t="shared" si="114"/>
        <v>0.26</v>
      </c>
      <c r="BT82" s="79">
        <f t="shared" si="115"/>
        <v>0.19999999999999998</v>
      </c>
      <c r="BU82" s="79">
        <f t="shared" si="116"/>
        <v>0.13999999999999999</v>
      </c>
      <c r="BV82" s="90" t="str">
        <f t="array" aca="1" ref="BV82" ca="1">_xlfn.TEXTJOIN(" ",TRUE,
_xlfn.TEXTJOIN(":",TRUE,ROUND(BK82:BO82/MIN(IF(BK82:BO82&gt;0,BK82:BO82)),0)),
"|",
ROUND(SUM(BW82:CA82),0))</f>
        <v>1:2:2:1:1 | 1239</v>
      </c>
      <c r="BW82" s="106">
        <f t="shared" ca="1" si="117"/>
        <v>198.24</v>
      </c>
      <c r="BX82" s="106">
        <f t="shared" ca="1" si="63"/>
        <v>297.35999999999996</v>
      </c>
      <c r="BY82" s="106">
        <f t="shared" ca="1" si="64"/>
        <v>322.14</v>
      </c>
      <c r="BZ82" s="106">
        <f t="shared" ca="1" si="65"/>
        <v>247.79999999999998</v>
      </c>
      <c r="CA82" s="106">
        <f t="shared" ca="1" si="59"/>
        <v>173.45999999999998</v>
      </c>
    </row>
    <row r="83" spans="1:79" x14ac:dyDescent="0.35">
      <c r="A83" s="25" t="s">
        <v>97</v>
      </c>
      <c r="B83" s="10" t="s">
        <v>322</v>
      </c>
      <c r="C83" s="10" t="s">
        <v>341</v>
      </c>
      <c r="D83" s="10" t="s">
        <v>346</v>
      </c>
      <c r="E83" s="11">
        <v>45920</v>
      </c>
      <c r="F83" s="17">
        <v>45892</v>
      </c>
      <c r="G83" s="14">
        <f t="shared" ca="1" si="66"/>
        <v>207</v>
      </c>
      <c r="H83" s="17">
        <v>499</v>
      </c>
      <c r="I83" s="17">
        <v>261</v>
      </c>
      <c r="J83" s="75">
        <f t="shared" si="67"/>
        <v>234</v>
      </c>
      <c r="K83" s="17">
        <v>750</v>
      </c>
      <c r="L83" s="85">
        <v>516</v>
      </c>
      <c r="M83" s="86">
        <f t="shared" ca="1" si="68"/>
        <v>2.4927536231884058</v>
      </c>
      <c r="N83" s="86">
        <f t="shared" si="69"/>
        <v>0.92883099285538351</v>
      </c>
      <c r="O83" s="86">
        <f t="shared" si="70"/>
        <v>1.5731707317073171</v>
      </c>
      <c r="P83" s="87">
        <f t="shared" si="71"/>
        <v>129</v>
      </c>
      <c r="Q83" s="104">
        <f t="shared" si="72"/>
        <v>1.8139534883720929</v>
      </c>
      <c r="R83" s="88">
        <f t="shared" si="73"/>
        <v>47.695390781563127</v>
      </c>
      <c r="S83" s="88">
        <f t="shared" si="74"/>
        <v>68.8</v>
      </c>
      <c r="T83" s="13">
        <f t="shared" si="75"/>
        <v>3</v>
      </c>
      <c r="U83" s="13">
        <f t="shared" si="76"/>
        <v>3</v>
      </c>
      <c r="V83" s="13">
        <f t="shared" si="77"/>
        <v>2</v>
      </c>
      <c r="W83" s="13">
        <f t="shared" ca="1" si="78"/>
        <v>3</v>
      </c>
      <c r="X83" s="13">
        <f t="shared" ca="1" si="79"/>
        <v>11</v>
      </c>
      <c r="Y83" s="81" t="str">
        <f t="shared" ca="1" si="80"/>
        <v>RE-BUY</v>
      </c>
      <c r="Z83" s="13">
        <v>14</v>
      </c>
      <c r="AA83" s="75">
        <v>46059</v>
      </c>
      <c r="AB83" s="75">
        <f t="shared" si="81"/>
        <v>45920</v>
      </c>
      <c r="AC83" s="88">
        <f t="shared" si="82"/>
        <v>19.857142857142858</v>
      </c>
      <c r="AD83" s="89" t="str">
        <f t="shared" ca="1" si="83"/>
        <v>STABLE</v>
      </c>
      <c r="AE83" s="89" t="str">
        <f t="shared" si="84"/>
        <v>FAST SELLING</v>
      </c>
      <c r="AF83" s="89" t="str">
        <f t="shared" si="85"/>
        <v>AT RISK</v>
      </c>
      <c r="AG83" s="89" t="str">
        <f t="shared" si="86"/>
        <v>FEASIBLE</v>
      </c>
      <c r="AH83" s="81" t="str">
        <f t="shared" ca="1" si="87"/>
        <v>IMMEDIATE REBUY</v>
      </c>
      <c r="AI83" s="75">
        <f t="shared" ca="1" si="88"/>
        <v>1536.9428571428571</v>
      </c>
      <c r="AJ83" s="75">
        <f t="shared" ca="1" si="89"/>
        <v>1302.9428571428571</v>
      </c>
      <c r="AK83" s="13">
        <f t="shared" ca="1" si="90"/>
        <v>1564</v>
      </c>
      <c r="AL83" s="79">
        <v>0.1</v>
      </c>
      <c r="AM83" s="79">
        <v>0.3</v>
      </c>
      <c r="AN83" s="79">
        <v>0.3</v>
      </c>
      <c r="AO83" s="79">
        <v>0.1</v>
      </c>
      <c r="AP83" s="79">
        <v>0.1</v>
      </c>
      <c r="AQ83" s="75">
        <f t="shared" si="91"/>
        <v>23.400000000000002</v>
      </c>
      <c r="AR83" s="75">
        <f t="shared" si="92"/>
        <v>70.2</v>
      </c>
      <c r="AS83" s="75">
        <f t="shared" si="93"/>
        <v>70.2</v>
      </c>
      <c r="AT83" s="75">
        <f t="shared" si="94"/>
        <v>23.400000000000002</v>
      </c>
      <c r="AU83" s="75">
        <f t="shared" si="95"/>
        <v>23.400000000000002</v>
      </c>
      <c r="AV83" s="13">
        <v>0.8</v>
      </c>
      <c r="AW83" s="13">
        <v>1.2</v>
      </c>
      <c r="AX83" s="13">
        <v>1.3</v>
      </c>
      <c r="AY83" s="13">
        <v>1</v>
      </c>
      <c r="AZ83" s="13">
        <v>0.7</v>
      </c>
      <c r="BA83" s="105">
        <f t="shared" si="96"/>
        <v>10.32</v>
      </c>
      <c r="BB83" s="13">
        <f t="shared" si="97"/>
        <v>46.439999999999991</v>
      </c>
      <c r="BC83" s="13">
        <f t="shared" si="98"/>
        <v>50.309999999999995</v>
      </c>
      <c r="BD83" s="13">
        <f t="shared" si="99"/>
        <v>12.9</v>
      </c>
      <c r="BE83" s="13">
        <f t="shared" si="100"/>
        <v>9.0299999999999994</v>
      </c>
      <c r="BF83" s="88">
        <f t="shared" si="101"/>
        <v>2.2674418604651163</v>
      </c>
      <c r="BG83" s="88">
        <f t="shared" si="102"/>
        <v>1.5116279069767447</v>
      </c>
      <c r="BH83" s="88">
        <f t="shared" si="103"/>
        <v>1.3953488372093026</v>
      </c>
      <c r="BI83" s="88">
        <f t="shared" si="104"/>
        <v>1.8139534883720931</v>
      </c>
      <c r="BJ83" s="88">
        <f t="shared" si="105"/>
        <v>2.5913621262458477</v>
      </c>
      <c r="BK83" s="105">
        <f t="shared" si="106"/>
        <v>0.44102564102564101</v>
      </c>
      <c r="BL83" s="105">
        <f t="shared" si="107"/>
        <v>0.6615384615384613</v>
      </c>
      <c r="BM83" s="105">
        <f t="shared" si="108"/>
        <v>0.71666666666666656</v>
      </c>
      <c r="BN83" s="105">
        <f t="shared" si="109"/>
        <v>0.55128205128205121</v>
      </c>
      <c r="BO83" s="105">
        <f t="shared" si="110"/>
        <v>0.3858974358974358</v>
      </c>
      <c r="BP83" s="105">
        <f t="shared" si="111"/>
        <v>2.7564102564102559</v>
      </c>
      <c r="BQ83" s="79">
        <f t="shared" si="112"/>
        <v>0.16000000000000003</v>
      </c>
      <c r="BR83" s="79">
        <f t="shared" si="113"/>
        <v>0.23999999999999996</v>
      </c>
      <c r="BS83" s="79">
        <f t="shared" si="114"/>
        <v>0.26</v>
      </c>
      <c r="BT83" s="79">
        <f t="shared" si="115"/>
        <v>0.2</v>
      </c>
      <c r="BU83" s="79">
        <f t="shared" si="116"/>
        <v>0.13999999999999999</v>
      </c>
      <c r="BV83" s="90" t="str">
        <f t="array" aca="1" ref="BV83" ca="1">_xlfn.TEXTJOIN(" ",TRUE,
_xlfn.TEXTJOIN(":",TRUE,ROUND(BK83:BO83/MIN(IF(BK83:BO83&gt;0,BK83:BO83)),0)),
"|",
ROUND(SUM(BW83:CA83),0))</f>
        <v>1:2:2:1:1 | 1564</v>
      </c>
      <c r="BW83" s="106">
        <f t="shared" ca="1" si="117"/>
        <v>250.24000000000004</v>
      </c>
      <c r="BX83" s="106">
        <f t="shared" ca="1" si="63"/>
        <v>375.35999999999996</v>
      </c>
      <c r="BY83" s="106">
        <f t="shared" ca="1" si="64"/>
        <v>406.64</v>
      </c>
      <c r="BZ83" s="106">
        <f t="shared" ca="1" si="65"/>
        <v>312.8</v>
      </c>
      <c r="CA83" s="106">
        <f t="shared" ca="1" si="59"/>
        <v>218.95999999999998</v>
      </c>
    </row>
    <row r="84" spans="1:79" x14ac:dyDescent="0.35">
      <c r="A84" s="25" t="s">
        <v>98</v>
      </c>
      <c r="B84" s="10" t="s">
        <v>322</v>
      </c>
      <c r="C84" s="10" t="s">
        <v>341</v>
      </c>
      <c r="D84" s="10" t="s">
        <v>346</v>
      </c>
      <c r="E84" s="11">
        <v>45920</v>
      </c>
      <c r="F84" s="17">
        <v>45892</v>
      </c>
      <c r="G84" s="14">
        <f t="shared" ca="1" si="66"/>
        <v>207</v>
      </c>
      <c r="H84" s="17">
        <v>499</v>
      </c>
      <c r="I84" s="17">
        <v>261</v>
      </c>
      <c r="J84" s="75">
        <f t="shared" si="67"/>
        <v>330</v>
      </c>
      <c r="K84" s="17">
        <v>750</v>
      </c>
      <c r="L84" s="85">
        <v>420</v>
      </c>
      <c r="M84" s="86">
        <f t="shared" ca="1" si="68"/>
        <v>2.0289855072463769</v>
      </c>
      <c r="N84" s="86">
        <f t="shared" si="69"/>
        <v>0.92883099285538351</v>
      </c>
      <c r="O84" s="86">
        <f t="shared" si="70"/>
        <v>1.2804878048780488</v>
      </c>
      <c r="P84" s="87">
        <f t="shared" si="71"/>
        <v>105</v>
      </c>
      <c r="Q84" s="104">
        <f t="shared" si="72"/>
        <v>3.1428571428571428</v>
      </c>
      <c r="R84" s="88">
        <f t="shared" si="73"/>
        <v>47.695390781563127</v>
      </c>
      <c r="S84" s="88">
        <f t="shared" si="74"/>
        <v>56.000000000000007</v>
      </c>
      <c r="T84" s="13">
        <f t="shared" si="75"/>
        <v>3</v>
      </c>
      <c r="U84" s="13">
        <f t="shared" si="76"/>
        <v>3</v>
      </c>
      <c r="V84" s="13">
        <f t="shared" si="77"/>
        <v>2</v>
      </c>
      <c r="W84" s="13">
        <f t="shared" ca="1" si="78"/>
        <v>3</v>
      </c>
      <c r="X84" s="13">
        <f t="shared" ca="1" si="79"/>
        <v>11</v>
      </c>
      <c r="Y84" s="81" t="str">
        <f t="shared" ca="1" si="80"/>
        <v>RE-BUY</v>
      </c>
      <c r="Z84" s="13">
        <v>14</v>
      </c>
      <c r="AA84" s="75">
        <v>46059</v>
      </c>
      <c r="AB84" s="75">
        <f t="shared" si="81"/>
        <v>45920</v>
      </c>
      <c r="AC84" s="88">
        <f t="shared" si="82"/>
        <v>19.857142857142858</v>
      </c>
      <c r="AD84" s="89" t="str">
        <f t="shared" ca="1" si="83"/>
        <v>STABLE</v>
      </c>
      <c r="AE84" s="89" t="str">
        <f t="shared" si="84"/>
        <v>FAST SELLING</v>
      </c>
      <c r="AF84" s="89" t="str">
        <f t="shared" si="85"/>
        <v>AT RISK</v>
      </c>
      <c r="AG84" s="89" t="str">
        <f t="shared" si="86"/>
        <v>FEASIBLE</v>
      </c>
      <c r="AH84" s="81" t="str">
        <f t="shared" ca="1" si="87"/>
        <v>IMMEDIATE REBUY</v>
      </c>
      <c r="AI84" s="75">
        <f t="shared" ca="1" si="88"/>
        <v>1251</v>
      </c>
      <c r="AJ84" s="75">
        <f t="shared" ca="1" si="89"/>
        <v>921</v>
      </c>
      <c r="AK84" s="13">
        <f t="shared" ca="1" si="90"/>
        <v>1105</v>
      </c>
      <c r="AL84" s="79">
        <v>0.1</v>
      </c>
      <c r="AM84" s="79">
        <v>0.3</v>
      </c>
      <c r="AN84" s="79">
        <v>0.3</v>
      </c>
      <c r="AO84" s="79">
        <v>0.1</v>
      </c>
      <c r="AP84" s="79">
        <v>0.1</v>
      </c>
      <c r="AQ84" s="75">
        <f t="shared" si="91"/>
        <v>33</v>
      </c>
      <c r="AR84" s="75">
        <f t="shared" si="92"/>
        <v>99</v>
      </c>
      <c r="AS84" s="75">
        <f t="shared" si="93"/>
        <v>99</v>
      </c>
      <c r="AT84" s="75">
        <f t="shared" si="94"/>
        <v>33</v>
      </c>
      <c r="AU84" s="75">
        <f t="shared" si="95"/>
        <v>33</v>
      </c>
      <c r="AV84" s="13">
        <v>0.8</v>
      </c>
      <c r="AW84" s="13">
        <v>1.2</v>
      </c>
      <c r="AX84" s="13">
        <v>1.3</v>
      </c>
      <c r="AY84" s="13">
        <v>1</v>
      </c>
      <c r="AZ84" s="13">
        <v>0.7</v>
      </c>
      <c r="BA84" s="105">
        <f t="shared" si="96"/>
        <v>8.4</v>
      </c>
      <c r="BB84" s="13">
        <f t="shared" si="97"/>
        <v>37.799999999999997</v>
      </c>
      <c r="BC84" s="13">
        <f t="shared" si="98"/>
        <v>40.950000000000003</v>
      </c>
      <c r="BD84" s="13">
        <f t="shared" si="99"/>
        <v>10.5</v>
      </c>
      <c r="BE84" s="13">
        <f t="shared" si="100"/>
        <v>7.35</v>
      </c>
      <c r="BF84" s="88">
        <f t="shared" si="101"/>
        <v>3.9285714285714284</v>
      </c>
      <c r="BG84" s="88">
        <f t="shared" si="102"/>
        <v>2.6190476190476191</v>
      </c>
      <c r="BH84" s="88">
        <f t="shared" si="103"/>
        <v>2.4175824175824174</v>
      </c>
      <c r="BI84" s="88">
        <f t="shared" si="104"/>
        <v>3.1428571428571428</v>
      </c>
      <c r="BJ84" s="88">
        <f t="shared" si="105"/>
        <v>4.4897959183673475</v>
      </c>
      <c r="BK84" s="105">
        <f t="shared" si="106"/>
        <v>0.25454545454545457</v>
      </c>
      <c r="BL84" s="105">
        <f t="shared" si="107"/>
        <v>0.38181818181818183</v>
      </c>
      <c r="BM84" s="105">
        <f t="shared" si="108"/>
        <v>0.41363636363636364</v>
      </c>
      <c r="BN84" s="105">
        <f t="shared" si="109"/>
        <v>0.31818181818181818</v>
      </c>
      <c r="BO84" s="105">
        <f t="shared" si="110"/>
        <v>0.22272727272727269</v>
      </c>
      <c r="BP84" s="105">
        <f t="shared" si="111"/>
        <v>1.5909090909090908</v>
      </c>
      <c r="BQ84" s="79">
        <f t="shared" si="112"/>
        <v>0.16000000000000003</v>
      </c>
      <c r="BR84" s="79">
        <f t="shared" si="113"/>
        <v>0.24000000000000002</v>
      </c>
      <c r="BS84" s="79">
        <f t="shared" si="114"/>
        <v>0.26</v>
      </c>
      <c r="BT84" s="79">
        <f t="shared" si="115"/>
        <v>0.2</v>
      </c>
      <c r="BU84" s="79">
        <f t="shared" si="116"/>
        <v>0.13999999999999999</v>
      </c>
      <c r="BV84" s="90" t="str">
        <f t="array" aca="1" ref="BV84" ca="1">_xlfn.TEXTJOIN(" ",TRUE,
_xlfn.TEXTJOIN(":",TRUE,ROUND(BK84:BO84/MIN(IF(BK84:BO84&gt;0,BK84:BO84)),0)),
"|",
ROUND(SUM(BW84:CA84),0))</f>
        <v>1:2:2:1:1 | 1105</v>
      </c>
      <c r="BW84" s="106">
        <f t="shared" ca="1" si="117"/>
        <v>176.80000000000004</v>
      </c>
      <c r="BX84" s="106">
        <f t="shared" ca="1" si="63"/>
        <v>265.20000000000005</v>
      </c>
      <c r="BY84" s="106">
        <f t="shared" ca="1" si="64"/>
        <v>287.3</v>
      </c>
      <c r="BZ84" s="106">
        <f t="shared" ca="1" si="65"/>
        <v>221</v>
      </c>
      <c r="CA84" s="106">
        <f t="shared" ca="1" si="59"/>
        <v>154.69999999999999</v>
      </c>
    </row>
    <row r="85" spans="1:79" x14ac:dyDescent="0.35">
      <c r="A85" s="25" t="s">
        <v>99</v>
      </c>
      <c r="B85" s="15" t="s">
        <v>323</v>
      </c>
      <c r="C85" s="10" t="s">
        <v>343</v>
      </c>
      <c r="D85" s="10" t="s">
        <v>346</v>
      </c>
      <c r="E85" s="11">
        <v>45920</v>
      </c>
      <c r="F85" s="17">
        <v>45892</v>
      </c>
      <c r="G85" s="14">
        <f t="shared" ca="1" si="66"/>
        <v>207</v>
      </c>
      <c r="H85" s="17">
        <v>699</v>
      </c>
      <c r="I85" s="17">
        <v>338</v>
      </c>
      <c r="J85" s="75">
        <f t="shared" si="67"/>
        <v>687</v>
      </c>
      <c r="K85" s="17">
        <v>1050</v>
      </c>
      <c r="L85" s="85">
        <v>363</v>
      </c>
      <c r="M85" s="86">
        <f t="shared" ca="1" si="68"/>
        <v>1.7536231884057971</v>
      </c>
      <c r="N85" s="86">
        <f t="shared" si="69"/>
        <v>0.56143292682926838</v>
      </c>
      <c r="O85" s="86">
        <f t="shared" si="70"/>
        <v>1.1067073170731707</v>
      </c>
      <c r="P85" s="87">
        <f t="shared" si="71"/>
        <v>90.75</v>
      </c>
      <c r="Q85" s="104">
        <f t="shared" si="72"/>
        <v>7.5702479338842972</v>
      </c>
      <c r="R85" s="88">
        <f t="shared" si="73"/>
        <v>51.645207439198856</v>
      </c>
      <c r="S85" s="88">
        <f t="shared" si="74"/>
        <v>34.571428571428569</v>
      </c>
      <c r="T85" s="13">
        <f t="shared" si="75"/>
        <v>3</v>
      </c>
      <c r="U85" s="13">
        <f t="shared" si="76"/>
        <v>1</v>
      </c>
      <c r="V85" s="13">
        <f t="shared" si="77"/>
        <v>2</v>
      </c>
      <c r="W85" s="13">
        <f t="shared" ca="1" si="78"/>
        <v>3</v>
      </c>
      <c r="X85" s="13">
        <f t="shared" ca="1" si="79"/>
        <v>9</v>
      </c>
      <c r="Y85" s="81" t="str">
        <f t="shared" ca="1" si="80"/>
        <v>RE-BUY</v>
      </c>
      <c r="Z85" s="13">
        <v>14</v>
      </c>
      <c r="AA85" s="75">
        <v>46059</v>
      </c>
      <c r="AB85" s="75">
        <f t="shared" si="81"/>
        <v>45920</v>
      </c>
      <c r="AC85" s="88">
        <f t="shared" si="82"/>
        <v>19.857142857142858</v>
      </c>
      <c r="AD85" s="89" t="str">
        <f t="shared" ca="1" si="83"/>
        <v>STABLE</v>
      </c>
      <c r="AE85" s="89" t="str">
        <f t="shared" si="84"/>
        <v>FAST SELLING</v>
      </c>
      <c r="AF85" s="89" t="str">
        <f t="shared" si="85"/>
        <v>AT RISK</v>
      </c>
      <c r="AG85" s="89" t="str">
        <f t="shared" si="86"/>
        <v>FEASIBLE</v>
      </c>
      <c r="AH85" s="81" t="str">
        <f t="shared" ca="1" si="87"/>
        <v>IMMEDIATE REBUY</v>
      </c>
      <c r="AI85" s="75">
        <f t="shared" ca="1" si="88"/>
        <v>1081.2214285714285</v>
      </c>
      <c r="AJ85" s="75">
        <f t="shared" ca="1" si="89"/>
        <v>394.22142857142853</v>
      </c>
      <c r="AK85" s="13">
        <f t="shared" ca="1" si="90"/>
        <v>473</v>
      </c>
      <c r="AL85" s="79">
        <v>0.1</v>
      </c>
      <c r="AM85" s="79">
        <v>0.3</v>
      </c>
      <c r="AN85" s="79">
        <v>0.3</v>
      </c>
      <c r="AO85" s="79">
        <v>0.1</v>
      </c>
      <c r="AP85" s="79">
        <v>0.1</v>
      </c>
      <c r="AQ85" s="75">
        <f t="shared" si="91"/>
        <v>68.7</v>
      </c>
      <c r="AR85" s="75">
        <f t="shared" si="92"/>
        <v>206.1</v>
      </c>
      <c r="AS85" s="75">
        <f t="shared" si="93"/>
        <v>206.1</v>
      </c>
      <c r="AT85" s="75">
        <f t="shared" si="94"/>
        <v>68.7</v>
      </c>
      <c r="AU85" s="75">
        <f t="shared" si="95"/>
        <v>68.7</v>
      </c>
      <c r="AV85" s="13">
        <v>0.8</v>
      </c>
      <c r="AW85" s="13">
        <v>1.2</v>
      </c>
      <c r="AX85" s="13">
        <v>1.3</v>
      </c>
      <c r="AY85" s="13">
        <v>1</v>
      </c>
      <c r="AZ85" s="13">
        <v>0.7</v>
      </c>
      <c r="BA85" s="105">
        <f t="shared" si="96"/>
        <v>7.2600000000000016</v>
      </c>
      <c r="BB85" s="13">
        <f t="shared" si="97"/>
        <v>32.669999999999995</v>
      </c>
      <c r="BC85" s="13">
        <f t="shared" si="98"/>
        <v>35.392499999999998</v>
      </c>
      <c r="BD85" s="13">
        <f t="shared" si="99"/>
        <v>9.0750000000000011</v>
      </c>
      <c r="BE85" s="13">
        <f t="shared" si="100"/>
        <v>6.3525</v>
      </c>
      <c r="BF85" s="88">
        <f t="shared" si="101"/>
        <v>9.4628099173553704</v>
      </c>
      <c r="BG85" s="88">
        <f t="shared" si="102"/>
        <v>6.3085399449035817</v>
      </c>
      <c r="BH85" s="88">
        <f t="shared" si="103"/>
        <v>5.8232676414494602</v>
      </c>
      <c r="BI85" s="88">
        <f t="shared" si="104"/>
        <v>7.5702479338842972</v>
      </c>
      <c r="BJ85" s="88">
        <f t="shared" si="105"/>
        <v>10.814639905548997</v>
      </c>
      <c r="BK85" s="105">
        <f t="shared" si="106"/>
        <v>0.10567685589519653</v>
      </c>
      <c r="BL85" s="105">
        <f t="shared" si="107"/>
        <v>0.15851528384279476</v>
      </c>
      <c r="BM85" s="105">
        <f t="shared" si="108"/>
        <v>0.1717248908296943</v>
      </c>
      <c r="BN85" s="105">
        <f t="shared" si="109"/>
        <v>0.13209606986899564</v>
      </c>
      <c r="BO85" s="105">
        <f t="shared" si="110"/>
        <v>9.246724890829694E-2</v>
      </c>
      <c r="BP85" s="105">
        <f t="shared" si="111"/>
        <v>0.66048034934497823</v>
      </c>
      <c r="BQ85" s="79">
        <f t="shared" si="112"/>
        <v>0.16</v>
      </c>
      <c r="BR85" s="79">
        <f t="shared" si="113"/>
        <v>0.23999999999999996</v>
      </c>
      <c r="BS85" s="79">
        <f t="shared" si="114"/>
        <v>0.25999999999999995</v>
      </c>
      <c r="BT85" s="79">
        <f t="shared" si="115"/>
        <v>0.19999999999999998</v>
      </c>
      <c r="BU85" s="79">
        <f t="shared" si="116"/>
        <v>0.13999999999999999</v>
      </c>
      <c r="BV85" s="90" t="str">
        <f t="array" aca="1" ref="BV85" ca="1">_xlfn.TEXTJOIN(" ",TRUE,
_xlfn.TEXTJOIN(":",TRUE,ROUND(BK85:BO85/MIN(IF(BK85:BO85&gt;0,BK85:BO85)),0)),
"|",
ROUND(SUM(BW85:CA85),0))</f>
        <v>1:2:2:1:1 | 473</v>
      </c>
      <c r="BW85" s="106">
        <f t="shared" ca="1" si="117"/>
        <v>75.680000000000007</v>
      </c>
      <c r="BX85" s="106">
        <f t="shared" ca="1" si="63"/>
        <v>113.51999999999998</v>
      </c>
      <c r="BY85" s="106">
        <f t="shared" ca="1" si="64"/>
        <v>122.97999999999998</v>
      </c>
      <c r="BZ85" s="106">
        <f t="shared" ca="1" si="65"/>
        <v>94.6</v>
      </c>
      <c r="CA85" s="106">
        <f t="shared" ref="CA85:CA148" ca="1" si="118">AK85*BU85</f>
        <v>66.22</v>
      </c>
    </row>
    <row r="86" spans="1:79" x14ac:dyDescent="0.35">
      <c r="A86" s="25" t="s">
        <v>100</v>
      </c>
      <c r="B86" s="15" t="s">
        <v>323</v>
      </c>
      <c r="C86" s="10" t="s">
        <v>343</v>
      </c>
      <c r="D86" s="10" t="s">
        <v>346</v>
      </c>
      <c r="E86" s="11">
        <v>45920</v>
      </c>
      <c r="F86" s="17">
        <v>45892</v>
      </c>
      <c r="G86" s="14">
        <f t="shared" ca="1" si="66"/>
        <v>207</v>
      </c>
      <c r="H86" s="17">
        <v>699</v>
      </c>
      <c r="I86" s="17">
        <v>338</v>
      </c>
      <c r="J86" s="75">
        <f t="shared" si="67"/>
        <v>830</v>
      </c>
      <c r="K86" s="17">
        <v>1050</v>
      </c>
      <c r="L86" s="85">
        <v>220</v>
      </c>
      <c r="M86" s="86">
        <f t="shared" ca="1" si="68"/>
        <v>1.0628019323671498</v>
      </c>
      <c r="N86" s="86">
        <f t="shared" si="69"/>
        <v>0.56143292682926838</v>
      </c>
      <c r="O86" s="86">
        <f t="shared" si="70"/>
        <v>0.67073170731707321</v>
      </c>
      <c r="P86" s="87">
        <f t="shared" si="71"/>
        <v>55</v>
      </c>
      <c r="Q86" s="104">
        <f t="shared" si="72"/>
        <v>15.090909090909092</v>
      </c>
      <c r="R86" s="88">
        <f t="shared" si="73"/>
        <v>51.645207439198856</v>
      </c>
      <c r="S86" s="88">
        <f t="shared" si="74"/>
        <v>20.952380952380953</v>
      </c>
      <c r="T86" s="13">
        <f t="shared" si="75"/>
        <v>3</v>
      </c>
      <c r="U86" s="13">
        <f t="shared" si="76"/>
        <v>1</v>
      </c>
      <c r="V86" s="13">
        <f t="shared" si="77"/>
        <v>2</v>
      </c>
      <c r="W86" s="13">
        <f t="shared" ca="1" si="78"/>
        <v>3</v>
      </c>
      <c r="X86" s="13">
        <f t="shared" ca="1" si="79"/>
        <v>9</v>
      </c>
      <c r="Y86" s="81" t="str">
        <f t="shared" ca="1" si="80"/>
        <v>RE-BUY</v>
      </c>
      <c r="Z86" s="13">
        <v>14</v>
      </c>
      <c r="AA86" s="75">
        <v>46059</v>
      </c>
      <c r="AB86" s="75">
        <f t="shared" si="81"/>
        <v>45920</v>
      </c>
      <c r="AC86" s="88">
        <f t="shared" si="82"/>
        <v>19.857142857142858</v>
      </c>
      <c r="AD86" s="89" t="str">
        <f t="shared" ca="1" si="83"/>
        <v>STABLE</v>
      </c>
      <c r="AE86" s="89" t="str">
        <f t="shared" si="84"/>
        <v>FAST SELLING</v>
      </c>
      <c r="AF86" s="89" t="str">
        <f t="shared" si="85"/>
        <v>AT RISK</v>
      </c>
      <c r="AG86" s="89" t="str">
        <f t="shared" si="86"/>
        <v>FEASIBLE</v>
      </c>
      <c r="AH86" s="81" t="str">
        <f t="shared" ca="1" si="87"/>
        <v>IMMEDIATE REBUY</v>
      </c>
      <c r="AI86" s="75">
        <f t="shared" ca="1" si="88"/>
        <v>655.28571428571422</v>
      </c>
      <c r="AJ86" s="75">
        <f t="shared" ca="1" si="89"/>
        <v>-174.71428571428578</v>
      </c>
      <c r="AK86" s="13">
        <f t="shared" ca="1" si="90"/>
        <v>-210</v>
      </c>
      <c r="AL86" s="79">
        <v>0.1</v>
      </c>
      <c r="AM86" s="79">
        <v>0.3</v>
      </c>
      <c r="AN86" s="79">
        <v>0.3</v>
      </c>
      <c r="AO86" s="79">
        <v>0.1</v>
      </c>
      <c r="AP86" s="79">
        <v>0.1</v>
      </c>
      <c r="AQ86" s="75">
        <f t="shared" si="91"/>
        <v>83</v>
      </c>
      <c r="AR86" s="75">
        <f t="shared" si="92"/>
        <v>249</v>
      </c>
      <c r="AS86" s="75">
        <f t="shared" si="93"/>
        <v>249</v>
      </c>
      <c r="AT86" s="75">
        <f t="shared" si="94"/>
        <v>83</v>
      </c>
      <c r="AU86" s="75">
        <f t="shared" si="95"/>
        <v>83</v>
      </c>
      <c r="AV86" s="13">
        <v>0.8</v>
      </c>
      <c r="AW86" s="13">
        <v>1.2</v>
      </c>
      <c r="AX86" s="13">
        <v>1.3</v>
      </c>
      <c r="AY86" s="13">
        <v>1</v>
      </c>
      <c r="AZ86" s="13">
        <v>0.7</v>
      </c>
      <c r="BA86" s="105">
        <f t="shared" si="96"/>
        <v>4.4000000000000004</v>
      </c>
      <c r="BB86" s="13">
        <f t="shared" si="97"/>
        <v>19.8</v>
      </c>
      <c r="BC86" s="13">
        <f t="shared" si="98"/>
        <v>21.45</v>
      </c>
      <c r="BD86" s="13">
        <f t="shared" si="99"/>
        <v>5.5</v>
      </c>
      <c r="BE86" s="13">
        <f t="shared" si="100"/>
        <v>3.8499999999999996</v>
      </c>
      <c r="BF86" s="88">
        <f t="shared" si="101"/>
        <v>18.863636363636363</v>
      </c>
      <c r="BG86" s="88">
        <f t="shared" si="102"/>
        <v>12.575757575757576</v>
      </c>
      <c r="BH86" s="88">
        <f t="shared" si="103"/>
        <v>11.608391608391608</v>
      </c>
      <c r="BI86" s="88">
        <f t="shared" si="104"/>
        <v>15.090909090909092</v>
      </c>
      <c r="BJ86" s="88">
        <f t="shared" si="105"/>
        <v>21.558441558441562</v>
      </c>
      <c r="BK86" s="105">
        <f t="shared" si="106"/>
        <v>5.3012048192771083E-2</v>
      </c>
      <c r="BL86" s="105">
        <f t="shared" si="107"/>
        <v>7.9518072289156624E-2</v>
      </c>
      <c r="BM86" s="105">
        <f t="shared" si="108"/>
        <v>8.6144578313253006E-2</v>
      </c>
      <c r="BN86" s="105">
        <f t="shared" si="109"/>
        <v>6.6265060240963847E-2</v>
      </c>
      <c r="BO86" s="105">
        <f t="shared" si="110"/>
        <v>4.6385542168674694E-2</v>
      </c>
      <c r="BP86" s="105">
        <f t="shared" si="111"/>
        <v>0.33132530120481923</v>
      </c>
      <c r="BQ86" s="79">
        <f t="shared" si="112"/>
        <v>0.16</v>
      </c>
      <c r="BR86" s="79">
        <f t="shared" si="113"/>
        <v>0.24000000000000002</v>
      </c>
      <c r="BS86" s="79">
        <f t="shared" si="114"/>
        <v>0.26</v>
      </c>
      <c r="BT86" s="79">
        <f t="shared" si="115"/>
        <v>0.2</v>
      </c>
      <c r="BU86" s="79">
        <f t="shared" si="116"/>
        <v>0.14000000000000001</v>
      </c>
      <c r="BV86" s="90" t="str">
        <f t="array" aca="1" ref="BV86" ca="1">_xlfn.TEXTJOIN(" ",TRUE,
_xlfn.TEXTJOIN(":",TRUE,ROUND(BK86:BO86/MIN(IF(BK86:BO86&gt;0,BK86:BO86)),0)),
"|",
ROUND(SUM(BW86:CA86),0))</f>
        <v>1:2:2:1:1 | -210</v>
      </c>
      <c r="BW86" s="106">
        <f t="shared" ca="1" si="117"/>
        <v>-33.6</v>
      </c>
      <c r="BX86" s="106">
        <f t="shared" ca="1" si="63"/>
        <v>-50.400000000000006</v>
      </c>
      <c r="BY86" s="106">
        <f t="shared" ca="1" si="64"/>
        <v>-54.6</v>
      </c>
      <c r="BZ86" s="106">
        <f t="shared" ca="1" si="65"/>
        <v>-42</v>
      </c>
      <c r="CA86" s="106">
        <f t="shared" ca="1" si="118"/>
        <v>-29.400000000000002</v>
      </c>
    </row>
    <row r="87" spans="1:79" x14ac:dyDescent="0.35">
      <c r="A87" s="25" t="s">
        <v>101</v>
      </c>
      <c r="B87" s="15" t="s">
        <v>323</v>
      </c>
      <c r="C87" s="10" t="s">
        <v>343</v>
      </c>
      <c r="D87" s="10" t="s">
        <v>346</v>
      </c>
      <c r="E87" s="11">
        <v>45920</v>
      </c>
      <c r="F87" s="17">
        <v>45892</v>
      </c>
      <c r="G87" s="14">
        <f t="shared" ca="1" si="66"/>
        <v>207</v>
      </c>
      <c r="H87" s="17">
        <v>699</v>
      </c>
      <c r="I87" s="17">
        <v>338</v>
      </c>
      <c r="J87" s="75">
        <f t="shared" si="67"/>
        <v>834</v>
      </c>
      <c r="K87" s="17">
        <v>1050</v>
      </c>
      <c r="L87" s="85">
        <v>216</v>
      </c>
      <c r="M87" s="86">
        <f t="shared" ca="1" si="68"/>
        <v>1.0434782608695652</v>
      </c>
      <c r="N87" s="86">
        <f t="shared" si="69"/>
        <v>0.56143292682926838</v>
      </c>
      <c r="O87" s="86">
        <f t="shared" si="70"/>
        <v>0.65853658536585369</v>
      </c>
      <c r="P87" s="87">
        <f t="shared" si="71"/>
        <v>54</v>
      </c>
      <c r="Q87" s="104">
        <f t="shared" si="72"/>
        <v>15.444444444444445</v>
      </c>
      <c r="R87" s="88">
        <f t="shared" si="73"/>
        <v>51.645207439198856</v>
      </c>
      <c r="S87" s="88">
        <f t="shared" si="74"/>
        <v>20.571428571428569</v>
      </c>
      <c r="T87" s="13">
        <f t="shared" si="75"/>
        <v>3</v>
      </c>
      <c r="U87" s="13">
        <f t="shared" si="76"/>
        <v>1</v>
      </c>
      <c r="V87" s="13">
        <f t="shared" si="77"/>
        <v>2</v>
      </c>
      <c r="W87" s="13">
        <f t="shared" ca="1" si="78"/>
        <v>3</v>
      </c>
      <c r="X87" s="13">
        <f t="shared" ca="1" si="79"/>
        <v>9</v>
      </c>
      <c r="Y87" s="81" t="str">
        <f t="shared" ca="1" si="80"/>
        <v>RE-BUY</v>
      </c>
      <c r="Z87" s="13">
        <v>14</v>
      </c>
      <c r="AA87" s="75">
        <v>46059</v>
      </c>
      <c r="AB87" s="75">
        <f t="shared" si="81"/>
        <v>45920</v>
      </c>
      <c r="AC87" s="88">
        <f t="shared" si="82"/>
        <v>19.857142857142858</v>
      </c>
      <c r="AD87" s="89" t="str">
        <f t="shared" ca="1" si="83"/>
        <v>STABLE</v>
      </c>
      <c r="AE87" s="89" t="str">
        <f t="shared" si="84"/>
        <v>FAST SELLING</v>
      </c>
      <c r="AF87" s="89" t="str">
        <f t="shared" si="85"/>
        <v>AT RISK</v>
      </c>
      <c r="AG87" s="89" t="str">
        <f t="shared" si="86"/>
        <v>FEASIBLE</v>
      </c>
      <c r="AH87" s="81" t="str">
        <f t="shared" ca="1" si="87"/>
        <v>IMMEDIATE REBUY</v>
      </c>
      <c r="AI87" s="75">
        <f t="shared" ca="1" si="88"/>
        <v>643.37142857142851</v>
      </c>
      <c r="AJ87" s="75">
        <f t="shared" ca="1" si="89"/>
        <v>-190.62857142857149</v>
      </c>
      <c r="AK87" s="13">
        <f t="shared" ca="1" si="90"/>
        <v>-229</v>
      </c>
      <c r="AL87" s="79">
        <v>0.1</v>
      </c>
      <c r="AM87" s="79">
        <v>0.3</v>
      </c>
      <c r="AN87" s="79">
        <v>0.3</v>
      </c>
      <c r="AO87" s="79">
        <v>0.1</v>
      </c>
      <c r="AP87" s="79">
        <v>0.1</v>
      </c>
      <c r="AQ87" s="75">
        <f t="shared" si="91"/>
        <v>83.4</v>
      </c>
      <c r="AR87" s="75">
        <f t="shared" si="92"/>
        <v>250.2</v>
      </c>
      <c r="AS87" s="75">
        <f t="shared" si="93"/>
        <v>250.2</v>
      </c>
      <c r="AT87" s="75">
        <f t="shared" si="94"/>
        <v>83.4</v>
      </c>
      <c r="AU87" s="75">
        <f t="shared" si="95"/>
        <v>83.4</v>
      </c>
      <c r="AV87" s="13">
        <v>0.8</v>
      </c>
      <c r="AW87" s="13">
        <v>1.2</v>
      </c>
      <c r="AX87" s="13">
        <v>1.3</v>
      </c>
      <c r="AY87" s="13">
        <v>1</v>
      </c>
      <c r="AZ87" s="13">
        <v>0.7</v>
      </c>
      <c r="BA87" s="105">
        <f t="shared" si="96"/>
        <v>4.32</v>
      </c>
      <c r="BB87" s="13">
        <f t="shared" si="97"/>
        <v>19.439999999999998</v>
      </c>
      <c r="BC87" s="13">
        <f t="shared" si="98"/>
        <v>21.06</v>
      </c>
      <c r="BD87" s="13">
        <f t="shared" si="99"/>
        <v>5.4</v>
      </c>
      <c r="BE87" s="13">
        <f t="shared" si="100"/>
        <v>3.78</v>
      </c>
      <c r="BF87" s="88">
        <f t="shared" si="101"/>
        <v>19.305555555555557</v>
      </c>
      <c r="BG87" s="88">
        <f t="shared" si="102"/>
        <v>12.870370370370372</v>
      </c>
      <c r="BH87" s="88">
        <f t="shared" si="103"/>
        <v>11.880341880341881</v>
      </c>
      <c r="BI87" s="88">
        <f t="shared" si="104"/>
        <v>15.444444444444445</v>
      </c>
      <c r="BJ87" s="88">
        <f t="shared" si="105"/>
        <v>22.063492063492067</v>
      </c>
      <c r="BK87" s="105">
        <f t="shared" si="106"/>
        <v>5.1798561151079135E-2</v>
      </c>
      <c r="BL87" s="105">
        <f t="shared" si="107"/>
        <v>7.7697841726618699E-2</v>
      </c>
      <c r="BM87" s="105">
        <f t="shared" si="108"/>
        <v>8.4172661870503596E-2</v>
      </c>
      <c r="BN87" s="105">
        <f t="shared" si="109"/>
        <v>6.4748201438848921E-2</v>
      </c>
      <c r="BO87" s="105">
        <f t="shared" si="110"/>
        <v>4.5323741007194239E-2</v>
      </c>
      <c r="BP87" s="105">
        <f t="shared" si="111"/>
        <v>0.32374100719424459</v>
      </c>
      <c r="BQ87" s="79">
        <f t="shared" si="112"/>
        <v>0.16</v>
      </c>
      <c r="BR87" s="79">
        <f t="shared" si="113"/>
        <v>0.24</v>
      </c>
      <c r="BS87" s="79">
        <f t="shared" si="114"/>
        <v>0.26</v>
      </c>
      <c r="BT87" s="79">
        <f t="shared" si="115"/>
        <v>0.2</v>
      </c>
      <c r="BU87" s="79">
        <f t="shared" si="116"/>
        <v>0.13999999999999999</v>
      </c>
      <c r="BV87" s="90" t="str">
        <f t="array" aca="1" ref="BV87" ca="1">_xlfn.TEXTJOIN(" ",TRUE,
_xlfn.TEXTJOIN(":",TRUE,ROUND(BK87:BO87/MIN(IF(BK87:BO87&gt;0,BK87:BO87)),0)),
"|",
ROUND(SUM(BW87:CA87),0))</f>
        <v>1:2:2:1:1 | -229</v>
      </c>
      <c r="BW87" s="106">
        <f t="shared" ca="1" si="117"/>
        <v>-36.64</v>
      </c>
      <c r="BX87" s="106">
        <f t="shared" ca="1" si="63"/>
        <v>-54.96</v>
      </c>
      <c r="BY87" s="106">
        <f t="shared" ca="1" si="64"/>
        <v>-59.54</v>
      </c>
      <c r="BZ87" s="106">
        <f t="shared" ca="1" si="65"/>
        <v>-45.800000000000004</v>
      </c>
      <c r="CA87" s="106">
        <f t="shared" ca="1" si="118"/>
        <v>-32.059999999999995</v>
      </c>
    </row>
    <row r="88" spans="1:79" x14ac:dyDescent="0.35">
      <c r="A88" s="25" t="s">
        <v>102</v>
      </c>
      <c r="B88" s="15" t="s">
        <v>323</v>
      </c>
      <c r="C88" s="10" t="s">
        <v>343</v>
      </c>
      <c r="D88" s="10" t="s">
        <v>346</v>
      </c>
      <c r="E88" s="11">
        <v>45920</v>
      </c>
      <c r="F88" s="17">
        <v>45892</v>
      </c>
      <c r="G88" s="14">
        <f t="shared" ca="1" si="66"/>
        <v>207</v>
      </c>
      <c r="H88" s="17">
        <v>699</v>
      </c>
      <c r="I88" s="17">
        <v>338</v>
      </c>
      <c r="J88" s="75">
        <f t="shared" si="67"/>
        <v>598</v>
      </c>
      <c r="K88" s="17">
        <v>1050</v>
      </c>
      <c r="L88" s="85">
        <v>452</v>
      </c>
      <c r="M88" s="86">
        <f t="shared" ca="1" si="68"/>
        <v>2.1835748792270531</v>
      </c>
      <c r="N88" s="86">
        <f t="shared" si="69"/>
        <v>0.56143292682926838</v>
      </c>
      <c r="O88" s="86">
        <f t="shared" si="70"/>
        <v>1.3780487804878048</v>
      </c>
      <c r="P88" s="87">
        <f t="shared" si="71"/>
        <v>112.99999999999999</v>
      </c>
      <c r="Q88" s="104">
        <f t="shared" si="72"/>
        <v>5.2920353982300892</v>
      </c>
      <c r="R88" s="88">
        <f t="shared" si="73"/>
        <v>51.645207439198856</v>
      </c>
      <c r="S88" s="88">
        <f t="shared" si="74"/>
        <v>43.047619047619044</v>
      </c>
      <c r="T88" s="13">
        <f t="shared" si="75"/>
        <v>3</v>
      </c>
      <c r="U88" s="13">
        <f t="shared" si="76"/>
        <v>2</v>
      </c>
      <c r="V88" s="13">
        <f t="shared" si="77"/>
        <v>2</v>
      </c>
      <c r="W88" s="13">
        <f t="shared" ca="1" si="78"/>
        <v>3</v>
      </c>
      <c r="X88" s="13">
        <f t="shared" ca="1" si="79"/>
        <v>10</v>
      </c>
      <c r="Y88" s="81" t="str">
        <f t="shared" ca="1" si="80"/>
        <v>RE-BUY</v>
      </c>
      <c r="Z88" s="13">
        <v>14</v>
      </c>
      <c r="AA88" s="75">
        <v>46059</v>
      </c>
      <c r="AB88" s="75">
        <f t="shared" si="81"/>
        <v>45920</v>
      </c>
      <c r="AC88" s="88">
        <f t="shared" si="82"/>
        <v>19.857142857142858</v>
      </c>
      <c r="AD88" s="89" t="str">
        <f t="shared" ca="1" si="83"/>
        <v>STABLE</v>
      </c>
      <c r="AE88" s="89" t="str">
        <f t="shared" si="84"/>
        <v>FAST SELLING</v>
      </c>
      <c r="AF88" s="89" t="str">
        <f t="shared" si="85"/>
        <v>AT RISK</v>
      </c>
      <c r="AG88" s="89" t="str">
        <f t="shared" si="86"/>
        <v>FEASIBLE</v>
      </c>
      <c r="AH88" s="81" t="str">
        <f t="shared" ca="1" si="87"/>
        <v>IMMEDIATE REBUY</v>
      </c>
      <c r="AI88" s="75">
        <f t="shared" ca="1" si="88"/>
        <v>1346.3142857142855</v>
      </c>
      <c r="AJ88" s="75">
        <f t="shared" ca="1" si="89"/>
        <v>748.31428571428546</v>
      </c>
      <c r="AK88" s="13">
        <f t="shared" ca="1" si="90"/>
        <v>898</v>
      </c>
      <c r="AL88" s="79">
        <v>0.1</v>
      </c>
      <c r="AM88" s="79">
        <v>0.3</v>
      </c>
      <c r="AN88" s="79">
        <v>0.3</v>
      </c>
      <c r="AO88" s="79">
        <v>0.1</v>
      </c>
      <c r="AP88" s="79">
        <v>0.1</v>
      </c>
      <c r="AQ88" s="75">
        <f t="shared" si="91"/>
        <v>59.800000000000004</v>
      </c>
      <c r="AR88" s="75">
        <f t="shared" si="92"/>
        <v>179.4</v>
      </c>
      <c r="AS88" s="75">
        <f t="shared" si="93"/>
        <v>179.4</v>
      </c>
      <c r="AT88" s="75">
        <f t="shared" si="94"/>
        <v>59.800000000000004</v>
      </c>
      <c r="AU88" s="75">
        <f t="shared" si="95"/>
        <v>59.800000000000004</v>
      </c>
      <c r="AV88" s="13">
        <v>0.8</v>
      </c>
      <c r="AW88" s="13">
        <v>1.2</v>
      </c>
      <c r="AX88" s="13">
        <v>1.3</v>
      </c>
      <c r="AY88" s="13">
        <v>1</v>
      </c>
      <c r="AZ88" s="13">
        <v>0.7</v>
      </c>
      <c r="BA88" s="105">
        <f t="shared" si="96"/>
        <v>9.0399999999999991</v>
      </c>
      <c r="BB88" s="13">
        <f t="shared" si="97"/>
        <v>40.679999999999986</v>
      </c>
      <c r="BC88" s="13">
        <f t="shared" si="98"/>
        <v>44.069999999999993</v>
      </c>
      <c r="BD88" s="13">
        <f t="shared" si="99"/>
        <v>11.299999999999999</v>
      </c>
      <c r="BE88" s="13">
        <f t="shared" si="100"/>
        <v>7.9099999999999984</v>
      </c>
      <c r="BF88" s="88">
        <f t="shared" si="101"/>
        <v>6.6150442477876119</v>
      </c>
      <c r="BG88" s="88">
        <f t="shared" si="102"/>
        <v>4.4100294985250752</v>
      </c>
      <c r="BH88" s="88">
        <f t="shared" si="103"/>
        <v>4.0707964601769921</v>
      </c>
      <c r="BI88" s="88">
        <f t="shared" si="104"/>
        <v>5.2920353982300892</v>
      </c>
      <c r="BJ88" s="88">
        <f t="shared" si="105"/>
        <v>7.5600505689001283</v>
      </c>
      <c r="BK88" s="105">
        <f t="shared" si="106"/>
        <v>0.15117056856187289</v>
      </c>
      <c r="BL88" s="105">
        <f t="shared" si="107"/>
        <v>0.2267558528428093</v>
      </c>
      <c r="BM88" s="105">
        <f t="shared" si="108"/>
        <v>0.24565217391304342</v>
      </c>
      <c r="BN88" s="105">
        <f t="shared" si="109"/>
        <v>0.18896321070234112</v>
      </c>
      <c r="BO88" s="105">
        <f t="shared" si="110"/>
        <v>0.13227424749163877</v>
      </c>
      <c r="BP88" s="105">
        <f t="shared" si="111"/>
        <v>0.9448160535117055</v>
      </c>
      <c r="BQ88" s="79">
        <f t="shared" si="112"/>
        <v>0.16</v>
      </c>
      <c r="BR88" s="79">
        <f t="shared" si="113"/>
        <v>0.24</v>
      </c>
      <c r="BS88" s="79">
        <f t="shared" si="114"/>
        <v>0.26</v>
      </c>
      <c r="BT88" s="79">
        <f t="shared" si="115"/>
        <v>0.2</v>
      </c>
      <c r="BU88" s="79">
        <f t="shared" si="116"/>
        <v>0.13999999999999999</v>
      </c>
      <c r="BV88" s="90" t="str">
        <f t="array" aca="1" ref="BV88" ca="1">_xlfn.TEXTJOIN(" ",TRUE,
_xlfn.TEXTJOIN(":",TRUE,ROUND(BK88:BO88/MIN(IF(BK88:BO88&gt;0,BK88:BO88)),0)),
"|",
ROUND(SUM(BW88:CA88),0))</f>
        <v>1:2:2:1:1 | 898</v>
      </c>
      <c r="BW88" s="106">
        <f t="shared" ca="1" si="117"/>
        <v>143.68</v>
      </c>
      <c r="BX88" s="106">
        <f t="shared" ca="1" si="63"/>
        <v>215.51999999999998</v>
      </c>
      <c r="BY88" s="106">
        <f t="shared" ca="1" si="64"/>
        <v>233.48000000000002</v>
      </c>
      <c r="BZ88" s="106">
        <f t="shared" ca="1" si="65"/>
        <v>179.60000000000002</v>
      </c>
      <c r="CA88" s="106">
        <f t="shared" ca="1" si="118"/>
        <v>125.71999999999998</v>
      </c>
    </row>
    <row r="89" spans="1:79" x14ac:dyDescent="0.35">
      <c r="A89" s="25" t="s">
        <v>103</v>
      </c>
      <c r="B89" s="10" t="s">
        <v>324</v>
      </c>
      <c r="C89" s="10" t="s">
        <v>344</v>
      </c>
      <c r="D89" s="10" t="s">
        <v>346</v>
      </c>
      <c r="E89" s="11">
        <v>45878</v>
      </c>
      <c r="F89" s="17">
        <v>45892</v>
      </c>
      <c r="G89" s="14">
        <f t="shared" ca="1" si="66"/>
        <v>207</v>
      </c>
      <c r="H89" s="17">
        <v>599</v>
      </c>
      <c r="I89" s="17">
        <v>340</v>
      </c>
      <c r="J89" s="75">
        <f t="shared" si="67"/>
        <v>991</v>
      </c>
      <c r="K89" s="17">
        <v>1050</v>
      </c>
      <c r="L89" s="85">
        <v>59</v>
      </c>
      <c r="M89" s="86">
        <f t="shared" ca="1" si="68"/>
        <v>0.28502415458937197</v>
      </c>
      <c r="N89" s="86">
        <f t="shared" si="69"/>
        <v>0.33193597560975613</v>
      </c>
      <c r="O89" s="86">
        <f t="shared" si="70"/>
        <v>0.1798780487804878</v>
      </c>
      <c r="P89" s="87">
        <f t="shared" si="71"/>
        <v>14.75</v>
      </c>
      <c r="Q89" s="104">
        <f t="shared" si="72"/>
        <v>67.186440677966104</v>
      </c>
      <c r="R89" s="88">
        <f t="shared" si="73"/>
        <v>43.238731218697829</v>
      </c>
      <c r="S89" s="88">
        <f t="shared" si="74"/>
        <v>5.6190476190476195</v>
      </c>
      <c r="T89" s="13">
        <f t="shared" si="75"/>
        <v>1</v>
      </c>
      <c r="U89" s="13">
        <f t="shared" si="76"/>
        <v>1</v>
      </c>
      <c r="V89" s="13">
        <f t="shared" si="77"/>
        <v>1</v>
      </c>
      <c r="W89" s="13">
        <f t="shared" ca="1" si="78"/>
        <v>3</v>
      </c>
      <c r="X89" s="13">
        <f t="shared" ca="1" si="79"/>
        <v>6</v>
      </c>
      <c r="Y89" s="81" t="str">
        <f t="shared" ca="1" si="80"/>
        <v>MONITOR</v>
      </c>
      <c r="Z89" s="13">
        <v>14</v>
      </c>
      <c r="AA89" s="75">
        <v>46059</v>
      </c>
      <c r="AB89" s="75">
        <f t="shared" si="81"/>
        <v>45920</v>
      </c>
      <c r="AC89" s="88">
        <f t="shared" si="82"/>
        <v>19.857142857142858</v>
      </c>
      <c r="AD89" s="89" t="str">
        <f t="shared" ca="1" si="83"/>
        <v>STABLE</v>
      </c>
      <c r="AE89" s="89" t="str">
        <f t="shared" si="84"/>
        <v>SLOW SELLING</v>
      </c>
      <c r="AF89" s="89" t="str">
        <f t="shared" si="85"/>
        <v>AT RISK</v>
      </c>
      <c r="AG89" s="89" t="str">
        <f t="shared" si="86"/>
        <v>FEASIBLE</v>
      </c>
      <c r="AH89" s="81" t="str">
        <f t="shared" ca="1" si="87"/>
        <v>MONITOR</v>
      </c>
      <c r="AI89" s="75">
        <f t="shared" ca="1" si="88"/>
        <v>0</v>
      </c>
      <c r="AJ89" s="75">
        <f t="shared" ca="1" si="89"/>
        <v>-991</v>
      </c>
      <c r="AK89" s="13">
        <f t="shared" ca="1" si="90"/>
        <v>-1189</v>
      </c>
      <c r="AL89" s="79">
        <v>0.1</v>
      </c>
      <c r="AM89" s="79">
        <v>0.3</v>
      </c>
      <c r="AN89" s="79">
        <v>0.3</v>
      </c>
      <c r="AO89" s="79">
        <v>0.1</v>
      </c>
      <c r="AP89" s="79">
        <v>0.1</v>
      </c>
      <c r="AQ89" s="75">
        <f t="shared" si="91"/>
        <v>99.100000000000009</v>
      </c>
      <c r="AR89" s="75">
        <f t="shared" si="92"/>
        <v>297.3</v>
      </c>
      <c r="AS89" s="75">
        <f t="shared" si="93"/>
        <v>297.3</v>
      </c>
      <c r="AT89" s="75">
        <f t="shared" si="94"/>
        <v>99.100000000000009</v>
      </c>
      <c r="AU89" s="75">
        <f t="shared" si="95"/>
        <v>99.100000000000009</v>
      </c>
      <c r="AV89" s="13">
        <v>0.8</v>
      </c>
      <c r="AW89" s="13">
        <v>1.2</v>
      </c>
      <c r="AX89" s="13">
        <v>1.3</v>
      </c>
      <c r="AY89" s="13">
        <v>1</v>
      </c>
      <c r="AZ89" s="13">
        <v>0.7</v>
      </c>
      <c r="BA89" s="105">
        <f t="shared" si="96"/>
        <v>1.1800000000000002</v>
      </c>
      <c r="BB89" s="13">
        <f t="shared" si="97"/>
        <v>5.31</v>
      </c>
      <c r="BC89" s="13">
        <f t="shared" si="98"/>
        <v>5.7525000000000004</v>
      </c>
      <c r="BD89" s="13">
        <f t="shared" si="99"/>
        <v>1.4750000000000001</v>
      </c>
      <c r="BE89" s="13">
        <f t="shared" si="100"/>
        <v>1.0325</v>
      </c>
      <c r="BF89" s="88">
        <f t="shared" si="101"/>
        <v>83.983050847457619</v>
      </c>
      <c r="BG89" s="88">
        <f t="shared" si="102"/>
        <v>55.988700564971758</v>
      </c>
      <c r="BH89" s="88">
        <f t="shared" si="103"/>
        <v>51.681877444589304</v>
      </c>
      <c r="BI89" s="88">
        <f t="shared" si="104"/>
        <v>67.186440677966104</v>
      </c>
      <c r="BJ89" s="88">
        <f t="shared" si="105"/>
        <v>95.980629539951579</v>
      </c>
      <c r="BK89" s="105">
        <f t="shared" si="106"/>
        <v>1.1907164480322908E-2</v>
      </c>
      <c r="BL89" s="105">
        <f t="shared" si="107"/>
        <v>1.7860746720484356E-2</v>
      </c>
      <c r="BM89" s="105">
        <f t="shared" si="108"/>
        <v>1.9349142280524725E-2</v>
      </c>
      <c r="BN89" s="105">
        <f t="shared" si="109"/>
        <v>1.4883955600403632E-2</v>
      </c>
      <c r="BO89" s="105">
        <f t="shared" si="110"/>
        <v>1.0418768920282543E-2</v>
      </c>
      <c r="BP89" s="105">
        <f t="shared" si="111"/>
        <v>7.4419778002018155E-2</v>
      </c>
      <c r="BQ89" s="79">
        <f t="shared" si="112"/>
        <v>0.16000000000000003</v>
      </c>
      <c r="BR89" s="79">
        <f t="shared" si="113"/>
        <v>0.24</v>
      </c>
      <c r="BS89" s="79">
        <f t="shared" si="114"/>
        <v>0.26000000000000006</v>
      </c>
      <c r="BT89" s="79">
        <f t="shared" si="115"/>
        <v>0.2</v>
      </c>
      <c r="BU89" s="79">
        <f t="shared" si="116"/>
        <v>0.14000000000000001</v>
      </c>
      <c r="BV89" s="90" t="str">
        <f t="array" aca="1" ref="BV89" ca="1">_xlfn.TEXTJOIN(" ",TRUE,
_xlfn.TEXTJOIN(":",TRUE,ROUND(BK89:BO89/MIN(IF(BK89:BO89&gt;0,BK89:BO89)),0)),
"|",
ROUND(SUM(BW89:CA89),0))</f>
        <v>1:2:2:1:1 | -1189</v>
      </c>
      <c r="BW89" s="106">
        <f t="shared" ca="1" si="117"/>
        <v>-190.24000000000004</v>
      </c>
      <c r="BX89" s="106">
        <f t="shared" ca="1" si="63"/>
        <v>-285.36</v>
      </c>
      <c r="BY89" s="106">
        <f t="shared" ca="1" si="64"/>
        <v>-309.1400000000001</v>
      </c>
      <c r="BZ89" s="106">
        <f t="shared" ca="1" si="65"/>
        <v>-237.8</v>
      </c>
      <c r="CA89" s="106">
        <f t="shared" ca="1" si="118"/>
        <v>-166.46</v>
      </c>
    </row>
    <row r="90" spans="1:79" x14ac:dyDescent="0.35">
      <c r="A90" s="25" t="s">
        <v>104</v>
      </c>
      <c r="B90" s="10" t="s">
        <v>324</v>
      </c>
      <c r="C90" s="10" t="s">
        <v>344</v>
      </c>
      <c r="D90" s="10" t="s">
        <v>346</v>
      </c>
      <c r="E90" s="11">
        <v>45878</v>
      </c>
      <c r="F90" s="17">
        <v>45892</v>
      </c>
      <c r="G90" s="14">
        <f t="shared" ca="1" si="66"/>
        <v>207</v>
      </c>
      <c r="H90" s="17">
        <v>599</v>
      </c>
      <c r="I90" s="17">
        <v>330</v>
      </c>
      <c r="J90" s="75">
        <f t="shared" si="67"/>
        <v>945</v>
      </c>
      <c r="K90" s="17">
        <v>1050</v>
      </c>
      <c r="L90" s="85">
        <v>105</v>
      </c>
      <c r="M90" s="86">
        <f t="shared" ca="1" si="68"/>
        <v>0.50724637681159424</v>
      </c>
      <c r="N90" s="86">
        <f t="shared" si="69"/>
        <v>0.33193597560975613</v>
      </c>
      <c r="O90" s="86">
        <f t="shared" si="70"/>
        <v>0.3201219512195122</v>
      </c>
      <c r="P90" s="87">
        <f t="shared" si="71"/>
        <v>26.25</v>
      </c>
      <c r="Q90" s="104">
        <f t="shared" si="72"/>
        <v>36</v>
      </c>
      <c r="R90" s="88">
        <f t="shared" si="73"/>
        <v>44.908180300500831</v>
      </c>
      <c r="S90" s="88">
        <f t="shared" si="74"/>
        <v>10</v>
      </c>
      <c r="T90" s="13">
        <f t="shared" si="75"/>
        <v>2</v>
      </c>
      <c r="U90" s="13">
        <f t="shared" si="76"/>
        <v>1</v>
      </c>
      <c r="V90" s="13">
        <f t="shared" si="77"/>
        <v>1</v>
      </c>
      <c r="W90" s="13">
        <f t="shared" ca="1" si="78"/>
        <v>3</v>
      </c>
      <c r="X90" s="13">
        <f t="shared" ca="1" si="79"/>
        <v>7</v>
      </c>
      <c r="Y90" s="81" t="str">
        <f t="shared" ca="1" si="80"/>
        <v>MONITOR</v>
      </c>
      <c r="Z90" s="13">
        <v>14</v>
      </c>
      <c r="AA90" s="75">
        <v>46059</v>
      </c>
      <c r="AB90" s="75">
        <f t="shared" si="81"/>
        <v>45920</v>
      </c>
      <c r="AC90" s="88">
        <f t="shared" si="82"/>
        <v>19.857142857142858</v>
      </c>
      <c r="AD90" s="89" t="str">
        <f t="shared" ca="1" si="83"/>
        <v>STABLE</v>
      </c>
      <c r="AE90" s="89" t="str">
        <f t="shared" si="84"/>
        <v>SLOW SELLING</v>
      </c>
      <c r="AF90" s="89" t="str">
        <f t="shared" si="85"/>
        <v>AT RISK</v>
      </c>
      <c r="AG90" s="89" t="str">
        <f t="shared" si="86"/>
        <v>FEASIBLE</v>
      </c>
      <c r="AH90" s="81" t="str">
        <f t="shared" ca="1" si="87"/>
        <v>MONITOR</v>
      </c>
      <c r="AI90" s="75">
        <f t="shared" ca="1" si="88"/>
        <v>0</v>
      </c>
      <c r="AJ90" s="75">
        <f t="shared" ca="1" si="89"/>
        <v>-945</v>
      </c>
      <c r="AK90" s="13">
        <f t="shared" ca="1" si="90"/>
        <v>-1134</v>
      </c>
      <c r="AL90" s="79">
        <v>0.1</v>
      </c>
      <c r="AM90" s="79">
        <v>0.3</v>
      </c>
      <c r="AN90" s="79">
        <v>0.3</v>
      </c>
      <c r="AO90" s="79">
        <v>0.1</v>
      </c>
      <c r="AP90" s="79">
        <v>0.1</v>
      </c>
      <c r="AQ90" s="75">
        <f t="shared" si="91"/>
        <v>94.5</v>
      </c>
      <c r="AR90" s="75">
        <f t="shared" si="92"/>
        <v>283.5</v>
      </c>
      <c r="AS90" s="75">
        <f t="shared" si="93"/>
        <v>283.5</v>
      </c>
      <c r="AT90" s="75">
        <f t="shared" si="94"/>
        <v>94.5</v>
      </c>
      <c r="AU90" s="75">
        <f t="shared" si="95"/>
        <v>94.5</v>
      </c>
      <c r="AV90" s="13">
        <v>0.8</v>
      </c>
      <c r="AW90" s="13">
        <v>1.2</v>
      </c>
      <c r="AX90" s="13">
        <v>1.3</v>
      </c>
      <c r="AY90" s="13">
        <v>1</v>
      </c>
      <c r="AZ90" s="13">
        <v>0.7</v>
      </c>
      <c r="BA90" s="105">
        <f t="shared" si="96"/>
        <v>2.1</v>
      </c>
      <c r="BB90" s="13">
        <f t="shared" si="97"/>
        <v>9.4499999999999993</v>
      </c>
      <c r="BC90" s="13">
        <f t="shared" si="98"/>
        <v>10.237500000000001</v>
      </c>
      <c r="BD90" s="13">
        <f t="shared" si="99"/>
        <v>2.625</v>
      </c>
      <c r="BE90" s="13">
        <f t="shared" si="100"/>
        <v>1.8374999999999999</v>
      </c>
      <c r="BF90" s="88">
        <f t="shared" si="101"/>
        <v>45</v>
      </c>
      <c r="BG90" s="88">
        <f t="shared" si="102"/>
        <v>30.000000000000004</v>
      </c>
      <c r="BH90" s="88">
        <f t="shared" si="103"/>
        <v>27.69230769230769</v>
      </c>
      <c r="BI90" s="88">
        <f t="shared" si="104"/>
        <v>36</v>
      </c>
      <c r="BJ90" s="88">
        <f t="shared" si="105"/>
        <v>51.428571428571431</v>
      </c>
      <c r="BK90" s="105">
        <f t="shared" si="106"/>
        <v>2.2222222222222223E-2</v>
      </c>
      <c r="BL90" s="105">
        <f t="shared" si="107"/>
        <v>3.3333333333333326E-2</v>
      </c>
      <c r="BM90" s="105">
        <f t="shared" si="108"/>
        <v>3.6111111111111115E-2</v>
      </c>
      <c r="BN90" s="105">
        <f t="shared" si="109"/>
        <v>2.7777777777777776E-2</v>
      </c>
      <c r="BO90" s="105">
        <f t="shared" si="110"/>
        <v>1.9444444444444445E-2</v>
      </c>
      <c r="BP90" s="105">
        <f t="shared" si="111"/>
        <v>0.1388888888888889</v>
      </c>
      <c r="BQ90" s="79">
        <f t="shared" si="112"/>
        <v>0.16</v>
      </c>
      <c r="BR90" s="79">
        <f t="shared" si="113"/>
        <v>0.23999999999999994</v>
      </c>
      <c r="BS90" s="79">
        <f t="shared" si="114"/>
        <v>0.26</v>
      </c>
      <c r="BT90" s="79">
        <f t="shared" si="115"/>
        <v>0.19999999999999998</v>
      </c>
      <c r="BU90" s="79">
        <f t="shared" si="116"/>
        <v>0.13999999999999999</v>
      </c>
      <c r="BV90" s="90" t="str">
        <f t="array" aca="1" ref="BV90" ca="1">_xlfn.TEXTJOIN(" ",TRUE,
_xlfn.TEXTJOIN(":",TRUE,ROUND(BK90:BO90/MIN(IF(BK90:BO90&gt;0,BK90:BO90)),0)),
"|",
ROUND(SUM(BW90:CA90),0))</f>
        <v>1:2:2:1:1 | -1134</v>
      </c>
      <c r="BW90" s="106">
        <f t="shared" ca="1" si="117"/>
        <v>-181.44</v>
      </c>
      <c r="BX90" s="106">
        <f t="shared" ca="1" si="63"/>
        <v>-272.15999999999991</v>
      </c>
      <c r="BY90" s="106">
        <f t="shared" ca="1" si="64"/>
        <v>-294.84000000000003</v>
      </c>
      <c r="BZ90" s="106">
        <f t="shared" ca="1" si="65"/>
        <v>-226.79999999999998</v>
      </c>
      <c r="CA90" s="106">
        <f t="shared" ca="1" si="118"/>
        <v>-158.76</v>
      </c>
    </row>
    <row r="91" spans="1:79" x14ac:dyDescent="0.35">
      <c r="A91" s="25" t="s">
        <v>105</v>
      </c>
      <c r="B91" s="10" t="s">
        <v>325</v>
      </c>
      <c r="C91" s="10" t="s">
        <v>344</v>
      </c>
      <c r="D91" s="10" t="s">
        <v>346</v>
      </c>
      <c r="E91" s="11">
        <v>45878</v>
      </c>
      <c r="F91" s="17">
        <v>45892</v>
      </c>
      <c r="G91" s="14">
        <f t="shared" ca="1" si="66"/>
        <v>207</v>
      </c>
      <c r="H91" s="17">
        <v>599</v>
      </c>
      <c r="I91" s="17">
        <v>295</v>
      </c>
      <c r="J91" s="75">
        <f t="shared" si="67"/>
        <v>908</v>
      </c>
      <c r="K91" s="17">
        <v>1050</v>
      </c>
      <c r="L91" s="85">
        <v>142</v>
      </c>
      <c r="M91" s="86">
        <f t="shared" ca="1" si="68"/>
        <v>0.68599033816425126</v>
      </c>
      <c r="N91" s="86">
        <f t="shared" si="69"/>
        <v>0.33193597560975613</v>
      </c>
      <c r="O91" s="86">
        <f t="shared" si="70"/>
        <v>0.43292682926829268</v>
      </c>
      <c r="P91" s="87">
        <f t="shared" si="71"/>
        <v>35.5</v>
      </c>
      <c r="Q91" s="104">
        <f t="shared" si="72"/>
        <v>25.577464788732396</v>
      </c>
      <c r="R91" s="88">
        <f t="shared" si="73"/>
        <v>50.751252086811348</v>
      </c>
      <c r="S91" s="88">
        <f t="shared" si="74"/>
        <v>13.523809523809524</v>
      </c>
      <c r="T91" s="13">
        <f t="shared" si="75"/>
        <v>3</v>
      </c>
      <c r="U91" s="13">
        <f t="shared" si="76"/>
        <v>1</v>
      </c>
      <c r="V91" s="13">
        <f t="shared" si="77"/>
        <v>2</v>
      </c>
      <c r="W91" s="13">
        <f t="shared" ca="1" si="78"/>
        <v>3</v>
      </c>
      <c r="X91" s="13">
        <f t="shared" ca="1" si="79"/>
        <v>9</v>
      </c>
      <c r="Y91" s="81" t="str">
        <f t="shared" ca="1" si="80"/>
        <v>RE-BUY</v>
      </c>
      <c r="Z91" s="13">
        <v>14</v>
      </c>
      <c r="AA91" s="75">
        <v>46059</v>
      </c>
      <c r="AB91" s="75">
        <f t="shared" si="81"/>
        <v>45920</v>
      </c>
      <c r="AC91" s="88">
        <f t="shared" si="82"/>
        <v>19.857142857142858</v>
      </c>
      <c r="AD91" s="89" t="str">
        <f t="shared" ca="1" si="83"/>
        <v>STABLE</v>
      </c>
      <c r="AE91" s="89" t="str">
        <f t="shared" si="84"/>
        <v>FAST SELLING</v>
      </c>
      <c r="AF91" s="89" t="str">
        <f t="shared" si="85"/>
        <v>AT RISK</v>
      </c>
      <c r="AG91" s="89" t="str">
        <f t="shared" si="86"/>
        <v>FEASIBLE</v>
      </c>
      <c r="AH91" s="81" t="str">
        <f t="shared" ca="1" si="87"/>
        <v>IMMEDIATE REBUY</v>
      </c>
      <c r="AI91" s="75">
        <f t="shared" ca="1" si="88"/>
        <v>422.95714285714286</v>
      </c>
      <c r="AJ91" s="75">
        <f t="shared" ca="1" si="89"/>
        <v>-485.04285714285714</v>
      </c>
      <c r="AK91" s="13">
        <f t="shared" ca="1" si="90"/>
        <v>-582</v>
      </c>
      <c r="AL91" s="79">
        <v>0.1</v>
      </c>
      <c r="AM91" s="79">
        <v>0.3</v>
      </c>
      <c r="AN91" s="79">
        <v>0.3</v>
      </c>
      <c r="AO91" s="79">
        <v>0.1</v>
      </c>
      <c r="AP91" s="79">
        <v>0.1</v>
      </c>
      <c r="AQ91" s="75">
        <f t="shared" si="91"/>
        <v>90.800000000000011</v>
      </c>
      <c r="AR91" s="75">
        <f t="shared" si="92"/>
        <v>272.39999999999998</v>
      </c>
      <c r="AS91" s="75">
        <f t="shared" si="93"/>
        <v>272.39999999999998</v>
      </c>
      <c r="AT91" s="75">
        <f t="shared" si="94"/>
        <v>90.800000000000011</v>
      </c>
      <c r="AU91" s="75">
        <f t="shared" si="95"/>
        <v>90.800000000000011</v>
      </c>
      <c r="AV91" s="13">
        <v>0.8</v>
      </c>
      <c r="AW91" s="13">
        <v>1.2</v>
      </c>
      <c r="AX91" s="13">
        <v>1.3</v>
      </c>
      <c r="AY91" s="13">
        <v>1</v>
      </c>
      <c r="AZ91" s="13">
        <v>0.7</v>
      </c>
      <c r="BA91" s="105">
        <f t="shared" si="96"/>
        <v>2.8400000000000003</v>
      </c>
      <c r="BB91" s="13">
        <f t="shared" si="97"/>
        <v>12.78</v>
      </c>
      <c r="BC91" s="13">
        <f t="shared" si="98"/>
        <v>13.845000000000001</v>
      </c>
      <c r="BD91" s="13">
        <f t="shared" si="99"/>
        <v>3.5500000000000003</v>
      </c>
      <c r="BE91" s="13">
        <f t="shared" si="100"/>
        <v>2.4849999999999999</v>
      </c>
      <c r="BF91" s="88">
        <f t="shared" si="101"/>
        <v>31.971830985915492</v>
      </c>
      <c r="BG91" s="88">
        <f t="shared" si="102"/>
        <v>21.314553990610328</v>
      </c>
      <c r="BH91" s="88">
        <f t="shared" si="103"/>
        <v>19.674972914409533</v>
      </c>
      <c r="BI91" s="88">
        <f t="shared" si="104"/>
        <v>25.577464788732396</v>
      </c>
      <c r="BJ91" s="88">
        <f t="shared" si="105"/>
        <v>36.539235412474852</v>
      </c>
      <c r="BK91" s="105">
        <f t="shared" si="106"/>
        <v>3.127753303964758E-2</v>
      </c>
      <c r="BL91" s="105">
        <f t="shared" si="107"/>
        <v>4.6916299559471367E-2</v>
      </c>
      <c r="BM91" s="105">
        <f t="shared" si="108"/>
        <v>5.0825991189427315E-2</v>
      </c>
      <c r="BN91" s="105">
        <f t="shared" si="109"/>
        <v>3.909691629955947E-2</v>
      </c>
      <c r="BO91" s="105">
        <f t="shared" si="110"/>
        <v>2.7367841409691628E-2</v>
      </c>
      <c r="BP91" s="105">
        <f t="shared" si="111"/>
        <v>0.19548458149779735</v>
      </c>
      <c r="BQ91" s="79">
        <f t="shared" si="112"/>
        <v>0.16000000000000003</v>
      </c>
      <c r="BR91" s="79">
        <f t="shared" si="113"/>
        <v>0.24000000000000002</v>
      </c>
      <c r="BS91" s="79">
        <f t="shared" si="114"/>
        <v>0.26</v>
      </c>
      <c r="BT91" s="79">
        <f t="shared" si="115"/>
        <v>0.2</v>
      </c>
      <c r="BU91" s="79">
        <f t="shared" si="116"/>
        <v>0.13999999999999999</v>
      </c>
      <c r="BV91" s="90" t="str">
        <f t="array" aca="1" ref="BV91" ca="1">_xlfn.TEXTJOIN(" ",TRUE,
_xlfn.TEXTJOIN(":",TRUE,ROUND(BK91:BO91/MIN(IF(BK91:BO91&gt;0,BK91:BO91)),0)),
"|",
ROUND(SUM(BW91:CA91),0))</f>
        <v>1:2:2:1:1 | -582</v>
      </c>
      <c r="BW91" s="106">
        <f t="shared" ca="1" si="117"/>
        <v>-93.120000000000019</v>
      </c>
      <c r="BX91" s="106">
        <f t="shared" ca="1" si="63"/>
        <v>-139.68</v>
      </c>
      <c r="BY91" s="106">
        <f t="shared" ca="1" si="64"/>
        <v>-151.32</v>
      </c>
      <c r="BZ91" s="106">
        <f t="shared" ca="1" si="65"/>
        <v>-116.4</v>
      </c>
      <c r="CA91" s="106">
        <f t="shared" ca="1" si="118"/>
        <v>-81.47999999999999</v>
      </c>
    </row>
    <row r="92" spans="1:79" x14ac:dyDescent="0.35">
      <c r="A92" s="25" t="s">
        <v>106</v>
      </c>
      <c r="B92" s="10" t="s">
        <v>325</v>
      </c>
      <c r="C92" s="10" t="s">
        <v>344</v>
      </c>
      <c r="D92" s="10" t="s">
        <v>346</v>
      </c>
      <c r="E92" s="11">
        <v>45878</v>
      </c>
      <c r="F92" s="17">
        <v>45892</v>
      </c>
      <c r="G92" s="14">
        <f t="shared" ca="1" si="66"/>
        <v>207</v>
      </c>
      <c r="H92" s="17">
        <v>599</v>
      </c>
      <c r="I92" s="17">
        <v>295</v>
      </c>
      <c r="J92" s="75">
        <f t="shared" si="67"/>
        <v>929</v>
      </c>
      <c r="K92" s="17">
        <v>1050</v>
      </c>
      <c r="L92" s="85">
        <v>121</v>
      </c>
      <c r="M92" s="86">
        <f t="shared" ca="1" si="68"/>
        <v>0.58454106280193241</v>
      </c>
      <c r="N92" s="86">
        <f t="shared" si="69"/>
        <v>0.33193597560975613</v>
      </c>
      <c r="O92" s="86">
        <f t="shared" si="70"/>
        <v>0.36890243902439024</v>
      </c>
      <c r="P92" s="87">
        <f t="shared" si="71"/>
        <v>30.25</v>
      </c>
      <c r="Q92" s="104">
        <f t="shared" si="72"/>
        <v>30.710743801652892</v>
      </c>
      <c r="R92" s="88">
        <f t="shared" si="73"/>
        <v>50.751252086811348</v>
      </c>
      <c r="S92" s="88">
        <f t="shared" si="74"/>
        <v>11.523809523809524</v>
      </c>
      <c r="T92" s="13">
        <f t="shared" si="75"/>
        <v>3</v>
      </c>
      <c r="U92" s="13">
        <f t="shared" si="76"/>
        <v>1</v>
      </c>
      <c r="V92" s="13">
        <f t="shared" si="77"/>
        <v>2</v>
      </c>
      <c r="W92" s="13">
        <f t="shared" ca="1" si="78"/>
        <v>3</v>
      </c>
      <c r="X92" s="13">
        <f t="shared" ca="1" si="79"/>
        <v>9</v>
      </c>
      <c r="Y92" s="81" t="str">
        <f t="shared" ca="1" si="80"/>
        <v>RE-BUY</v>
      </c>
      <c r="Z92" s="13">
        <v>14</v>
      </c>
      <c r="AA92" s="75">
        <v>46059</v>
      </c>
      <c r="AB92" s="75">
        <f t="shared" si="81"/>
        <v>45920</v>
      </c>
      <c r="AC92" s="88">
        <f t="shared" si="82"/>
        <v>19.857142857142858</v>
      </c>
      <c r="AD92" s="89" t="str">
        <f t="shared" ca="1" si="83"/>
        <v>STABLE</v>
      </c>
      <c r="AE92" s="89" t="str">
        <f t="shared" si="84"/>
        <v>FAST SELLING</v>
      </c>
      <c r="AF92" s="89" t="str">
        <f t="shared" si="85"/>
        <v>AT RISK</v>
      </c>
      <c r="AG92" s="89" t="str">
        <f t="shared" si="86"/>
        <v>FEASIBLE</v>
      </c>
      <c r="AH92" s="81" t="str">
        <f t="shared" ca="1" si="87"/>
        <v>IMMEDIATE REBUY</v>
      </c>
      <c r="AI92" s="75">
        <f t="shared" ca="1" si="88"/>
        <v>360.40714285714284</v>
      </c>
      <c r="AJ92" s="75">
        <f t="shared" ca="1" si="89"/>
        <v>-568.59285714285716</v>
      </c>
      <c r="AK92" s="13">
        <f t="shared" ca="1" si="90"/>
        <v>-682</v>
      </c>
      <c r="AL92" s="79">
        <v>0.1</v>
      </c>
      <c r="AM92" s="79">
        <v>0.3</v>
      </c>
      <c r="AN92" s="79">
        <v>0.3</v>
      </c>
      <c r="AO92" s="79">
        <v>0.1</v>
      </c>
      <c r="AP92" s="79">
        <v>0.1</v>
      </c>
      <c r="AQ92" s="75">
        <f t="shared" si="91"/>
        <v>92.9</v>
      </c>
      <c r="AR92" s="75">
        <f t="shared" si="92"/>
        <v>278.7</v>
      </c>
      <c r="AS92" s="75">
        <f t="shared" si="93"/>
        <v>278.7</v>
      </c>
      <c r="AT92" s="75">
        <f t="shared" si="94"/>
        <v>92.9</v>
      </c>
      <c r="AU92" s="75">
        <f t="shared" si="95"/>
        <v>92.9</v>
      </c>
      <c r="AV92" s="13">
        <v>0.8</v>
      </c>
      <c r="AW92" s="13">
        <v>1.2</v>
      </c>
      <c r="AX92" s="13">
        <v>1.3</v>
      </c>
      <c r="AY92" s="13">
        <v>1</v>
      </c>
      <c r="AZ92" s="13">
        <v>0.7</v>
      </c>
      <c r="BA92" s="105">
        <f t="shared" si="96"/>
        <v>2.4200000000000004</v>
      </c>
      <c r="BB92" s="13">
        <f t="shared" si="97"/>
        <v>10.889999999999999</v>
      </c>
      <c r="BC92" s="13">
        <f t="shared" si="98"/>
        <v>11.797499999999999</v>
      </c>
      <c r="BD92" s="13">
        <f t="shared" si="99"/>
        <v>3.0250000000000004</v>
      </c>
      <c r="BE92" s="13">
        <f t="shared" si="100"/>
        <v>2.1175000000000002</v>
      </c>
      <c r="BF92" s="88">
        <f t="shared" si="101"/>
        <v>38.388429752066109</v>
      </c>
      <c r="BG92" s="88">
        <f t="shared" si="102"/>
        <v>25.592286501377412</v>
      </c>
      <c r="BH92" s="88">
        <f t="shared" si="103"/>
        <v>23.623649078194532</v>
      </c>
      <c r="BI92" s="88">
        <f t="shared" si="104"/>
        <v>30.710743801652892</v>
      </c>
      <c r="BJ92" s="88">
        <f t="shared" si="105"/>
        <v>43.872491145218419</v>
      </c>
      <c r="BK92" s="105">
        <f t="shared" si="106"/>
        <v>2.6049515608180845E-2</v>
      </c>
      <c r="BL92" s="105">
        <f t="shared" si="107"/>
        <v>3.9074273412271258E-2</v>
      </c>
      <c r="BM92" s="105">
        <f t="shared" si="108"/>
        <v>4.2330462863293866E-2</v>
      </c>
      <c r="BN92" s="105">
        <f t="shared" si="109"/>
        <v>3.256189451022605E-2</v>
      </c>
      <c r="BO92" s="105">
        <f t="shared" si="110"/>
        <v>2.2793326157158234E-2</v>
      </c>
      <c r="BP92" s="105">
        <f t="shared" si="111"/>
        <v>0.16280947255113026</v>
      </c>
      <c r="BQ92" s="79">
        <f t="shared" si="112"/>
        <v>0.16</v>
      </c>
      <c r="BR92" s="79">
        <f t="shared" si="113"/>
        <v>0.23999999999999996</v>
      </c>
      <c r="BS92" s="79">
        <f t="shared" si="114"/>
        <v>0.26</v>
      </c>
      <c r="BT92" s="79">
        <f t="shared" si="115"/>
        <v>0.19999999999999998</v>
      </c>
      <c r="BU92" s="79">
        <f t="shared" si="116"/>
        <v>0.13999999999999999</v>
      </c>
      <c r="BV92" s="90" t="str">
        <f t="array" aca="1" ref="BV92" ca="1">_xlfn.TEXTJOIN(" ",TRUE,
_xlfn.TEXTJOIN(":",TRUE,ROUND(BK92:BO92/MIN(IF(BK92:BO92&gt;0,BK92:BO92)),0)),
"|",
ROUND(SUM(BW92:CA92),0))</f>
        <v>1:2:2:1:1 | -682</v>
      </c>
      <c r="BW92" s="106">
        <f t="shared" ca="1" si="117"/>
        <v>-109.12</v>
      </c>
      <c r="BX92" s="106">
        <f t="shared" ca="1" si="63"/>
        <v>-163.67999999999998</v>
      </c>
      <c r="BY92" s="106">
        <f t="shared" ca="1" si="64"/>
        <v>-177.32</v>
      </c>
      <c r="BZ92" s="106">
        <f t="shared" ca="1" si="65"/>
        <v>-136.39999999999998</v>
      </c>
      <c r="CA92" s="106">
        <f t="shared" ca="1" si="118"/>
        <v>-95.47999999999999</v>
      </c>
    </row>
    <row r="93" spans="1:79" x14ac:dyDescent="0.35">
      <c r="A93" s="25" t="s">
        <v>107</v>
      </c>
      <c r="B93" s="10" t="s">
        <v>325</v>
      </c>
      <c r="C93" s="10" t="s">
        <v>344</v>
      </c>
      <c r="D93" s="10" t="s">
        <v>346</v>
      </c>
      <c r="E93" s="11">
        <v>45878</v>
      </c>
      <c r="F93" s="17">
        <v>45892</v>
      </c>
      <c r="G93" s="14">
        <f t="shared" ca="1" si="66"/>
        <v>207</v>
      </c>
      <c r="H93" s="17">
        <v>599</v>
      </c>
      <c r="I93" s="17">
        <v>295</v>
      </c>
      <c r="J93" s="75">
        <f t="shared" si="67"/>
        <v>647</v>
      </c>
      <c r="K93" s="17">
        <v>700</v>
      </c>
      <c r="L93" s="85">
        <v>53</v>
      </c>
      <c r="M93" s="86">
        <f t="shared" ca="1" si="68"/>
        <v>0.2560386473429952</v>
      </c>
      <c r="N93" s="86">
        <f t="shared" si="69"/>
        <v>0.33193597560975613</v>
      </c>
      <c r="O93" s="86">
        <f t="shared" si="70"/>
        <v>0.16158536585365854</v>
      </c>
      <c r="P93" s="87">
        <f t="shared" si="71"/>
        <v>13.25</v>
      </c>
      <c r="Q93" s="104">
        <f t="shared" si="72"/>
        <v>48.830188679245282</v>
      </c>
      <c r="R93" s="88">
        <f t="shared" si="73"/>
        <v>50.751252086811348</v>
      </c>
      <c r="S93" s="88">
        <f t="shared" si="74"/>
        <v>7.5714285714285721</v>
      </c>
      <c r="T93" s="13">
        <f t="shared" si="75"/>
        <v>1</v>
      </c>
      <c r="U93" s="13">
        <f t="shared" si="76"/>
        <v>1</v>
      </c>
      <c r="V93" s="13">
        <f t="shared" si="77"/>
        <v>2</v>
      </c>
      <c r="W93" s="13">
        <f t="shared" ca="1" si="78"/>
        <v>3</v>
      </c>
      <c r="X93" s="13">
        <f t="shared" ca="1" si="79"/>
        <v>7</v>
      </c>
      <c r="Y93" s="81" t="str">
        <f t="shared" ca="1" si="80"/>
        <v>MONITOR</v>
      </c>
      <c r="Z93" s="13">
        <v>14</v>
      </c>
      <c r="AA93" s="75">
        <v>46059</v>
      </c>
      <c r="AB93" s="75">
        <f t="shared" si="81"/>
        <v>45920</v>
      </c>
      <c r="AC93" s="88">
        <f t="shared" si="82"/>
        <v>19.857142857142858</v>
      </c>
      <c r="AD93" s="89" t="str">
        <f t="shared" ca="1" si="83"/>
        <v>STABLE</v>
      </c>
      <c r="AE93" s="89" t="str">
        <f t="shared" si="84"/>
        <v>SLOW SELLING</v>
      </c>
      <c r="AF93" s="89" t="str">
        <f t="shared" si="85"/>
        <v>AT RISK</v>
      </c>
      <c r="AG93" s="89" t="str">
        <f t="shared" si="86"/>
        <v>FEASIBLE</v>
      </c>
      <c r="AH93" s="81" t="str">
        <f t="shared" ca="1" si="87"/>
        <v>MONITOR</v>
      </c>
      <c r="AI93" s="75">
        <f t="shared" ca="1" si="88"/>
        <v>0</v>
      </c>
      <c r="AJ93" s="75">
        <f t="shared" ca="1" si="89"/>
        <v>-647</v>
      </c>
      <c r="AK93" s="13">
        <f t="shared" ca="1" si="90"/>
        <v>-776</v>
      </c>
      <c r="AL93" s="79">
        <v>0.1</v>
      </c>
      <c r="AM93" s="79">
        <v>0.3</v>
      </c>
      <c r="AN93" s="79">
        <v>0.3</v>
      </c>
      <c r="AO93" s="79">
        <v>0.1</v>
      </c>
      <c r="AP93" s="79">
        <v>0.1</v>
      </c>
      <c r="AQ93" s="75">
        <f t="shared" si="91"/>
        <v>64.7</v>
      </c>
      <c r="AR93" s="75">
        <f t="shared" si="92"/>
        <v>194.1</v>
      </c>
      <c r="AS93" s="75">
        <f t="shared" si="93"/>
        <v>194.1</v>
      </c>
      <c r="AT93" s="75">
        <f t="shared" si="94"/>
        <v>64.7</v>
      </c>
      <c r="AU93" s="75">
        <f t="shared" si="95"/>
        <v>64.7</v>
      </c>
      <c r="AV93" s="13">
        <v>0.8</v>
      </c>
      <c r="AW93" s="13">
        <v>1.2</v>
      </c>
      <c r="AX93" s="13">
        <v>1.3</v>
      </c>
      <c r="AY93" s="13">
        <v>1</v>
      </c>
      <c r="AZ93" s="13">
        <v>0.7</v>
      </c>
      <c r="BA93" s="105">
        <f t="shared" si="96"/>
        <v>1.0600000000000003</v>
      </c>
      <c r="BB93" s="13">
        <f t="shared" si="97"/>
        <v>4.7699999999999996</v>
      </c>
      <c r="BC93" s="13">
        <f t="shared" si="98"/>
        <v>5.1674999999999995</v>
      </c>
      <c r="BD93" s="13">
        <f t="shared" si="99"/>
        <v>1.3250000000000002</v>
      </c>
      <c r="BE93" s="13">
        <f t="shared" si="100"/>
        <v>0.9275000000000001</v>
      </c>
      <c r="BF93" s="88">
        <f t="shared" si="101"/>
        <v>61.037735849056588</v>
      </c>
      <c r="BG93" s="88">
        <f t="shared" si="102"/>
        <v>40.691823899371073</v>
      </c>
      <c r="BH93" s="88">
        <f t="shared" si="103"/>
        <v>37.561683599419453</v>
      </c>
      <c r="BI93" s="88">
        <f t="shared" si="104"/>
        <v>48.830188679245282</v>
      </c>
      <c r="BJ93" s="88">
        <f t="shared" si="105"/>
        <v>69.757412398921829</v>
      </c>
      <c r="BK93" s="105">
        <f t="shared" si="106"/>
        <v>1.6383307573415769E-2</v>
      </c>
      <c r="BL93" s="105">
        <f t="shared" si="107"/>
        <v>2.4574961360123646E-2</v>
      </c>
      <c r="BM93" s="105">
        <f t="shared" si="108"/>
        <v>2.6622874806800614E-2</v>
      </c>
      <c r="BN93" s="105">
        <f t="shared" si="109"/>
        <v>2.0479134466769706E-2</v>
      </c>
      <c r="BO93" s="105">
        <f t="shared" si="110"/>
        <v>1.4335394126738794E-2</v>
      </c>
      <c r="BP93" s="105">
        <f t="shared" si="111"/>
        <v>0.10239567233384853</v>
      </c>
      <c r="BQ93" s="79">
        <f t="shared" si="112"/>
        <v>0.16000000000000006</v>
      </c>
      <c r="BR93" s="79">
        <f t="shared" si="113"/>
        <v>0.24</v>
      </c>
      <c r="BS93" s="79">
        <f t="shared" si="114"/>
        <v>0.25999999999999995</v>
      </c>
      <c r="BT93" s="79">
        <f t="shared" si="115"/>
        <v>0.2</v>
      </c>
      <c r="BU93" s="79">
        <f t="shared" si="116"/>
        <v>0.14000000000000001</v>
      </c>
      <c r="BV93" s="90" t="str">
        <f t="array" aca="1" ref="BV93" ca="1">_xlfn.TEXTJOIN(" ",TRUE,
_xlfn.TEXTJOIN(":",TRUE,ROUND(BK93:BO93/MIN(IF(BK93:BO93&gt;0,BK93:BO93)),0)),
"|",
ROUND(SUM(BW93:CA93),0))</f>
        <v>1:2:2:1:1 | -776</v>
      </c>
      <c r="BW93" s="106">
        <f t="shared" ca="1" si="117"/>
        <v>-124.16000000000004</v>
      </c>
      <c r="BX93" s="106">
        <f t="shared" ca="1" si="63"/>
        <v>-186.23999999999998</v>
      </c>
      <c r="BY93" s="106">
        <f t="shared" ca="1" si="64"/>
        <v>-201.75999999999996</v>
      </c>
      <c r="BZ93" s="106">
        <f t="shared" ca="1" si="65"/>
        <v>-155.20000000000002</v>
      </c>
      <c r="CA93" s="106">
        <f t="shared" ca="1" si="118"/>
        <v>-108.64000000000001</v>
      </c>
    </row>
    <row r="94" spans="1:79" x14ac:dyDescent="0.35">
      <c r="A94" s="25" t="s">
        <v>108</v>
      </c>
      <c r="B94" s="10" t="s">
        <v>324</v>
      </c>
      <c r="C94" s="10" t="s">
        <v>344</v>
      </c>
      <c r="D94" s="10" t="s">
        <v>346</v>
      </c>
      <c r="E94" s="11">
        <v>45878</v>
      </c>
      <c r="F94" s="17">
        <v>45892</v>
      </c>
      <c r="G94" s="14">
        <f t="shared" ca="1" si="66"/>
        <v>207</v>
      </c>
      <c r="H94" s="17">
        <v>599</v>
      </c>
      <c r="I94" s="17">
        <v>340</v>
      </c>
      <c r="J94" s="75">
        <f t="shared" si="67"/>
        <v>629</v>
      </c>
      <c r="K94" s="17">
        <v>700</v>
      </c>
      <c r="L94" s="85">
        <v>71</v>
      </c>
      <c r="M94" s="86">
        <f t="shared" ca="1" si="68"/>
        <v>0.34299516908212563</v>
      </c>
      <c r="N94" s="86">
        <f t="shared" si="69"/>
        <v>0.33193597560975613</v>
      </c>
      <c r="O94" s="86">
        <f t="shared" si="70"/>
        <v>0.21646341463414634</v>
      </c>
      <c r="P94" s="87">
        <f t="shared" si="71"/>
        <v>17.75</v>
      </c>
      <c r="Q94" s="104">
        <f t="shared" si="72"/>
        <v>35.436619718309856</v>
      </c>
      <c r="R94" s="88">
        <f t="shared" si="73"/>
        <v>43.238731218697829</v>
      </c>
      <c r="S94" s="88">
        <f t="shared" si="74"/>
        <v>10.142857142857142</v>
      </c>
      <c r="T94" s="13">
        <f t="shared" si="75"/>
        <v>1</v>
      </c>
      <c r="U94" s="13">
        <f t="shared" si="76"/>
        <v>1</v>
      </c>
      <c r="V94" s="13">
        <f t="shared" si="77"/>
        <v>1</v>
      </c>
      <c r="W94" s="13">
        <f t="shared" ca="1" si="78"/>
        <v>3</v>
      </c>
      <c r="X94" s="13">
        <f t="shared" ca="1" si="79"/>
        <v>6</v>
      </c>
      <c r="Y94" s="81" t="str">
        <f t="shared" ca="1" si="80"/>
        <v>MONITOR</v>
      </c>
      <c r="Z94" s="13">
        <v>14</v>
      </c>
      <c r="AA94" s="75">
        <v>46059</v>
      </c>
      <c r="AB94" s="75">
        <f t="shared" si="81"/>
        <v>45920</v>
      </c>
      <c r="AC94" s="88">
        <f t="shared" si="82"/>
        <v>19.857142857142858</v>
      </c>
      <c r="AD94" s="89" t="str">
        <f t="shared" ca="1" si="83"/>
        <v>STABLE</v>
      </c>
      <c r="AE94" s="89" t="str">
        <f t="shared" si="84"/>
        <v>SLOW SELLING</v>
      </c>
      <c r="AF94" s="89" t="str">
        <f t="shared" si="85"/>
        <v>AT RISK</v>
      </c>
      <c r="AG94" s="89" t="str">
        <f t="shared" si="86"/>
        <v>FEASIBLE</v>
      </c>
      <c r="AH94" s="81" t="str">
        <f t="shared" ca="1" si="87"/>
        <v>MONITOR</v>
      </c>
      <c r="AI94" s="75">
        <f t="shared" ca="1" si="88"/>
        <v>0</v>
      </c>
      <c r="AJ94" s="75">
        <f t="shared" ca="1" si="89"/>
        <v>-629</v>
      </c>
      <c r="AK94" s="13">
        <f t="shared" ca="1" si="90"/>
        <v>-755</v>
      </c>
      <c r="AL94" s="79">
        <v>0.1</v>
      </c>
      <c r="AM94" s="79">
        <v>0.3</v>
      </c>
      <c r="AN94" s="79">
        <v>0.3</v>
      </c>
      <c r="AO94" s="79">
        <v>0.1</v>
      </c>
      <c r="AP94" s="79">
        <v>0.1</v>
      </c>
      <c r="AQ94" s="75">
        <f t="shared" si="91"/>
        <v>62.900000000000006</v>
      </c>
      <c r="AR94" s="75">
        <f t="shared" si="92"/>
        <v>188.7</v>
      </c>
      <c r="AS94" s="75">
        <f t="shared" si="93"/>
        <v>188.7</v>
      </c>
      <c r="AT94" s="75">
        <f t="shared" si="94"/>
        <v>62.900000000000006</v>
      </c>
      <c r="AU94" s="75">
        <f t="shared" si="95"/>
        <v>62.900000000000006</v>
      </c>
      <c r="AV94" s="13">
        <v>0.8</v>
      </c>
      <c r="AW94" s="13">
        <v>1.2</v>
      </c>
      <c r="AX94" s="13">
        <v>1.3</v>
      </c>
      <c r="AY94" s="13">
        <v>1</v>
      </c>
      <c r="AZ94" s="13">
        <v>0.7</v>
      </c>
      <c r="BA94" s="105">
        <f t="shared" si="96"/>
        <v>1.4200000000000002</v>
      </c>
      <c r="BB94" s="13">
        <f t="shared" si="97"/>
        <v>6.39</v>
      </c>
      <c r="BC94" s="13">
        <f t="shared" si="98"/>
        <v>6.9225000000000003</v>
      </c>
      <c r="BD94" s="13">
        <f t="shared" si="99"/>
        <v>1.7750000000000001</v>
      </c>
      <c r="BE94" s="13">
        <f t="shared" si="100"/>
        <v>1.2424999999999999</v>
      </c>
      <c r="BF94" s="88">
        <f t="shared" si="101"/>
        <v>44.29577464788732</v>
      </c>
      <c r="BG94" s="88">
        <f t="shared" si="102"/>
        <v>29.530516431924884</v>
      </c>
      <c r="BH94" s="88">
        <f t="shared" si="103"/>
        <v>27.258938244853734</v>
      </c>
      <c r="BI94" s="88">
        <f t="shared" si="104"/>
        <v>35.436619718309856</v>
      </c>
      <c r="BJ94" s="88">
        <f t="shared" si="105"/>
        <v>50.623742454728379</v>
      </c>
      <c r="BK94" s="105">
        <f t="shared" si="106"/>
        <v>2.2575516693163752E-2</v>
      </c>
      <c r="BL94" s="105">
        <f t="shared" si="107"/>
        <v>3.3863275039745629E-2</v>
      </c>
      <c r="BM94" s="105">
        <f t="shared" si="108"/>
        <v>3.6685214626391099E-2</v>
      </c>
      <c r="BN94" s="105">
        <f t="shared" si="109"/>
        <v>2.8219395866454691E-2</v>
      </c>
      <c r="BO94" s="105">
        <f t="shared" si="110"/>
        <v>1.9753577106518278E-2</v>
      </c>
      <c r="BP94" s="105">
        <f t="shared" si="111"/>
        <v>0.14109697933227347</v>
      </c>
      <c r="BQ94" s="79">
        <f t="shared" si="112"/>
        <v>0.15999999999999998</v>
      </c>
      <c r="BR94" s="79">
        <f t="shared" si="113"/>
        <v>0.23999999999999996</v>
      </c>
      <c r="BS94" s="79">
        <f t="shared" si="114"/>
        <v>0.25999999999999995</v>
      </c>
      <c r="BT94" s="79">
        <f t="shared" si="115"/>
        <v>0.19999999999999998</v>
      </c>
      <c r="BU94" s="79">
        <f t="shared" si="116"/>
        <v>0.13999999999999996</v>
      </c>
      <c r="BV94" s="90" t="str">
        <f t="array" aca="1" ref="BV94" ca="1">_xlfn.TEXTJOIN(" ",TRUE,
_xlfn.TEXTJOIN(":",TRUE,ROUND(BK94:BO94/MIN(IF(BK94:BO94&gt;0,BK94:BO94)),0)),
"|",
ROUND(SUM(BW94:CA94),0))</f>
        <v>1:2:2:1:1 | -755</v>
      </c>
      <c r="BW94" s="106">
        <f t="shared" ca="1" si="117"/>
        <v>-120.79999999999998</v>
      </c>
      <c r="BX94" s="106">
        <f t="shared" ca="1" si="63"/>
        <v>-181.19999999999996</v>
      </c>
      <c r="BY94" s="106">
        <f t="shared" ca="1" si="64"/>
        <v>-196.29999999999995</v>
      </c>
      <c r="BZ94" s="106">
        <f t="shared" ca="1" si="65"/>
        <v>-151</v>
      </c>
      <c r="CA94" s="106">
        <f t="shared" ca="1" si="118"/>
        <v>-105.69999999999997</v>
      </c>
    </row>
    <row r="95" spans="1:79" x14ac:dyDescent="0.35">
      <c r="A95" s="25" t="s">
        <v>109</v>
      </c>
      <c r="B95" s="10" t="s">
        <v>324</v>
      </c>
      <c r="C95" s="10" t="s">
        <v>344</v>
      </c>
      <c r="D95" s="10" t="s">
        <v>346</v>
      </c>
      <c r="E95" s="11">
        <v>45878</v>
      </c>
      <c r="F95" s="17">
        <v>45892</v>
      </c>
      <c r="G95" s="14">
        <f t="shared" ca="1" si="66"/>
        <v>207</v>
      </c>
      <c r="H95" s="17">
        <v>599</v>
      </c>
      <c r="I95" s="17">
        <v>340</v>
      </c>
      <c r="J95" s="75">
        <f t="shared" si="67"/>
        <v>647</v>
      </c>
      <c r="K95" s="17">
        <v>700</v>
      </c>
      <c r="L95" s="85">
        <v>53</v>
      </c>
      <c r="M95" s="86">
        <f t="shared" ca="1" si="68"/>
        <v>0.2560386473429952</v>
      </c>
      <c r="N95" s="86">
        <f t="shared" si="69"/>
        <v>0.33193597560975613</v>
      </c>
      <c r="O95" s="86">
        <f t="shared" si="70"/>
        <v>0.16158536585365854</v>
      </c>
      <c r="P95" s="87">
        <f t="shared" si="71"/>
        <v>13.25</v>
      </c>
      <c r="Q95" s="104">
        <f t="shared" si="72"/>
        <v>48.830188679245282</v>
      </c>
      <c r="R95" s="88">
        <f t="shared" si="73"/>
        <v>43.238731218697829</v>
      </c>
      <c r="S95" s="88">
        <f t="shared" si="74"/>
        <v>7.5714285714285721</v>
      </c>
      <c r="T95" s="13">
        <f t="shared" si="75"/>
        <v>1</v>
      </c>
      <c r="U95" s="13">
        <f t="shared" si="76"/>
        <v>1</v>
      </c>
      <c r="V95" s="13">
        <f t="shared" si="77"/>
        <v>1</v>
      </c>
      <c r="W95" s="13">
        <f t="shared" ca="1" si="78"/>
        <v>3</v>
      </c>
      <c r="X95" s="13">
        <f t="shared" ca="1" si="79"/>
        <v>6</v>
      </c>
      <c r="Y95" s="81" t="str">
        <f t="shared" ca="1" si="80"/>
        <v>MONITOR</v>
      </c>
      <c r="Z95" s="13">
        <v>14</v>
      </c>
      <c r="AA95" s="75">
        <v>46059</v>
      </c>
      <c r="AB95" s="75">
        <f t="shared" si="81"/>
        <v>45920</v>
      </c>
      <c r="AC95" s="88">
        <f t="shared" si="82"/>
        <v>19.857142857142858</v>
      </c>
      <c r="AD95" s="89" t="str">
        <f t="shared" ca="1" si="83"/>
        <v>STABLE</v>
      </c>
      <c r="AE95" s="89" t="str">
        <f t="shared" si="84"/>
        <v>SLOW SELLING</v>
      </c>
      <c r="AF95" s="89" t="str">
        <f t="shared" si="85"/>
        <v>AT RISK</v>
      </c>
      <c r="AG95" s="89" t="str">
        <f t="shared" si="86"/>
        <v>FEASIBLE</v>
      </c>
      <c r="AH95" s="81" t="str">
        <f t="shared" ca="1" si="87"/>
        <v>MONITOR</v>
      </c>
      <c r="AI95" s="75">
        <f t="shared" ca="1" si="88"/>
        <v>0</v>
      </c>
      <c r="AJ95" s="75">
        <f t="shared" ca="1" si="89"/>
        <v>-647</v>
      </c>
      <c r="AK95" s="13">
        <f t="shared" ca="1" si="90"/>
        <v>-776</v>
      </c>
      <c r="AL95" s="79">
        <v>0.1</v>
      </c>
      <c r="AM95" s="79">
        <v>0.3</v>
      </c>
      <c r="AN95" s="79">
        <v>0.3</v>
      </c>
      <c r="AO95" s="79">
        <v>0.1</v>
      </c>
      <c r="AP95" s="79">
        <v>0.1</v>
      </c>
      <c r="AQ95" s="75">
        <f t="shared" si="91"/>
        <v>64.7</v>
      </c>
      <c r="AR95" s="75">
        <f t="shared" si="92"/>
        <v>194.1</v>
      </c>
      <c r="AS95" s="75">
        <f t="shared" si="93"/>
        <v>194.1</v>
      </c>
      <c r="AT95" s="75">
        <f t="shared" si="94"/>
        <v>64.7</v>
      </c>
      <c r="AU95" s="75">
        <f t="shared" si="95"/>
        <v>64.7</v>
      </c>
      <c r="AV95" s="13">
        <v>0.8</v>
      </c>
      <c r="AW95" s="13">
        <v>1.2</v>
      </c>
      <c r="AX95" s="13">
        <v>1.3</v>
      </c>
      <c r="AY95" s="13">
        <v>1</v>
      </c>
      <c r="AZ95" s="13">
        <v>0.7</v>
      </c>
      <c r="BA95" s="105">
        <f t="shared" si="96"/>
        <v>1.0600000000000003</v>
      </c>
      <c r="BB95" s="13">
        <f t="shared" si="97"/>
        <v>4.7699999999999996</v>
      </c>
      <c r="BC95" s="13">
        <f t="shared" si="98"/>
        <v>5.1674999999999995</v>
      </c>
      <c r="BD95" s="13">
        <f t="shared" si="99"/>
        <v>1.3250000000000002</v>
      </c>
      <c r="BE95" s="13">
        <f t="shared" si="100"/>
        <v>0.9275000000000001</v>
      </c>
      <c r="BF95" s="88">
        <f t="shared" si="101"/>
        <v>61.037735849056588</v>
      </c>
      <c r="BG95" s="88">
        <f t="shared" si="102"/>
        <v>40.691823899371073</v>
      </c>
      <c r="BH95" s="88">
        <f t="shared" si="103"/>
        <v>37.561683599419453</v>
      </c>
      <c r="BI95" s="88">
        <f t="shared" si="104"/>
        <v>48.830188679245282</v>
      </c>
      <c r="BJ95" s="88">
        <f t="shared" si="105"/>
        <v>69.757412398921829</v>
      </c>
      <c r="BK95" s="105">
        <f t="shared" si="106"/>
        <v>1.6383307573415769E-2</v>
      </c>
      <c r="BL95" s="105">
        <f t="shared" si="107"/>
        <v>2.4574961360123646E-2</v>
      </c>
      <c r="BM95" s="105">
        <f t="shared" si="108"/>
        <v>2.6622874806800614E-2</v>
      </c>
      <c r="BN95" s="105">
        <f t="shared" si="109"/>
        <v>2.0479134466769706E-2</v>
      </c>
      <c r="BO95" s="105">
        <f t="shared" si="110"/>
        <v>1.4335394126738794E-2</v>
      </c>
      <c r="BP95" s="105">
        <f t="shared" si="111"/>
        <v>0.10239567233384853</v>
      </c>
      <c r="BQ95" s="79">
        <f t="shared" si="112"/>
        <v>0.16000000000000006</v>
      </c>
      <c r="BR95" s="79">
        <f t="shared" si="113"/>
        <v>0.24</v>
      </c>
      <c r="BS95" s="79">
        <f t="shared" si="114"/>
        <v>0.25999999999999995</v>
      </c>
      <c r="BT95" s="79">
        <f t="shared" si="115"/>
        <v>0.2</v>
      </c>
      <c r="BU95" s="79">
        <f t="shared" si="116"/>
        <v>0.14000000000000001</v>
      </c>
      <c r="BV95" s="90" t="str">
        <f t="array" aca="1" ref="BV95" ca="1">_xlfn.TEXTJOIN(" ",TRUE,
_xlfn.TEXTJOIN(":",TRUE,ROUND(BK95:BO95/MIN(IF(BK95:BO95&gt;0,BK95:BO95)),0)),
"|",
ROUND(SUM(BW95:CA95),0))</f>
        <v>1:2:2:1:1 | -776</v>
      </c>
      <c r="BW95" s="106">
        <f t="shared" ca="1" si="117"/>
        <v>-124.16000000000004</v>
      </c>
      <c r="BX95" s="106">
        <f t="shared" ca="1" si="63"/>
        <v>-186.23999999999998</v>
      </c>
      <c r="BY95" s="106">
        <f t="shared" ca="1" si="64"/>
        <v>-201.75999999999996</v>
      </c>
      <c r="BZ95" s="106">
        <f t="shared" ca="1" si="65"/>
        <v>-155.20000000000002</v>
      </c>
      <c r="CA95" s="106">
        <f t="shared" ca="1" si="118"/>
        <v>-108.64000000000001</v>
      </c>
    </row>
    <row r="96" spans="1:79" x14ac:dyDescent="0.35">
      <c r="A96" s="25" t="s">
        <v>110</v>
      </c>
      <c r="B96" s="10" t="s">
        <v>324</v>
      </c>
      <c r="C96" s="10" t="s">
        <v>344</v>
      </c>
      <c r="D96" s="10" t="s">
        <v>346</v>
      </c>
      <c r="E96" s="11">
        <v>45878</v>
      </c>
      <c r="F96" s="17">
        <v>45892</v>
      </c>
      <c r="G96" s="14">
        <f t="shared" ca="1" si="66"/>
        <v>207</v>
      </c>
      <c r="H96" s="17">
        <v>599</v>
      </c>
      <c r="I96" s="17">
        <v>340</v>
      </c>
      <c r="J96" s="75">
        <f t="shared" si="67"/>
        <v>627</v>
      </c>
      <c r="K96" s="17">
        <v>700</v>
      </c>
      <c r="L96" s="85">
        <v>73</v>
      </c>
      <c r="M96" s="86">
        <f t="shared" ca="1" si="68"/>
        <v>0.35265700483091789</v>
      </c>
      <c r="N96" s="86">
        <f t="shared" si="69"/>
        <v>0.33193597560975613</v>
      </c>
      <c r="O96" s="86">
        <f t="shared" si="70"/>
        <v>0.2225609756097561</v>
      </c>
      <c r="P96" s="87">
        <f t="shared" si="71"/>
        <v>18.25</v>
      </c>
      <c r="Q96" s="104">
        <f t="shared" si="72"/>
        <v>34.356164383561641</v>
      </c>
      <c r="R96" s="88">
        <f t="shared" si="73"/>
        <v>43.238731218697829</v>
      </c>
      <c r="S96" s="88">
        <f t="shared" si="74"/>
        <v>10.428571428571429</v>
      </c>
      <c r="T96" s="13">
        <f t="shared" si="75"/>
        <v>1</v>
      </c>
      <c r="U96" s="13">
        <f t="shared" si="76"/>
        <v>1</v>
      </c>
      <c r="V96" s="13">
        <f t="shared" si="77"/>
        <v>1</v>
      </c>
      <c r="W96" s="13">
        <f t="shared" ca="1" si="78"/>
        <v>3</v>
      </c>
      <c r="X96" s="13">
        <f t="shared" ca="1" si="79"/>
        <v>6</v>
      </c>
      <c r="Y96" s="81" t="str">
        <f t="shared" ca="1" si="80"/>
        <v>MONITOR</v>
      </c>
      <c r="Z96" s="13">
        <v>14</v>
      </c>
      <c r="AA96" s="75">
        <v>46059</v>
      </c>
      <c r="AB96" s="75">
        <f t="shared" si="81"/>
        <v>45920</v>
      </c>
      <c r="AC96" s="88">
        <f t="shared" si="82"/>
        <v>19.857142857142858</v>
      </c>
      <c r="AD96" s="89" t="str">
        <f t="shared" ca="1" si="83"/>
        <v>STABLE</v>
      </c>
      <c r="AE96" s="89" t="str">
        <f t="shared" si="84"/>
        <v>SLOW SELLING</v>
      </c>
      <c r="AF96" s="89" t="str">
        <f t="shared" si="85"/>
        <v>AT RISK</v>
      </c>
      <c r="AG96" s="89" t="str">
        <f t="shared" si="86"/>
        <v>FEASIBLE</v>
      </c>
      <c r="AH96" s="81" t="str">
        <f t="shared" ca="1" si="87"/>
        <v>MONITOR</v>
      </c>
      <c r="AI96" s="75">
        <f t="shared" ca="1" si="88"/>
        <v>0</v>
      </c>
      <c r="AJ96" s="75">
        <f t="shared" ca="1" si="89"/>
        <v>-627</v>
      </c>
      <c r="AK96" s="13">
        <f t="shared" ca="1" si="90"/>
        <v>-752</v>
      </c>
      <c r="AL96" s="79">
        <v>0.1</v>
      </c>
      <c r="AM96" s="79">
        <v>0.3</v>
      </c>
      <c r="AN96" s="79">
        <v>0.3</v>
      </c>
      <c r="AO96" s="79">
        <v>0.1</v>
      </c>
      <c r="AP96" s="79">
        <v>0.1</v>
      </c>
      <c r="AQ96" s="75">
        <f t="shared" si="91"/>
        <v>62.7</v>
      </c>
      <c r="AR96" s="75">
        <f t="shared" si="92"/>
        <v>188.1</v>
      </c>
      <c r="AS96" s="75">
        <f t="shared" si="93"/>
        <v>188.1</v>
      </c>
      <c r="AT96" s="75">
        <f t="shared" si="94"/>
        <v>62.7</v>
      </c>
      <c r="AU96" s="75">
        <f t="shared" si="95"/>
        <v>62.7</v>
      </c>
      <c r="AV96" s="13">
        <v>0.8</v>
      </c>
      <c r="AW96" s="13">
        <v>1.2</v>
      </c>
      <c r="AX96" s="13">
        <v>1.3</v>
      </c>
      <c r="AY96" s="13">
        <v>1</v>
      </c>
      <c r="AZ96" s="13">
        <v>0.7</v>
      </c>
      <c r="BA96" s="105">
        <f t="shared" si="96"/>
        <v>1.4600000000000002</v>
      </c>
      <c r="BB96" s="13">
        <f t="shared" si="97"/>
        <v>6.5699999999999994</v>
      </c>
      <c r="BC96" s="13">
        <f t="shared" si="98"/>
        <v>7.1174999999999997</v>
      </c>
      <c r="BD96" s="13">
        <f t="shared" si="99"/>
        <v>1.8250000000000002</v>
      </c>
      <c r="BE96" s="13">
        <f t="shared" si="100"/>
        <v>1.2775000000000001</v>
      </c>
      <c r="BF96" s="88">
        <f t="shared" si="101"/>
        <v>42.945205479452049</v>
      </c>
      <c r="BG96" s="88">
        <f t="shared" si="102"/>
        <v>28.630136986301373</v>
      </c>
      <c r="BH96" s="88">
        <f t="shared" si="103"/>
        <v>26.427818756585879</v>
      </c>
      <c r="BI96" s="88">
        <f t="shared" si="104"/>
        <v>34.356164383561641</v>
      </c>
      <c r="BJ96" s="88">
        <f t="shared" si="105"/>
        <v>49.080234833659489</v>
      </c>
      <c r="BK96" s="105">
        <f t="shared" si="106"/>
        <v>2.3285486443381184E-2</v>
      </c>
      <c r="BL96" s="105">
        <f t="shared" si="107"/>
        <v>3.4928229665071767E-2</v>
      </c>
      <c r="BM96" s="105">
        <f t="shared" si="108"/>
        <v>3.7838915470494422E-2</v>
      </c>
      <c r="BN96" s="105">
        <f t="shared" si="109"/>
        <v>2.9106858054226477E-2</v>
      </c>
      <c r="BO96" s="105">
        <f t="shared" si="110"/>
        <v>2.0374800637958535E-2</v>
      </c>
      <c r="BP96" s="105">
        <f t="shared" si="111"/>
        <v>0.1455342902711324</v>
      </c>
      <c r="BQ96" s="79">
        <f t="shared" si="112"/>
        <v>0.16</v>
      </c>
      <c r="BR96" s="79">
        <f t="shared" si="113"/>
        <v>0.23999999999999994</v>
      </c>
      <c r="BS96" s="79">
        <f t="shared" si="114"/>
        <v>0.25999999999999995</v>
      </c>
      <c r="BT96" s="79">
        <f t="shared" si="115"/>
        <v>0.19999999999999998</v>
      </c>
      <c r="BU96" s="79">
        <f t="shared" si="116"/>
        <v>0.13999999999999999</v>
      </c>
      <c r="BV96" s="90" t="str">
        <f t="array" aca="1" ref="BV96" ca="1">_xlfn.TEXTJOIN(" ",TRUE,
_xlfn.TEXTJOIN(":",TRUE,ROUND(BK96:BO96/MIN(IF(BK96:BO96&gt;0,BK96:BO96)),0)),
"|",
ROUND(SUM(BW96:CA96),0))</f>
        <v>1:2:2:1:1 | -752</v>
      </c>
      <c r="BW96" s="106">
        <f t="shared" ca="1" si="117"/>
        <v>-120.32000000000001</v>
      </c>
      <c r="BX96" s="106">
        <f t="shared" ca="1" si="63"/>
        <v>-180.47999999999996</v>
      </c>
      <c r="BY96" s="106">
        <f t="shared" ca="1" si="64"/>
        <v>-195.51999999999995</v>
      </c>
      <c r="BZ96" s="106">
        <f t="shared" ca="1" si="65"/>
        <v>-150.39999999999998</v>
      </c>
      <c r="CA96" s="106">
        <f t="shared" ca="1" si="118"/>
        <v>-105.27999999999999</v>
      </c>
    </row>
    <row r="97" spans="1:79" x14ac:dyDescent="0.35">
      <c r="A97" s="25" t="s">
        <v>111</v>
      </c>
      <c r="B97" s="10" t="s">
        <v>324</v>
      </c>
      <c r="C97" s="10" t="s">
        <v>344</v>
      </c>
      <c r="D97" s="10" t="s">
        <v>346</v>
      </c>
      <c r="E97" s="11">
        <v>45878</v>
      </c>
      <c r="F97" s="17">
        <v>45892</v>
      </c>
      <c r="G97" s="14">
        <f t="shared" ca="1" si="66"/>
        <v>207</v>
      </c>
      <c r="H97" s="17">
        <v>599</v>
      </c>
      <c r="I97" s="17">
        <v>340</v>
      </c>
      <c r="J97" s="75">
        <f t="shared" si="67"/>
        <v>634</v>
      </c>
      <c r="K97" s="17">
        <v>700</v>
      </c>
      <c r="L97" s="85">
        <v>66</v>
      </c>
      <c r="M97" s="86">
        <f t="shared" ca="1" si="68"/>
        <v>0.3188405797101449</v>
      </c>
      <c r="N97" s="86">
        <f t="shared" si="69"/>
        <v>0.33193597560975613</v>
      </c>
      <c r="O97" s="86">
        <f t="shared" si="70"/>
        <v>0.20121951219512196</v>
      </c>
      <c r="P97" s="87">
        <f t="shared" si="71"/>
        <v>16.5</v>
      </c>
      <c r="Q97" s="104">
        <f t="shared" si="72"/>
        <v>38.424242424242422</v>
      </c>
      <c r="R97" s="88">
        <f t="shared" si="73"/>
        <v>43.238731218697829</v>
      </c>
      <c r="S97" s="88">
        <f t="shared" si="74"/>
        <v>9.4285714285714288</v>
      </c>
      <c r="T97" s="13">
        <f t="shared" si="75"/>
        <v>1</v>
      </c>
      <c r="U97" s="13">
        <f t="shared" si="76"/>
        <v>1</v>
      </c>
      <c r="V97" s="13">
        <f t="shared" si="77"/>
        <v>1</v>
      </c>
      <c r="W97" s="13">
        <f t="shared" ca="1" si="78"/>
        <v>3</v>
      </c>
      <c r="X97" s="13">
        <f t="shared" ca="1" si="79"/>
        <v>6</v>
      </c>
      <c r="Y97" s="81" t="str">
        <f t="shared" ca="1" si="80"/>
        <v>MONITOR</v>
      </c>
      <c r="Z97" s="13">
        <v>14</v>
      </c>
      <c r="AA97" s="75">
        <v>46059</v>
      </c>
      <c r="AB97" s="75">
        <f t="shared" si="81"/>
        <v>45920</v>
      </c>
      <c r="AC97" s="88">
        <f t="shared" si="82"/>
        <v>19.857142857142858</v>
      </c>
      <c r="AD97" s="89" t="str">
        <f t="shared" ca="1" si="83"/>
        <v>STABLE</v>
      </c>
      <c r="AE97" s="89" t="str">
        <f t="shared" si="84"/>
        <v>SLOW SELLING</v>
      </c>
      <c r="AF97" s="89" t="str">
        <f t="shared" si="85"/>
        <v>AT RISK</v>
      </c>
      <c r="AG97" s="89" t="str">
        <f t="shared" si="86"/>
        <v>FEASIBLE</v>
      </c>
      <c r="AH97" s="81" t="str">
        <f t="shared" ca="1" si="87"/>
        <v>MONITOR</v>
      </c>
      <c r="AI97" s="75">
        <f t="shared" ca="1" si="88"/>
        <v>0</v>
      </c>
      <c r="AJ97" s="75">
        <f t="shared" ca="1" si="89"/>
        <v>-634</v>
      </c>
      <c r="AK97" s="13">
        <f t="shared" ca="1" si="90"/>
        <v>-761</v>
      </c>
      <c r="AL97" s="79">
        <v>0.1</v>
      </c>
      <c r="AM97" s="79">
        <v>0.3</v>
      </c>
      <c r="AN97" s="79">
        <v>0.3</v>
      </c>
      <c r="AO97" s="79">
        <v>0.1</v>
      </c>
      <c r="AP97" s="79">
        <v>0.1</v>
      </c>
      <c r="AQ97" s="75">
        <f t="shared" si="91"/>
        <v>63.400000000000006</v>
      </c>
      <c r="AR97" s="75">
        <f t="shared" si="92"/>
        <v>190.2</v>
      </c>
      <c r="AS97" s="75">
        <f t="shared" si="93"/>
        <v>190.2</v>
      </c>
      <c r="AT97" s="75">
        <f t="shared" si="94"/>
        <v>63.400000000000006</v>
      </c>
      <c r="AU97" s="75">
        <f t="shared" si="95"/>
        <v>63.400000000000006</v>
      </c>
      <c r="AV97" s="13">
        <v>0.8</v>
      </c>
      <c r="AW97" s="13">
        <v>1.2</v>
      </c>
      <c r="AX97" s="13">
        <v>1.3</v>
      </c>
      <c r="AY97" s="13">
        <v>1</v>
      </c>
      <c r="AZ97" s="13">
        <v>0.7</v>
      </c>
      <c r="BA97" s="105">
        <f t="shared" si="96"/>
        <v>1.3200000000000003</v>
      </c>
      <c r="BB97" s="13">
        <f t="shared" si="97"/>
        <v>5.94</v>
      </c>
      <c r="BC97" s="13">
        <f t="shared" si="98"/>
        <v>6.4350000000000005</v>
      </c>
      <c r="BD97" s="13">
        <f t="shared" si="99"/>
        <v>1.6500000000000001</v>
      </c>
      <c r="BE97" s="13">
        <f t="shared" si="100"/>
        <v>1.155</v>
      </c>
      <c r="BF97" s="88">
        <f t="shared" si="101"/>
        <v>48.030303030303024</v>
      </c>
      <c r="BG97" s="88">
        <f t="shared" si="102"/>
        <v>32.020202020202014</v>
      </c>
      <c r="BH97" s="88">
        <f t="shared" si="103"/>
        <v>29.557109557109552</v>
      </c>
      <c r="BI97" s="88">
        <f t="shared" si="104"/>
        <v>38.424242424242422</v>
      </c>
      <c r="BJ97" s="88">
        <f t="shared" si="105"/>
        <v>54.891774891774894</v>
      </c>
      <c r="BK97" s="105">
        <f t="shared" si="106"/>
        <v>2.0820189274447953E-2</v>
      </c>
      <c r="BL97" s="105">
        <f t="shared" si="107"/>
        <v>3.123028391167193E-2</v>
      </c>
      <c r="BM97" s="105">
        <f t="shared" si="108"/>
        <v>3.3832807570977924E-2</v>
      </c>
      <c r="BN97" s="105">
        <f t="shared" si="109"/>
        <v>2.6025236593059938E-2</v>
      </c>
      <c r="BO97" s="105">
        <f t="shared" si="110"/>
        <v>1.8217665615141956E-2</v>
      </c>
      <c r="BP97" s="105">
        <f t="shared" si="111"/>
        <v>0.13012618296529971</v>
      </c>
      <c r="BQ97" s="79">
        <f t="shared" si="112"/>
        <v>0.16</v>
      </c>
      <c r="BR97" s="79">
        <f t="shared" si="113"/>
        <v>0.24</v>
      </c>
      <c r="BS97" s="79">
        <f t="shared" si="114"/>
        <v>0.26</v>
      </c>
      <c r="BT97" s="79">
        <f t="shared" si="115"/>
        <v>0.19999999999999998</v>
      </c>
      <c r="BU97" s="79">
        <f t="shared" si="116"/>
        <v>0.13999999999999999</v>
      </c>
      <c r="BV97" s="90" t="str">
        <f t="array" aca="1" ref="BV97" ca="1">_xlfn.TEXTJOIN(" ",TRUE,
_xlfn.TEXTJOIN(":",TRUE,ROUND(BK97:BO97/MIN(IF(BK97:BO97&gt;0,BK97:BO97)),0)),
"|",
ROUND(SUM(BW97:CA97),0))</f>
        <v>1:2:2:1:1 | -761</v>
      </c>
      <c r="BW97" s="106">
        <f t="shared" ca="1" si="117"/>
        <v>-121.76</v>
      </c>
      <c r="BX97" s="106">
        <f t="shared" ca="1" si="63"/>
        <v>-182.64</v>
      </c>
      <c r="BY97" s="106">
        <f t="shared" ca="1" si="64"/>
        <v>-197.86</v>
      </c>
      <c r="BZ97" s="106">
        <f t="shared" ca="1" si="65"/>
        <v>-152.19999999999999</v>
      </c>
      <c r="CA97" s="106">
        <f t="shared" ca="1" si="118"/>
        <v>-106.53999999999999</v>
      </c>
    </row>
    <row r="98" spans="1:79" x14ac:dyDescent="0.35">
      <c r="A98" s="25" t="s">
        <v>112</v>
      </c>
      <c r="B98" s="10" t="s">
        <v>324</v>
      </c>
      <c r="C98" s="10" t="s">
        <v>344</v>
      </c>
      <c r="D98" s="10" t="s">
        <v>346</v>
      </c>
      <c r="E98" s="11">
        <v>45878</v>
      </c>
      <c r="F98" s="17">
        <v>45892</v>
      </c>
      <c r="G98" s="14">
        <f t="shared" ca="1" si="66"/>
        <v>207</v>
      </c>
      <c r="H98" s="17">
        <v>599</v>
      </c>
      <c r="I98" s="17">
        <v>330</v>
      </c>
      <c r="J98" s="75">
        <f t="shared" si="67"/>
        <v>624</v>
      </c>
      <c r="K98" s="17">
        <v>700</v>
      </c>
      <c r="L98" s="85">
        <v>76</v>
      </c>
      <c r="M98" s="86">
        <f t="shared" ca="1" si="68"/>
        <v>0.3671497584541063</v>
      </c>
      <c r="N98" s="86">
        <f t="shared" si="69"/>
        <v>0.33193597560975613</v>
      </c>
      <c r="O98" s="86">
        <f t="shared" si="70"/>
        <v>0.23170731707317074</v>
      </c>
      <c r="P98" s="87">
        <f t="shared" si="71"/>
        <v>19</v>
      </c>
      <c r="Q98" s="104">
        <f t="shared" si="72"/>
        <v>32.842105263157897</v>
      </c>
      <c r="R98" s="88">
        <f t="shared" si="73"/>
        <v>44.908180300500831</v>
      </c>
      <c r="S98" s="88">
        <f t="shared" si="74"/>
        <v>10.857142857142858</v>
      </c>
      <c r="T98" s="13">
        <f t="shared" si="75"/>
        <v>1</v>
      </c>
      <c r="U98" s="13">
        <f t="shared" si="76"/>
        <v>1</v>
      </c>
      <c r="V98" s="13">
        <f t="shared" si="77"/>
        <v>1</v>
      </c>
      <c r="W98" s="13">
        <f t="shared" ca="1" si="78"/>
        <v>3</v>
      </c>
      <c r="X98" s="13">
        <f t="shared" ca="1" si="79"/>
        <v>6</v>
      </c>
      <c r="Y98" s="81" t="str">
        <f t="shared" ca="1" si="80"/>
        <v>MONITOR</v>
      </c>
      <c r="Z98" s="13">
        <v>14</v>
      </c>
      <c r="AA98" s="75">
        <v>46059</v>
      </c>
      <c r="AB98" s="75">
        <f t="shared" si="81"/>
        <v>45920</v>
      </c>
      <c r="AC98" s="88">
        <f t="shared" si="82"/>
        <v>19.857142857142858</v>
      </c>
      <c r="AD98" s="89" t="str">
        <f t="shared" ca="1" si="83"/>
        <v>STABLE</v>
      </c>
      <c r="AE98" s="89" t="str">
        <f t="shared" si="84"/>
        <v>SLOW SELLING</v>
      </c>
      <c r="AF98" s="89" t="str">
        <f t="shared" si="85"/>
        <v>AT RISK</v>
      </c>
      <c r="AG98" s="89" t="str">
        <f t="shared" si="86"/>
        <v>FEASIBLE</v>
      </c>
      <c r="AH98" s="81" t="str">
        <f t="shared" ca="1" si="87"/>
        <v>MONITOR</v>
      </c>
      <c r="AI98" s="75">
        <f t="shared" ca="1" si="88"/>
        <v>0</v>
      </c>
      <c r="AJ98" s="75">
        <f t="shared" ca="1" si="89"/>
        <v>-624</v>
      </c>
      <c r="AK98" s="13">
        <f t="shared" ca="1" si="90"/>
        <v>-749</v>
      </c>
      <c r="AL98" s="79">
        <v>0.1</v>
      </c>
      <c r="AM98" s="79">
        <v>0.3</v>
      </c>
      <c r="AN98" s="79">
        <v>0.3</v>
      </c>
      <c r="AO98" s="79">
        <v>0.1</v>
      </c>
      <c r="AP98" s="79">
        <v>0.1</v>
      </c>
      <c r="AQ98" s="75">
        <f t="shared" si="91"/>
        <v>62.400000000000006</v>
      </c>
      <c r="AR98" s="75">
        <f t="shared" si="92"/>
        <v>187.2</v>
      </c>
      <c r="AS98" s="75">
        <f t="shared" si="93"/>
        <v>187.2</v>
      </c>
      <c r="AT98" s="75">
        <f t="shared" si="94"/>
        <v>62.400000000000006</v>
      </c>
      <c r="AU98" s="75">
        <f t="shared" si="95"/>
        <v>62.400000000000006</v>
      </c>
      <c r="AV98" s="13">
        <v>0.8</v>
      </c>
      <c r="AW98" s="13">
        <v>1.2</v>
      </c>
      <c r="AX98" s="13">
        <v>1.3</v>
      </c>
      <c r="AY98" s="13">
        <v>1</v>
      </c>
      <c r="AZ98" s="13">
        <v>0.7</v>
      </c>
      <c r="BA98" s="105">
        <f t="shared" si="96"/>
        <v>1.5200000000000002</v>
      </c>
      <c r="BB98" s="13">
        <f t="shared" si="97"/>
        <v>6.84</v>
      </c>
      <c r="BC98" s="13">
        <f t="shared" si="98"/>
        <v>7.41</v>
      </c>
      <c r="BD98" s="13">
        <f t="shared" si="99"/>
        <v>1.9000000000000001</v>
      </c>
      <c r="BE98" s="13">
        <f t="shared" si="100"/>
        <v>1.33</v>
      </c>
      <c r="BF98" s="88">
        <f t="shared" si="101"/>
        <v>41.052631578947363</v>
      </c>
      <c r="BG98" s="88">
        <f t="shared" si="102"/>
        <v>27.368421052631579</v>
      </c>
      <c r="BH98" s="88">
        <f t="shared" si="103"/>
        <v>25.263157894736839</v>
      </c>
      <c r="BI98" s="88">
        <f t="shared" si="104"/>
        <v>32.842105263157897</v>
      </c>
      <c r="BJ98" s="88">
        <f t="shared" si="105"/>
        <v>46.917293233082709</v>
      </c>
      <c r="BK98" s="105">
        <f t="shared" si="106"/>
        <v>2.4358974358974363E-2</v>
      </c>
      <c r="BL98" s="105">
        <f t="shared" si="107"/>
        <v>3.653846153846154E-2</v>
      </c>
      <c r="BM98" s="105">
        <f t="shared" si="108"/>
        <v>3.9583333333333338E-2</v>
      </c>
      <c r="BN98" s="105">
        <f t="shared" si="109"/>
        <v>3.0448717948717945E-2</v>
      </c>
      <c r="BO98" s="105">
        <f t="shared" si="110"/>
        <v>2.1314102564102561E-2</v>
      </c>
      <c r="BP98" s="105">
        <f t="shared" si="111"/>
        <v>0.15224358974358976</v>
      </c>
      <c r="BQ98" s="79">
        <f t="shared" si="112"/>
        <v>0.16</v>
      </c>
      <c r="BR98" s="79">
        <f t="shared" si="113"/>
        <v>0.24</v>
      </c>
      <c r="BS98" s="79">
        <f t="shared" si="114"/>
        <v>0.26</v>
      </c>
      <c r="BT98" s="79">
        <f t="shared" si="115"/>
        <v>0.19999999999999996</v>
      </c>
      <c r="BU98" s="79">
        <f t="shared" si="116"/>
        <v>0.13999999999999996</v>
      </c>
      <c r="BV98" s="90" t="str">
        <f t="array" aca="1" ref="BV98" ca="1">_xlfn.TEXTJOIN(" ",TRUE,
_xlfn.TEXTJOIN(":",TRUE,ROUND(BK98:BO98/MIN(IF(BK98:BO98&gt;0,BK98:BO98)),0)),
"|",
ROUND(SUM(BW98:CA98),0))</f>
        <v>1:2:2:1:1 | -749</v>
      </c>
      <c r="BW98" s="106">
        <f t="shared" ca="1" si="117"/>
        <v>-119.84</v>
      </c>
      <c r="BX98" s="106">
        <f t="shared" ca="1" si="63"/>
        <v>-179.76</v>
      </c>
      <c r="BY98" s="106">
        <f t="shared" ca="1" si="64"/>
        <v>-194.74</v>
      </c>
      <c r="BZ98" s="106">
        <f t="shared" ca="1" si="65"/>
        <v>-149.79999999999995</v>
      </c>
      <c r="CA98" s="106">
        <f t="shared" ca="1" si="118"/>
        <v>-104.85999999999997</v>
      </c>
    </row>
    <row r="99" spans="1:79" x14ac:dyDescent="0.35">
      <c r="A99" s="25" t="s">
        <v>113</v>
      </c>
      <c r="B99" s="10" t="s">
        <v>324</v>
      </c>
      <c r="C99" s="10" t="s">
        <v>344</v>
      </c>
      <c r="D99" s="10" t="s">
        <v>346</v>
      </c>
      <c r="E99" s="11">
        <v>45878</v>
      </c>
      <c r="F99" s="17">
        <v>45892</v>
      </c>
      <c r="G99" s="14">
        <f t="shared" ca="1" si="66"/>
        <v>207</v>
      </c>
      <c r="H99" s="17">
        <v>599</v>
      </c>
      <c r="I99" s="17">
        <v>330</v>
      </c>
      <c r="J99" s="75">
        <f t="shared" si="67"/>
        <v>629</v>
      </c>
      <c r="K99" s="17">
        <v>700</v>
      </c>
      <c r="L99" s="85">
        <v>71</v>
      </c>
      <c r="M99" s="86">
        <f t="shared" ca="1" si="68"/>
        <v>0.34299516908212563</v>
      </c>
      <c r="N99" s="86">
        <f t="shared" si="69"/>
        <v>0.33193597560975613</v>
      </c>
      <c r="O99" s="86">
        <f t="shared" si="70"/>
        <v>0.21646341463414634</v>
      </c>
      <c r="P99" s="87">
        <f t="shared" si="71"/>
        <v>17.75</v>
      </c>
      <c r="Q99" s="104">
        <f t="shared" si="72"/>
        <v>35.436619718309856</v>
      </c>
      <c r="R99" s="88">
        <f t="shared" si="73"/>
        <v>44.908180300500831</v>
      </c>
      <c r="S99" s="88">
        <f t="shared" si="74"/>
        <v>10.142857142857142</v>
      </c>
      <c r="T99" s="13">
        <f t="shared" si="75"/>
        <v>1</v>
      </c>
      <c r="U99" s="13">
        <f t="shared" si="76"/>
        <v>1</v>
      </c>
      <c r="V99" s="13">
        <f t="shared" si="77"/>
        <v>1</v>
      </c>
      <c r="W99" s="13">
        <f t="shared" ca="1" si="78"/>
        <v>3</v>
      </c>
      <c r="X99" s="13">
        <f t="shared" ca="1" si="79"/>
        <v>6</v>
      </c>
      <c r="Y99" s="81" t="str">
        <f t="shared" ca="1" si="80"/>
        <v>MONITOR</v>
      </c>
      <c r="Z99" s="13">
        <v>14</v>
      </c>
      <c r="AA99" s="75">
        <v>46059</v>
      </c>
      <c r="AB99" s="75">
        <f t="shared" si="81"/>
        <v>45920</v>
      </c>
      <c r="AC99" s="88">
        <f t="shared" si="82"/>
        <v>19.857142857142858</v>
      </c>
      <c r="AD99" s="89" t="str">
        <f t="shared" ca="1" si="83"/>
        <v>STABLE</v>
      </c>
      <c r="AE99" s="89" t="str">
        <f t="shared" si="84"/>
        <v>SLOW SELLING</v>
      </c>
      <c r="AF99" s="89" t="str">
        <f t="shared" si="85"/>
        <v>AT RISK</v>
      </c>
      <c r="AG99" s="89" t="str">
        <f t="shared" si="86"/>
        <v>FEASIBLE</v>
      </c>
      <c r="AH99" s="81" t="str">
        <f t="shared" ca="1" si="87"/>
        <v>MONITOR</v>
      </c>
      <c r="AI99" s="75">
        <f t="shared" ca="1" si="88"/>
        <v>0</v>
      </c>
      <c r="AJ99" s="75">
        <f t="shared" ca="1" si="89"/>
        <v>-629</v>
      </c>
      <c r="AK99" s="13">
        <f t="shared" ca="1" si="90"/>
        <v>-755</v>
      </c>
      <c r="AL99" s="79">
        <v>0.1</v>
      </c>
      <c r="AM99" s="79">
        <v>0.3</v>
      </c>
      <c r="AN99" s="79">
        <v>0.3</v>
      </c>
      <c r="AO99" s="79">
        <v>0.1</v>
      </c>
      <c r="AP99" s="79">
        <v>0.1</v>
      </c>
      <c r="AQ99" s="75">
        <f t="shared" si="91"/>
        <v>62.900000000000006</v>
      </c>
      <c r="AR99" s="75">
        <f t="shared" si="92"/>
        <v>188.7</v>
      </c>
      <c r="AS99" s="75">
        <f t="shared" si="93"/>
        <v>188.7</v>
      </c>
      <c r="AT99" s="75">
        <f t="shared" si="94"/>
        <v>62.900000000000006</v>
      </c>
      <c r="AU99" s="75">
        <f t="shared" si="95"/>
        <v>62.900000000000006</v>
      </c>
      <c r="AV99" s="13">
        <v>0.8</v>
      </c>
      <c r="AW99" s="13">
        <v>1.2</v>
      </c>
      <c r="AX99" s="13">
        <v>1.3</v>
      </c>
      <c r="AY99" s="13">
        <v>1</v>
      </c>
      <c r="AZ99" s="13">
        <v>0.7</v>
      </c>
      <c r="BA99" s="105">
        <f t="shared" si="96"/>
        <v>1.4200000000000002</v>
      </c>
      <c r="BB99" s="13">
        <f t="shared" si="97"/>
        <v>6.39</v>
      </c>
      <c r="BC99" s="13">
        <f t="shared" si="98"/>
        <v>6.9225000000000003</v>
      </c>
      <c r="BD99" s="13">
        <f t="shared" si="99"/>
        <v>1.7750000000000001</v>
      </c>
      <c r="BE99" s="13">
        <f t="shared" si="100"/>
        <v>1.2424999999999999</v>
      </c>
      <c r="BF99" s="88">
        <f t="shared" si="101"/>
        <v>44.29577464788732</v>
      </c>
      <c r="BG99" s="88">
        <f t="shared" si="102"/>
        <v>29.530516431924884</v>
      </c>
      <c r="BH99" s="88">
        <f t="shared" si="103"/>
        <v>27.258938244853734</v>
      </c>
      <c r="BI99" s="88">
        <f t="shared" si="104"/>
        <v>35.436619718309856</v>
      </c>
      <c r="BJ99" s="88">
        <f t="shared" si="105"/>
        <v>50.623742454728379</v>
      </c>
      <c r="BK99" s="105">
        <f t="shared" si="106"/>
        <v>2.2575516693163752E-2</v>
      </c>
      <c r="BL99" s="105">
        <f t="shared" si="107"/>
        <v>3.3863275039745629E-2</v>
      </c>
      <c r="BM99" s="105">
        <f t="shared" si="108"/>
        <v>3.6685214626391099E-2</v>
      </c>
      <c r="BN99" s="105">
        <f t="shared" si="109"/>
        <v>2.8219395866454691E-2</v>
      </c>
      <c r="BO99" s="105">
        <f t="shared" si="110"/>
        <v>1.9753577106518278E-2</v>
      </c>
      <c r="BP99" s="105">
        <f t="shared" si="111"/>
        <v>0.14109697933227347</v>
      </c>
      <c r="BQ99" s="79">
        <f t="shared" si="112"/>
        <v>0.15999999999999998</v>
      </c>
      <c r="BR99" s="79">
        <f t="shared" si="113"/>
        <v>0.23999999999999996</v>
      </c>
      <c r="BS99" s="79">
        <f t="shared" si="114"/>
        <v>0.25999999999999995</v>
      </c>
      <c r="BT99" s="79">
        <f t="shared" si="115"/>
        <v>0.19999999999999998</v>
      </c>
      <c r="BU99" s="79">
        <f t="shared" si="116"/>
        <v>0.13999999999999996</v>
      </c>
      <c r="BV99" s="90" t="str">
        <f t="array" aca="1" ref="BV99" ca="1">_xlfn.TEXTJOIN(" ",TRUE,
_xlfn.TEXTJOIN(":",TRUE,ROUND(BK99:BO99/MIN(IF(BK99:BO99&gt;0,BK99:BO99)),0)),
"|",
ROUND(SUM(BW99:CA99),0))</f>
        <v>1:2:2:1:1 | -755</v>
      </c>
      <c r="BW99" s="106">
        <f t="shared" ca="1" si="117"/>
        <v>-120.79999999999998</v>
      </c>
      <c r="BX99" s="106">
        <f t="shared" ca="1" si="63"/>
        <v>-181.19999999999996</v>
      </c>
      <c r="BY99" s="106">
        <f t="shared" ca="1" si="64"/>
        <v>-196.29999999999995</v>
      </c>
      <c r="BZ99" s="106">
        <f t="shared" ca="1" si="65"/>
        <v>-151</v>
      </c>
      <c r="CA99" s="106">
        <f t="shared" ca="1" si="118"/>
        <v>-105.69999999999997</v>
      </c>
    </row>
    <row r="100" spans="1:79" x14ac:dyDescent="0.35">
      <c r="A100" s="25" t="s">
        <v>114</v>
      </c>
      <c r="B100" s="10" t="s">
        <v>324</v>
      </c>
      <c r="C100" s="10" t="s">
        <v>344</v>
      </c>
      <c r="D100" s="10" t="s">
        <v>346</v>
      </c>
      <c r="E100" s="11">
        <v>45920</v>
      </c>
      <c r="F100" s="17">
        <v>45892</v>
      </c>
      <c r="G100" s="14">
        <f t="shared" ca="1" si="66"/>
        <v>207</v>
      </c>
      <c r="H100" s="17">
        <v>599</v>
      </c>
      <c r="I100" s="17">
        <v>300</v>
      </c>
      <c r="J100" s="75">
        <f t="shared" si="67"/>
        <v>587</v>
      </c>
      <c r="K100" s="17">
        <v>700</v>
      </c>
      <c r="L100" s="85">
        <v>113</v>
      </c>
      <c r="M100" s="86">
        <f t="shared" ca="1" si="68"/>
        <v>0.54589371980676327</v>
      </c>
      <c r="N100" s="86">
        <f t="shared" si="69"/>
        <v>0.33193597560975613</v>
      </c>
      <c r="O100" s="86">
        <f t="shared" si="70"/>
        <v>0.34451219512195119</v>
      </c>
      <c r="P100" s="87">
        <f t="shared" si="71"/>
        <v>28.249999999999996</v>
      </c>
      <c r="Q100" s="104">
        <f t="shared" si="72"/>
        <v>20.778761061946906</v>
      </c>
      <c r="R100" s="88">
        <f t="shared" si="73"/>
        <v>49.916527545909851</v>
      </c>
      <c r="S100" s="88">
        <f t="shared" si="74"/>
        <v>16.142857142857142</v>
      </c>
      <c r="T100" s="13">
        <f t="shared" si="75"/>
        <v>3</v>
      </c>
      <c r="U100" s="13">
        <f t="shared" si="76"/>
        <v>1</v>
      </c>
      <c r="V100" s="13">
        <f t="shared" si="77"/>
        <v>2</v>
      </c>
      <c r="W100" s="13">
        <f t="shared" ca="1" si="78"/>
        <v>3</v>
      </c>
      <c r="X100" s="13">
        <f t="shared" ca="1" si="79"/>
        <v>9</v>
      </c>
      <c r="Y100" s="81" t="str">
        <f t="shared" ca="1" si="80"/>
        <v>RE-BUY</v>
      </c>
      <c r="Z100" s="13">
        <v>14</v>
      </c>
      <c r="AA100" s="75">
        <v>46059</v>
      </c>
      <c r="AB100" s="75">
        <f t="shared" si="81"/>
        <v>45920</v>
      </c>
      <c r="AC100" s="88">
        <f t="shared" si="82"/>
        <v>19.857142857142858</v>
      </c>
      <c r="AD100" s="89" t="str">
        <f t="shared" ca="1" si="83"/>
        <v>STABLE</v>
      </c>
      <c r="AE100" s="89" t="str">
        <f t="shared" si="84"/>
        <v>FAST SELLING</v>
      </c>
      <c r="AF100" s="89" t="str">
        <f t="shared" si="85"/>
        <v>AT RISK</v>
      </c>
      <c r="AG100" s="89" t="str">
        <f t="shared" si="86"/>
        <v>FEASIBLE</v>
      </c>
      <c r="AH100" s="81" t="str">
        <f t="shared" ca="1" si="87"/>
        <v>IMMEDIATE REBUY</v>
      </c>
      <c r="AI100" s="75">
        <f t="shared" ca="1" si="88"/>
        <v>336.57857142857137</v>
      </c>
      <c r="AJ100" s="75">
        <f t="shared" ca="1" si="89"/>
        <v>-250.42142857142863</v>
      </c>
      <c r="AK100" s="13">
        <f t="shared" ca="1" si="90"/>
        <v>-301</v>
      </c>
      <c r="AL100" s="79">
        <v>0.1</v>
      </c>
      <c r="AM100" s="79">
        <v>0.3</v>
      </c>
      <c r="AN100" s="79">
        <v>0.3</v>
      </c>
      <c r="AO100" s="79">
        <v>0.1</v>
      </c>
      <c r="AP100" s="79">
        <v>0.1</v>
      </c>
      <c r="AQ100" s="75">
        <f t="shared" si="91"/>
        <v>58.7</v>
      </c>
      <c r="AR100" s="75">
        <f t="shared" si="92"/>
        <v>176.1</v>
      </c>
      <c r="AS100" s="75">
        <f t="shared" si="93"/>
        <v>176.1</v>
      </c>
      <c r="AT100" s="75">
        <f t="shared" si="94"/>
        <v>58.7</v>
      </c>
      <c r="AU100" s="75">
        <f t="shared" si="95"/>
        <v>58.7</v>
      </c>
      <c r="AV100" s="13">
        <v>0.8</v>
      </c>
      <c r="AW100" s="13">
        <v>1.2</v>
      </c>
      <c r="AX100" s="13">
        <v>1.3</v>
      </c>
      <c r="AY100" s="13">
        <v>1</v>
      </c>
      <c r="AZ100" s="13">
        <v>0.7</v>
      </c>
      <c r="BA100" s="105">
        <f t="shared" si="96"/>
        <v>2.2599999999999998</v>
      </c>
      <c r="BB100" s="13">
        <f t="shared" si="97"/>
        <v>10.169999999999996</v>
      </c>
      <c r="BC100" s="13">
        <f t="shared" si="98"/>
        <v>11.017499999999998</v>
      </c>
      <c r="BD100" s="13">
        <f t="shared" si="99"/>
        <v>2.8249999999999997</v>
      </c>
      <c r="BE100" s="13">
        <f t="shared" si="100"/>
        <v>1.9774999999999996</v>
      </c>
      <c r="BF100" s="88">
        <f t="shared" si="101"/>
        <v>25.973451327433633</v>
      </c>
      <c r="BG100" s="88">
        <f t="shared" si="102"/>
        <v>17.315634218289091</v>
      </c>
      <c r="BH100" s="88">
        <f t="shared" si="103"/>
        <v>15.983662355343773</v>
      </c>
      <c r="BI100" s="88">
        <f t="shared" si="104"/>
        <v>20.778761061946906</v>
      </c>
      <c r="BJ100" s="88">
        <f t="shared" si="105"/>
        <v>29.683944374209869</v>
      </c>
      <c r="BK100" s="105">
        <f t="shared" si="106"/>
        <v>3.8500851788756382E-2</v>
      </c>
      <c r="BL100" s="105">
        <f t="shared" si="107"/>
        <v>5.7751277683134566E-2</v>
      </c>
      <c r="BM100" s="105">
        <f t="shared" si="108"/>
        <v>6.256388415672913E-2</v>
      </c>
      <c r="BN100" s="105">
        <f t="shared" si="109"/>
        <v>4.8126064735945481E-2</v>
      </c>
      <c r="BO100" s="105">
        <f t="shared" si="110"/>
        <v>3.3688245315161833E-2</v>
      </c>
      <c r="BP100" s="105">
        <f t="shared" si="111"/>
        <v>0.24063032367972742</v>
      </c>
      <c r="BQ100" s="79">
        <f t="shared" si="112"/>
        <v>0.15999999999999998</v>
      </c>
      <c r="BR100" s="79">
        <f t="shared" si="113"/>
        <v>0.23999999999999994</v>
      </c>
      <c r="BS100" s="79">
        <f t="shared" si="114"/>
        <v>0.26</v>
      </c>
      <c r="BT100" s="79">
        <f t="shared" si="115"/>
        <v>0.19999999999999998</v>
      </c>
      <c r="BU100" s="79">
        <f t="shared" si="116"/>
        <v>0.13999999999999999</v>
      </c>
      <c r="BV100" s="90" t="str">
        <f t="array" aca="1" ref="BV100" ca="1">_xlfn.TEXTJOIN(" ",TRUE,
_xlfn.TEXTJOIN(":",TRUE,ROUND(BK100:BO100/MIN(IF(BK100:BO100&gt;0,BK100:BO100)),0)),
"|",
ROUND(SUM(BW100:CA100),0))</f>
        <v>1:2:2:1:1 | -301</v>
      </c>
      <c r="BW100" s="106">
        <f t="shared" ca="1" si="117"/>
        <v>-48.159999999999989</v>
      </c>
      <c r="BX100" s="106">
        <f t="shared" ca="1" si="63"/>
        <v>-72.239999999999981</v>
      </c>
      <c r="BY100" s="106">
        <f t="shared" ca="1" si="64"/>
        <v>-78.260000000000005</v>
      </c>
      <c r="BZ100" s="106">
        <f t="shared" ca="1" si="65"/>
        <v>-60.199999999999996</v>
      </c>
      <c r="CA100" s="106">
        <f t="shared" ca="1" si="118"/>
        <v>-42.139999999999993</v>
      </c>
    </row>
    <row r="101" spans="1:79" x14ac:dyDescent="0.35">
      <c r="A101" s="25" t="s">
        <v>115</v>
      </c>
      <c r="B101" s="10" t="s">
        <v>324</v>
      </c>
      <c r="C101" s="10" t="s">
        <v>344</v>
      </c>
      <c r="D101" s="10" t="s">
        <v>346</v>
      </c>
      <c r="E101" s="11">
        <v>45920</v>
      </c>
      <c r="F101" s="17">
        <v>45892</v>
      </c>
      <c r="G101" s="14">
        <f t="shared" ca="1" si="66"/>
        <v>207</v>
      </c>
      <c r="H101" s="17">
        <v>599</v>
      </c>
      <c r="I101" s="17">
        <v>300</v>
      </c>
      <c r="J101" s="75">
        <f t="shared" si="67"/>
        <v>587</v>
      </c>
      <c r="K101" s="17">
        <v>700</v>
      </c>
      <c r="L101" s="85">
        <v>113</v>
      </c>
      <c r="M101" s="86">
        <f t="shared" ca="1" si="68"/>
        <v>0.54589371980676327</v>
      </c>
      <c r="N101" s="86">
        <f t="shared" si="69"/>
        <v>0.33193597560975613</v>
      </c>
      <c r="O101" s="86">
        <f t="shared" si="70"/>
        <v>0.34451219512195119</v>
      </c>
      <c r="P101" s="87">
        <f t="shared" si="71"/>
        <v>28.249999999999996</v>
      </c>
      <c r="Q101" s="104">
        <f t="shared" si="72"/>
        <v>20.778761061946906</v>
      </c>
      <c r="R101" s="88">
        <f t="shared" si="73"/>
        <v>49.916527545909851</v>
      </c>
      <c r="S101" s="88">
        <f t="shared" si="74"/>
        <v>16.142857142857142</v>
      </c>
      <c r="T101" s="13">
        <f t="shared" si="75"/>
        <v>3</v>
      </c>
      <c r="U101" s="13">
        <f t="shared" si="76"/>
        <v>1</v>
      </c>
      <c r="V101" s="13">
        <f t="shared" si="77"/>
        <v>2</v>
      </c>
      <c r="W101" s="13">
        <f t="shared" ca="1" si="78"/>
        <v>3</v>
      </c>
      <c r="X101" s="13">
        <f t="shared" ca="1" si="79"/>
        <v>9</v>
      </c>
      <c r="Y101" s="81" t="str">
        <f t="shared" ca="1" si="80"/>
        <v>RE-BUY</v>
      </c>
      <c r="Z101" s="13">
        <v>14</v>
      </c>
      <c r="AA101" s="75">
        <v>46059</v>
      </c>
      <c r="AB101" s="75">
        <f t="shared" si="81"/>
        <v>45920</v>
      </c>
      <c r="AC101" s="88">
        <f t="shared" si="82"/>
        <v>19.857142857142858</v>
      </c>
      <c r="AD101" s="89" t="str">
        <f t="shared" ca="1" si="83"/>
        <v>STABLE</v>
      </c>
      <c r="AE101" s="89" t="str">
        <f t="shared" si="84"/>
        <v>FAST SELLING</v>
      </c>
      <c r="AF101" s="89" t="str">
        <f t="shared" si="85"/>
        <v>AT RISK</v>
      </c>
      <c r="AG101" s="89" t="str">
        <f t="shared" si="86"/>
        <v>FEASIBLE</v>
      </c>
      <c r="AH101" s="81" t="str">
        <f t="shared" ca="1" si="87"/>
        <v>IMMEDIATE REBUY</v>
      </c>
      <c r="AI101" s="75">
        <f t="shared" ca="1" si="88"/>
        <v>336.57857142857137</v>
      </c>
      <c r="AJ101" s="75">
        <f t="shared" ca="1" si="89"/>
        <v>-250.42142857142863</v>
      </c>
      <c r="AK101" s="13">
        <f t="shared" ca="1" si="90"/>
        <v>-301</v>
      </c>
      <c r="AL101" s="79">
        <v>0.1</v>
      </c>
      <c r="AM101" s="79">
        <v>0.3</v>
      </c>
      <c r="AN101" s="79">
        <v>0.3</v>
      </c>
      <c r="AO101" s="79">
        <v>0.1</v>
      </c>
      <c r="AP101" s="79">
        <v>0.1</v>
      </c>
      <c r="AQ101" s="75">
        <f t="shared" si="91"/>
        <v>58.7</v>
      </c>
      <c r="AR101" s="75">
        <f t="shared" si="92"/>
        <v>176.1</v>
      </c>
      <c r="AS101" s="75">
        <f t="shared" si="93"/>
        <v>176.1</v>
      </c>
      <c r="AT101" s="75">
        <f t="shared" si="94"/>
        <v>58.7</v>
      </c>
      <c r="AU101" s="75">
        <f t="shared" si="95"/>
        <v>58.7</v>
      </c>
      <c r="AV101" s="13">
        <v>0.8</v>
      </c>
      <c r="AW101" s="13">
        <v>1.2</v>
      </c>
      <c r="AX101" s="13">
        <v>1.3</v>
      </c>
      <c r="AY101" s="13">
        <v>1</v>
      </c>
      <c r="AZ101" s="13">
        <v>0.7</v>
      </c>
      <c r="BA101" s="105">
        <f t="shared" si="96"/>
        <v>2.2599999999999998</v>
      </c>
      <c r="BB101" s="13">
        <f t="shared" si="97"/>
        <v>10.169999999999996</v>
      </c>
      <c r="BC101" s="13">
        <f t="shared" si="98"/>
        <v>11.017499999999998</v>
      </c>
      <c r="BD101" s="13">
        <f t="shared" si="99"/>
        <v>2.8249999999999997</v>
      </c>
      <c r="BE101" s="13">
        <f t="shared" si="100"/>
        <v>1.9774999999999996</v>
      </c>
      <c r="BF101" s="88">
        <f t="shared" si="101"/>
        <v>25.973451327433633</v>
      </c>
      <c r="BG101" s="88">
        <f t="shared" si="102"/>
        <v>17.315634218289091</v>
      </c>
      <c r="BH101" s="88">
        <f t="shared" si="103"/>
        <v>15.983662355343773</v>
      </c>
      <c r="BI101" s="88">
        <f t="shared" si="104"/>
        <v>20.778761061946906</v>
      </c>
      <c r="BJ101" s="88">
        <f t="shared" si="105"/>
        <v>29.683944374209869</v>
      </c>
      <c r="BK101" s="105">
        <f t="shared" si="106"/>
        <v>3.8500851788756382E-2</v>
      </c>
      <c r="BL101" s="105">
        <f t="shared" si="107"/>
        <v>5.7751277683134566E-2</v>
      </c>
      <c r="BM101" s="105">
        <f t="shared" si="108"/>
        <v>6.256388415672913E-2</v>
      </c>
      <c r="BN101" s="105">
        <f t="shared" si="109"/>
        <v>4.8126064735945481E-2</v>
      </c>
      <c r="BO101" s="105">
        <f t="shared" si="110"/>
        <v>3.3688245315161833E-2</v>
      </c>
      <c r="BP101" s="105">
        <f t="shared" si="111"/>
        <v>0.24063032367972742</v>
      </c>
      <c r="BQ101" s="79">
        <f t="shared" si="112"/>
        <v>0.15999999999999998</v>
      </c>
      <c r="BR101" s="79">
        <f t="shared" si="113"/>
        <v>0.23999999999999994</v>
      </c>
      <c r="BS101" s="79">
        <f t="shared" si="114"/>
        <v>0.26</v>
      </c>
      <c r="BT101" s="79">
        <f t="shared" si="115"/>
        <v>0.19999999999999998</v>
      </c>
      <c r="BU101" s="79">
        <f t="shared" si="116"/>
        <v>0.13999999999999999</v>
      </c>
      <c r="BV101" s="90" t="str">
        <f t="array" aca="1" ref="BV101" ca="1">_xlfn.TEXTJOIN(" ",TRUE,
_xlfn.TEXTJOIN(":",TRUE,ROUND(BK101:BO101/MIN(IF(BK101:BO101&gt;0,BK101:BO101)),0)),
"|",
ROUND(SUM(BW101:CA101),0))</f>
        <v>1:2:2:1:1 | -301</v>
      </c>
      <c r="BW101" s="106">
        <f t="shared" ca="1" si="117"/>
        <v>-48.159999999999989</v>
      </c>
      <c r="BX101" s="106">
        <f t="shared" ca="1" si="63"/>
        <v>-72.239999999999981</v>
      </c>
      <c r="BY101" s="106">
        <f t="shared" ca="1" si="64"/>
        <v>-78.260000000000005</v>
      </c>
      <c r="BZ101" s="106">
        <f t="shared" ca="1" si="65"/>
        <v>-60.199999999999996</v>
      </c>
      <c r="CA101" s="106">
        <f t="shared" ca="1" si="118"/>
        <v>-42.139999999999993</v>
      </c>
    </row>
    <row r="102" spans="1:79" x14ac:dyDescent="0.35">
      <c r="A102" s="25" t="s">
        <v>116</v>
      </c>
      <c r="B102" s="10" t="s">
        <v>324</v>
      </c>
      <c r="C102" s="10" t="s">
        <v>344</v>
      </c>
      <c r="D102" s="10" t="s">
        <v>346</v>
      </c>
      <c r="E102" s="11">
        <v>45920</v>
      </c>
      <c r="F102" s="17">
        <v>45892</v>
      </c>
      <c r="G102" s="14">
        <f t="shared" ca="1" si="66"/>
        <v>207</v>
      </c>
      <c r="H102" s="17">
        <v>599</v>
      </c>
      <c r="I102" s="17">
        <v>300</v>
      </c>
      <c r="J102" s="75">
        <f t="shared" si="67"/>
        <v>587</v>
      </c>
      <c r="K102" s="17">
        <v>700</v>
      </c>
      <c r="L102" s="85">
        <v>113</v>
      </c>
      <c r="M102" s="86">
        <f t="shared" ca="1" si="68"/>
        <v>0.54589371980676327</v>
      </c>
      <c r="N102" s="86">
        <f t="shared" si="69"/>
        <v>0.33193597560975613</v>
      </c>
      <c r="O102" s="86">
        <f t="shared" si="70"/>
        <v>0.34451219512195119</v>
      </c>
      <c r="P102" s="87">
        <f t="shared" si="71"/>
        <v>28.249999999999996</v>
      </c>
      <c r="Q102" s="104">
        <f t="shared" si="72"/>
        <v>20.778761061946906</v>
      </c>
      <c r="R102" s="88">
        <f t="shared" si="73"/>
        <v>49.916527545909851</v>
      </c>
      <c r="S102" s="88">
        <f t="shared" si="74"/>
        <v>16.142857142857142</v>
      </c>
      <c r="T102" s="13">
        <f t="shared" si="75"/>
        <v>3</v>
      </c>
      <c r="U102" s="13">
        <f t="shared" si="76"/>
        <v>1</v>
      </c>
      <c r="V102" s="13">
        <f t="shared" si="77"/>
        <v>2</v>
      </c>
      <c r="W102" s="13">
        <f t="shared" ca="1" si="78"/>
        <v>3</v>
      </c>
      <c r="X102" s="13">
        <f t="shared" ca="1" si="79"/>
        <v>9</v>
      </c>
      <c r="Y102" s="81" t="str">
        <f t="shared" ca="1" si="80"/>
        <v>RE-BUY</v>
      </c>
      <c r="Z102" s="13">
        <v>14</v>
      </c>
      <c r="AA102" s="75">
        <v>46059</v>
      </c>
      <c r="AB102" s="75">
        <f t="shared" si="81"/>
        <v>45920</v>
      </c>
      <c r="AC102" s="88">
        <f t="shared" si="82"/>
        <v>19.857142857142858</v>
      </c>
      <c r="AD102" s="89" t="str">
        <f t="shared" ca="1" si="83"/>
        <v>STABLE</v>
      </c>
      <c r="AE102" s="89" t="str">
        <f t="shared" si="84"/>
        <v>FAST SELLING</v>
      </c>
      <c r="AF102" s="89" t="str">
        <f t="shared" si="85"/>
        <v>AT RISK</v>
      </c>
      <c r="AG102" s="89" t="str">
        <f t="shared" si="86"/>
        <v>FEASIBLE</v>
      </c>
      <c r="AH102" s="81" t="str">
        <f t="shared" ca="1" si="87"/>
        <v>IMMEDIATE REBUY</v>
      </c>
      <c r="AI102" s="75">
        <f t="shared" ca="1" si="88"/>
        <v>336.57857142857137</v>
      </c>
      <c r="AJ102" s="75">
        <f t="shared" ca="1" si="89"/>
        <v>-250.42142857142863</v>
      </c>
      <c r="AK102" s="13">
        <f t="shared" ca="1" si="90"/>
        <v>-301</v>
      </c>
      <c r="AL102" s="79">
        <v>0.1</v>
      </c>
      <c r="AM102" s="79">
        <v>0.3</v>
      </c>
      <c r="AN102" s="79">
        <v>0.3</v>
      </c>
      <c r="AO102" s="79">
        <v>0.1</v>
      </c>
      <c r="AP102" s="79">
        <v>0.1</v>
      </c>
      <c r="AQ102" s="75">
        <f t="shared" si="91"/>
        <v>58.7</v>
      </c>
      <c r="AR102" s="75">
        <f t="shared" si="92"/>
        <v>176.1</v>
      </c>
      <c r="AS102" s="75">
        <f t="shared" si="93"/>
        <v>176.1</v>
      </c>
      <c r="AT102" s="75">
        <f t="shared" si="94"/>
        <v>58.7</v>
      </c>
      <c r="AU102" s="75">
        <f t="shared" si="95"/>
        <v>58.7</v>
      </c>
      <c r="AV102" s="13">
        <v>0.8</v>
      </c>
      <c r="AW102" s="13">
        <v>1.2</v>
      </c>
      <c r="AX102" s="13">
        <v>1.3</v>
      </c>
      <c r="AY102" s="13">
        <v>1</v>
      </c>
      <c r="AZ102" s="13">
        <v>0.7</v>
      </c>
      <c r="BA102" s="105">
        <f t="shared" si="96"/>
        <v>2.2599999999999998</v>
      </c>
      <c r="BB102" s="13">
        <f t="shared" si="97"/>
        <v>10.169999999999996</v>
      </c>
      <c r="BC102" s="13">
        <f t="shared" si="98"/>
        <v>11.017499999999998</v>
      </c>
      <c r="BD102" s="13">
        <f t="shared" si="99"/>
        <v>2.8249999999999997</v>
      </c>
      <c r="BE102" s="13">
        <f t="shared" si="100"/>
        <v>1.9774999999999996</v>
      </c>
      <c r="BF102" s="88">
        <f t="shared" si="101"/>
        <v>25.973451327433633</v>
      </c>
      <c r="BG102" s="88">
        <f t="shared" si="102"/>
        <v>17.315634218289091</v>
      </c>
      <c r="BH102" s="88">
        <f t="shared" si="103"/>
        <v>15.983662355343773</v>
      </c>
      <c r="BI102" s="88">
        <f t="shared" si="104"/>
        <v>20.778761061946906</v>
      </c>
      <c r="BJ102" s="88">
        <f t="shared" si="105"/>
        <v>29.683944374209869</v>
      </c>
      <c r="BK102" s="105">
        <f t="shared" si="106"/>
        <v>3.8500851788756382E-2</v>
      </c>
      <c r="BL102" s="105">
        <f t="shared" si="107"/>
        <v>5.7751277683134566E-2</v>
      </c>
      <c r="BM102" s="105">
        <f t="shared" si="108"/>
        <v>6.256388415672913E-2</v>
      </c>
      <c r="BN102" s="105">
        <f t="shared" si="109"/>
        <v>4.8126064735945481E-2</v>
      </c>
      <c r="BO102" s="105">
        <f t="shared" si="110"/>
        <v>3.3688245315161833E-2</v>
      </c>
      <c r="BP102" s="105">
        <f t="shared" si="111"/>
        <v>0.24063032367972742</v>
      </c>
      <c r="BQ102" s="79">
        <f t="shared" si="112"/>
        <v>0.15999999999999998</v>
      </c>
      <c r="BR102" s="79">
        <f t="shared" si="113"/>
        <v>0.23999999999999994</v>
      </c>
      <c r="BS102" s="79">
        <f t="shared" si="114"/>
        <v>0.26</v>
      </c>
      <c r="BT102" s="79">
        <f t="shared" si="115"/>
        <v>0.19999999999999998</v>
      </c>
      <c r="BU102" s="79">
        <f t="shared" si="116"/>
        <v>0.13999999999999999</v>
      </c>
      <c r="BV102" s="90" t="str">
        <f t="array" aca="1" ref="BV102" ca="1">_xlfn.TEXTJOIN(" ",TRUE,
_xlfn.TEXTJOIN(":",TRUE,ROUND(BK102:BO102/MIN(IF(BK102:BO102&gt;0,BK102:BO102)),0)),
"|",
ROUND(SUM(BW102:CA102),0))</f>
        <v>1:2:2:1:1 | -301</v>
      </c>
      <c r="BW102" s="106">
        <f t="shared" ca="1" si="117"/>
        <v>-48.159999999999989</v>
      </c>
      <c r="BX102" s="106">
        <f t="shared" ca="1" si="63"/>
        <v>-72.239999999999981</v>
      </c>
      <c r="BY102" s="106">
        <f t="shared" ca="1" si="64"/>
        <v>-78.260000000000005</v>
      </c>
      <c r="BZ102" s="106">
        <f t="shared" ca="1" si="65"/>
        <v>-60.199999999999996</v>
      </c>
      <c r="CA102" s="106">
        <f t="shared" ca="1" si="118"/>
        <v>-42.139999999999993</v>
      </c>
    </row>
    <row r="103" spans="1:79" x14ac:dyDescent="0.35">
      <c r="A103" s="25" t="s">
        <v>117</v>
      </c>
      <c r="B103" s="10" t="s">
        <v>324</v>
      </c>
      <c r="C103" s="10" t="s">
        <v>344</v>
      </c>
      <c r="D103" s="10" t="s">
        <v>346</v>
      </c>
      <c r="E103" s="11">
        <v>45920</v>
      </c>
      <c r="F103" s="17">
        <v>45892</v>
      </c>
      <c r="G103" s="14">
        <f t="shared" ca="1" si="66"/>
        <v>207</v>
      </c>
      <c r="H103" s="17">
        <v>599</v>
      </c>
      <c r="I103" s="17">
        <v>300</v>
      </c>
      <c r="J103" s="75">
        <f t="shared" si="67"/>
        <v>534</v>
      </c>
      <c r="K103" s="17">
        <v>700</v>
      </c>
      <c r="L103" s="85">
        <v>166</v>
      </c>
      <c r="M103" s="86">
        <f t="shared" ca="1" si="68"/>
        <v>0.80193236714975846</v>
      </c>
      <c r="N103" s="86">
        <f t="shared" si="69"/>
        <v>0.33193597560975613</v>
      </c>
      <c r="O103" s="86">
        <f t="shared" si="70"/>
        <v>0.50609756097560976</v>
      </c>
      <c r="P103" s="87">
        <f t="shared" si="71"/>
        <v>41.5</v>
      </c>
      <c r="Q103" s="104">
        <f t="shared" si="72"/>
        <v>12.867469879518072</v>
      </c>
      <c r="R103" s="88">
        <f t="shared" si="73"/>
        <v>49.916527545909851</v>
      </c>
      <c r="S103" s="88">
        <f t="shared" si="74"/>
        <v>23.714285714285715</v>
      </c>
      <c r="T103" s="13">
        <f t="shared" si="75"/>
        <v>3</v>
      </c>
      <c r="U103" s="13">
        <f t="shared" si="76"/>
        <v>1</v>
      </c>
      <c r="V103" s="13">
        <f t="shared" si="77"/>
        <v>2</v>
      </c>
      <c r="W103" s="13">
        <f t="shared" ca="1" si="78"/>
        <v>3</v>
      </c>
      <c r="X103" s="13">
        <f t="shared" ca="1" si="79"/>
        <v>9</v>
      </c>
      <c r="Y103" s="81" t="str">
        <f t="shared" ca="1" si="80"/>
        <v>RE-BUY</v>
      </c>
      <c r="Z103" s="13">
        <v>14</v>
      </c>
      <c r="AA103" s="75">
        <v>46059</v>
      </c>
      <c r="AB103" s="75">
        <f t="shared" si="81"/>
        <v>45920</v>
      </c>
      <c r="AC103" s="88">
        <f t="shared" si="82"/>
        <v>19.857142857142858</v>
      </c>
      <c r="AD103" s="89" t="str">
        <f t="shared" ca="1" si="83"/>
        <v>STABLE</v>
      </c>
      <c r="AE103" s="89" t="str">
        <f t="shared" si="84"/>
        <v>FAST SELLING</v>
      </c>
      <c r="AF103" s="89" t="str">
        <f t="shared" si="85"/>
        <v>AT RISK</v>
      </c>
      <c r="AG103" s="89" t="str">
        <f t="shared" si="86"/>
        <v>FEASIBLE</v>
      </c>
      <c r="AH103" s="81" t="str">
        <f t="shared" ca="1" si="87"/>
        <v>IMMEDIATE REBUY</v>
      </c>
      <c r="AI103" s="75">
        <f t="shared" ca="1" si="88"/>
        <v>494.44285714285712</v>
      </c>
      <c r="AJ103" s="75">
        <f t="shared" ca="1" si="89"/>
        <v>-39.557142857142878</v>
      </c>
      <c r="AK103" s="13">
        <f t="shared" ca="1" si="90"/>
        <v>-47</v>
      </c>
      <c r="AL103" s="79">
        <v>0.1</v>
      </c>
      <c r="AM103" s="79">
        <v>0.3</v>
      </c>
      <c r="AN103" s="79">
        <v>0.3</v>
      </c>
      <c r="AO103" s="79">
        <v>0.1</v>
      </c>
      <c r="AP103" s="79">
        <v>0.1</v>
      </c>
      <c r="AQ103" s="75">
        <f t="shared" si="91"/>
        <v>53.400000000000006</v>
      </c>
      <c r="AR103" s="75">
        <f t="shared" si="92"/>
        <v>160.19999999999999</v>
      </c>
      <c r="AS103" s="75">
        <f t="shared" si="93"/>
        <v>160.19999999999999</v>
      </c>
      <c r="AT103" s="75">
        <f t="shared" si="94"/>
        <v>53.400000000000006</v>
      </c>
      <c r="AU103" s="75">
        <f t="shared" si="95"/>
        <v>53.400000000000006</v>
      </c>
      <c r="AV103" s="13">
        <v>0.8</v>
      </c>
      <c r="AW103" s="13">
        <v>1.2</v>
      </c>
      <c r="AX103" s="13">
        <v>1.3</v>
      </c>
      <c r="AY103" s="13">
        <v>1</v>
      </c>
      <c r="AZ103" s="13">
        <v>0.7</v>
      </c>
      <c r="BA103" s="105">
        <f t="shared" si="96"/>
        <v>3.3200000000000003</v>
      </c>
      <c r="BB103" s="13">
        <f t="shared" si="97"/>
        <v>14.939999999999998</v>
      </c>
      <c r="BC103" s="13">
        <f t="shared" si="98"/>
        <v>16.184999999999999</v>
      </c>
      <c r="BD103" s="13">
        <f t="shared" si="99"/>
        <v>4.1500000000000004</v>
      </c>
      <c r="BE103" s="13">
        <f t="shared" si="100"/>
        <v>2.9050000000000002</v>
      </c>
      <c r="BF103" s="88">
        <f t="shared" si="101"/>
        <v>16.08433734939759</v>
      </c>
      <c r="BG103" s="88">
        <f t="shared" si="102"/>
        <v>10.72289156626506</v>
      </c>
      <c r="BH103" s="88">
        <f t="shared" si="103"/>
        <v>9.8980537534754411</v>
      </c>
      <c r="BI103" s="88">
        <f t="shared" si="104"/>
        <v>12.867469879518072</v>
      </c>
      <c r="BJ103" s="88">
        <f t="shared" si="105"/>
        <v>18.382099827882961</v>
      </c>
      <c r="BK103" s="105">
        <f t="shared" si="106"/>
        <v>6.2172284644194761E-2</v>
      </c>
      <c r="BL103" s="105">
        <f t="shared" si="107"/>
        <v>9.3258426966292135E-2</v>
      </c>
      <c r="BM103" s="105">
        <f t="shared" si="108"/>
        <v>0.10102996254681647</v>
      </c>
      <c r="BN103" s="105">
        <f t="shared" si="109"/>
        <v>7.7715355805243441E-2</v>
      </c>
      <c r="BO103" s="105">
        <f t="shared" si="110"/>
        <v>5.4400749063670414E-2</v>
      </c>
      <c r="BP103" s="105">
        <f t="shared" si="111"/>
        <v>0.38857677902621723</v>
      </c>
      <c r="BQ103" s="79">
        <f t="shared" si="112"/>
        <v>0.16</v>
      </c>
      <c r="BR103" s="79">
        <f t="shared" si="113"/>
        <v>0.24</v>
      </c>
      <c r="BS103" s="79">
        <f t="shared" si="114"/>
        <v>0.25999999999999995</v>
      </c>
      <c r="BT103" s="79">
        <f t="shared" si="115"/>
        <v>0.19999999999999998</v>
      </c>
      <c r="BU103" s="79">
        <f t="shared" si="116"/>
        <v>0.14000000000000001</v>
      </c>
      <c r="BV103" s="90" t="str">
        <f t="array" aca="1" ref="BV103" ca="1">_xlfn.TEXTJOIN(" ",TRUE,
_xlfn.TEXTJOIN(":",TRUE,ROUND(BK103:BO103/MIN(IF(BK103:BO103&gt;0,BK103:BO103)),0)),
"|",
ROUND(SUM(BW103:CA103),0))</f>
        <v>1:2:2:1:1 | -47</v>
      </c>
      <c r="BW103" s="106">
        <f t="shared" ca="1" si="117"/>
        <v>-7.5200000000000005</v>
      </c>
      <c r="BX103" s="106">
        <f t="shared" ca="1" si="63"/>
        <v>-11.28</v>
      </c>
      <c r="BY103" s="106">
        <f t="shared" ca="1" si="64"/>
        <v>-12.219999999999997</v>
      </c>
      <c r="BZ103" s="106">
        <f t="shared" ca="1" si="65"/>
        <v>-9.3999999999999986</v>
      </c>
      <c r="CA103" s="106">
        <f t="shared" ca="1" si="118"/>
        <v>-6.580000000000001</v>
      </c>
    </row>
    <row r="104" spans="1:79" x14ac:dyDescent="0.35">
      <c r="A104" s="25" t="s">
        <v>118</v>
      </c>
      <c r="B104" s="10" t="s">
        <v>324</v>
      </c>
      <c r="C104" s="10" t="s">
        <v>344</v>
      </c>
      <c r="D104" s="10" t="s">
        <v>346</v>
      </c>
      <c r="E104" s="11">
        <v>45920</v>
      </c>
      <c r="F104" s="17">
        <v>45892</v>
      </c>
      <c r="G104" s="14">
        <f t="shared" ca="1" si="66"/>
        <v>207</v>
      </c>
      <c r="H104" s="17">
        <v>599</v>
      </c>
      <c r="I104" s="17">
        <v>300</v>
      </c>
      <c r="J104" s="75">
        <f t="shared" si="67"/>
        <v>602</v>
      </c>
      <c r="K104" s="17">
        <v>700</v>
      </c>
      <c r="L104" s="85">
        <v>98</v>
      </c>
      <c r="M104" s="86">
        <f t="shared" ca="1" si="68"/>
        <v>0.47342995169082125</v>
      </c>
      <c r="N104" s="86">
        <f t="shared" si="69"/>
        <v>0.33193597560975613</v>
      </c>
      <c r="O104" s="86">
        <f t="shared" si="70"/>
        <v>0.29878048780487804</v>
      </c>
      <c r="P104" s="87">
        <f t="shared" si="71"/>
        <v>24.5</v>
      </c>
      <c r="Q104" s="104">
        <f t="shared" si="72"/>
        <v>24.571428571428573</v>
      </c>
      <c r="R104" s="88">
        <f t="shared" si="73"/>
        <v>49.916527545909851</v>
      </c>
      <c r="S104" s="88">
        <f t="shared" si="74"/>
        <v>14.000000000000002</v>
      </c>
      <c r="T104" s="13">
        <f t="shared" si="75"/>
        <v>2</v>
      </c>
      <c r="U104" s="13">
        <f t="shared" si="76"/>
        <v>1</v>
      </c>
      <c r="V104" s="13">
        <f t="shared" si="77"/>
        <v>2</v>
      </c>
      <c r="W104" s="13">
        <f t="shared" ca="1" si="78"/>
        <v>3</v>
      </c>
      <c r="X104" s="13">
        <f t="shared" ca="1" si="79"/>
        <v>8</v>
      </c>
      <c r="Y104" s="81" t="str">
        <f t="shared" ca="1" si="80"/>
        <v>MONITOR</v>
      </c>
      <c r="Z104" s="13">
        <v>14</v>
      </c>
      <c r="AA104" s="75">
        <v>46059</v>
      </c>
      <c r="AB104" s="75">
        <f t="shared" si="81"/>
        <v>45920</v>
      </c>
      <c r="AC104" s="88">
        <f t="shared" si="82"/>
        <v>19.857142857142858</v>
      </c>
      <c r="AD104" s="89" t="str">
        <f t="shared" ca="1" si="83"/>
        <v>STABLE</v>
      </c>
      <c r="AE104" s="89" t="str">
        <f t="shared" si="84"/>
        <v>SLOW SELLING</v>
      </c>
      <c r="AF104" s="89" t="str">
        <f t="shared" si="85"/>
        <v>AT RISK</v>
      </c>
      <c r="AG104" s="89" t="str">
        <f t="shared" si="86"/>
        <v>FEASIBLE</v>
      </c>
      <c r="AH104" s="81" t="str">
        <f t="shared" ca="1" si="87"/>
        <v>MONITOR</v>
      </c>
      <c r="AI104" s="75">
        <f t="shared" ca="1" si="88"/>
        <v>0</v>
      </c>
      <c r="AJ104" s="75">
        <f t="shared" ca="1" si="89"/>
        <v>-602</v>
      </c>
      <c r="AK104" s="13">
        <f t="shared" ca="1" si="90"/>
        <v>-722</v>
      </c>
      <c r="AL104" s="79">
        <v>0.1</v>
      </c>
      <c r="AM104" s="79">
        <v>0.3</v>
      </c>
      <c r="AN104" s="79">
        <v>0.3</v>
      </c>
      <c r="AO104" s="79">
        <v>0.1</v>
      </c>
      <c r="AP104" s="79">
        <v>0.1</v>
      </c>
      <c r="AQ104" s="75">
        <f t="shared" si="91"/>
        <v>60.2</v>
      </c>
      <c r="AR104" s="75">
        <f t="shared" si="92"/>
        <v>180.6</v>
      </c>
      <c r="AS104" s="75">
        <f t="shared" si="93"/>
        <v>180.6</v>
      </c>
      <c r="AT104" s="75">
        <f t="shared" si="94"/>
        <v>60.2</v>
      </c>
      <c r="AU104" s="75">
        <f t="shared" si="95"/>
        <v>60.2</v>
      </c>
      <c r="AV104" s="13">
        <v>0.8</v>
      </c>
      <c r="AW104" s="13">
        <v>1.2</v>
      </c>
      <c r="AX104" s="13">
        <v>1.3</v>
      </c>
      <c r="AY104" s="13">
        <v>1</v>
      </c>
      <c r="AZ104" s="13">
        <v>0.7</v>
      </c>
      <c r="BA104" s="105">
        <f t="shared" si="96"/>
        <v>1.9600000000000002</v>
      </c>
      <c r="BB104" s="13">
        <f t="shared" si="97"/>
        <v>8.8199999999999985</v>
      </c>
      <c r="BC104" s="13">
        <f t="shared" si="98"/>
        <v>9.5549999999999997</v>
      </c>
      <c r="BD104" s="13">
        <f t="shared" si="99"/>
        <v>2.4500000000000002</v>
      </c>
      <c r="BE104" s="13">
        <f t="shared" si="100"/>
        <v>1.7150000000000001</v>
      </c>
      <c r="BF104" s="88">
        <f t="shared" si="101"/>
        <v>30.714285714285712</v>
      </c>
      <c r="BG104" s="88">
        <f t="shared" si="102"/>
        <v>20.476190476190478</v>
      </c>
      <c r="BH104" s="88">
        <f t="shared" si="103"/>
        <v>18.901098901098901</v>
      </c>
      <c r="BI104" s="88">
        <f t="shared" si="104"/>
        <v>24.571428571428569</v>
      </c>
      <c r="BJ104" s="88">
        <f t="shared" si="105"/>
        <v>35.102040816326529</v>
      </c>
      <c r="BK104" s="105">
        <f t="shared" si="106"/>
        <v>3.255813953488372E-2</v>
      </c>
      <c r="BL104" s="105">
        <f t="shared" si="107"/>
        <v>4.8837209302325574E-2</v>
      </c>
      <c r="BM104" s="105">
        <f t="shared" si="108"/>
        <v>5.2906976744186048E-2</v>
      </c>
      <c r="BN104" s="105">
        <f t="shared" si="109"/>
        <v>4.0697674418604654E-2</v>
      </c>
      <c r="BO104" s="105">
        <f t="shared" si="110"/>
        <v>2.8488372093023257E-2</v>
      </c>
      <c r="BP104" s="105">
        <f t="shared" si="111"/>
        <v>0.20348837209302326</v>
      </c>
      <c r="BQ104" s="79">
        <f t="shared" si="112"/>
        <v>0.16</v>
      </c>
      <c r="BR104" s="79">
        <f t="shared" si="113"/>
        <v>0.23999999999999996</v>
      </c>
      <c r="BS104" s="79">
        <f t="shared" si="114"/>
        <v>0.26</v>
      </c>
      <c r="BT104" s="79">
        <f t="shared" si="115"/>
        <v>0.2</v>
      </c>
      <c r="BU104" s="79">
        <f t="shared" si="116"/>
        <v>0.14000000000000001</v>
      </c>
      <c r="BV104" s="90" t="str">
        <f t="array" aca="1" ref="BV104" ca="1">_xlfn.TEXTJOIN(" ",TRUE,
_xlfn.TEXTJOIN(":",TRUE,ROUND(BK104:BO104/MIN(IF(BK104:BO104&gt;0,BK104:BO104)),0)),
"|",
ROUND(SUM(BW104:CA104),0))</f>
        <v>1:2:2:1:1 | -722</v>
      </c>
      <c r="BW104" s="106">
        <f t="shared" ca="1" si="117"/>
        <v>-115.52</v>
      </c>
      <c r="BX104" s="106">
        <f t="shared" ca="1" si="63"/>
        <v>-173.27999999999997</v>
      </c>
      <c r="BY104" s="106">
        <f t="shared" ca="1" si="64"/>
        <v>-187.72</v>
      </c>
      <c r="BZ104" s="106">
        <f t="shared" ca="1" si="65"/>
        <v>-144.4</v>
      </c>
      <c r="CA104" s="106">
        <f t="shared" ca="1" si="118"/>
        <v>-101.08000000000001</v>
      </c>
    </row>
    <row r="105" spans="1:79" x14ac:dyDescent="0.35">
      <c r="A105" s="25" t="s">
        <v>119</v>
      </c>
      <c r="B105" s="10" t="s">
        <v>325</v>
      </c>
      <c r="C105" s="10" t="s">
        <v>344</v>
      </c>
      <c r="D105" s="10" t="s">
        <v>346</v>
      </c>
      <c r="E105" s="11">
        <v>45920</v>
      </c>
      <c r="F105" s="17">
        <v>45892</v>
      </c>
      <c r="G105" s="14">
        <f t="shared" ca="1" si="66"/>
        <v>207</v>
      </c>
      <c r="H105" s="17">
        <v>599</v>
      </c>
      <c r="I105" s="17">
        <v>300</v>
      </c>
      <c r="J105" s="75">
        <f t="shared" si="67"/>
        <v>625</v>
      </c>
      <c r="K105" s="17">
        <v>700</v>
      </c>
      <c r="L105" s="85">
        <v>75</v>
      </c>
      <c r="M105" s="86">
        <f t="shared" ca="1" si="68"/>
        <v>0.36231884057971014</v>
      </c>
      <c r="N105" s="86">
        <f t="shared" si="69"/>
        <v>0.33193597560975613</v>
      </c>
      <c r="O105" s="86">
        <f t="shared" si="70"/>
        <v>0.22865853658536586</v>
      </c>
      <c r="P105" s="87">
        <f t="shared" si="71"/>
        <v>18.75</v>
      </c>
      <c r="Q105" s="104">
        <f t="shared" si="72"/>
        <v>33.333333333333336</v>
      </c>
      <c r="R105" s="88">
        <f t="shared" si="73"/>
        <v>49.916527545909851</v>
      </c>
      <c r="S105" s="88">
        <f t="shared" si="74"/>
        <v>10.714285714285714</v>
      </c>
      <c r="T105" s="13">
        <f t="shared" si="75"/>
        <v>1</v>
      </c>
      <c r="U105" s="13">
        <f t="shared" si="76"/>
        <v>1</v>
      </c>
      <c r="V105" s="13">
        <f t="shared" si="77"/>
        <v>2</v>
      </c>
      <c r="W105" s="13">
        <f t="shared" ca="1" si="78"/>
        <v>3</v>
      </c>
      <c r="X105" s="13">
        <f t="shared" ca="1" si="79"/>
        <v>7</v>
      </c>
      <c r="Y105" s="81" t="str">
        <f t="shared" ca="1" si="80"/>
        <v>MONITOR</v>
      </c>
      <c r="Z105" s="13">
        <v>14</v>
      </c>
      <c r="AA105" s="75">
        <v>46059</v>
      </c>
      <c r="AB105" s="75">
        <f t="shared" si="81"/>
        <v>45920</v>
      </c>
      <c r="AC105" s="88">
        <f t="shared" si="82"/>
        <v>19.857142857142858</v>
      </c>
      <c r="AD105" s="89" t="str">
        <f t="shared" ca="1" si="83"/>
        <v>STABLE</v>
      </c>
      <c r="AE105" s="89" t="str">
        <f t="shared" si="84"/>
        <v>SLOW SELLING</v>
      </c>
      <c r="AF105" s="89" t="str">
        <f t="shared" si="85"/>
        <v>AT RISK</v>
      </c>
      <c r="AG105" s="89" t="str">
        <f t="shared" si="86"/>
        <v>FEASIBLE</v>
      </c>
      <c r="AH105" s="81" t="str">
        <f t="shared" ca="1" si="87"/>
        <v>MONITOR</v>
      </c>
      <c r="AI105" s="75">
        <f t="shared" ca="1" si="88"/>
        <v>0</v>
      </c>
      <c r="AJ105" s="75">
        <f t="shared" ca="1" si="89"/>
        <v>-625</v>
      </c>
      <c r="AK105" s="13">
        <f t="shared" ca="1" si="90"/>
        <v>-750</v>
      </c>
      <c r="AL105" s="79">
        <v>0.1</v>
      </c>
      <c r="AM105" s="79">
        <v>0.3</v>
      </c>
      <c r="AN105" s="79">
        <v>0.3</v>
      </c>
      <c r="AO105" s="79">
        <v>0.1</v>
      </c>
      <c r="AP105" s="79">
        <v>0.1</v>
      </c>
      <c r="AQ105" s="75">
        <f t="shared" si="91"/>
        <v>62.5</v>
      </c>
      <c r="AR105" s="75">
        <f t="shared" si="92"/>
        <v>187.5</v>
      </c>
      <c r="AS105" s="75">
        <f t="shared" si="93"/>
        <v>187.5</v>
      </c>
      <c r="AT105" s="75">
        <f t="shared" si="94"/>
        <v>62.5</v>
      </c>
      <c r="AU105" s="75">
        <f t="shared" si="95"/>
        <v>62.5</v>
      </c>
      <c r="AV105" s="13">
        <v>0.8</v>
      </c>
      <c r="AW105" s="13">
        <v>1.2</v>
      </c>
      <c r="AX105" s="13">
        <v>1.3</v>
      </c>
      <c r="AY105" s="13">
        <v>1</v>
      </c>
      <c r="AZ105" s="13">
        <v>0.7</v>
      </c>
      <c r="BA105" s="105">
        <f t="shared" si="96"/>
        <v>1.5</v>
      </c>
      <c r="BB105" s="13">
        <f t="shared" si="97"/>
        <v>6.75</v>
      </c>
      <c r="BC105" s="13">
        <f t="shared" si="98"/>
        <v>7.3125</v>
      </c>
      <c r="BD105" s="13">
        <f t="shared" si="99"/>
        <v>1.875</v>
      </c>
      <c r="BE105" s="13">
        <f t="shared" si="100"/>
        <v>1.3125</v>
      </c>
      <c r="BF105" s="88">
        <f t="shared" si="101"/>
        <v>41.666666666666664</v>
      </c>
      <c r="BG105" s="88">
        <f t="shared" si="102"/>
        <v>27.777777777777779</v>
      </c>
      <c r="BH105" s="88">
        <f t="shared" si="103"/>
        <v>25.641025641025642</v>
      </c>
      <c r="BI105" s="88">
        <f t="shared" si="104"/>
        <v>33.333333333333336</v>
      </c>
      <c r="BJ105" s="88">
        <f t="shared" si="105"/>
        <v>47.61904761904762</v>
      </c>
      <c r="BK105" s="105">
        <f t="shared" si="106"/>
        <v>2.4E-2</v>
      </c>
      <c r="BL105" s="105">
        <f t="shared" si="107"/>
        <v>3.5999999999999997E-2</v>
      </c>
      <c r="BM105" s="105">
        <f t="shared" si="108"/>
        <v>3.9E-2</v>
      </c>
      <c r="BN105" s="105">
        <f t="shared" si="109"/>
        <v>0.03</v>
      </c>
      <c r="BO105" s="105">
        <f t="shared" si="110"/>
        <v>2.0999999999999998E-2</v>
      </c>
      <c r="BP105" s="105">
        <f t="shared" si="111"/>
        <v>0.15</v>
      </c>
      <c r="BQ105" s="79">
        <f t="shared" si="112"/>
        <v>0.16</v>
      </c>
      <c r="BR105" s="79">
        <f t="shared" si="113"/>
        <v>0.24</v>
      </c>
      <c r="BS105" s="79">
        <f t="shared" si="114"/>
        <v>0.26</v>
      </c>
      <c r="BT105" s="79">
        <f t="shared" si="115"/>
        <v>0.2</v>
      </c>
      <c r="BU105" s="79">
        <f t="shared" si="116"/>
        <v>0.13999999999999999</v>
      </c>
      <c r="BV105" s="90" t="str">
        <f t="array" aca="1" ref="BV105" ca="1">_xlfn.TEXTJOIN(" ",TRUE,
_xlfn.TEXTJOIN(":",TRUE,ROUND(BK105:BO105/MIN(IF(BK105:BO105&gt;0,BK105:BO105)),0)),
"|",
ROUND(SUM(BW105:CA105),0))</f>
        <v>1:2:2:1:1 | -750</v>
      </c>
      <c r="BW105" s="106">
        <f t="shared" ca="1" si="117"/>
        <v>-120</v>
      </c>
      <c r="BX105" s="106">
        <f t="shared" ca="1" si="63"/>
        <v>-180</v>
      </c>
      <c r="BY105" s="106">
        <f t="shared" ca="1" si="64"/>
        <v>-195</v>
      </c>
      <c r="BZ105" s="106">
        <f t="shared" ca="1" si="65"/>
        <v>-150</v>
      </c>
      <c r="CA105" s="106">
        <f t="shared" ca="1" si="118"/>
        <v>-104.99999999999999</v>
      </c>
    </row>
    <row r="106" spans="1:79" x14ac:dyDescent="0.35">
      <c r="A106" s="25" t="s">
        <v>120</v>
      </c>
      <c r="B106" s="10" t="s">
        <v>325</v>
      </c>
      <c r="C106" s="10" t="s">
        <v>344</v>
      </c>
      <c r="D106" s="10" t="s">
        <v>346</v>
      </c>
      <c r="E106" s="11">
        <v>45920</v>
      </c>
      <c r="F106" s="17">
        <v>45892</v>
      </c>
      <c r="G106" s="14">
        <f t="shared" ca="1" si="66"/>
        <v>207</v>
      </c>
      <c r="H106" s="17">
        <v>599</v>
      </c>
      <c r="I106" s="17">
        <v>300</v>
      </c>
      <c r="J106" s="75">
        <f t="shared" si="67"/>
        <v>628</v>
      </c>
      <c r="K106" s="17">
        <v>700</v>
      </c>
      <c r="L106" s="85">
        <v>72</v>
      </c>
      <c r="M106" s="86">
        <f t="shared" ca="1" si="68"/>
        <v>0.34782608695652173</v>
      </c>
      <c r="N106" s="86">
        <f t="shared" si="69"/>
        <v>0.33193597560975613</v>
      </c>
      <c r="O106" s="86">
        <f t="shared" si="70"/>
        <v>0.21951219512195122</v>
      </c>
      <c r="P106" s="87">
        <f t="shared" si="71"/>
        <v>18</v>
      </c>
      <c r="Q106" s="104">
        <f t="shared" si="72"/>
        <v>34.888888888888886</v>
      </c>
      <c r="R106" s="88">
        <f t="shared" si="73"/>
        <v>49.916527545909851</v>
      </c>
      <c r="S106" s="88">
        <f t="shared" si="74"/>
        <v>10.285714285714285</v>
      </c>
      <c r="T106" s="13">
        <f t="shared" si="75"/>
        <v>1</v>
      </c>
      <c r="U106" s="13">
        <f t="shared" si="76"/>
        <v>1</v>
      </c>
      <c r="V106" s="13">
        <f t="shared" si="77"/>
        <v>2</v>
      </c>
      <c r="W106" s="13">
        <f t="shared" ca="1" si="78"/>
        <v>3</v>
      </c>
      <c r="X106" s="13">
        <f t="shared" ca="1" si="79"/>
        <v>7</v>
      </c>
      <c r="Y106" s="81" t="str">
        <f t="shared" ca="1" si="80"/>
        <v>MONITOR</v>
      </c>
      <c r="Z106" s="13">
        <v>14</v>
      </c>
      <c r="AA106" s="75">
        <v>46059</v>
      </c>
      <c r="AB106" s="75">
        <f t="shared" si="81"/>
        <v>45920</v>
      </c>
      <c r="AC106" s="88">
        <f t="shared" si="82"/>
        <v>19.857142857142858</v>
      </c>
      <c r="AD106" s="89" t="str">
        <f t="shared" ca="1" si="83"/>
        <v>STABLE</v>
      </c>
      <c r="AE106" s="89" t="str">
        <f t="shared" si="84"/>
        <v>SLOW SELLING</v>
      </c>
      <c r="AF106" s="89" t="str">
        <f t="shared" si="85"/>
        <v>AT RISK</v>
      </c>
      <c r="AG106" s="89" t="str">
        <f t="shared" si="86"/>
        <v>FEASIBLE</v>
      </c>
      <c r="AH106" s="81" t="str">
        <f t="shared" ca="1" si="87"/>
        <v>MONITOR</v>
      </c>
      <c r="AI106" s="75">
        <f t="shared" ca="1" si="88"/>
        <v>0</v>
      </c>
      <c r="AJ106" s="75">
        <f t="shared" ca="1" si="89"/>
        <v>-628</v>
      </c>
      <c r="AK106" s="13">
        <f t="shared" ca="1" si="90"/>
        <v>-754</v>
      </c>
      <c r="AL106" s="79">
        <v>0.1</v>
      </c>
      <c r="AM106" s="79">
        <v>0.3</v>
      </c>
      <c r="AN106" s="79">
        <v>0.3</v>
      </c>
      <c r="AO106" s="79">
        <v>0.1</v>
      </c>
      <c r="AP106" s="79">
        <v>0.1</v>
      </c>
      <c r="AQ106" s="75">
        <f t="shared" si="91"/>
        <v>62.800000000000004</v>
      </c>
      <c r="AR106" s="75">
        <f t="shared" si="92"/>
        <v>188.4</v>
      </c>
      <c r="AS106" s="75">
        <f t="shared" si="93"/>
        <v>188.4</v>
      </c>
      <c r="AT106" s="75">
        <f t="shared" si="94"/>
        <v>62.800000000000004</v>
      </c>
      <c r="AU106" s="75">
        <f t="shared" si="95"/>
        <v>62.800000000000004</v>
      </c>
      <c r="AV106" s="13">
        <v>0.8</v>
      </c>
      <c r="AW106" s="13">
        <v>1.2</v>
      </c>
      <c r="AX106" s="13">
        <v>1.3</v>
      </c>
      <c r="AY106" s="13">
        <v>1</v>
      </c>
      <c r="AZ106" s="13">
        <v>0.7</v>
      </c>
      <c r="BA106" s="105">
        <f t="shared" si="96"/>
        <v>1.4400000000000002</v>
      </c>
      <c r="BB106" s="13">
        <f t="shared" si="97"/>
        <v>6.4799999999999995</v>
      </c>
      <c r="BC106" s="13">
        <f t="shared" si="98"/>
        <v>7.02</v>
      </c>
      <c r="BD106" s="13">
        <f t="shared" si="99"/>
        <v>1.8</v>
      </c>
      <c r="BE106" s="13">
        <f t="shared" si="100"/>
        <v>1.26</v>
      </c>
      <c r="BF106" s="88">
        <f t="shared" si="101"/>
        <v>43.611111111111107</v>
      </c>
      <c r="BG106" s="88">
        <f t="shared" si="102"/>
        <v>29.074074074074076</v>
      </c>
      <c r="BH106" s="88">
        <f t="shared" si="103"/>
        <v>26.837606837606842</v>
      </c>
      <c r="BI106" s="88">
        <f t="shared" si="104"/>
        <v>34.888888888888893</v>
      </c>
      <c r="BJ106" s="88">
        <f t="shared" si="105"/>
        <v>49.841269841269842</v>
      </c>
      <c r="BK106" s="105">
        <f t="shared" si="106"/>
        <v>2.2929936305732486E-2</v>
      </c>
      <c r="BL106" s="105">
        <f t="shared" si="107"/>
        <v>3.4394904458598725E-2</v>
      </c>
      <c r="BM106" s="105">
        <f t="shared" si="108"/>
        <v>3.7261146496815278E-2</v>
      </c>
      <c r="BN106" s="105">
        <f t="shared" si="109"/>
        <v>2.8662420382165602E-2</v>
      </c>
      <c r="BO106" s="105">
        <f t="shared" si="110"/>
        <v>2.0063694267515923E-2</v>
      </c>
      <c r="BP106" s="105">
        <f t="shared" si="111"/>
        <v>0.14331210191082802</v>
      </c>
      <c r="BQ106" s="79">
        <f t="shared" si="112"/>
        <v>0.16000000000000003</v>
      </c>
      <c r="BR106" s="79">
        <f t="shared" si="113"/>
        <v>0.24</v>
      </c>
      <c r="BS106" s="79">
        <f t="shared" si="114"/>
        <v>0.25999999999999995</v>
      </c>
      <c r="BT106" s="79">
        <f t="shared" si="115"/>
        <v>0.19999999999999998</v>
      </c>
      <c r="BU106" s="79">
        <f t="shared" si="116"/>
        <v>0.13999999999999999</v>
      </c>
      <c r="BV106" s="90" t="str">
        <f t="array" aca="1" ref="BV106" ca="1">_xlfn.TEXTJOIN(" ",TRUE,
_xlfn.TEXTJOIN(":",TRUE,ROUND(BK106:BO106/MIN(IF(BK106:BO106&gt;0,BK106:BO106)),0)),
"|",
ROUND(SUM(BW106:CA106),0))</f>
        <v>1:2:2:1:1 | -754</v>
      </c>
      <c r="BW106" s="106">
        <f t="shared" ca="1" si="117"/>
        <v>-120.64000000000003</v>
      </c>
      <c r="BX106" s="106">
        <f t="shared" ca="1" si="63"/>
        <v>-180.95999999999998</v>
      </c>
      <c r="BY106" s="106">
        <f t="shared" ca="1" si="64"/>
        <v>-196.03999999999996</v>
      </c>
      <c r="BZ106" s="106">
        <f t="shared" ca="1" si="65"/>
        <v>-150.79999999999998</v>
      </c>
      <c r="CA106" s="106">
        <f t="shared" ca="1" si="118"/>
        <v>-105.55999999999999</v>
      </c>
    </row>
    <row r="107" spans="1:79" x14ac:dyDescent="0.35">
      <c r="A107" s="25" t="s">
        <v>121</v>
      </c>
      <c r="B107" s="10" t="s">
        <v>317</v>
      </c>
      <c r="C107" s="10" t="s">
        <v>344</v>
      </c>
      <c r="D107" s="10" t="s">
        <v>346</v>
      </c>
      <c r="E107" s="11">
        <v>45878</v>
      </c>
      <c r="F107" s="17">
        <v>45892</v>
      </c>
      <c r="G107" s="14">
        <f t="shared" ca="1" si="66"/>
        <v>207</v>
      </c>
      <c r="H107" s="17">
        <v>799</v>
      </c>
      <c r="I107" s="17">
        <v>450</v>
      </c>
      <c r="J107" s="75">
        <f t="shared" si="67"/>
        <v>744</v>
      </c>
      <c r="K107" s="17">
        <v>800</v>
      </c>
      <c r="L107" s="85">
        <v>56</v>
      </c>
      <c r="M107" s="86">
        <f t="shared" ca="1" si="68"/>
        <v>0.27053140096618356</v>
      </c>
      <c r="N107" s="86">
        <f t="shared" si="69"/>
        <v>0.33193597560975613</v>
      </c>
      <c r="O107" s="86">
        <f t="shared" si="70"/>
        <v>0.17073170731707318</v>
      </c>
      <c r="P107" s="87">
        <f t="shared" si="71"/>
        <v>14.000000000000002</v>
      </c>
      <c r="Q107" s="104">
        <f t="shared" si="72"/>
        <v>53.142857142857139</v>
      </c>
      <c r="R107" s="88">
        <f t="shared" si="73"/>
        <v>43.67959949937422</v>
      </c>
      <c r="S107" s="88">
        <f t="shared" si="74"/>
        <v>7.0000000000000009</v>
      </c>
      <c r="T107" s="13">
        <f t="shared" si="75"/>
        <v>1</v>
      </c>
      <c r="U107" s="13">
        <f t="shared" si="76"/>
        <v>1</v>
      </c>
      <c r="V107" s="13">
        <f t="shared" si="77"/>
        <v>1</v>
      </c>
      <c r="W107" s="13">
        <f t="shared" ca="1" si="78"/>
        <v>3</v>
      </c>
      <c r="X107" s="13">
        <f t="shared" ca="1" si="79"/>
        <v>6</v>
      </c>
      <c r="Y107" s="81" t="str">
        <f t="shared" ca="1" si="80"/>
        <v>MONITOR</v>
      </c>
      <c r="Z107" s="13">
        <v>14</v>
      </c>
      <c r="AA107" s="75">
        <v>46059</v>
      </c>
      <c r="AB107" s="75">
        <f t="shared" si="81"/>
        <v>45920</v>
      </c>
      <c r="AC107" s="88">
        <f t="shared" si="82"/>
        <v>19.857142857142858</v>
      </c>
      <c r="AD107" s="89" t="str">
        <f t="shared" ca="1" si="83"/>
        <v>STABLE</v>
      </c>
      <c r="AE107" s="89" t="str">
        <f t="shared" si="84"/>
        <v>SLOW SELLING</v>
      </c>
      <c r="AF107" s="89" t="str">
        <f t="shared" si="85"/>
        <v>AT RISK</v>
      </c>
      <c r="AG107" s="89" t="str">
        <f t="shared" si="86"/>
        <v>FEASIBLE</v>
      </c>
      <c r="AH107" s="81" t="str">
        <f t="shared" ca="1" si="87"/>
        <v>MONITOR</v>
      </c>
      <c r="AI107" s="75">
        <f t="shared" ca="1" si="88"/>
        <v>0</v>
      </c>
      <c r="AJ107" s="75">
        <f t="shared" ca="1" si="89"/>
        <v>-744</v>
      </c>
      <c r="AK107" s="13">
        <f t="shared" ca="1" si="90"/>
        <v>-893</v>
      </c>
      <c r="AL107" s="79">
        <v>0.1</v>
      </c>
      <c r="AM107" s="79">
        <v>0.3</v>
      </c>
      <c r="AN107" s="79">
        <v>0.3</v>
      </c>
      <c r="AO107" s="79">
        <v>0.1</v>
      </c>
      <c r="AP107" s="79">
        <v>0.1</v>
      </c>
      <c r="AQ107" s="75">
        <f t="shared" si="91"/>
        <v>74.400000000000006</v>
      </c>
      <c r="AR107" s="75">
        <f t="shared" si="92"/>
        <v>223.2</v>
      </c>
      <c r="AS107" s="75">
        <f t="shared" si="93"/>
        <v>223.2</v>
      </c>
      <c r="AT107" s="75">
        <f t="shared" si="94"/>
        <v>74.400000000000006</v>
      </c>
      <c r="AU107" s="75">
        <f t="shared" si="95"/>
        <v>74.400000000000006</v>
      </c>
      <c r="AV107" s="13">
        <v>0.8</v>
      </c>
      <c r="AW107" s="13">
        <v>1.2</v>
      </c>
      <c r="AX107" s="13">
        <v>1.3</v>
      </c>
      <c r="AY107" s="13">
        <v>1</v>
      </c>
      <c r="AZ107" s="13">
        <v>0.7</v>
      </c>
      <c r="BA107" s="105">
        <f t="shared" si="96"/>
        <v>1.1200000000000003</v>
      </c>
      <c r="BB107" s="13">
        <f t="shared" si="97"/>
        <v>5.04</v>
      </c>
      <c r="BC107" s="13">
        <f t="shared" si="98"/>
        <v>5.4600000000000009</v>
      </c>
      <c r="BD107" s="13">
        <f t="shared" si="99"/>
        <v>1.4000000000000004</v>
      </c>
      <c r="BE107" s="13">
        <f t="shared" si="100"/>
        <v>0.9800000000000002</v>
      </c>
      <c r="BF107" s="88">
        <f t="shared" si="101"/>
        <v>66.428571428571416</v>
      </c>
      <c r="BG107" s="88">
        <f t="shared" si="102"/>
        <v>44.285714285714285</v>
      </c>
      <c r="BH107" s="88">
        <f t="shared" si="103"/>
        <v>40.879120879120869</v>
      </c>
      <c r="BI107" s="88">
        <f t="shared" si="104"/>
        <v>53.142857142857132</v>
      </c>
      <c r="BJ107" s="88">
        <f t="shared" si="105"/>
        <v>75.918367346938766</v>
      </c>
      <c r="BK107" s="105">
        <f t="shared" si="106"/>
        <v>1.5053763440860218E-2</v>
      </c>
      <c r="BL107" s="105">
        <f t="shared" si="107"/>
        <v>2.2580645161290325E-2</v>
      </c>
      <c r="BM107" s="105">
        <f t="shared" si="108"/>
        <v>2.4462365591397854E-2</v>
      </c>
      <c r="BN107" s="105">
        <f t="shared" si="109"/>
        <v>1.8817204301075273E-2</v>
      </c>
      <c r="BO107" s="105">
        <f t="shared" si="110"/>
        <v>1.317204301075269E-2</v>
      </c>
      <c r="BP107" s="105">
        <f t="shared" si="111"/>
        <v>9.4086021505376358E-2</v>
      </c>
      <c r="BQ107" s="79">
        <f t="shared" si="112"/>
        <v>0.16</v>
      </c>
      <c r="BR107" s="79">
        <f t="shared" si="113"/>
        <v>0.24</v>
      </c>
      <c r="BS107" s="79">
        <f t="shared" si="114"/>
        <v>0.26</v>
      </c>
      <c r="BT107" s="79">
        <f t="shared" si="115"/>
        <v>0.2</v>
      </c>
      <c r="BU107" s="79">
        <f t="shared" si="116"/>
        <v>0.13999999999999999</v>
      </c>
      <c r="BV107" s="90" t="str">
        <f t="array" aca="1" ref="BV107" ca="1">_xlfn.TEXTJOIN(" ",TRUE,
_xlfn.TEXTJOIN(":",TRUE,ROUND(BK107:BO107/MIN(IF(BK107:BO107&gt;0,BK107:BO107)),0)),
"|",
ROUND(SUM(BW107:CA107),0))</f>
        <v>1:2:2:1:1 | -893</v>
      </c>
      <c r="BW107" s="106">
        <f t="shared" ca="1" si="117"/>
        <v>-142.88</v>
      </c>
      <c r="BX107" s="106">
        <f t="shared" ca="1" si="63"/>
        <v>-214.32</v>
      </c>
      <c r="BY107" s="106">
        <f t="shared" ca="1" si="64"/>
        <v>-232.18</v>
      </c>
      <c r="BZ107" s="106">
        <f t="shared" ca="1" si="65"/>
        <v>-178.60000000000002</v>
      </c>
      <c r="CA107" s="106">
        <f t="shared" ca="1" si="118"/>
        <v>-125.01999999999998</v>
      </c>
    </row>
    <row r="108" spans="1:79" x14ac:dyDescent="0.35">
      <c r="A108" s="25" t="s">
        <v>122</v>
      </c>
      <c r="B108" s="10" t="s">
        <v>317</v>
      </c>
      <c r="C108" s="10" t="s">
        <v>344</v>
      </c>
      <c r="D108" s="10" t="s">
        <v>346</v>
      </c>
      <c r="E108" s="11">
        <v>45878</v>
      </c>
      <c r="F108" s="17">
        <v>45892</v>
      </c>
      <c r="G108" s="14">
        <f t="shared" ca="1" si="66"/>
        <v>207</v>
      </c>
      <c r="H108" s="17">
        <v>799</v>
      </c>
      <c r="I108" s="17">
        <v>450</v>
      </c>
      <c r="J108" s="75">
        <f t="shared" si="67"/>
        <v>631</v>
      </c>
      <c r="K108" s="17">
        <v>800</v>
      </c>
      <c r="L108" s="85">
        <v>169</v>
      </c>
      <c r="M108" s="86">
        <f t="shared" ca="1" si="68"/>
        <v>0.81642512077294682</v>
      </c>
      <c r="N108" s="86">
        <f t="shared" si="69"/>
        <v>0.33193597560975613</v>
      </c>
      <c r="O108" s="86">
        <f t="shared" si="70"/>
        <v>0.5152439024390244</v>
      </c>
      <c r="P108" s="87">
        <f t="shared" si="71"/>
        <v>42.25</v>
      </c>
      <c r="Q108" s="104">
        <f t="shared" si="72"/>
        <v>14.934911242603551</v>
      </c>
      <c r="R108" s="88">
        <f t="shared" si="73"/>
        <v>43.67959949937422</v>
      </c>
      <c r="S108" s="88">
        <f t="shared" si="74"/>
        <v>21.125</v>
      </c>
      <c r="T108" s="13">
        <f t="shared" si="75"/>
        <v>3</v>
      </c>
      <c r="U108" s="13">
        <f t="shared" si="76"/>
        <v>1</v>
      </c>
      <c r="V108" s="13">
        <f t="shared" si="77"/>
        <v>1</v>
      </c>
      <c r="W108" s="13">
        <f t="shared" ca="1" si="78"/>
        <v>3</v>
      </c>
      <c r="X108" s="13">
        <f t="shared" ca="1" si="79"/>
        <v>8</v>
      </c>
      <c r="Y108" s="81" t="str">
        <f t="shared" ca="1" si="80"/>
        <v>MONITOR</v>
      </c>
      <c r="Z108" s="13">
        <v>14</v>
      </c>
      <c r="AA108" s="75">
        <v>46059</v>
      </c>
      <c r="AB108" s="75">
        <f t="shared" si="81"/>
        <v>45920</v>
      </c>
      <c r="AC108" s="88">
        <f t="shared" si="82"/>
        <v>19.857142857142858</v>
      </c>
      <c r="AD108" s="89" t="str">
        <f t="shared" ca="1" si="83"/>
        <v>STABLE</v>
      </c>
      <c r="AE108" s="89" t="str">
        <f t="shared" si="84"/>
        <v>FAST SELLING</v>
      </c>
      <c r="AF108" s="89" t="str">
        <f t="shared" si="85"/>
        <v>AT RISK</v>
      </c>
      <c r="AG108" s="89" t="str">
        <f t="shared" si="86"/>
        <v>FEASIBLE</v>
      </c>
      <c r="AH108" s="81" t="str">
        <f t="shared" ca="1" si="87"/>
        <v>MONITOR</v>
      </c>
      <c r="AI108" s="75">
        <f t="shared" ca="1" si="88"/>
        <v>0</v>
      </c>
      <c r="AJ108" s="75">
        <f t="shared" ca="1" si="89"/>
        <v>-631</v>
      </c>
      <c r="AK108" s="13">
        <f t="shared" ca="1" si="90"/>
        <v>-757</v>
      </c>
      <c r="AL108" s="79">
        <v>0.1</v>
      </c>
      <c r="AM108" s="79">
        <v>0.3</v>
      </c>
      <c r="AN108" s="79">
        <v>0.3</v>
      </c>
      <c r="AO108" s="79">
        <v>0.1</v>
      </c>
      <c r="AP108" s="79">
        <v>0.1</v>
      </c>
      <c r="AQ108" s="75">
        <f t="shared" si="91"/>
        <v>63.1</v>
      </c>
      <c r="AR108" s="75">
        <f t="shared" si="92"/>
        <v>189.29999999999998</v>
      </c>
      <c r="AS108" s="75">
        <f t="shared" si="93"/>
        <v>189.29999999999998</v>
      </c>
      <c r="AT108" s="75">
        <f t="shared" si="94"/>
        <v>63.1</v>
      </c>
      <c r="AU108" s="75">
        <f t="shared" si="95"/>
        <v>63.1</v>
      </c>
      <c r="AV108" s="13">
        <v>0.8</v>
      </c>
      <c r="AW108" s="13">
        <v>1.2</v>
      </c>
      <c r="AX108" s="13">
        <v>1.3</v>
      </c>
      <c r="AY108" s="13">
        <v>1</v>
      </c>
      <c r="AZ108" s="13">
        <v>0.7</v>
      </c>
      <c r="BA108" s="105">
        <f t="shared" si="96"/>
        <v>3.3800000000000008</v>
      </c>
      <c r="BB108" s="13">
        <f t="shared" si="97"/>
        <v>15.209999999999997</v>
      </c>
      <c r="BC108" s="13">
        <f t="shared" si="98"/>
        <v>16.477499999999999</v>
      </c>
      <c r="BD108" s="13">
        <f t="shared" si="99"/>
        <v>4.2250000000000005</v>
      </c>
      <c r="BE108" s="13">
        <f t="shared" si="100"/>
        <v>2.9575</v>
      </c>
      <c r="BF108" s="88">
        <f t="shared" si="101"/>
        <v>18.668639053254434</v>
      </c>
      <c r="BG108" s="88">
        <f t="shared" si="102"/>
        <v>12.445759368836294</v>
      </c>
      <c r="BH108" s="88">
        <f t="shared" si="103"/>
        <v>11.488393263541193</v>
      </c>
      <c r="BI108" s="88">
        <f t="shared" si="104"/>
        <v>14.934911242603549</v>
      </c>
      <c r="BJ108" s="88">
        <f t="shared" si="105"/>
        <v>21.335587489433642</v>
      </c>
      <c r="BK108" s="105">
        <f t="shared" si="106"/>
        <v>5.3565768621236146E-2</v>
      </c>
      <c r="BL108" s="105">
        <f t="shared" si="107"/>
        <v>8.0348652931854184E-2</v>
      </c>
      <c r="BM108" s="105">
        <f t="shared" si="108"/>
        <v>8.7044374009508721E-2</v>
      </c>
      <c r="BN108" s="105">
        <f t="shared" si="109"/>
        <v>6.6957210776545165E-2</v>
      </c>
      <c r="BO108" s="105">
        <f t="shared" si="110"/>
        <v>4.6870047543581615E-2</v>
      </c>
      <c r="BP108" s="105">
        <f t="shared" si="111"/>
        <v>0.33478605388272581</v>
      </c>
      <c r="BQ108" s="79">
        <f t="shared" si="112"/>
        <v>0.16000000000000006</v>
      </c>
      <c r="BR108" s="79">
        <f t="shared" si="113"/>
        <v>0.23999999999999996</v>
      </c>
      <c r="BS108" s="79">
        <f t="shared" si="114"/>
        <v>0.26</v>
      </c>
      <c r="BT108" s="79">
        <f t="shared" si="115"/>
        <v>0.2</v>
      </c>
      <c r="BU108" s="79">
        <f t="shared" si="116"/>
        <v>0.14000000000000001</v>
      </c>
      <c r="BV108" s="90" t="str">
        <f t="array" aca="1" ref="BV108" ca="1">_xlfn.TEXTJOIN(" ",TRUE,
_xlfn.TEXTJOIN(":",TRUE,ROUND(BK108:BO108/MIN(IF(BK108:BO108&gt;0,BK108:BO108)),0)),
"|",
ROUND(SUM(BW108:CA108),0))</f>
        <v>1:2:2:1:1 | -757</v>
      </c>
      <c r="BW108" s="106">
        <f t="shared" ca="1" si="117"/>
        <v>-121.12000000000005</v>
      </c>
      <c r="BX108" s="106">
        <f t="shared" ca="1" si="63"/>
        <v>-181.67999999999998</v>
      </c>
      <c r="BY108" s="106">
        <f t="shared" ca="1" si="64"/>
        <v>-196.82</v>
      </c>
      <c r="BZ108" s="106">
        <f t="shared" ca="1" si="65"/>
        <v>-151.4</v>
      </c>
      <c r="CA108" s="106">
        <f t="shared" ca="1" si="118"/>
        <v>-105.98</v>
      </c>
    </row>
    <row r="109" spans="1:79" x14ac:dyDescent="0.35">
      <c r="A109" s="25" t="s">
        <v>123</v>
      </c>
      <c r="B109" s="10" t="s">
        <v>317</v>
      </c>
      <c r="C109" s="10" t="s">
        <v>344</v>
      </c>
      <c r="D109" s="10" t="s">
        <v>346</v>
      </c>
      <c r="E109" s="11">
        <v>45878</v>
      </c>
      <c r="F109" s="17">
        <v>45892</v>
      </c>
      <c r="G109" s="14">
        <f t="shared" ca="1" si="66"/>
        <v>207</v>
      </c>
      <c r="H109" s="17">
        <v>799</v>
      </c>
      <c r="I109" s="17">
        <v>450</v>
      </c>
      <c r="J109" s="75">
        <f t="shared" si="67"/>
        <v>643</v>
      </c>
      <c r="K109" s="17">
        <v>800</v>
      </c>
      <c r="L109" s="85">
        <v>157</v>
      </c>
      <c r="M109" s="86">
        <f t="shared" ca="1" si="68"/>
        <v>0.75845410628019327</v>
      </c>
      <c r="N109" s="86">
        <f t="shared" si="69"/>
        <v>0.33193597560975613</v>
      </c>
      <c r="O109" s="86">
        <f t="shared" si="70"/>
        <v>0.47865853658536583</v>
      </c>
      <c r="P109" s="87">
        <f t="shared" si="71"/>
        <v>39.25</v>
      </c>
      <c r="Q109" s="104">
        <f t="shared" si="72"/>
        <v>16.38216560509554</v>
      </c>
      <c r="R109" s="88">
        <f t="shared" si="73"/>
        <v>43.67959949937422</v>
      </c>
      <c r="S109" s="88">
        <f t="shared" si="74"/>
        <v>19.625</v>
      </c>
      <c r="T109" s="13">
        <f t="shared" si="75"/>
        <v>3</v>
      </c>
      <c r="U109" s="13">
        <f t="shared" si="76"/>
        <v>1</v>
      </c>
      <c r="V109" s="13">
        <f t="shared" si="77"/>
        <v>1</v>
      </c>
      <c r="W109" s="13">
        <f t="shared" ca="1" si="78"/>
        <v>3</v>
      </c>
      <c r="X109" s="13">
        <f t="shared" ca="1" si="79"/>
        <v>8</v>
      </c>
      <c r="Y109" s="81" t="str">
        <f t="shared" ca="1" si="80"/>
        <v>MONITOR</v>
      </c>
      <c r="Z109" s="13">
        <v>14</v>
      </c>
      <c r="AA109" s="75">
        <v>46059</v>
      </c>
      <c r="AB109" s="75">
        <f t="shared" si="81"/>
        <v>45920</v>
      </c>
      <c r="AC109" s="88">
        <f t="shared" si="82"/>
        <v>19.857142857142858</v>
      </c>
      <c r="AD109" s="89" t="str">
        <f t="shared" ca="1" si="83"/>
        <v>STABLE</v>
      </c>
      <c r="AE109" s="89" t="str">
        <f t="shared" si="84"/>
        <v>FAST SELLING</v>
      </c>
      <c r="AF109" s="89" t="str">
        <f t="shared" si="85"/>
        <v>AT RISK</v>
      </c>
      <c r="AG109" s="89" t="str">
        <f t="shared" si="86"/>
        <v>FEASIBLE</v>
      </c>
      <c r="AH109" s="81" t="str">
        <f t="shared" ca="1" si="87"/>
        <v>MONITOR</v>
      </c>
      <c r="AI109" s="75">
        <f t="shared" ca="1" si="88"/>
        <v>0</v>
      </c>
      <c r="AJ109" s="75">
        <f t="shared" ca="1" si="89"/>
        <v>-643</v>
      </c>
      <c r="AK109" s="13">
        <f t="shared" ca="1" si="90"/>
        <v>-772</v>
      </c>
      <c r="AL109" s="79">
        <v>0.1</v>
      </c>
      <c r="AM109" s="79">
        <v>0.3</v>
      </c>
      <c r="AN109" s="79">
        <v>0.3</v>
      </c>
      <c r="AO109" s="79">
        <v>0.1</v>
      </c>
      <c r="AP109" s="79">
        <v>0.1</v>
      </c>
      <c r="AQ109" s="75">
        <f t="shared" si="91"/>
        <v>64.3</v>
      </c>
      <c r="AR109" s="75">
        <f t="shared" si="92"/>
        <v>192.9</v>
      </c>
      <c r="AS109" s="75">
        <f t="shared" si="93"/>
        <v>192.9</v>
      </c>
      <c r="AT109" s="75">
        <f t="shared" si="94"/>
        <v>64.3</v>
      </c>
      <c r="AU109" s="75">
        <f t="shared" si="95"/>
        <v>64.3</v>
      </c>
      <c r="AV109" s="13">
        <v>0.8</v>
      </c>
      <c r="AW109" s="13">
        <v>1.2</v>
      </c>
      <c r="AX109" s="13">
        <v>1.3</v>
      </c>
      <c r="AY109" s="13">
        <v>1</v>
      </c>
      <c r="AZ109" s="13">
        <v>0.7</v>
      </c>
      <c r="BA109" s="105">
        <f t="shared" si="96"/>
        <v>3.1400000000000006</v>
      </c>
      <c r="BB109" s="13">
        <f t="shared" si="97"/>
        <v>14.13</v>
      </c>
      <c r="BC109" s="13">
        <f t="shared" si="98"/>
        <v>15.307500000000001</v>
      </c>
      <c r="BD109" s="13">
        <f t="shared" si="99"/>
        <v>3.9250000000000003</v>
      </c>
      <c r="BE109" s="13">
        <f t="shared" si="100"/>
        <v>2.7475000000000001</v>
      </c>
      <c r="BF109" s="88">
        <f t="shared" si="101"/>
        <v>20.477707006369421</v>
      </c>
      <c r="BG109" s="88">
        <f t="shared" si="102"/>
        <v>13.65180467091295</v>
      </c>
      <c r="BH109" s="88">
        <f t="shared" si="103"/>
        <v>12.601665850073493</v>
      </c>
      <c r="BI109" s="88">
        <f t="shared" si="104"/>
        <v>16.38216560509554</v>
      </c>
      <c r="BJ109" s="88">
        <f t="shared" si="105"/>
        <v>23.403093721565057</v>
      </c>
      <c r="BK109" s="105">
        <f t="shared" si="106"/>
        <v>4.883359253499224E-2</v>
      </c>
      <c r="BL109" s="105">
        <f t="shared" si="107"/>
        <v>7.3250388802488339E-2</v>
      </c>
      <c r="BM109" s="105">
        <f t="shared" si="108"/>
        <v>7.9354587869362364E-2</v>
      </c>
      <c r="BN109" s="105">
        <f t="shared" si="109"/>
        <v>6.1041990668740283E-2</v>
      </c>
      <c r="BO109" s="105">
        <f t="shared" si="110"/>
        <v>4.2729393468118201E-2</v>
      </c>
      <c r="BP109" s="105">
        <f t="shared" si="111"/>
        <v>0.30520995334370143</v>
      </c>
      <c r="BQ109" s="79">
        <f t="shared" si="112"/>
        <v>0.16000000000000003</v>
      </c>
      <c r="BR109" s="79">
        <f t="shared" si="113"/>
        <v>0.24</v>
      </c>
      <c r="BS109" s="79">
        <f t="shared" si="114"/>
        <v>0.25999999999999995</v>
      </c>
      <c r="BT109" s="79">
        <f t="shared" si="115"/>
        <v>0.19999999999999998</v>
      </c>
      <c r="BU109" s="79">
        <f t="shared" si="116"/>
        <v>0.14000000000000001</v>
      </c>
      <c r="BV109" s="90" t="str">
        <f t="array" aca="1" ref="BV109" ca="1">_xlfn.TEXTJOIN(" ",TRUE,
_xlfn.TEXTJOIN(":",TRUE,ROUND(BK109:BO109/MIN(IF(BK109:BO109&gt;0,BK109:BO109)),0)),
"|",
ROUND(SUM(BW109:CA109),0))</f>
        <v>1:2:2:1:1 | -772</v>
      </c>
      <c r="BW109" s="106">
        <f t="shared" ca="1" si="117"/>
        <v>-123.52000000000002</v>
      </c>
      <c r="BX109" s="106">
        <f t="shared" ca="1" si="63"/>
        <v>-185.28</v>
      </c>
      <c r="BY109" s="106">
        <f t="shared" ca="1" si="64"/>
        <v>-200.71999999999997</v>
      </c>
      <c r="BZ109" s="106">
        <f t="shared" ca="1" si="65"/>
        <v>-154.39999999999998</v>
      </c>
      <c r="CA109" s="106">
        <f t="shared" ca="1" si="118"/>
        <v>-108.08000000000001</v>
      </c>
    </row>
    <row r="110" spans="1:79" x14ac:dyDescent="0.35">
      <c r="A110" s="25" t="s">
        <v>124</v>
      </c>
      <c r="B110" s="10" t="s">
        <v>317</v>
      </c>
      <c r="C110" s="10" t="s">
        <v>344</v>
      </c>
      <c r="D110" s="10" t="s">
        <v>346</v>
      </c>
      <c r="E110" s="11">
        <v>45878</v>
      </c>
      <c r="F110" s="17">
        <v>45892</v>
      </c>
      <c r="G110" s="14">
        <f t="shared" ca="1" si="66"/>
        <v>207</v>
      </c>
      <c r="H110" s="17">
        <v>799</v>
      </c>
      <c r="I110" s="17">
        <v>450</v>
      </c>
      <c r="J110" s="75">
        <f t="shared" si="67"/>
        <v>648</v>
      </c>
      <c r="K110" s="17">
        <v>800</v>
      </c>
      <c r="L110" s="85">
        <v>152</v>
      </c>
      <c r="M110" s="86">
        <f t="shared" ca="1" si="68"/>
        <v>0.7342995169082126</v>
      </c>
      <c r="N110" s="86">
        <f t="shared" si="69"/>
        <v>0.33193597560975613</v>
      </c>
      <c r="O110" s="86">
        <f t="shared" si="70"/>
        <v>0.46341463414634149</v>
      </c>
      <c r="P110" s="87">
        <f t="shared" si="71"/>
        <v>38</v>
      </c>
      <c r="Q110" s="104">
        <f t="shared" si="72"/>
        <v>17.05263157894737</v>
      </c>
      <c r="R110" s="88">
        <f t="shared" si="73"/>
        <v>43.67959949937422</v>
      </c>
      <c r="S110" s="88">
        <f t="shared" si="74"/>
        <v>19</v>
      </c>
      <c r="T110" s="13">
        <f t="shared" si="75"/>
        <v>3</v>
      </c>
      <c r="U110" s="13">
        <f t="shared" si="76"/>
        <v>1</v>
      </c>
      <c r="V110" s="13">
        <f t="shared" si="77"/>
        <v>1</v>
      </c>
      <c r="W110" s="13">
        <f t="shared" ca="1" si="78"/>
        <v>3</v>
      </c>
      <c r="X110" s="13">
        <f t="shared" ca="1" si="79"/>
        <v>8</v>
      </c>
      <c r="Y110" s="81" t="str">
        <f t="shared" ca="1" si="80"/>
        <v>MONITOR</v>
      </c>
      <c r="Z110" s="13">
        <v>14</v>
      </c>
      <c r="AA110" s="75">
        <v>46059</v>
      </c>
      <c r="AB110" s="75">
        <f t="shared" si="81"/>
        <v>45920</v>
      </c>
      <c r="AC110" s="88">
        <f t="shared" si="82"/>
        <v>19.857142857142858</v>
      </c>
      <c r="AD110" s="89" t="str">
        <f t="shared" ca="1" si="83"/>
        <v>STABLE</v>
      </c>
      <c r="AE110" s="89" t="str">
        <f t="shared" si="84"/>
        <v>FAST SELLING</v>
      </c>
      <c r="AF110" s="89" t="str">
        <f t="shared" si="85"/>
        <v>AT RISK</v>
      </c>
      <c r="AG110" s="89" t="str">
        <f t="shared" si="86"/>
        <v>FEASIBLE</v>
      </c>
      <c r="AH110" s="81" t="str">
        <f t="shared" ca="1" si="87"/>
        <v>MONITOR</v>
      </c>
      <c r="AI110" s="75">
        <f t="shared" ca="1" si="88"/>
        <v>0</v>
      </c>
      <c r="AJ110" s="75">
        <f t="shared" ca="1" si="89"/>
        <v>-648</v>
      </c>
      <c r="AK110" s="13">
        <f t="shared" ca="1" si="90"/>
        <v>-778</v>
      </c>
      <c r="AL110" s="79">
        <v>0.1</v>
      </c>
      <c r="AM110" s="79">
        <v>0.3</v>
      </c>
      <c r="AN110" s="79">
        <v>0.3</v>
      </c>
      <c r="AO110" s="79">
        <v>0.1</v>
      </c>
      <c r="AP110" s="79">
        <v>0.1</v>
      </c>
      <c r="AQ110" s="75">
        <f t="shared" si="91"/>
        <v>64.8</v>
      </c>
      <c r="AR110" s="75">
        <f t="shared" si="92"/>
        <v>194.4</v>
      </c>
      <c r="AS110" s="75">
        <f t="shared" si="93"/>
        <v>194.4</v>
      </c>
      <c r="AT110" s="75">
        <f t="shared" si="94"/>
        <v>64.8</v>
      </c>
      <c r="AU110" s="75">
        <f t="shared" si="95"/>
        <v>64.8</v>
      </c>
      <c r="AV110" s="13">
        <v>0.8</v>
      </c>
      <c r="AW110" s="13">
        <v>1.2</v>
      </c>
      <c r="AX110" s="13">
        <v>1.3</v>
      </c>
      <c r="AY110" s="13">
        <v>1</v>
      </c>
      <c r="AZ110" s="13">
        <v>0.7</v>
      </c>
      <c r="BA110" s="105">
        <f t="shared" si="96"/>
        <v>3.0400000000000005</v>
      </c>
      <c r="BB110" s="13">
        <f t="shared" si="97"/>
        <v>13.68</v>
      </c>
      <c r="BC110" s="13">
        <f t="shared" si="98"/>
        <v>14.82</v>
      </c>
      <c r="BD110" s="13">
        <f t="shared" si="99"/>
        <v>3.8000000000000003</v>
      </c>
      <c r="BE110" s="13">
        <f t="shared" si="100"/>
        <v>2.66</v>
      </c>
      <c r="BF110" s="88">
        <f t="shared" si="101"/>
        <v>21.315789473684205</v>
      </c>
      <c r="BG110" s="88">
        <f t="shared" si="102"/>
        <v>14.210526315789474</v>
      </c>
      <c r="BH110" s="88">
        <f t="shared" si="103"/>
        <v>13.117408906882591</v>
      </c>
      <c r="BI110" s="88">
        <f t="shared" si="104"/>
        <v>17.052631578947366</v>
      </c>
      <c r="BJ110" s="88">
        <f t="shared" si="105"/>
        <v>24.360902255639097</v>
      </c>
      <c r="BK110" s="105">
        <f t="shared" si="106"/>
        <v>4.691358024691359E-2</v>
      </c>
      <c r="BL110" s="105">
        <f t="shared" si="107"/>
        <v>7.0370370370370361E-2</v>
      </c>
      <c r="BM110" s="105">
        <f t="shared" si="108"/>
        <v>7.6234567901234562E-2</v>
      </c>
      <c r="BN110" s="105">
        <f t="shared" si="109"/>
        <v>5.8641975308641979E-2</v>
      </c>
      <c r="BO110" s="105">
        <f t="shared" si="110"/>
        <v>4.1049382716049382E-2</v>
      </c>
      <c r="BP110" s="105">
        <f t="shared" si="111"/>
        <v>0.29320987654320985</v>
      </c>
      <c r="BQ110" s="79">
        <f t="shared" si="112"/>
        <v>0.16000000000000006</v>
      </c>
      <c r="BR110" s="79">
        <f t="shared" si="113"/>
        <v>0.24</v>
      </c>
      <c r="BS110" s="79">
        <f t="shared" si="114"/>
        <v>0.26</v>
      </c>
      <c r="BT110" s="79">
        <f t="shared" si="115"/>
        <v>0.20000000000000004</v>
      </c>
      <c r="BU110" s="79">
        <f t="shared" si="116"/>
        <v>0.14000000000000001</v>
      </c>
      <c r="BV110" s="90" t="str">
        <f t="array" aca="1" ref="BV110" ca="1">_xlfn.TEXTJOIN(" ",TRUE,
_xlfn.TEXTJOIN(":",TRUE,ROUND(BK110:BO110/MIN(IF(BK110:BO110&gt;0,BK110:BO110)),0)),
"|",
ROUND(SUM(BW110:CA110),0))</f>
        <v>1:2:2:1:1 | -778</v>
      </c>
      <c r="BW110" s="106">
        <f t="shared" ca="1" si="117"/>
        <v>-124.48000000000005</v>
      </c>
      <c r="BX110" s="106">
        <f t="shared" ca="1" si="63"/>
        <v>-186.72</v>
      </c>
      <c r="BY110" s="106">
        <f t="shared" ca="1" si="64"/>
        <v>-202.28</v>
      </c>
      <c r="BZ110" s="106">
        <f t="shared" ca="1" si="65"/>
        <v>-155.60000000000002</v>
      </c>
      <c r="CA110" s="106">
        <f t="shared" ca="1" si="118"/>
        <v>-108.92000000000002</v>
      </c>
    </row>
    <row r="111" spans="1:79" x14ac:dyDescent="0.35">
      <c r="A111" s="25" t="s">
        <v>125</v>
      </c>
      <c r="B111" s="10" t="s">
        <v>317</v>
      </c>
      <c r="C111" s="10" t="s">
        <v>344</v>
      </c>
      <c r="D111" s="10" t="s">
        <v>346</v>
      </c>
      <c r="E111" s="11">
        <v>45920</v>
      </c>
      <c r="F111" s="17">
        <v>45892</v>
      </c>
      <c r="G111" s="14">
        <f t="shared" ca="1" si="66"/>
        <v>207</v>
      </c>
      <c r="H111" s="17">
        <v>799</v>
      </c>
      <c r="I111" s="17">
        <v>450</v>
      </c>
      <c r="J111" s="75">
        <f t="shared" si="67"/>
        <v>566</v>
      </c>
      <c r="K111" s="17">
        <v>800</v>
      </c>
      <c r="L111" s="85">
        <v>234</v>
      </c>
      <c r="M111" s="86">
        <f t="shared" ca="1" si="68"/>
        <v>1.1304347826086956</v>
      </c>
      <c r="N111" s="86">
        <f t="shared" si="69"/>
        <v>0.33193597560975613</v>
      </c>
      <c r="O111" s="86">
        <f t="shared" si="70"/>
        <v>0.71341463414634143</v>
      </c>
      <c r="P111" s="87">
        <f t="shared" si="71"/>
        <v>58.5</v>
      </c>
      <c r="Q111" s="104">
        <f t="shared" si="72"/>
        <v>9.6752136752136746</v>
      </c>
      <c r="R111" s="88">
        <f t="shared" si="73"/>
        <v>43.67959949937422</v>
      </c>
      <c r="S111" s="88">
        <f t="shared" si="74"/>
        <v>29.25</v>
      </c>
      <c r="T111" s="13">
        <f t="shared" si="75"/>
        <v>3</v>
      </c>
      <c r="U111" s="13">
        <f t="shared" si="76"/>
        <v>1</v>
      </c>
      <c r="V111" s="13">
        <f t="shared" si="77"/>
        <v>1</v>
      </c>
      <c r="W111" s="13">
        <f t="shared" ca="1" si="78"/>
        <v>3</v>
      </c>
      <c r="X111" s="13">
        <f t="shared" ca="1" si="79"/>
        <v>8</v>
      </c>
      <c r="Y111" s="81" t="str">
        <f t="shared" ca="1" si="80"/>
        <v>MONITOR</v>
      </c>
      <c r="Z111" s="13">
        <v>14</v>
      </c>
      <c r="AA111" s="75">
        <v>46059</v>
      </c>
      <c r="AB111" s="75">
        <f t="shared" si="81"/>
        <v>45920</v>
      </c>
      <c r="AC111" s="88">
        <f t="shared" si="82"/>
        <v>19.857142857142858</v>
      </c>
      <c r="AD111" s="89" t="str">
        <f t="shared" ca="1" si="83"/>
        <v>STABLE</v>
      </c>
      <c r="AE111" s="89" t="str">
        <f t="shared" si="84"/>
        <v>FAST SELLING</v>
      </c>
      <c r="AF111" s="89" t="str">
        <f t="shared" si="85"/>
        <v>AT RISK</v>
      </c>
      <c r="AG111" s="89" t="str">
        <f t="shared" si="86"/>
        <v>FEASIBLE</v>
      </c>
      <c r="AH111" s="81" t="str">
        <f t="shared" ca="1" si="87"/>
        <v>MONITOR</v>
      </c>
      <c r="AI111" s="75">
        <f t="shared" ca="1" si="88"/>
        <v>0</v>
      </c>
      <c r="AJ111" s="75">
        <f t="shared" ca="1" si="89"/>
        <v>-566</v>
      </c>
      <c r="AK111" s="13">
        <f t="shared" ca="1" si="90"/>
        <v>-679</v>
      </c>
      <c r="AL111" s="79">
        <v>0.1</v>
      </c>
      <c r="AM111" s="79">
        <v>0.3</v>
      </c>
      <c r="AN111" s="79">
        <v>0.3</v>
      </c>
      <c r="AO111" s="79">
        <v>0.1</v>
      </c>
      <c r="AP111" s="79">
        <v>0.1</v>
      </c>
      <c r="AQ111" s="75">
        <f t="shared" si="91"/>
        <v>56.6</v>
      </c>
      <c r="AR111" s="75">
        <f t="shared" si="92"/>
        <v>169.79999999999998</v>
      </c>
      <c r="AS111" s="75">
        <f t="shared" si="93"/>
        <v>169.79999999999998</v>
      </c>
      <c r="AT111" s="75">
        <f t="shared" si="94"/>
        <v>56.6</v>
      </c>
      <c r="AU111" s="75">
        <f t="shared" si="95"/>
        <v>56.6</v>
      </c>
      <c r="AV111" s="13">
        <v>0.8</v>
      </c>
      <c r="AW111" s="13">
        <v>1.2</v>
      </c>
      <c r="AX111" s="13">
        <v>1.3</v>
      </c>
      <c r="AY111" s="13">
        <v>1</v>
      </c>
      <c r="AZ111" s="13">
        <v>0.7</v>
      </c>
      <c r="BA111" s="105">
        <f t="shared" si="96"/>
        <v>4.6800000000000006</v>
      </c>
      <c r="BB111" s="13">
        <f t="shared" si="97"/>
        <v>21.06</v>
      </c>
      <c r="BC111" s="13">
        <f t="shared" si="98"/>
        <v>22.815000000000001</v>
      </c>
      <c r="BD111" s="13">
        <f t="shared" si="99"/>
        <v>5.8500000000000005</v>
      </c>
      <c r="BE111" s="13">
        <f t="shared" si="100"/>
        <v>4.0949999999999998</v>
      </c>
      <c r="BF111" s="88">
        <f t="shared" si="101"/>
        <v>12.094017094017092</v>
      </c>
      <c r="BG111" s="88">
        <f t="shared" si="102"/>
        <v>8.0626780626780619</v>
      </c>
      <c r="BH111" s="88">
        <f t="shared" si="103"/>
        <v>7.4424720578566719</v>
      </c>
      <c r="BI111" s="88">
        <f t="shared" si="104"/>
        <v>9.6752136752136746</v>
      </c>
      <c r="BJ111" s="88">
        <f t="shared" si="105"/>
        <v>13.821733821733822</v>
      </c>
      <c r="BK111" s="105">
        <f t="shared" si="106"/>
        <v>8.2685512367491179E-2</v>
      </c>
      <c r="BL111" s="105">
        <f t="shared" si="107"/>
        <v>0.12402826855123676</v>
      </c>
      <c r="BM111" s="105">
        <f t="shared" si="108"/>
        <v>0.13436395759717318</v>
      </c>
      <c r="BN111" s="105">
        <f t="shared" si="109"/>
        <v>0.10335689045936397</v>
      </c>
      <c r="BO111" s="105">
        <f t="shared" si="110"/>
        <v>7.2349823321554763E-2</v>
      </c>
      <c r="BP111" s="105">
        <f t="shared" si="111"/>
        <v>0.51678445229681991</v>
      </c>
      <c r="BQ111" s="79">
        <f t="shared" si="112"/>
        <v>0.15999999999999998</v>
      </c>
      <c r="BR111" s="79">
        <f t="shared" si="113"/>
        <v>0.23999999999999996</v>
      </c>
      <c r="BS111" s="79">
        <f t="shared" si="114"/>
        <v>0.26</v>
      </c>
      <c r="BT111" s="79">
        <f t="shared" si="115"/>
        <v>0.19999999999999998</v>
      </c>
      <c r="BU111" s="79">
        <f t="shared" si="116"/>
        <v>0.13999999999999996</v>
      </c>
      <c r="BV111" s="90" t="str">
        <f t="array" aca="1" ref="BV111" ca="1">_xlfn.TEXTJOIN(" ",TRUE,
_xlfn.TEXTJOIN(":",TRUE,ROUND(BK111:BO111/MIN(IF(BK111:BO111&gt;0,BK111:BO111)),0)),
"|",
ROUND(SUM(BW111:CA111),0))</f>
        <v>1:2:2:1:1 | -679</v>
      </c>
      <c r="BW111" s="106">
        <f t="shared" ca="1" si="117"/>
        <v>-108.63999999999999</v>
      </c>
      <c r="BX111" s="106">
        <f t="shared" ca="1" si="63"/>
        <v>-162.95999999999998</v>
      </c>
      <c r="BY111" s="106">
        <f t="shared" ca="1" si="64"/>
        <v>-176.54</v>
      </c>
      <c r="BZ111" s="106">
        <f t="shared" ca="1" si="65"/>
        <v>-135.79999999999998</v>
      </c>
      <c r="CA111" s="106">
        <f t="shared" ca="1" si="118"/>
        <v>-95.059999999999974</v>
      </c>
    </row>
    <row r="112" spans="1:79" x14ac:dyDescent="0.35">
      <c r="A112" s="25" t="s">
        <v>126</v>
      </c>
      <c r="B112" s="10" t="s">
        <v>317</v>
      </c>
      <c r="C112" s="10" t="s">
        <v>344</v>
      </c>
      <c r="D112" s="10" t="s">
        <v>346</v>
      </c>
      <c r="E112" s="11">
        <v>45920</v>
      </c>
      <c r="F112" s="17">
        <v>45892</v>
      </c>
      <c r="G112" s="14">
        <f t="shared" ca="1" si="66"/>
        <v>207</v>
      </c>
      <c r="H112" s="17">
        <v>799</v>
      </c>
      <c r="I112" s="17">
        <v>450</v>
      </c>
      <c r="J112" s="75">
        <f t="shared" si="67"/>
        <v>595</v>
      </c>
      <c r="K112" s="17">
        <v>800</v>
      </c>
      <c r="L112" s="85">
        <v>205</v>
      </c>
      <c r="M112" s="86">
        <f t="shared" ca="1" si="68"/>
        <v>0.99033816425120769</v>
      </c>
      <c r="N112" s="86">
        <f t="shared" si="69"/>
        <v>0.33193597560975613</v>
      </c>
      <c r="O112" s="86">
        <f t="shared" si="70"/>
        <v>0.625</v>
      </c>
      <c r="P112" s="87">
        <f t="shared" si="71"/>
        <v>51.25</v>
      </c>
      <c r="Q112" s="104">
        <f t="shared" si="72"/>
        <v>11.609756097560975</v>
      </c>
      <c r="R112" s="88">
        <f t="shared" si="73"/>
        <v>43.67959949937422</v>
      </c>
      <c r="S112" s="88">
        <f t="shared" si="74"/>
        <v>25.624999999999996</v>
      </c>
      <c r="T112" s="13">
        <f t="shared" si="75"/>
        <v>3</v>
      </c>
      <c r="U112" s="13">
        <f t="shared" si="76"/>
        <v>1</v>
      </c>
      <c r="V112" s="13">
        <f t="shared" si="77"/>
        <v>1</v>
      </c>
      <c r="W112" s="13">
        <f t="shared" ca="1" si="78"/>
        <v>3</v>
      </c>
      <c r="X112" s="13">
        <f t="shared" ca="1" si="79"/>
        <v>8</v>
      </c>
      <c r="Y112" s="81" t="str">
        <f t="shared" ca="1" si="80"/>
        <v>MONITOR</v>
      </c>
      <c r="Z112" s="13">
        <v>14</v>
      </c>
      <c r="AA112" s="75">
        <v>46059</v>
      </c>
      <c r="AB112" s="75">
        <f t="shared" si="81"/>
        <v>45920</v>
      </c>
      <c r="AC112" s="88">
        <f t="shared" si="82"/>
        <v>19.857142857142858</v>
      </c>
      <c r="AD112" s="89" t="str">
        <f t="shared" ca="1" si="83"/>
        <v>STABLE</v>
      </c>
      <c r="AE112" s="89" t="str">
        <f t="shared" si="84"/>
        <v>FAST SELLING</v>
      </c>
      <c r="AF112" s="89" t="str">
        <f t="shared" si="85"/>
        <v>AT RISK</v>
      </c>
      <c r="AG112" s="89" t="str">
        <f t="shared" si="86"/>
        <v>FEASIBLE</v>
      </c>
      <c r="AH112" s="81" t="str">
        <f t="shared" ca="1" si="87"/>
        <v>MONITOR</v>
      </c>
      <c r="AI112" s="75">
        <f t="shared" ca="1" si="88"/>
        <v>0</v>
      </c>
      <c r="AJ112" s="75">
        <f t="shared" ca="1" si="89"/>
        <v>-595</v>
      </c>
      <c r="AK112" s="13">
        <f t="shared" ca="1" si="90"/>
        <v>-714</v>
      </c>
      <c r="AL112" s="79">
        <v>0.1</v>
      </c>
      <c r="AM112" s="79">
        <v>0.3</v>
      </c>
      <c r="AN112" s="79">
        <v>0.3</v>
      </c>
      <c r="AO112" s="79">
        <v>0.1</v>
      </c>
      <c r="AP112" s="79">
        <v>0.1</v>
      </c>
      <c r="AQ112" s="75">
        <f t="shared" si="91"/>
        <v>59.5</v>
      </c>
      <c r="AR112" s="75">
        <f t="shared" si="92"/>
        <v>178.5</v>
      </c>
      <c r="AS112" s="75">
        <f t="shared" si="93"/>
        <v>178.5</v>
      </c>
      <c r="AT112" s="75">
        <f t="shared" si="94"/>
        <v>59.5</v>
      </c>
      <c r="AU112" s="75">
        <f t="shared" si="95"/>
        <v>59.5</v>
      </c>
      <c r="AV112" s="13">
        <v>0.8</v>
      </c>
      <c r="AW112" s="13">
        <v>1.2</v>
      </c>
      <c r="AX112" s="13">
        <v>1.3</v>
      </c>
      <c r="AY112" s="13">
        <v>1</v>
      </c>
      <c r="AZ112" s="13">
        <v>0.7</v>
      </c>
      <c r="BA112" s="105">
        <f t="shared" si="96"/>
        <v>4.1000000000000005</v>
      </c>
      <c r="BB112" s="13">
        <f t="shared" si="97"/>
        <v>18.45</v>
      </c>
      <c r="BC112" s="13">
        <f t="shared" si="98"/>
        <v>19.987500000000001</v>
      </c>
      <c r="BD112" s="13">
        <f t="shared" si="99"/>
        <v>5.125</v>
      </c>
      <c r="BE112" s="13">
        <f t="shared" si="100"/>
        <v>3.5874999999999999</v>
      </c>
      <c r="BF112" s="88">
        <f t="shared" si="101"/>
        <v>14.512195121951217</v>
      </c>
      <c r="BG112" s="88">
        <f t="shared" si="102"/>
        <v>9.6747967479674806</v>
      </c>
      <c r="BH112" s="88">
        <f t="shared" si="103"/>
        <v>8.9305816135084424</v>
      </c>
      <c r="BI112" s="88">
        <f t="shared" si="104"/>
        <v>11.609756097560975</v>
      </c>
      <c r="BJ112" s="88">
        <f t="shared" si="105"/>
        <v>16.585365853658537</v>
      </c>
      <c r="BK112" s="105">
        <f t="shared" si="106"/>
        <v>6.8907563025210089E-2</v>
      </c>
      <c r="BL112" s="105">
        <f t="shared" si="107"/>
        <v>0.10336134453781512</v>
      </c>
      <c r="BM112" s="105">
        <f t="shared" si="108"/>
        <v>0.11197478991596639</v>
      </c>
      <c r="BN112" s="105">
        <f t="shared" si="109"/>
        <v>8.6134453781512604E-2</v>
      </c>
      <c r="BO112" s="105">
        <f t="shared" si="110"/>
        <v>6.0294117647058824E-2</v>
      </c>
      <c r="BP112" s="105">
        <f t="shared" si="111"/>
        <v>0.43067226890756305</v>
      </c>
      <c r="BQ112" s="79">
        <f t="shared" si="112"/>
        <v>0.16</v>
      </c>
      <c r="BR112" s="79">
        <f t="shared" si="113"/>
        <v>0.23999999999999996</v>
      </c>
      <c r="BS112" s="79">
        <f t="shared" si="114"/>
        <v>0.26</v>
      </c>
      <c r="BT112" s="79">
        <f t="shared" si="115"/>
        <v>0.19999999999999998</v>
      </c>
      <c r="BU112" s="79">
        <f t="shared" si="116"/>
        <v>0.13999999999999999</v>
      </c>
      <c r="BV112" s="90" t="str">
        <f t="array" aca="1" ref="BV112" ca="1">_xlfn.TEXTJOIN(" ",TRUE,
_xlfn.TEXTJOIN(":",TRUE,ROUND(BK112:BO112/MIN(IF(BK112:BO112&gt;0,BK112:BO112)),0)),
"|",
ROUND(SUM(BW112:CA112),0))</f>
        <v>1:2:2:1:1 | -714</v>
      </c>
      <c r="BW112" s="106">
        <f t="shared" ca="1" si="117"/>
        <v>-114.24000000000001</v>
      </c>
      <c r="BX112" s="106">
        <f t="shared" ca="1" si="63"/>
        <v>-171.35999999999999</v>
      </c>
      <c r="BY112" s="106">
        <f t="shared" ca="1" si="64"/>
        <v>-185.64000000000001</v>
      </c>
      <c r="BZ112" s="106">
        <f t="shared" ca="1" si="65"/>
        <v>-142.79999999999998</v>
      </c>
      <c r="CA112" s="106">
        <f t="shared" ca="1" si="118"/>
        <v>-99.96</v>
      </c>
    </row>
    <row r="113" spans="1:79" x14ac:dyDescent="0.35">
      <c r="A113" s="25" t="s">
        <v>127</v>
      </c>
      <c r="B113" s="10" t="s">
        <v>326</v>
      </c>
      <c r="C113" s="10" t="s">
        <v>342</v>
      </c>
      <c r="D113" s="10" t="s">
        <v>346</v>
      </c>
      <c r="E113" s="11">
        <v>45864</v>
      </c>
      <c r="F113" s="17">
        <v>45892</v>
      </c>
      <c r="G113" s="14">
        <f t="shared" ca="1" si="66"/>
        <v>207</v>
      </c>
      <c r="H113" s="17">
        <v>999</v>
      </c>
      <c r="I113" s="17">
        <v>500</v>
      </c>
      <c r="J113" s="75">
        <f t="shared" si="67"/>
        <v>685</v>
      </c>
      <c r="K113" s="17">
        <v>1050</v>
      </c>
      <c r="L113" s="85">
        <v>365</v>
      </c>
      <c r="M113" s="86">
        <f t="shared" ca="1" si="68"/>
        <v>1.7632850241545894</v>
      </c>
      <c r="N113" s="86">
        <f t="shared" si="69"/>
        <v>0.80451009251471861</v>
      </c>
      <c r="O113" s="86">
        <f t="shared" si="70"/>
        <v>1.1128048780487805</v>
      </c>
      <c r="P113" s="87">
        <f t="shared" si="71"/>
        <v>91.25</v>
      </c>
      <c r="Q113" s="104">
        <f t="shared" si="72"/>
        <v>7.506849315068493</v>
      </c>
      <c r="R113" s="88">
        <f t="shared" si="73"/>
        <v>49.949949949949954</v>
      </c>
      <c r="S113" s="88">
        <f t="shared" si="74"/>
        <v>34.761904761904759</v>
      </c>
      <c r="T113" s="13">
        <f t="shared" si="75"/>
        <v>3</v>
      </c>
      <c r="U113" s="13">
        <f t="shared" si="76"/>
        <v>1</v>
      </c>
      <c r="V113" s="13">
        <f t="shared" si="77"/>
        <v>2</v>
      </c>
      <c r="W113" s="13">
        <f t="shared" ca="1" si="78"/>
        <v>3</v>
      </c>
      <c r="X113" s="13">
        <f t="shared" ca="1" si="79"/>
        <v>9</v>
      </c>
      <c r="Y113" s="81" t="str">
        <f t="shared" ca="1" si="80"/>
        <v>RE-BUY</v>
      </c>
      <c r="Z113" s="13">
        <v>14</v>
      </c>
      <c r="AA113" s="75">
        <v>46059</v>
      </c>
      <c r="AB113" s="75">
        <f t="shared" si="81"/>
        <v>45920</v>
      </c>
      <c r="AC113" s="88">
        <f t="shared" si="82"/>
        <v>19.857142857142858</v>
      </c>
      <c r="AD113" s="89" t="str">
        <f t="shared" ca="1" si="83"/>
        <v>STABLE</v>
      </c>
      <c r="AE113" s="89" t="str">
        <f t="shared" si="84"/>
        <v>FAST SELLING</v>
      </c>
      <c r="AF113" s="89" t="str">
        <f t="shared" si="85"/>
        <v>AT RISK</v>
      </c>
      <c r="AG113" s="89" t="str">
        <f t="shared" si="86"/>
        <v>FEASIBLE</v>
      </c>
      <c r="AH113" s="81" t="str">
        <f t="shared" ca="1" si="87"/>
        <v>IMMEDIATE REBUY</v>
      </c>
      <c r="AI113" s="75">
        <f t="shared" ca="1" si="88"/>
        <v>1087.1785714285713</v>
      </c>
      <c r="AJ113" s="75">
        <f t="shared" ca="1" si="89"/>
        <v>402.17857142857133</v>
      </c>
      <c r="AK113" s="13">
        <f t="shared" ca="1" si="90"/>
        <v>483</v>
      </c>
      <c r="AL113" s="79">
        <v>0.1</v>
      </c>
      <c r="AM113" s="79">
        <v>0.3</v>
      </c>
      <c r="AN113" s="79">
        <v>0.3</v>
      </c>
      <c r="AO113" s="79">
        <v>0.1</v>
      </c>
      <c r="AP113" s="79">
        <v>0.1</v>
      </c>
      <c r="AQ113" s="75">
        <f t="shared" si="91"/>
        <v>68.5</v>
      </c>
      <c r="AR113" s="75">
        <f t="shared" si="92"/>
        <v>205.5</v>
      </c>
      <c r="AS113" s="75">
        <f t="shared" si="93"/>
        <v>205.5</v>
      </c>
      <c r="AT113" s="75">
        <f t="shared" si="94"/>
        <v>68.5</v>
      </c>
      <c r="AU113" s="75">
        <f t="shared" si="95"/>
        <v>68.5</v>
      </c>
      <c r="AV113" s="13">
        <v>0.8</v>
      </c>
      <c r="AW113" s="13">
        <v>1.2</v>
      </c>
      <c r="AX113" s="13">
        <v>1.3</v>
      </c>
      <c r="AY113" s="13">
        <v>1</v>
      </c>
      <c r="AZ113" s="13">
        <v>0.7</v>
      </c>
      <c r="BA113" s="105">
        <f t="shared" si="96"/>
        <v>7.3000000000000007</v>
      </c>
      <c r="BB113" s="13">
        <f t="shared" si="97"/>
        <v>32.85</v>
      </c>
      <c r="BC113" s="13">
        <f t="shared" si="98"/>
        <v>35.587499999999999</v>
      </c>
      <c r="BD113" s="13">
        <f t="shared" si="99"/>
        <v>9.125</v>
      </c>
      <c r="BE113" s="13">
        <f t="shared" si="100"/>
        <v>6.3874999999999993</v>
      </c>
      <c r="BF113" s="88">
        <f t="shared" si="101"/>
        <v>9.3835616438356162</v>
      </c>
      <c r="BG113" s="88">
        <f t="shared" si="102"/>
        <v>6.2557077625570772</v>
      </c>
      <c r="BH113" s="88">
        <f t="shared" si="103"/>
        <v>5.7744994731296106</v>
      </c>
      <c r="BI113" s="88">
        <f t="shared" si="104"/>
        <v>7.506849315068493</v>
      </c>
      <c r="BJ113" s="88">
        <f t="shared" si="105"/>
        <v>10.724070450097848</v>
      </c>
      <c r="BK113" s="105">
        <f t="shared" si="106"/>
        <v>0.10656934306569343</v>
      </c>
      <c r="BL113" s="105">
        <f t="shared" si="107"/>
        <v>0.15985401459854015</v>
      </c>
      <c r="BM113" s="105">
        <f t="shared" si="108"/>
        <v>0.17317518248175182</v>
      </c>
      <c r="BN113" s="105">
        <f t="shared" si="109"/>
        <v>0.13321167883211679</v>
      </c>
      <c r="BO113" s="105">
        <f t="shared" si="110"/>
        <v>9.3248175182481741E-2</v>
      </c>
      <c r="BP113" s="105">
        <f t="shared" si="111"/>
        <v>0.66605839416058399</v>
      </c>
      <c r="BQ113" s="79">
        <f t="shared" si="112"/>
        <v>0.16</v>
      </c>
      <c r="BR113" s="79">
        <f t="shared" si="113"/>
        <v>0.24</v>
      </c>
      <c r="BS113" s="79">
        <f t="shared" si="114"/>
        <v>0.25999999999999995</v>
      </c>
      <c r="BT113" s="79">
        <f t="shared" si="115"/>
        <v>0.19999999999999998</v>
      </c>
      <c r="BU113" s="79">
        <f t="shared" si="116"/>
        <v>0.13999999999999999</v>
      </c>
      <c r="BV113" s="90" t="str">
        <f t="array" aca="1" ref="BV113" ca="1">_xlfn.TEXTJOIN(" ",TRUE,
_xlfn.TEXTJOIN(":",TRUE,ROUND(BK113:BO113/MIN(IF(BK113:BO113&gt;0,BK113:BO113)),0)),
"|",
ROUND(SUM(BW113:CA113),0))</f>
        <v>1:2:2:1:1 | 483</v>
      </c>
      <c r="BW113" s="106">
        <f t="shared" ca="1" si="117"/>
        <v>77.28</v>
      </c>
      <c r="BX113" s="106">
        <f t="shared" ca="1" si="63"/>
        <v>115.92</v>
      </c>
      <c r="BY113" s="106">
        <f t="shared" ca="1" si="64"/>
        <v>125.57999999999998</v>
      </c>
      <c r="BZ113" s="106">
        <f t="shared" ca="1" si="65"/>
        <v>96.6</v>
      </c>
      <c r="CA113" s="106">
        <f t="shared" ca="1" si="118"/>
        <v>67.61999999999999</v>
      </c>
    </row>
    <row r="114" spans="1:79" x14ac:dyDescent="0.35">
      <c r="A114" s="25" t="s">
        <v>128</v>
      </c>
      <c r="B114" s="10" t="s">
        <v>326</v>
      </c>
      <c r="C114" s="10" t="s">
        <v>342</v>
      </c>
      <c r="D114" s="10" t="s">
        <v>346</v>
      </c>
      <c r="E114" s="11">
        <v>45864</v>
      </c>
      <c r="F114" s="17">
        <v>45892</v>
      </c>
      <c r="G114" s="14">
        <f t="shared" ca="1" si="66"/>
        <v>207</v>
      </c>
      <c r="H114" s="17">
        <v>999</v>
      </c>
      <c r="I114" s="17">
        <v>520</v>
      </c>
      <c r="J114" s="75">
        <f t="shared" si="67"/>
        <v>830</v>
      </c>
      <c r="K114" s="17">
        <v>1050</v>
      </c>
      <c r="L114" s="85">
        <v>220</v>
      </c>
      <c r="M114" s="86">
        <f t="shared" ca="1" si="68"/>
        <v>1.0628019323671498</v>
      </c>
      <c r="N114" s="86">
        <f t="shared" si="69"/>
        <v>0.80451009251471861</v>
      </c>
      <c r="O114" s="86">
        <f t="shared" si="70"/>
        <v>0.67073170731707321</v>
      </c>
      <c r="P114" s="87">
        <f t="shared" si="71"/>
        <v>55</v>
      </c>
      <c r="Q114" s="104">
        <f t="shared" si="72"/>
        <v>15.090909090909092</v>
      </c>
      <c r="R114" s="88">
        <f t="shared" si="73"/>
        <v>47.947947947947952</v>
      </c>
      <c r="S114" s="88">
        <f t="shared" si="74"/>
        <v>20.952380952380953</v>
      </c>
      <c r="T114" s="13">
        <f t="shared" si="75"/>
        <v>2</v>
      </c>
      <c r="U114" s="13">
        <f t="shared" si="76"/>
        <v>1</v>
      </c>
      <c r="V114" s="13">
        <f t="shared" si="77"/>
        <v>2</v>
      </c>
      <c r="W114" s="13">
        <f t="shared" ca="1" si="78"/>
        <v>3</v>
      </c>
      <c r="X114" s="13">
        <f t="shared" ca="1" si="79"/>
        <v>8</v>
      </c>
      <c r="Y114" s="81" t="str">
        <f t="shared" ca="1" si="80"/>
        <v>MONITOR</v>
      </c>
      <c r="Z114" s="13">
        <v>14</v>
      </c>
      <c r="AA114" s="75">
        <v>46059</v>
      </c>
      <c r="AB114" s="75">
        <f t="shared" si="81"/>
        <v>45920</v>
      </c>
      <c r="AC114" s="88">
        <f t="shared" si="82"/>
        <v>19.857142857142858</v>
      </c>
      <c r="AD114" s="89" t="str">
        <f t="shared" ca="1" si="83"/>
        <v>STABLE</v>
      </c>
      <c r="AE114" s="89" t="str">
        <f t="shared" si="84"/>
        <v>SLOW SELLING</v>
      </c>
      <c r="AF114" s="89" t="str">
        <f t="shared" si="85"/>
        <v>AT RISK</v>
      </c>
      <c r="AG114" s="89" t="str">
        <f t="shared" si="86"/>
        <v>FEASIBLE</v>
      </c>
      <c r="AH114" s="81" t="str">
        <f t="shared" ca="1" si="87"/>
        <v>MONITOR</v>
      </c>
      <c r="AI114" s="75">
        <f t="shared" ca="1" si="88"/>
        <v>0</v>
      </c>
      <c r="AJ114" s="75">
        <f t="shared" ca="1" si="89"/>
        <v>-830</v>
      </c>
      <c r="AK114" s="13">
        <f t="shared" ca="1" si="90"/>
        <v>-996</v>
      </c>
      <c r="AL114" s="79">
        <v>0.1</v>
      </c>
      <c r="AM114" s="79">
        <v>0.3</v>
      </c>
      <c r="AN114" s="79">
        <v>0.3</v>
      </c>
      <c r="AO114" s="79">
        <v>0.1</v>
      </c>
      <c r="AP114" s="79">
        <v>0.1</v>
      </c>
      <c r="AQ114" s="75">
        <f t="shared" si="91"/>
        <v>83</v>
      </c>
      <c r="AR114" s="75">
        <f t="shared" si="92"/>
        <v>249</v>
      </c>
      <c r="AS114" s="75">
        <f t="shared" si="93"/>
        <v>249</v>
      </c>
      <c r="AT114" s="75">
        <f t="shared" si="94"/>
        <v>83</v>
      </c>
      <c r="AU114" s="75">
        <f t="shared" si="95"/>
        <v>83</v>
      </c>
      <c r="AV114" s="13">
        <v>0.8</v>
      </c>
      <c r="AW114" s="13">
        <v>1.2</v>
      </c>
      <c r="AX114" s="13">
        <v>1.3</v>
      </c>
      <c r="AY114" s="13">
        <v>1</v>
      </c>
      <c r="AZ114" s="13">
        <v>0.7</v>
      </c>
      <c r="BA114" s="105">
        <f t="shared" si="96"/>
        <v>4.4000000000000004</v>
      </c>
      <c r="BB114" s="13">
        <f t="shared" si="97"/>
        <v>19.8</v>
      </c>
      <c r="BC114" s="13">
        <f t="shared" si="98"/>
        <v>21.45</v>
      </c>
      <c r="BD114" s="13">
        <f t="shared" si="99"/>
        <v>5.5</v>
      </c>
      <c r="BE114" s="13">
        <f t="shared" si="100"/>
        <v>3.8499999999999996</v>
      </c>
      <c r="BF114" s="88">
        <f t="shared" si="101"/>
        <v>18.863636363636363</v>
      </c>
      <c r="BG114" s="88">
        <f t="shared" si="102"/>
        <v>12.575757575757576</v>
      </c>
      <c r="BH114" s="88">
        <f t="shared" si="103"/>
        <v>11.608391608391608</v>
      </c>
      <c r="BI114" s="88">
        <f t="shared" si="104"/>
        <v>15.090909090909092</v>
      </c>
      <c r="BJ114" s="88">
        <f t="shared" si="105"/>
        <v>21.558441558441562</v>
      </c>
      <c r="BK114" s="105">
        <f t="shared" si="106"/>
        <v>5.3012048192771083E-2</v>
      </c>
      <c r="BL114" s="105">
        <f t="shared" si="107"/>
        <v>7.9518072289156624E-2</v>
      </c>
      <c r="BM114" s="105">
        <f t="shared" si="108"/>
        <v>8.6144578313253006E-2</v>
      </c>
      <c r="BN114" s="105">
        <f t="shared" si="109"/>
        <v>6.6265060240963847E-2</v>
      </c>
      <c r="BO114" s="105">
        <f t="shared" si="110"/>
        <v>4.6385542168674694E-2</v>
      </c>
      <c r="BP114" s="105">
        <f t="shared" si="111"/>
        <v>0.33132530120481923</v>
      </c>
      <c r="BQ114" s="79">
        <f t="shared" si="112"/>
        <v>0.16</v>
      </c>
      <c r="BR114" s="79">
        <f t="shared" si="113"/>
        <v>0.24000000000000002</v>
      </c>
      <c r="BS114" s="79">
        <f t="shared" si="114"/>
        <v>0.26</v>
      </c>
      <c r="BT114" s="79">
        <f t="shared" si="115"/>
        <v>0.2</v>
      </c>
      <c r="BU114" s="79">
        <f t="shared" si="116"/>
        <v>0.14000000000000001</v>
      </c>
      <c r="BV114" s="90" t="str">
        <f t="array" aca="1" ref="BV114" ca="1">_xlfn.TEXTJOIN(" ",TRUE,
_xlfn.TEXTJOIN(":",TRUE,ROUND(BK114:BO114/MIN(IF(BK114:BO114&gt;0,BK114:BO114)),0)),
"|",
ROUND(SUM(BW114:CA114),0))</f>
        <v>1:2:2:1:1 | -996</v>
      </c>
      <c r="BW114" s="106">
        <f t="shared" ca="1" si="117"/>
        <v>-159.36000000000001</v>
      </c>
      <c r="BX114" s="106">
        <f t="shared" ca="1" si="63"/>
        <v>-239.04000000000002</v>
      </c>
      <c r="BY114" s="106">
        <f t="shared" ca="1" si="64"/>
        <v>-258.96000000000004</v>
      </c>
      <c r="BZ114" s="106">
        <f t="shared" ca="1" si="65"/>
        <v>-199.20000000000002</v>
      </c>
      <c r="CA114" s="106">
        <f t="shared" ca="1" si="118"/>
        <v>-139.44000000000003</v>
      </c>
    </row>
    <row r="115" spans="1:79" x14ac:dyDescent="0.35">
      <c r="A115" s="25" t="s">
        <v>129</v>
      </c>
      <c r="B115" s="10" t="s">
        <v>326</v>
      </c>
      <c r="C115" s="10" t="s">
        <v>342</v>
      </c>
      <c r="D115" s="10" t="s">
        <v>346</v>
      </c>
      <c r="E115" s="11">
        <v>45864</v>
      </c>
      <c r="F115" s="17">
        <v>45892</v>
      </c>
      <c r="G115" s="14">
        <f t="shared" ca="1" si="66"/>
        <v>207</v>
      </c>
      <c r="H115" s="17">
        <v>999</v>
      </c>
      <c r="I115" s="17">
        <v>500</v>
      </c>
      <c r="J115" s="75">
        <f t="shared" si="67"/>
        <v>703</v>
      </c>
      <c r="K115" s="17">
        <v>1050</v>
      </c>
      <c r="L115" s="85">
        <v>347</v>
      </c>
      <c r="M115" s="86">
        <f t="shared" ca="1" si="68"/>
        <v>1.6763285024154588</v>
      </c>
      <c r="N115" s="86">
        <f t="shared" si="69"/>
        <v>0.80451009251471861</v>
      </c>
      <c r="O115" s="86">
        <f t="shared" si="70"/>
        <v>1.0579268292682926</v>
      </c>
      <c r="P115" s="87">
        <f t="shared" si="71"/>
        <v>86.75</v>
      </c>
      <c r="Q115" s="104">
        <f t="shared" si="72"/>
        <v>8.1037463976945237</v>
      </c>
      <c r="R115" s="88">
        <f t="shared" si="73"/>
        <v>49.949949949949954</v>
      </c>
      <c r="S115" s="88">
        <f t="shared" si="74"/>
        <v>33.047619047619051</v>
      </c>
      <c r="T115" s="13">
        <f t="shared" si="75"/>
        <v>3</v>
      </c>
      <c r="U115" s="13">
        <f t="shared" si="76"/>
        <v>1</v>
      </c>
      <c r="V115" s="13">
        <f t="shared" si="77"/>
        <v>2</v>
      </c>
      <c r="W115" s="13">
        <f t="shared" ca="1" si="78"/>
        <v>3</v>
      </c>
      <c r="X115" s="13">
        <f t="shared" ca="1" si="79"/>
        <v>9</v>
      </c>
      <c r="Y115" s="81" t="str">
        <f t="shared" ca="1" si="80"/>
        <v>RE-BUY</v>
      </c>
      <c r="Z115" s="13">
        <v>14</v>
      </c>
      <c r="AA115" s="75">
        <v>46059</v>
      </c>
      <c r="AB115" s="75">
        <f t="shared" si="81"/>
        <v>45920</v>
      </c>
      <c r="AC115" s="88">
        <f t="shared" si="82"/>
        <v>19.857142857142858</v>
      </c>
      <c r="AD115" s="89" t="str">
        <f t="shared" ca="1" si="83"/>
        <v>STABLE</v>
      </c>
      <c r="AE115" s="89" t="str">
        <f t="shared" si="84"/>
        <v>FAST SELLING</v>
      </c>
      <c r="AF115" s="89" t="str">
        <f t="shared" si="85"/>
        <v>AT RISK</v>
      </c>
      <c r="AG115" s="89" t="str">
        <f t="shared" si="86"/>
        <v>FEASIBLE</v>
      </c>
      <c r="AH115" s="81" t="str">
        <f t="shared" ca="1" si="87"/>
        <v>IMMEDIATE REBUY</v>
      </c>
      <c r="AI115" s="75">
        <f t="shared" ca="1" si="88"/>
        <v>1033.5642857142857</v>
      </c>
      <c r="AJ115" s="75">
        <f t="shared" ca="1" si="89"/>
        <v>330.56428571428569</v>
      </c>
      <c r="AK115" s="13">
        <f t="shared" ca="1" si="90"/>
        <v>397</v>
      </c>
      <c r="AL115" s="79">
        <v>0.1</v>
      </c>
      <c r="AM115" s="79">
        <v>0.3</v>
      </c>
      <c r="AN115" s="79">
        <v>0.3</v>
      </c>
      <c r="AO115" s="79">
        <v>0.1</v>
      </c>
      <c r="AP115" s="79">
        <v>0.1</v>
      </c>
      <c r="AQ115" s="75">
        <f t="shared" si="91"/>
        <v>70.3</v>
      </c>
      <c r="AR115" s="75">
        <f t="shared" si="92"/>
        <v>210.9</v>
      </c>
      <c r="AS115" s="75">
        <f t="shared" si="93"/>
        <v>210.9</v>
      </c>
      <c r="AT115" s="75">
        <f t="shared" si="94"/>
        <v>70.3</v>
      </c>
      <c r="AU115" s="75">
        <f t="shared" si="95"/>
        <v>70.3</v>
      </c>
      <c r="AV115" s="13">
        <v>0.8</v>
      </c>
      <c r="AW115" s="13">
        <v>1.2</v>
      </c>
      <c r="AX115" s="13">
        <v>1.3</v>
      </c>
      <c r="AY115" s="13">
        <v>1</v>
      </c>
      <c r="AZ115" s="13">
        <v>0.7</v>
      </c>
      <c r="BA115" s="105">
        <f t="shared" si="96"/>
        <v>6.9400000000000013</v>
      </c>
      <c r="BB115" s="13">
        <f t="shared" si="97"/>
        <v>31.229999999999997</v>
      </c>
      <c r="BC115" s="13">
        <f t="shared" si="98"/>
        <v>33.832499999999996</v>
      </c>
      <c r="BD115" s="13">
        <f t="shared" si="99"/>
        <v>8.6750000000000007</v>
      </c>
      <c r="BE115" s="13">
        <f t="shared" si="100"/>
        <v>6.0724999999999998</v>
      </c>
      <c r="BF115" s="88">
        <f t="shared" si="101"/>
        <v>10.129682997118154</v>
      </c>
      <c r="BG115" s="88">
        <f t="shared" si="102"/>
        <v>6.7531219980787709</v>
      </c>
      <c r="BH115" s="88">
        <f t="shared" si="103"/>
        <v>6.233651075149635</v>
      </c>
      <c r="BI115" s="88">
        <f t="shared" si="104"/>
        <v>8.1037463976945237</v>
      </c>
      <c r="BJ115" s="88">
        <f t="shared" si="105"/>
        <v>11.576780568135035</v>
      </c>
      <c r="BK115" s="105">
        <f t="shared" si="106"/>
        <v>9.8719772403982942E-2</v>
      </c>
      <c r="BL115" s="105">
        <f t="shared" si="107"/>
        <v>0.14807965860597438</v>
      </c>
      <c r="BM115" s="105">
        <f t="shared" si="108"/>
        <v>0.16041963015647223</v>
      </c>
      <c r="BN115" s="105">
        <f t="shared" si="109"/>
        <v>0.12339971550497868</v>
      </c>
      <c r="BO115" s="105">
        <f t="shared" si="110"/>
        <v>8.6379800853485067E-2</v>
      </c>
      <c r="BP115" s="105">
        <f t="shared" si="111"/>
        <v>0.61699857752489329</v>
      </c>
      <c r="BQ115" s="79">
        <f t="shared" si="112"/>
        <v>0.16000000000000003</v>
      </c>
      <c r="BR115" s="79">
        <f t="shared" si="113"/>
        <v>0.24</v>
      </c>
      <c r="BS115" s="79">
        <f t="shared" si="114"/>
        <v>0.25999999999999995</v>
      </c>
      <c r="BT115" s="79">
        <f t="shared" si="115"/>
        <v>0.20000000000000004</v>
      </c>
      <c r="BU115" s="79">
        <f t="shared" si="116"/>
        <v>0.14000000000000001</v>
      </c>
      <c r="BV115" s="90" t="str">
        <f t="array" aca="1" ref="BV115" ca="1">_xlfn.TEXTJOIN(" ",TRUE,
_xlfn.TEXTJOIN(":",TRUE,ROUND(BK115:BO115/MIN(IF(BK115:BO115&gt;0,BK115:BO115)),0)),
"|",
ROUND(SUM(BW115:CA115),0))</f>
        <v>1:2:2:1:1 | 397</v>
      </c>
      <c r="BW115" s="106">
        <f t="shared" ca="1" si="117"/>
        <v>63.52000000000001</v>
      </c>
      <c r="BX115" s="106">
        <f t="shared" ca="1" si="63"/>
        <v>95.28</v>
      </c>
      <c r="BY115" s="106">
        <f t="shared" ca="1" si="64"/>
        <v>103.21999999999998</v>
      </c>
      <c r="BZ115" s="106">
        <f t="shared" ca="1" si="65"/>
        <v>79.40000000000002</v>
      </c>
      <c r="CA115" s="106">
        <f t="shared" ca="1" si="118"/>
        <v>55.580000000000005</v>
      </c>
    </row>
    <row r="116" spans="1:79" x14ac:dyDescent="0.35">
      <c r="A116" s="25" t="s">
        <v>130</v>
      </c>
      <c r="B116" s="10" t="s">
        <v>328</v>
      </c>
      <c r="C116" s="10" t="s">
        <v>342</v>
      </c>
      <c r="D116" s="10" t="s">
        <v>346</v>
      </c>
      <c r="E116" s="11">
        <v>45864</v>
      </c>
      <c r="F116" s="17">
        <v>45892</v>
      </c>
      <c r="G116" s="14">
        <f t="shared" ca="1" si="66"/>
        <v>207</v>
      </c>
      <c r="H116" s="17">
        <v>999</v>
      </c>
      <c r="I116" s="17">
        <v>480</v>
      </c>
      <c r="J116" s="75">
        <f t="shared" si="67"/>
        <v>1030</v>
      </c>
      <c r="K116" s="17">
        <v>1100</v>
      </c>
      <c r="L116" s="85">
        <v>70</v>
      </c>
      <c r="M116" s="86">
        <f t="shared" ca="1" si="68"/>
        <v>0.33816425120772947</v>
      </c>
      <c r="N116" s="86">
        <f t="shared" si="69"/>
        <v>0.80451009251471861</v>
      </c>
      <c r="O116" s="86">
        <f t="shared" si="70"/>
        <v>0.21341463414634146</v>
      </c>
      <c r="P116" s="87">
        <f t="shared" si="71"/>
        <v>17.5</v>
      </c>
      <c r="Q116" s="104">
        <f t="shared" si="72"/>
        <v>58.857142857142854</v>
      </c>
      <c r="R116" s="88">
        <f t="shared" si="73"/>
        <v>51.951951951951948</v>
      </c>
      <c r="S116" s="88">
        <f t="shared" si="74"/>
        <v>6.3636363636363633</v>
      </c>
      <c r="T116" s="13">
        <f t="shared" si="75"/>
        <v>1</v>
      </c>
      <c r="U116" s="13">
        <f t="shared" si="76"/>
        <v>1</v>
      </c>
      <c r="V116" s="13">
        <f t="shared" si="77"/>
        <v>2</v>
      </c>
      <c r="W116" s="13">
        <f t="shared" ca="1" si="78"/>
        <v>3</v>
      </c>
      <c r="X116" s="13">
        <f t="shared" ca="1" si="79"/>
        <v>7</v>
      </c>
      <c r="Y116" s="81" t="str">
        <f t="shared" ca="1" si="80"/>
        <v>MONITOR</v>
      </c>
      <c r="Z116" s="13">
        <v>14</v>
      </c>
      <c r="AA116" s="75">
        <v>46059</v>
      </c>
      <c r="AB116" s="75">
        <f t="shared" si="81"/>
        <v>45920</v>
      </c>
      <c r="AC116" s="88">
        <f t="shared" si="82"/>
        <v>19.857142857142858</v>
      </c>
      <c r="AD116" s="89" t="str">
        <f t="shared" ca="1" si="83"/>
        <v>STABLE</v>
      </c>
      <c r="AE116" s="89" t="str">
        <f t="shared" si="84"/>
        <v>SLOW SELLING</v>
      </c>
      <c r="AF116" s="89" t="str">
        <f t="shared" si="85"/>
        <v>AT RISK</v>
      </c>
      <c r="AG116" s="89" t="str">
        <f t="shared" si="86"/>
        <v>FEASIBLE</v>
      </c>
      <c r="AH116" s="81" t="str">
        <f t="shared" ca="1" si="87"/>
        <v>MONITOR</v>
      </c>
      <c r="AI116" s="75">
        <f t="shared" ca="1" si="88"/>
        <v>0</v>
      </c>
      <c r="AJ116" s="75">
        <f t="shared" ca="1" si="89"/>
        <v>-1030</v>
      </c>
      <c r="AK116" s="13">
        <f t="shared" ca="1" si="90"/>
        <v>-1236</v>
      </c>
      <c r="AL116" s="79">
        <v>0.1</v>
      </c>
      <c r="AM116" s="79">
        <v>0.3</v>
      </c>
      <c r="AN116" s="79">
        <v>0.3</v>
      </c>
      <c r="AO116" s="79">
        <v>0.1</v>
      </c>
      <c r="AP116" s="79">
        <v>0.1</v>
      </c>
      <c r="AQ116" s="75">
        <f t="shared" si="91"/>
        <v>103</v>
      </c>
      <c r="AR116" s="75">
        <f t="shared" si="92"/>
        <v>309</v>
      </c>
      <c r="AS116" s="75">
        <f t="shared" si="93"/>
        <v>309</v>
      </c>
      <c r="AT116" s="75">
        <f t="shared" si="94"/>
        <v>103</v>
      </c>
      <c r="AU116" s="75">
        <f t="shared" si="95"/>
        <v>103</v>
      </c>
      <c r="AV116" s="13">
        <v>0.8</v>
      </c>
      <c r="AW116" s="13">
        <v>1.2</v>
      </c>
      <c r="AX116" s="13">
        <v>1.3</v>
      </c>
      <c r="AY116" s="13">
        <v>1</v>
      </c>
      <c r="AZ116" s="13">
        <v>0.7</v>
      </c>
      <c r="BA116" s="105">
        <f t="shared" si="96"/>
        <v>1.4000000000000001</v>
      </c>
      <c r="BB116" s="13">
        <f t="shared" si="97"/>
        <v>6.3</v>
      </c>
      <c r="BC116" s="13">
        <f t="shared" si="98"/>
        <v>6.8250000000000002</v>
      </c>
      <c r="BD116" s="13">
        <f t="shared" si="99"/>
        <v>1.75</v>
      </c>
      <c r="BE116" s="13">
        <f t="shared" si="100"/>
        <v>1.2249999999999999</v>
      </c>
      <c r="BF116" s="88">
        <f t="shared" si="101"/>
        <v>73.571428571428569</v>
      </c>
      <c r="BG116" s="88">
        <f t="shared" si="102"/>
        <v>49.047619047619051</v>
      </c>
      <c r="BH116" s="88">
        <f t="shared" si="103"/>
        <v>45.27472527472527</v>
      </c>
      <c r="BI116" s="88">
        <f t="shared" si="104"/>
        <v>58.857142857142854</v>
      </c>
      <c r="BJ116" s="88">
        <f t="shared" si="105"/>
        <v>84.081632653061234</v>
      </c>
      <c r="BK116" s="105">
        <f t="shared" si="106"/>
        <v>1.3592233009708738E-2</v>
      </c>
      <c r="BL116" s="105">
        <f t="shared" si="107"/>
        <v>2.0388349514563104E-2</v>
      </c>
      <c r="BM116" s="105">
        <f t="shared" si="108"/>
        <v>2.20873786407767E-2</v>
      </c>
      <c r="BN116" s="105">
        <f t="shared" si="109"/>
        <v>1.6990291262135922E-2</v>
      </c>
      <c r="BO116" s="105">
        <f t="shared" si="110"/>
        <v>1.1893203883495145E-2</v>
      </c>
      <c r="BP116" s="105">
        <f t="shared" si="111"/>
        <v>8.4951456310679616E-2</v>
      </c>
      <c r="BQ116" s="79">
        <f t="shared" si="112"/>
        <v>0.16</v>
      </c>
      <c r="BR116" s="79">
        <f t="shared" si="113"/>
        <v>0.23999999999999996</v>
      </c>
      <c r="BS116" s="79">
        <f t="shared" si="114"/>
        <v>0.26</v>
      </c>
      <c r="BT116" s="79">
        <f t="shared" si="115"/>
        <v>0.19999999999999998</v>
      </c>
      <c r="BU116" s="79">
        <f t="shared" si="116"/>
        <v>0.13999999999999999</v>
      </c>
      <c r="BV116" s="90" t="str">
        <f t="array" aca="1" ref="BV116" ca="1">_xlfn.TEXTJOIN(" ",TRUE,
_xlfn.TEXTJOIN(":",TRUE,ROUND(BK116:BO116/MIN(IF(BK116:BO116&gt;0,BK116:BO116)),0)),
"|",
ROUND(SUM(BW116:CA116),0))</f>
        <v>1:2:2:1:1 | -1236</v>
      </c>
      <c r="BW116" s="106">
        <f t="shared" ca="1" si="117"/>
        <v>-197.76</v>
      </c>
      <c r="BX116" s="106">
        <f t="shared" ca="1" si="63"/>
        <v>-296.63999999999993</v>
      </c>
      <c r="BY116" s="106">
        <f t="shared" ca="1" si="64"/>
        <v>-321.36</v>
      </c>
      <c r="BZ116" s="106">
        <f t="shared" ca="1" si="65"/>
        <v>-247.2</v>
      </c>
      <c r="CA116" s="106">
        <f t="shared" ca="1" si="118"/>
        <v>-173.04</v>
      </c>
    </row>
    <row r="117" spans="1:79" x14ac:dyDescent="0.35">
      <c r="A117" s="25" t="s">
        <v>131</v>
      </c>
      <c r="B117" s="10" t="s">
        <v>328</v>
      </c>
      <c r="C117" s="10" t="s">
        <v>342</v>
      </c>
      <c r="D117" s="10" t="s">
        <v>346</v>
      </c>
      <c r="E117" s="11">
        <v>45864</v>
      </c>
      <c r="F117" s="17">
        <v>45892</v>
      </c>
      <c r="G117" s="14">
        <f t="shared" ca="1" si="66"/>
        <v>207</v>
      </c>
      <c r="H117" s="17">
        <v>999</v>
      </c>
      <c r="I117" s="17">
        <v>530</v>
      </c>
      <c r="J117" s="75">
        <f t="shared" si="67"/>
        <v>1060</v>
      </c>
      <c r="K117" s="17">
        <v>1100</v>
      </c>
      <c r="L117" s="85">
        <v>40</v>
      </c>
      <c r="M117" s="86">
        <f t="shared" ca="1" si="68"/>
        <v>0.19323671497584541</v>
      </c>
      <c r="N117" s="86">
        <f t="shared" si="69"/>
        <v>0.80451009251471861</v>
      </c>
      <c r="O117" s="86">
        <f t="shared" si="70"/>
        <v>0.12195121951219512</v>
      </c>
      <c r="P117" s="87">
        <f t="shared" si="71"/>
        <v>10</v>
      </c>
      <c r="Q117" s="104">
        <f t="shared" si="72"/>
        <v>106</v>
      </c>
      <c r="R117" s="88">
        <f t="shared" si="73"/>
        <v>46.946946946946952</v>
      </c>
      <c r="S117" s="88">
        <f t="shared" si="74"/>
        <v>3.6363636363636362</v>
      </c>
      <c r="T117" s="13">
        <f t="shared" si="75"/>
        <v>1</v>
      </c>
      <c r="U117" s="13">
        <f t="shared" si="76"/>
        <v>1</v>
      </c>
      <c r="V117" s="13">
        <f t="shared" si="77"/>
        <v>2</v>
      </c>
      <c r="W117" s="13">
        <f t="shared" ca="1" si="78"/>
        <v>3</v>
      </c>
      <c r="X117" s="13">
        <f t="shared" ca="1" si="79"/>
        <v>7</v>
      </c>
      <c r="Y117" s="81" t="str">
        <f t="shared" ca="1" si="80"/>
        <v>MONITOR</v>
      </c>
      <c r="Z117" s="13">
        <v>14</v>
      </c>
      <c r="AA117" s="75">
        <v>46059</v>
      </c>
      <c r="AB117" s="75">
        <f t="shared" si="81"/>
        <v>45920</v>
      </c>
      <c r="AC117" s="88">
        <f t="shared" si="82"/>
        <v>19.857142857142858</v>
      </c>
      <c r="AD117" s="89" t="str">
        <f t="shared" ca="1" si="83"/>
        <v>STABLE</v>
      </c>
      <c r="AE117" s="89" t="str">
        <f t="shared" si="84"/>
        <v>SLOW SELLING</v>
      </c>
      <c r="AF117" s="89" t="str">
        <f t="shared" si="85"/>
        <v>AT RISK</v>
      </c>
      <c r="AG117" s="89" t="str">
        <f t="shared" si="86"/>
        <v>FEASIBLE</v>
      </c>
      <c r="AH117" s="81" t="str">
        <f t="shared" ca="1" si="87"/>
        <v>MONITOR</v>
      </c>
      <c r="AI117" s="75">
        <f t="shared" ca="1" si="88"/>
        <v>0</v>
      </c>
      <c r="AJ117" s="75">
        <f t="shared" ca="1" si="89"/>
        <v>-1060</v>
      </c>
      <c r="AK117" s="13">
        <f t="shared" ca="1" si="90"/>
        <v>-1272</v>
      </c>
      <c r="AL117" s="79">
        <v>0.1</v>
      </c>
      <c r="AM117" s="79">
        <v>0.3</v>
      </c>
      <c r="AN117" s="79">
        <v>0.3</v>
      </c>
      <c r="AO117" s="79">
        <v>0.1</v>
      </c>
      <c r="AP117" s="79">
        <v>0.1</v>
      </c>
      <c r="AQ117" s="75">
        <f t="shared" si="91"/>
        <v>106</v>
      </c>
      <c r="AR117" s="75">
        <f t="shared" si="92"/>
        <v>318</v>
      </c>
      <c r="AS117" s="75">
        <f t="shared" si="93"/>
        <v>318</v>
      </c>
      <c r="AT117" s="75">
        <f t="shared" si="94"/>
        <v>106</v>
      </c>
      <c r="AU117" s="75">
        <f t="shared" si="95"/>
        <v>106</v>
      </c>
      <c r="AV117" s="13">
        <v>0.8</v>
      </c>
      <c r="AW117" s="13">
        <v>1.2</v>
      </c>
      <c r="AX117" s="13">
        <v>1.3</v>
      </c>
      <c r="AY117" s="13">
        <v>1</v>
      </c>
      <c r="AZ117" s="13">
        <v>0.7</v>
      </c>
      <c r="BA117" s="105">
        <f t="shared" si="96"/>
        <v>0.8</v>
      </c>
      <c r="BB117" s="13">
        <f t="shared" si="97"/>
        <v>3.5999999999999996</v>
      </c>
      <c r="BC117" s="13">
        <f t="shared" si="98"/>
        <v>3.9000000000000004</v>
      </c>
      <c r="BD117" s="13">
        <f t="shared" si="99"/>
        <v>1</v>
      </c>
      <c r="BE117" s="13">
        <f t="shared" si="100"/>
        <v>0.7</v>
      </c>
      <c r="BF117" s="88">
        <f t="shared" si="101"/>
        <v>132.5</v>
      </c>
      <c r="BG117" s="88">
        <f t="shared" si="102"/>
        <v>88.333333333333343</v>
      </c>
      <c r="BH117" s="88">
        <f t="shared" si="103"/>
        <v>81.538461538461533</v>
      </c>
      <c r="BI117" s="88">
        <f t="shared" si="104"/>
        <v>106</v>
      </c>
      <c r="BJ117" s="88">
        <f t="shared" si="105"/>
        <v>151.42857142857144</v>
      </c>
      <c r="BK117" s="105">
        <f t="shared" si="106"/>
        <v>7.5471698113207548E-3</v>
      </c>
      <c r="BL117" s="105">
        <f t="shared" si="107"/>
        <v>1.1320754716981131E-2</v>
      </c>
      <c r="BM117" s="105">
        <f t="shared" si="108"/>
        <v>1.2264150943396227E-2</v>
      </c>
      <c r="BN117" s="105">
        <f t="shared" si="109"/>
        <v>9.433962264150943E-3</v>
      </c>
      <c r="BO117" s="105">
        <f t="shared" si="110"/>
        <v>6.6037735849056598E-3</v>
      </c>
      <c r="BP117" s="105">
        <f t="shared" si="111"/>
        <v>4.7169811320754713E-2</v>
      </c>
      <c r="BQ117" s="79">
        <f t="shared" si="112"/>
        <v>0.16</v>
      </c>
      <c r="BR117" s="79">
        <f t="shared" si="113"/>
        <v>0.24</v>
      </c>
      <c r="BS117" s="79">
        <f t="shared" si="114"/>
        <v>0.26</v>
      </c>
      <c r="BT117" s="79">
        <f t="shared" si="115"/>
        <v>0.2</v>
      </c>
      <c r="BU117" s="79">
        <f t="shared" si="116"/>
        <v>0.13999999999999999</v>
      </c>
      <c r="BV117" s="90" t="str">
        <f t="array" aca="1" ref="BV117" ca="1">_xlfn.TEXTJOIN(" ",TRUE,
_xlfn.TEXTJOIN(":",TRUE,ROUND(BK117:BO117/MIN(IF(BK117:BO117&gt;0,BK117:BO117)),0)),
"|",
ROUND(SUM(BW117:CA117),0))</f>
        <v>1:2:2:1:1 | -1272</v>
      </c>
      <c r="BW117" s="106">
        <f t="shared" ca="1" si="117"/>
        <v>-203.52</v>
      </c>
      <c r="BX117" s="106">
        <f t="shared" ca="1" si="63"/>
        <v>-305.27999999999997</v>
      </c>
      <c r="BY117" s="106">
        <f t="shared" ca="1" si="64"/>
        <v>-330.72</v>
      </c>
      <c r="BZ117" s="106">
        <f t="shared" ca="1" si="65"/>
        <v>-254.4</v>
      </c>
      <c r="CA117" s="106">
        <f t="shared" ca="1" si="118"/>
        <v>-178.07999999999998</v>
      </c>
    </row>
    <row r="118" spans="1:79" x14ac:dyDescent="0.35">
      <c r="A118" s="25" t="s">
        <v>132</v>
      </c>
      <c r="B118" s="10" t="s">
        <v>328</v>
      </c>
      <c r="C118" s="10" t="s">
        <v>342</v>
      </c>
      <c r="D118" s="10" t="s">
        <v>346</v>
      </c>
      <c r="E118" s="11">
        <v>45892</v>
      </c>
      <c r="F118" s="17">
        <v>45892</v>
      </c>
      <c r="G118" s="14">
        <f t="shared" ca="1" si="66"/>
        <v>207</v>
      </c>
      <c r="H118" s="17">
        <v>999</v>
      </c>
      <c r="I118" s="17">
        <v>480</v>
      </c>
      <c r="J118" s="75">
        <f t="shared" si="67"/>
        <v>973</v>
      </c>
      <c r="K118" s="17">
        <v>1200</v>
      </c>
      <c r="L118" s="85">
        <v>227</v>
      </c>
      <c r="M118" s="86">
        <f t="shared" ca="1" si="68"/>
        <v>1.0966183574879227</v>
      </c>
      <c r="N118" s="86">
        <f t="shared" si="69"/>
        <v>0.80451009251471861</v>
      </c>
      <c r="O118" s="86">
        <f t="shared" si="70"/>
        <v>0.69207317073170727</v>
      </c>
      <c r="P118" s="87">
        <f t="shared" si="71"/>
        <v>56.749999999999993</v>
      </c>
      <c r="Q118" s="104">
        <f t="shared" si="72"/>
        <v>17.145374449339208</v>
      </c>
      <c r="R118" s="88">
        <f t="shared" si="73"/>
        <v>51.951951951951948</v>
      </c>
      <c r="S118" s="88">
        <f t="shared" si="74"/>
        <v>18.916666666666668</v>
      </c>
      <c r="T118" s="13">
        <f t="shared" si="75"/>
        <v>2</v>
      </c>
      <c r="U118" s="13">
        <f t="shared" si="76"/>
        <v>1</v>
      </c>
      <c r="V118" s="13">
        <f t="shared" si="77"/>
        <v>2</v>
      </c>
      <c r="W118" s="13">
        <f t="shared" ca="1" si="78"/>
        <v>3</v>
      </c>
      <c r="X118" s="13">
        <f t="shared" ca="1" si="79"/>
        <v>8</v>
      </c>
      <c r="Y118" s="81" t="str">
        <f t="shared" ca="1" si="80"/>
        <v>MONITOR</v>
      </c>
      <c r="Z118" s="13">
        <v>14</v>
      </c>
      <c r="AA118" s="75">
        <v>46059</v>
      </c>
      <c r="AB118" s="75">
        <f t="shared" si="81"/>
        <v>45920</v>
      </c>
      <c r="AC118" s="88">
        <f t="shared" si="82"/>
        <v>19.857142857142858</v>
      </c>
      <c r="AD118" s="89" t="str">
        <f t="shared" ca="1" si="83"/>
        <v>STABLE</v>
      </c>
      <c r="AE118" s="89" t="str">
        <f t="shared" si="84"/>
        <v>SLOW SELLING</v>
      </c>
      <c r="AF118" s="89" t="str">
        <f t="shared" si="85"/>
        <v>AT RISK</v>
      </c>
      <c r="AG118" s="89" t="str">
        <f t="shared" si="86"/>
        <v>FEASIBLE</v>
      </c>
      <c r="AH118" s="81" t="str">
        <f t="shared" ca="1" si="87"/>
        <v>MONITOR</v>
      </c>
      <c r="AI118" s="75">
        <f t="shared" ca="1" si="88"/>
        <v>0</v>
      </c>
      <c r="AJ118" s="75">
        <f t="shared" ca="1" si="89"/>
        <v>-973</v>
      </c>
      <c r="AK118" s="13">
        <f t="shared" ca="1" si="90"/>
        <v>-1168</v>
      </c>
      <c r="AL118" s="79">
        <v>0.1</v>
      </c>
      <c r="AM118" s="79">
        <v>0.3</v>
      </c>
      <c r="AN118" s="79">
        <v>0.3</v>
      </c>
      <c r="AO118" s="79">
        <v>0.1</v>
      </c>
      <c r="AP118" s="79">
        <v>0.1</v>
      </c>
      <c r="AQ118" s="75">
        <f t="shared" si="91"/>
        <v>97.300000000000011</v>
      </c>
      <c r="AR118" s="75">
        <f t="shared" si="92"/>
        <v>291.89999999999998</v>
      </c>
      <c r="AS118" s="75">
        <f t="shared" si="93"/>
        <v>291.89999999999998</v>
      </c>
      <c r="AT118" s="75">
        <f t="shared" si="94"/>
        <v>97.300000000000011</v>
      </c>
      <c r="AU118" s="75">
        <f t="shared" si="95"/>
        <v>97.300000000000011</v>
      </c>
      <c r="AV118" s="13">
        <v>0.8</v>
      </c>
      <c r="AW118" s="13">
        <v>1.2</v>
      </c>
      <c r="AX118" s="13">
        <v>1.3</v>
      </c>
      <c r="AY118" s="13">
        <v>1</v>
      </c>
      <c r="AZ118" s="13">
        <v>0.7</v>
      </c>
      <c r="BA118" s="105">
        <f t="shared" si="96"/>
        <v>4.54</v>
      </c>
      <c r="BB118" s="13">
        <f t="shared" si="97"/>
        <v>20.429999999999996</v>
      </c>
      <c r="BC118" s="13">
        <f t="shared" si="98"/>
        <v>22.1325</v>
      </c>
      <c r="BD118" s="13">
        <f t="shared" si="99"/>
        <v>5.6749999999999998</v>
      </c>
      <c r="BE118" s="13">
        <f t="shared" si="100"/>
        <v>3.9724999999999997</v>
      </c>
      <c r="BF118" s="88">
        <f t="shared" si="101"/>
        <v>21.431718061674012</v>
      </c>
      <c r="BG118" s="88">
        <f t="shared" si="102"/>
        <v>14.287812041116007</v>
      </c>
      <c r="BH118" s="88">
        <f t="shared" si="103"/>
        <v>13.188749576414773</v>
      </c>
      <c r="BI118" s="88">
        <f t="shared" si="104"/>
        <v>17.145374449339208</v>
      </c>
      <c r="BJ118" s="88">
        <f t="shared" si="105"/>
        <v>24.493392070484585</v>
      </c>
      <c r="BK118" s="105">
        <f t="shared" si="106"/>
        <v>4.6659815005138737E-2</v>
      </c>
      <c r="BL118" s="105">
        <f t="shared" si="107"/>
        <v>6.9989722507708116E-2</v>
      </c>
      <c r="BM118" s="105">
        <f t="shared" si="108"/>
        <v>7.5822199383350469E-2</v>
      </c>
      <c r="BN118" s="105">
        <f t="shared" si="109"/>
        <v>5.832476875642343E-2</v>
      </c>
      <c r="BO118" s="105">
        <f t="shared" si="110"/>
        <v>4.0827338129496397E-2</v>
      </c>
      <c r="BP118" s="105">
        <f t="shared" si="111"/>
        <v>0.29162384378211714</v>
      </c>
      <c r="BQ118" s="79">
        <f t="shared" si="112"/>
        <v>0.15999999999999998</v>
      </c>
      <c r="BR118" s="79">
        <f t="shared" si="113"/>
        <v>0.24000000000000002</v>
      </c>
      <c r="BS118" s="79">
        <f t="shared" si="114"/>
        <v>0.26000000000000006</v>
      </c>
      <c r="BT118" s="79">
        <f t="shared" si="115"/>
        <v>0.2</v>
      </c>
      <c r="BU118" s="79">
        <f t="shared" si="116"/>
        <v>0.13999999999999999</v>
      </c>
      <c r="BV118" s="90" t="str">
        <f t="array" aca="1" ref="BV118" ca="1">_xlfn.TEXTJOIN(" ",TRUE,
_xlfn.TEXTJOIN(":",TRUE,ROUND(BK118:BO118/MIN(IF(BK118:BO118&gt;0,BK118:BO118)),0)),
"|",
ROUND(SUM(BW118:CA118),0))</f>
        <v>1:2:2:1:1 | -1168</v>
      </c>
      <c r="BW118" s="106">
        <f t="shared" ca="1" si="117"/>
        <v>-186.87999999999997</v>
      </c>
      <c r="BX118" s="106">
        <f t="shared" ca="1" si="63"/>
        <v>-280.32000000000005</v>
      </c>
      <c r="BY118" s="106">
        <f t="shared" ca="1" si="64"/>
        <v>-303.68000000000006</v>
      </c>
      <c r="BZ118" s="106">
        <f t="shared" ca="1" si="65"/>
        <v>-233.60000000000002</v>
      </c>
      <c r="CA118" s="106">
        <f t="shared" ca="1" si="118"/>
        <v>-163.51999999999998</v>
      </c>
    </row>
    <row r="119" spans="1:79" x14ac:dyDescent="0.35">
      <c r="A119" s="25" t="s">
        <v>133</v>
      </c>
      <c r="B119" s="10" t="s">
        <v>328</v>
      </c>
      <c r="C119" s="10" t="s">
        <v>342</v>
      </c>
      <c r="D119" s="10" t="s">
        <v>346</v>
      </c>
      <c r="E119" s="11">
        <v>45920</v>
      </c>
      <c r="F119" s="17">
        <v>45892</v>
      </c>
      <c r="G119" s="14">
        <f t="shared" ca="1" si="66"/>
        <v>207</v>
      </c>
      <c r="H119" s="17">
        <v>999</v>
      </c>
      <c r="I119" s="17">
        <v>470</v>
      </c>
      <c r="J119" s="75">
        <f t="shared" si="67"/>
        <v>738</v>
      </c>
      <c r="K119" s="17">
        <v>1100</v>
      </c>
      <c r="L119" s="85">
        <v>362</v>
      </c>
      <c r="M119" s="86">
        <f t="shared" ca="1" si="68"/>
        <v>1.748792270531401</v>
      </c>
      <c r="N119" s="86">
        <f t="shared" si="69"/>
        <v>0.80451009251471861</v>
      </c>
      <c r="O119" s="86">
        <f t="shared" si="70"/>
        <v>1.1036585365853659</v>
      </c>
      <c r="P119" s="87">
        <f t="shared" si="71"/>
        <v>90.500000000000014</v>
      </c>
      <c r="Q119" s="104">
        <f t="shared" si="72"/>
        <v>8.1546961325966834</v>
      </c>
      <c r="R119" s="88">
        <f t="shared" si="73"/>
        <v>52.952952952952948</v>
      </c>
      <c r="S119" s="88">
        <f t="shared" si="74"/>
        <v>32.909090909090907</v>
      </c>
      <c r="T119" s="13">
        <f t="shared" si="75"/>
        <v>3</v>
      </c>
      <c r="U119" s="13">
        <f t="shared" si="76"/>
        <v>1</v>
      </c>
      <c r="V119" s="13">
        <f t="shared" si="77"/>
        <v>2</v>
      </c>
      <c r="W119" s="13">
        <f t="shared" ca="1" si="78"/>
        <v>3</v>
      </c>
      <c r="X119" s="13">
        <f t="shared" ca="1" si="79"/>
        <v>9</v>
      </c>
      <c r="Y119" s="81" t="str">
        <f t="shared" ca="1" si="80"/>
        <v>RE-BUY</v>
      </c>
      <c r="Z119" s="13">
        <v>14</v>
      </c>
      <c r="AA119" s="75">
        <v>46059</v>
      </c>
      <c r="AB119" s="75">
        <f t="shared" si="81"/>
        <v>45920</v>
      </c>
      <c r="AC119" s="88">
        <f t="shared" si="82"/>
        <v>19.857142857142858</v>
      </c>
      <c r="AD119" s="89" t="str">
        <f t="shared" ca="1" si="83"/>
        <v>STABLE</v>
      </c>
      <c r="AE119" s="89" t="str">
        <f t="shared" si="84"/>
        <v>FAST SELLING</v>
      </c>
      <c r="AF119" s="89" t="str">
        <f t="shared" si="85"/>
        <v>AT RISK</v>
      </c>
      <c r="AG119" s="89" t="str">
        <f t="shared" si="86"/>
        <v>FEASIBLE</v>
      </c>
      <c r="AH119" s="81" t="str">
        <f t="shared" ca="1" si="87"/>
        <v>IMMEDIATE REBUY</v>
      </c>
      <c r="AI119" s="75">
        <f t="shared" ca="1" si="88"/>
        <v>1078.2428571428572</v>
      </c>
      <c r="AJ119" s="75">
        <f t="shared" ca="1" si="89"/>
        <v>340.24285714285725</v>
      </c>
      <c r="AK119" s="13">
        <f t="shared" ca="1" si="90"/>
        <v>408</v>
      </c>
      <c r="AL119" s="79">
        <v>0.1</v>
      </c>
      <c r="AM119" s="79">
        <v>0.3</v>
      </c>
      <c r="AN119" s="79">
        <v>0.3</v>
      </c>
      <c r="AO119" s="79">
        <v>0.1</v>
      </c>
      <c r="AP119" s="79">
        <v>0.1</v>
      </c>
      <c r="AQ119" s="75">
        <f t="shared" si="91"/>
        <v>73.8</v>
      </c>
      <c r="AR119" s="75">
        <f t="shared" si="92"/>
        <v>221.4</v>
      </c>
      <c r="AS119" s="75">
        <f t="shared" si="93"/>
        <v>221.4</v>
      </c>
      <c r="AT119" s="75">
        <f t="shared" si="94"/>
        <v>73.8</v>
      </c>
      <c r="AU119" s="75">
        <f t="shared" si="95"/>
        <v>73.8</v>
      </c>
      <c r="AV119" s="13">
        <v>0.8</v>
      </c>
      <c r="AW119" s="13">
        <v>1.2</v>
      </c>
      <c r="AX119" s="13">
        <v>1.3</v>
      </c>
      <c r="AY119" s="13">
        <v>1</v>
      </c>
      <c r="AZ119" s="13">
        <v>0.7</v>
      </c>
      <c r="BA119" s="105">
        <f t="shared" si="96"/>
        <v>7.240000000000002</v>
      </c>
      <c r="BB119" s="13">
        <f t="shared" si="97"/>
        <v>32.58</v>
      </c>
      <c r="BC119" s="13">
        <f t="shared" si="98"/>
        <v>35.295000000000002</v>
      </c>
      <c r="BD119" s="13">
        <f t="shared" si="99"/>
        <v>9.0500000000000025</v>
      </c>
      <c r="BE119" s="13">
        <f t="shared" si="100"/>
        <v>6.3350000000000017</v>
      </c>
      <c r="BF119" s="88">
        <f t="shared" si="101"/>
        <v>10.193370165745852</v>
      </c>
      <c r="BG119" s="88">
        <f t="shared" si="102"/>
        <v>6.7955801104972382</v>
      </c>
      <c r="BH119" s="88">
        <f t="shared" si="103"/>
        <v>6.2728431789205272</v>
      </c>
      <c r="BI119" s="88">
        <f t="shared" si="104"/>
        <v>8.1546961325966834</v>
      </c>
      <c r="BJ119" s="88">
        <f t="shared" si="105"/>
        <v>11.649565903709547</v>
      </c>
      <c r="BK119" s="105">
        <f t="shared" si="106"/>
        <v>9.8102981029810341E-2</v>
      </c>
      <c r="BL119" s="105">
        <f t="shared" si="107"/>
        <v>0.14715447154471542</v>
      </c>
      <c r="BM119" s="105">
        <f t="shared" si="108"/>
        <v>0.15941734417344172</v>
      </c>
      <c r="BN119" s="105">
        <f t="shared" si="109"/>
        <v>0.1226287262872629</v>
      </c>
      <c r="BO119" s="105">
        <f t="shared" si="110"/>
        <v>8.5840108401084039E-2</v>
      </c>
      <c r="BP119" s="105">
        <f t="shared" si="111"/>
        <v>0.61314363143631434</v>
      </c>
      <c r="BQ119" s="79">
        <f t="shared" si="112"/>
        <v>0.16000000000000009</v>
      </c>
      <c r="BR119" s="79">
        <f t="shared" si="113"/>
        <v>0.23999999999999996</v>
      </c>
      <c r="BS119" s="79">
        <f t="shared" si="114"/>
        <v>0.26</v>
      </c>
      <c r="BT119" s="79">
        <f t="shared" si="115"/>
        <v>0.20000000000000007</v>
      </c>
      <c r="BU119" s="79">
        <f t="shared" si="116"/>
        <v>0.14000000000000004</v>
      </c>
      <c r="BV119" s="90" t="str">
        <f t="array" aca="1" ref="BV119" ca="1">_xlfn.TEXTJOIN(" ",TRUE,
_xlfn.TEXTJOIN(":",TRUE,ROUND(BK119:BO119/MIN(IF(BK119:BO119&gt;0,BK119:BO119)),0)),
"|",
ROUND(SUM(BW119:CA119),0))</f>
        <v>1:2:2:1:1 | 408</v>
      </c>
      <c r="BW119" s="106">
        <f t="shared" ca="1" si="117"/>
        <v>65.28000000000003</v>
      </c>
      <c r="BX119" s="106">
        <f t="shared" ca="1" si="63"/>
        <v>97.919999999999987</v>
      </c>
      <c r="BY119" s="106">
        <f t="shared" ca="1" si="64"/>
        <v>106.08</v>
      </c>
      <c r="BZ119" s="106">
        <f t="shared" ca="1" si="65"/>
        <v>81.600000000000023</v>
      </c>
      <c r="CA119" s="106">
        <f t="shared" ca="1" si="118"/>
        <v>57.120000000000019</v>
      </c>
    </row>
    <row r="120" spans="1:79" x14ac:dyDescent="0.35">
      <c r="A120" s="25" t="s">
        <v>134</v>
      </c>
      <c r="B120" s="10" t="s">
        <v>328</v>
      </c>
      <c r="C120" s="10" t="s">
        <v>342</v>
      </c>
      <c r="D120" s="10" t="s">
        <v>346</v>
      </c>
      <c r="E120" s="11">
        <v>45920</v>
      </c>
      <c r="F120" s="17">
        <v>45892</v>
      </c>
      <c r="G120" s="14">
        <f t="shared" ca="1" si="66"/>
        <v>207</v>
      </c>
      <c r="H120" s="17">
        <v>999</v>
      </c>
      <c r="I120" s="17">
        <v>530</v>
      </c>
      <c r="J120" s="75">
        <f t="shared" si="67"/>
        <v>702</v>
      </c>
      <c r="K120" s="17">
        <v>1100</v>
      </c>
      <c r="L120" s="85">
        <v>398</v>
      </c>
      <c r="M120" s="86">
        <f t="shared" ca="1" si="68"/>
        <v>1.9227053140096619</v>
      </c>
      <c r="N120" s="86">
        <f t="shared" si="69"/>
        <v>0.80451009251471861</v>
      </c>
      <c r="O120" s="86">
        <f t="shared" si="70"/>
        <v>1.2134146341463414</v>
      </c>
      <c r="P120" s="87">
        <f t="shared" si="71"/>
        <v>99.5</v>
      </c>
      <c r="Q120" s="104">
        <f t="shared" si="72"/>
        <v>7.0552763819095476</v>
      </c>
      <c r="R120" s="88">
        <f t="shared" si="73"/>
        <v>46.946946946946952</v>
      </c>
      <c r="S120" s="88">
        <f t="shared" si="74"/>
        <v>36.18181818181818</v>
      </c>
      <c r="T120" s="13">
        <f t="shared" si="75"/>
        <v>3</v>
      </c>
      <c r="U120" s="13">
        <f t="shared" si="76"/>
        <v>1</v>
      </c>
      <c r="V120" s="13">
        <f t="shared" si="77"/>
        <v>2</v>
      </c>
      <c r="W120" s="13">
        <f t="shared" ca="1" si="78"/>
        <v>3</v>
      </c>
      <c r="X120" s="13">
        <f t="shared" ca="1" si="79"/>
        <v>9</v>
      </c>
      <c r="Y120" s="81" t="str">
        <f t="shared" ca="1" si="80"/>
        <v>RE-BUY</v>
      </c>
      <c r="Z120" s="13">
        <v>14</v>
      </c>
      <c r="AA120" s="75">
        <v>46059</v>
      </c>
      <c r="AB120" s="75">
        <f t="shared" si="81"/>
        <v>45920</v>
      </c>
      <c r="AC120" s="88">
        <f t="shared" si="82"/>
        <v>19.857142857142858</v>
      </c>
      <c r="AD120" s="89" t="str">
        <f t="shared" ca="1" si="83"/>
        <v>STABLE</v>
      </c>
      <c r="AE120" s="89" t="str">
        <f t="shared" si="84"/>
        <v>FAST SELLING</v>
      </c>
      <c r="AF120" s="89" t="str">
        <f t="shared" si="85"/>
        <v>AT RISK</v>
      </c>
      <c r="AG120" s="89" t="str">
        <f t="shared" si="86"/>
        <v>FEASIBLE</v>
      </c>
      <c r="AH120" s="81" t="str">
        <f t="shared" ca="1" si="87"/>
        <v>IMMEDIATE REBUY</v>
      </c>
      <c r="AI120" s="75">
        <f t="shared" ca="1" si="88"/>
        <v>1185.4714285714285</v>
      </c>
      <c r="AJ120" s="75">
        <f t="shared" ca="1" si="89"/>
        <v>483.47142857142853</v>
      </c>
      <c r="AK120" s="13">
        <f t="shared" ca="1" si="90"/>
        <v>580</v>
      </c>
      <c r="AL120" s="79">
        <v>0.1</v>
      </c>
      <c r="AM120" s="79">
        <v>0.3</v>
      </c>
      <c r="AN120" s="79">
        <v>0.3</v>
      </c>
      <c r="AO120" s="79">
        <v>0.1</v>
      </c>
      <c r="AP120" s="79">
        <v>0.1</v>
      </c>
      <c r="AQ120" s="75">
        <f t="shared" si="91"/>
        <v>70.2</v>
      </c>
      <c r="AR120" s="75">
        <f t="shared" si="92"/>
        <v>210.6</v>
      </c>
      <c r="AS120" s="75">
        <f t="shared" si="93"/>
        <v>210.6</v>
      </c>
      <c r="AT120" s="75">
        <f t="shared" si="94"/>
        <v>70.2</v>
      </c>
      <c r="AU120" s="75">
        <f t="shared" si="95"/>
        <v>70.2</v>
      </c>
      <c r="AV120" s="13">
        <v>0.8</v>
      </c>
      <c r="AW120" s="13">
        <v>1.2</v>
      </c>
      <c r="AX120" s="13">
        <v>1.3</v>
      </c>
      <c r="AY120" s="13">
        <v>1</v>
      </c>
      <c r="AZ120" s="13">
        <v>0.7</v>
      </c>
      <c r="BA120" s="105">
        <f t="shared" si="96"/>
        <v>7.9600000000000009</v>
      </c>
      <c r="BB120" s="13">
        <f t="shared" si="97"/>
        <v>35.819999999999993</v>
      </c>
      <c r="BC120" s="13">
        <f t="shared" si="98"/>
        <v>38.805</v>
      </c>
      <c r="BD120" s="13">
        <f t="shared" si="99"/>
        <v>9.9500000000000011</v>
      </c>
      <c r="BE120" s="13">
        <f t="shared" si="100"/>
        <v>6.9650000000000007</v>
      </c>
      <c r="BF120" s="88">
        <f t="shared" si="101"/>
        <v>8.8190954773869343</v>
      </c>
      <c r="BG120" s="88">
        <f t="shared" si="102"/>
        <v>5.8793969849246244</v>
      </c>
      <c r="BH120" s="88">
        <f t="shared" si="103"/>
        <v>5.4271356783919593</v>
      </c>
      <c r="BI120" s="88">
        <f t="shared" si="104"/>
        <v>7.0552763819095476</v>
      </c>
      <c r="BJ120" s="88">
        <f t="shared" si="105"/>
        <v>10.078966259870782</v>
      </c>
      <c r="BK120" s="105">
        <f t="shared" si="106"/>
        <v>0.1133903133903134</v>
      </c>
      <c r="BL120" s="105">
        <f t="shared" si="107"/>
        <v>0.17008547008547004</v>
      </c>
      <c r="BM120" s="105">
        <f t="shared" si="108"/>
        <v>0.18425925925925929</v>
      </c>
      <c r="BN120" s="105">
        <f t="shared" si="109"/>
        <v>0.14173789173789175</v>
      </c>
      <c r="BO120" s="105">
        <f t="shared" si="110"/>
        <v>9.9216524216524216E-2</v>
      </c>
      <c r="BP120" s="105">
        <f t="shared" si="111"/>
        <v>0.70868945868945876</v>
      </c>
      <c r="BQ120" s="79">
        <f t="shared" si="112"/>
        <v>0.16</v>
      </c>
      <c r="BR120" s="79">
        <f t="shared" si="113"/>
        <v>0.23999999999999991</v>
      </c>
      <c r="BS120" s="79">
        <f t="shared" si="114"/>
        <v>0.26</v>
      </c>
      <c r="BT120" s="79">
        <f t="shared" si="115"/>
        <v>0.2</v>
      </c>
      <c r="BU120" s="79">
        <f t="shared" si="116"/>
        <v>0.13999999999999999</v>
      </c>
      <c r="BV120" s="90" t="str">
        <f t="array" aca="1" ref="BV120" ca="1">_xlfn.TEXTJOIN(" ",TRUE,
_xlfn.TEXTJOIN(":",TRUE,ROUND(BK120:BO120/MIN(IF(BK120:BO120&gt;0,BK120:BO120)),0)),
"|",
ROUND(SUM(BW120:CA120),0))</f>
        <v>1:2:2:1:1 | 580</v>
      </c>
      <c r="BW120" s="106">
        <f t="shared" ca="1" si="117"/>
        <v>92.8</v>
      </c>
      <c r="BX120" s="106">
        <f t="shared" ca="1" si="63"/>
        <v>139.19999999999996</v>
      </c>
      <c r="BY120" s="106">
        <f t="shared" ca="1" si="64"/>
        <v>150.80000000000001</v>
      </c>
      <c r="BZ120" s="106">
        <f t="shared" ca="1" si="65"/>
        <v>116</v>
      </c>
      <c r="CA120" s="106">
        <f t="shared" ca="1" si="118"/>
        <v>81.199999999999989</v>
      </c>
    </row>
    <row r="121" spans="1:79" x14ac:dyDescent="0.35">
      <c r="A121" s="25" t="s">
        <v>135</v>
      </c>
      <c r="B121" s="10" t="s">
        <v>319</v>
      </c>
      <c r="C121" s="10" t="s">
        <v>342</v>
      </c>
      <c r="D121" s="10" t="s">
        <v>346</v>
      </c>
      <c r="E121" s="11">
        <v>45864</v>
      </c>
      <c r="F121" s="17">
        <v>45892</v>
      </c>
      <c r="G121" s="14">
        <f t="shared" ca="1" si="66"/>
        <v>207</v>
      </c>
      <c r="H121" s="17">
        <v>599</v>
      </c>
      <c r="I121" s="17">
        <v>301</v>
      </c>
      <c r="J121" s="75">
        <f t="shared" si="67"/>
        <v>975</v>
      </c>
      <c r="K121" s="17">
        <v>1050</v>
      </c>
      <c r="L121" s="85">
        <v>75</v>
      </c>
      <c r="M121" s="86">
        <f t="shared" ca="1" si="68"/>
        <v>0.36231884057971014</v>
      </c>
      <c r="N121" s="86">
        <f t="shared" si="69"/>
        <v>0.80451009251471861</v>
      </c>
      <c r="O121" s="86">
        <f t="shared" si="70"/>
        <v>0.22865853658536586</v>
      </c>
      <c r="P121" s="87">
        <f t="shared" si="71"/>
        <v>18.75</v>
      </c>
      <c r="Q121" s="104">
        <f t="shared" si="72"/>
        <v>52</v>
      </c>
      <c r="R121" s="88">
        <f t="shared" si="73"/>
        <v>49.749582637729553</v>
      </c>
      <c r="S121" s="88">
        <f t="shared" si="74"/>
        <v>7.1428571428571423</v>
      </c>
      <c r="T121" s="13">
        <f t="shared" si="75"/>
        <v>1</v>
      </c>
      <c r="U121" s="13">
        <f t="shared" si="76"/>
        <v>1</v>
      </c>
      <c r="V121" s="13">
        <f t="shared" si="77"/>
        <v>2</v>
      </c>
      <c r="W121" s="13">
        <f t="shared" ca="1" si="78"/>
        <v>3</v>
      </c>
      <c r="X121" s="13">
        <f t="shared" ca="1" si="79"/>
        <v>7</v>
      </c>
      <c r="Y121" s="81" t="str">
        <f t="shared" ca="1" si="80"/>
        <v>MONITOR</v>
      </c>
      <c r="Z121" s="13">
        <v>14</v>
      </c>
      <c r="AA121" s="75">
        <v>46059</v>
      </c>
      <c r="AB121" s="75">
        <f t="shared" si="81"/>
        <v>45920</v>
      </c>
      <c r="AC121" s="88">
        <f t="shared" si="82"/>
        <v>19.857142857142858</v>
      </c>
      <c r="AD121" s="89" t="str">
        <f t="shared" ca="1" si="83"/>
        <v>STABLE</v>
      </c>
      <c r="AE121" s="89" t="str">
        <f t="shared" si="84"/>
        <v>SLOW SELLING</v>
      </c>
      <c r="AF121" s="89" t="str">
        <f t="shared" si="85"/>
        <v>AT RISK</v>
      </c>
      <c r="AG121" s="89" t="str">
        <f t="shared" si="86"/>
        <v>FEASIBLE</v>
      </c>
      <c r="AH121" s="81" t="str">
        <f t="shared" ca="1" si="87"/>
        <v>MONITOR</v>
      </c>
      <c r="AI121" s="75">
        <f t="shared" ca="1" si="88"/>
        <v>0</v>
      </c>
      <c r="AJ121" s="75">
        <f t="shared" ca="1" si="89"/>
        <v>-975</v>
      </c>
      <c r="AK121" s="13">
        <f t="shared" ca="1" si="90"/>
        <v>-1170</v>
      </c>
      <c r="AL121" s="79">
        <v>0.1</v>
      </c>
      <c r="AM121" s="79">
        <v>0.3</v>
      </c>
      <c r="AN121" s="79">
        <v>0.3</v>
      </c>
      <c r="AO121" s="79">
        <v>0.1</v>
      </c>
      <c r="AP121" s="79">
        <v>0.1</v>
      </c>
      <c r="AQ121" s="75">
        <f t="shared" si="91"/>
        <v>97.5</v>
      </c>
      <c r="AR121" s="75">
        <f t="shared" si="92"/>
        <v>292.5</v>
      </c>
      <c r="AS121" s="75">
        <f t="shared" si="93"/>
        <v>292.5</v>
      </c>
      <c r="AT121" s="75">
        <f t="shared" si="94"/>
        <v>97.5</v>
      </c>
      <c r="AU121" s="75">
        <f t="shared" si="95"/>
        <v>97.5</v>
      </c>
      <c r="AV121" s="13">
        <v>0.8</v>
      </c>
      <c r="AW121" s="13">
        <v>1.2</v>
      </c>
      <c r="AX121" s="13">
        <v>1.3</v>
      </c>
      <c r="AY121" s="13">
        <v>1</v>
      </c>
      <c r="AZ121" s="13">
        <v>0.7</v>
      </c>
      <c r="BA121" s="105">
        <f t="shared" si="96"/>
        <v>1.5</v>
      </c>
      <c r="BB121" s="13">
        <f t="shared" si="97"/>
        <v>6.75</v>
      </c>
      <c r="BC121" s="13">
        <f t="shared" si="98"/>
        <v>7.3125</v>
      </c>
      <c r="BD121" s="13">
        <f t="shared" si="99"/>
        <v>1.875</v>
      </c>
      <c r="BE121" s="13">
        <f t="shared" si="100"/>
        <v>1.3125</v>
      </c>
      <c r="BF121" s="88">
        <f t="shared" si="101"/>
        <v>65</v>
      </c>
      <c r="BG121" s="88">
        <f t="shared" si="102"/>
        <v>43.333333333333336</v>
      </c>
      <c r="BH121" s="88">
        <f t="shared" si="103"/>
        <v>40</v>
      </c>
      <c r="BI121" s="88">
        <f t="shared" si="104"/>
        <v>52</v>
      </c>
      <c r="BJ121" s="88">
        <f t="shared" si="105"/>
        <v>74.285714285714292</v>
      </c>
      <c r="BK121" s="105">
        <f t="shared" si="106"/>
        <v>1.5384615384615385E-2</v>
      </c>
      <c r="BL121" s="105">
        <f t="shared" si="107"/>
        <v>2.3076923076923075E-2</v>
      </c>
      <c r="BM121" s="105">
        <f t="shared" si="108"/>
        <v>2.5000000000000001E-2</v>
      </c>
      <c r="BN121" s="105">
        <f t="shared" si="109"/>
        <v>1.9230769230769232E-2</v>
      </c>
      <c r="BO121" s="105">
        <f t="shared" si="110"/>
        <v>1.3461538461538461E-2</v>
      </c>
      <c r="BP121" s="105">
        <f t="shared" si="111"/>
        <v>9.6153846153846145E-2</v>
      </c>
      <c r="BQ121" s="79">
        <f t="shared" si="112"/>
        <v>0.16000000000000003</v>
      </c>
      <c r="BR121" s="79">
        <f t="shared" si="113"/>
        <v>0.24</v>
      </c>
      <c r="BS121" s="79">
        <f t="shared" si="114"/>
        <v>0.26000000000000006</v>
      </c>
      <c r="BT121" s="79">
        <f t="shared" si="115"/>
        <v>0.20000000000000004</v>
      </c>
      <c r="BU121" s="79">
        <f t="shared" si="116"/>
        <v>0.14000000000000001</v>
      </c>
      <c r="BV121" s="90" t="str">
        <f t="array" aca="1" ref="BV121" ca="1">_xlfn.TEXTJOIN(" ",TRUE,
_xlfn.TEXTJOIN(":",TRUE,ROUND(BK121:BO121/MIN(IF(BK121:BO121&gt;0,BK121:BO121)),0)),
"|",
ROUND(SUM(BW121:CA121),0))</f>
        <v>1:2:2:1:1 | -1170</v>
      </c>
      <c r="BW121" s="106">
        <f t="shared" ca="1" si="117"/>
        <v>-187.20000000000005</v>
      </c>
      <c r="BX121" s="106">
        <f t="shared" ca="1" si="63"/>
        <v>-280.8</v>
      </c>
      <c r="BY121" s="106">
        <f t="shared" ca="1" si="64"/>
        <v>-304.2000000000001</v>
      </c>
      <c r="BZ121" s="106">
        <f t="shared" ca="1" si="65"/>
        <v>-234.00000000000006</v>
      </c>
      <c r="CA121" s="106">
        <f t="shared" ca="1" si="118"/>
        <v>-163.80000000000001</v>
      </c>
    </row>
    <row r="122" spans="1:79" x14ac:dyDescent="0.35">
      <c r="A122" s="25" t="s">
        <v>136</v>
      </c>
      <c r="B122" s="10" t="s">
        <v>319</v>
      </c>
      <c r="C122" s="10" t="s">
        <v>342</v>
      </c>
      <c r="D122" s="10" t="s">
        <v>346</v>
      </c>
      <c r="E122" s="11">
        <v>45920</v>
      </c>
      <c r="F122" s="17">
        <v>45892</v>
      </c>
      <c r="G122" s="14">
        <f t="shared" ca="1" si="66"/>
        <v>207</v>
      </c>
      <c r="H122" s="17">
        <v>599</v>
      </c>
      <c r="I122" s="17">
        <v>300</v>
      </c>
      <c r="J122" s="75">
        <f t="shared" si="67"/>
        <v>581</v>
      </c>
      <c r="K122" s="17">
        <v>750</v>
      </c>
      <c r="L122" s="85">
        <v>169</v>
      </c>
      <c r="M122" s="86">
        <f t="shared" ca="1" si="68"/>
        <v>0.81642512077294682</v>
      </c>
      <c r="N122" s="86">
        <f t="shared" si="69"/>
        <v>0.80451009251471861</v>
      </c>
      <c r="O122" s="86">
        <f t="shared" si="70"/>
        <v>0.5152439024390244</v>
      </c>
      <c r="P122" s="87">
        <f t="shared" si="71"/>
        <v>42.25</v>
      </c>
      <c r="Q122" s="104">
        <f t="shared" si="72"/>
        <v>13.751479289940828</v>
      </c>
      <c r="R122" s="88">
        <f t="shared" si="73"/>
        <v>49.916527545909851</v>
      </c>
      <c r="S122" s="88">
        <f t="shared" si="74"/>
        <v>22.533333333333331</v>
      </c>
      <c r="T122" s="13">
        <f t="shared" si="75"/>
        <v>1</v>
      </c>
      <c r="U122" s="13">
        <f t="shared" si="76"/>
        <v>1</v>
      </c>
      <c r="V122" s="13">
        <f t="shared" si="77"/>
        <v>2</v>
      </c>
      <c r="W122" s="13">
        <f t="shared" ca="1" si="78"/>
        <v>3</v>
      </c>
      <c r="X122" s="13">
        <f t="shared" ca="1" si="79"/>
        <v>7</v>
      </c>
      <c r="Y122" s="81" t="str">
        <f t="shared" ca="1" si="80"/>
        <v>MONITOR</v>
      </c>
      <c r="Z122" s="13">
        <v>14</v>
      </c>
      <c r="AA122" s="75">
        <v>46059</v>
      </c>
      <c r="AB122" s="75">
        <f t="shared" si="81"/>
        <v>45920</v>
      </c>
      <c r="AC122" s="88">
        <f t="shared" si="82"/>
        <v>19.857142857142858</v>
      </c>
      <c r="AD122" s="89" t="str">
        <f t="shared" ca="1" si="83"/>
        <v>STABLE</v>
      </c>
      <c r="AE122" s="89" t="str">
        <f t="shared" si="84"/>
        <v>SLOW SELLING</v>
      </c>
      <c r="AF122" s="89" t="str">
        <f t="shared" si="85"/>
        <v>AT RISK</v>
      </c>
      <c r="AG122" s="89" t="str">
        <f t="shared" si="86"/>
        <v>FEASIBLE</v>
      </c>
      <c r="AH122" s="81" t="str">
        <f t="shared" ca="1" si="87"/>
        <v>MONITOR</v>
      </c>
      <c r="AI122" s="75">
        <f t="shared" ca="1" si="88"/>
        <v>0</v>
      </c>
      <c r="AJ122" s="75">
        <f t="shared" ca="1" si="89"/>
        <v>-581</v>
      </c>
      <c r="AK122" s="13">
        <f t="shared" ca="1" si="90"/>
        <v>-697</v>
      </c>
      <c r="AL122" s="79">
        <v>0.1</v>
      </c>
      <c r="AM122" s="79">
        <v>0.3</v>
      </c>
      <c r="AN122" s="79">
        <v>0.3</v>
      </c>
      <c r="AO122" s="79">
        <v>0.1</v>
      </c>
      <c r="AP122" s="79">
        <v>0.1</v>
      </c>
      <c r="AQ122" s="75">
        <f t="shared" si="91"/>
        <v>58.1</v>
      </c>
      <c r="AR122" s="75">
        <f t="shared" si="92"/>
        <v>174.29999999999998</v>
      </c>
      <c r="AS122" s="75">
        <f t="shared" si="93"/>
        <v>174.29999999999998</v>
      </c>
      <c r="AT122" s="75">
        <f t="shared" si="94"/>
        <v>58.1</v>
      </c>
      <c r="AU122" s="75">
        <f t="shared" si="95"/>
        <v>58.1</v>
      </c>
      <c r="AV122" s="13">
        <v>0.8</v>
      </c>
      <c r="AW122" s="13">
        <v>1.2</v>
      </c>
      <c r="AX122" s="13">
        <v>1.3</v>
      </c>
      <c r="AY122" s="13">
        <v>1</v>
      </c>
      <c r="AZ122" s="13">
        <v>0.7</v>
      </c>
      <c r="BA122" s="105">
        <f t="shared" si="96"/>
        <v>3.3800000000000008</v>
      </c>
      <c r="BB122" s="13">
        <f t="shared" si="97"/>
        <v>15.209999999999997</v>
      </c>
      <c r="BC122" s="13">
        <f t="shared" si="98"/>
        <v>16.477499999999999</v>
      </c>
      <c r="BD122" s="13">
        <f t="shared" si="99"/>
        <v>4.2250000000000005</v>
      </c>
      <c r="BE122" s="13">
        <f t="shared" si="100"/>
        <v>2.9575</v>
      </c>
      <c r="BF122" s="88">
        <f t="shared" si="101"/>
        <v>17.189349112426033</v>
      </c>
      <c r="BG122" s="88">
        <f t="shared" si="102"/>
        <v>11.459566074950692</v>
      </c>
      <c r="BH122" s="88">
        <f t="shared" si="103"/>
        <v>10.578060992262175</v>
      </c>
      <c r="BI122" s="88">
        <f t="shared" si="104"/>
        <v>13.751479289940827</v>
      </c>
      <c r="BJ122" s="88">
        <f t="shared" si="105"/>
        <v>19.644970414201183</v>
      </c>
      <c r="BK122" s="105">
        <f t="shared" si="106"/>
        <v>5.8175559380378668E-2</v>
      </c>
      <c r="BL122" s="105">
        <f t="shared" si="107"/>
        <v>8.7263339070567977E-2</v>
      </c>
      <c r="BM122" s="105">
        <f t="shared" si="108"/>
        <v>9.4535283993115324E-2</v>
      </c>
      <c r="BN122" s="105">
        <f t="shared" si="109"/>
        <v>7.2719449225473326E-2</v>
      </c>
      <c r="BO122" s="105">
        <f t="shared" si="110"/>
        <v>5.0903614457831328E-2</v>
      </c>
      <c r="BP122" s="105">
        <f t="shared" si="111"/>
        <v>0.36359724612736666</v>
      </c>
      <c r="BQ122" s="79">
        <f t="shared" si="112"/>
        <v>0.16</v>
      </c>
      <c r="BR122" s="79">
        <f t="shared" si="113"/>
        <v>0.23999999999999994</v>
      </c>
      <c r="BS122" s="79">
        <f t="shared" si="114"/>
        <v>0.25999999999999995</v>
      </c>
      <c r="BT122" s="79">
        <f t="shared" si="115"/>
        <v>0.19999999999999998</v>
      </c>
      <c r="BU122" s="79">
        <f t="shared" si="116"/>
        <v>0.13999999999999999</v>
      </c>
      <c r="BV122" s="90" t="str">
        <f t="array" aca="1" ref="BV122" ca="1">_xlfn.TEXTJOIN(" ",TRUE,
_xlfn.TEXTJOIN(":",TRUE,ROUND(BK122:BO122/MIN(IF(BK122:BO122&gt;0,BK122:BO122)),0)),
"|",
ROUND(SUM(BW122:CA122),0))</f>
        <v>1:2:2:1:1 | -697</v>
      </c>
      <c r="BW122" s="106">
        <f t="shared" ca="1" si="117"/>
        <v>-111.52</v>
      </c>
      <c r="BX122" s="106">
        <f t="shared" ca="1" si="63"/>
        <v>-167.27999999999994</v>
      </c>
      <c r="BY122" s="106">
        <f t="shared" ca="1" si="64"/>
        <v>-181.21999999999997</v>
      </c>
      <c r="BZ122" s="106">
        <f t="shared" ca="1" si="65"/>
        <v>-139.39999999999998</v>
      </c>
      <c r="CA122" s="106">
        <f t="shared" ca="1" si="118"/>
        <v>-97.579999999999984</v>
      </c>
    </row>
    <row r="123" spans="1:79" x14ac:dyDescent="0.35">
      <c r="A123" s="25" t="s">
        <v>137</v>
      </c>
      <c r="B123" s="10" t="s">
        <v>319</v>
      </c>
      <c r="C123" s="10" t="s">
        <v>342</v>
      </c>
      <c r="D123" s="10" t="s">
        <v>346</v>
      </c>
      <c r="E123" s="11">
        <v>45920</v>
      </c>
      <c r="F123" s="17">
        <v>45892</v>
      </c>
      <c r="G123" s="14">
        <f t="shared" ca="1" si="66"/>
        <v>207</v>
      </c>
      <c r="H123" s="17">
        <v>599</v>
      </c>
      <c r="I123" s="17">
        <v>305</v>
      </c>
      <c r="J123" s="75">
        <f t="shared" si="67"/>
        <v>916</v>
      </c>
      <c r="K123" s="17">
        <v>1050</v>
      </c>
      <c r="L123" s="85">
        <v>134</v>
      </c>
      <c r="M123" s="86">
        <f t="shared" ca="1" si="68"/>
        <v>0.64734299516908211</v>
      </c>
      <c r="N123" s="86">
        <f t="shared" si="69"/>
        <v>0.80451009251471861</v>
      </c>
      <c r="O123" s="86">
        <f t="shared" si="70"/>
        <v>0.40853658536585363</v>
      </c>
      <c r="P123" s="87">
        <f t="shared" si="71"/>
        <v>33.5</v>
      </c>
      <c r="Q123" s="104">
        <f t="shared" si="72"/>
        <v>27.343283582089551</v>
      </c>
      <c r="R123" s="88">
        <f t="shared" si="73"/>
        <v>49.081803005008346</v>
      </c>
      <c r="S123" s="88">
        <f t="shared" si="74"/>
        <v>12.761904761904763</v>
      </c>
      <c r="T123" s="13">
        <f t="shared" si="75"/>
        <v>1</v>
      </c>
      <c r="U123" s="13">
        <f t="shared" si="76"/>
        <v>1</v>
      </c>
      <c r="V123" s="13">
        <f t="shared" si="77"/>
        <v>2</v>
      </c>
      <c r="W123" s="13">
        <f t="shared" ca="1" si="78"/>
        <v>3</v>
      </c>
      <c r="X123" s="13">
        <f t="shared" ca="1" si="79"/>
        <v>7</v>
      </c>
      <c r="Y123" s="81" t="str">
        <f t="shared" ca="1" si="80"/>
        <v>MONITOR</v>
      </c>
      <c r="Z123" s="13">
        <v>14</v>
      </c>
      <c r="AA123" s="75">
        <v>46059</v>
      </c>
      <c r="AB123" s="75">
        <f t="shared" si="81"/>
        <v>45920</v>
      </c>
      <c r="AC123" s="88">
        <f t="shared" si="82"/>
        <v>19.857142857142858</v>
      </c>
      <c r="AD123" s="89" t="str">
        <f t="shared" ca="1" si="83"/>
        <v>STABLE</v>
      </c>
      <c r="AE123" s="89" t="str">
        <f t="shared" si="84"/>
        <v>SLOW SELLING</v>
      </c>
      <c r="AF123" s="89" t="str">
        <f t="shared" si="85"/>
        <v>AT RISK</v>
      </c>
      <c r="AG123" s="89" t="str">
        <f t="shared" si="86"/>
        <v>FEASIBLE</v>
      </c>
      <c r="AH123" s="81" t="str">
        <f t="shared" ca="1" si="87"/>
        <v>MONITOR</v>
      </c>
      <c r="AI123" s="75">
        <f t="shared" ca="1" si="88"/>
        <v>0</v>
      </c>
      <c r="AJ123" s="75">
        <f t="shared" ca="1" si="89"/>
        <v>-916</v>
      </c>
      <c r="AK123" s="13">
        <f t="shared" ca="1" si="90"/>
        <v>-1099</v>
      </c>
      <c r="AL123" s="79">
        <v>0.1</v>
      </c>
      <c r="AM123" s="79">
        <v>0.3</v>
      </c>
      <c r="AN123" s="79">
        <v>0.3</v>
      </c>
      <c r="AO123" s="79">
        <v>0.1</v>
      </c>
      <c r="AP123" s="79">
        <v>0.1</v>
      </c>
      <c r="AQ123" s="75">
        <f t="shared" si="91"/>
        <v>91.600000000000009</v>
      </c>
      <c r="AR123" s="75">
        <f t="shared" si="92"/>
        <v>274.8</v>
      </c>
      <c r="AS123" s="75">
        <f t="shared" si="93"/>
        <v>274.8</v>
      </c>
      <c r="AT123" s="75">
        <f t="shared" si="94"/>
        <v>91.600000000000009</v>
      </c>
      <c r="AU123" s="75">
        <f t="shared" si="95"/>
        <v>91.600000000000009</v>
      </c>
      <c r="AV123" s="13">
        <v>0.8</v>
      </c>
      <c r="AW123" s="13">
        <v>1.2</v>
      </c>
      <c r="AX123" s="13">
        <v>1.3</v>
      </c>
      <c r="AY123" s="13">
        <v>1</v>
      </c>
      <c r="AZ123" s="13">
        <v>0.7</v>
      </c>
      <c r="BA123" s="105">
        <f t="shared" si="96"/>
        <v>2.68</v>
      </c>
      <c r="BB123" s="13">
        <f t="shared" si="97"/>
        <v>12.059999999999999</v>
      </c>
      <c r="BC123" s="13">
        <f t="shared" si="98"/>
        <v>13.065</v>
      </c>
      <c r="BD123" s="13">
        <f t="shared" si="99"/>
        <v>3.35</v>
      </c>
      <c r="BE123" s="13">
        <f t="shared" si="100"/>
        <v>2.3449999999999998</v>
      </c>
      <c r="BF123" s="88">
        <f t="shared" si="101"/>
        <v>34.179104477611943</v>
      </c>
      <c r="BG123" s="88">
        <f t="shared" si="102"/>
        <v>22.786069651741297</v>
      </c>
      <c r="BH123" s="88">
        <f t="shared" si="103"/>
        <v>21.033295063145811</v>
      </c>
      <c r="BI123" s="88">
        <f t="shared" si="104"/>
        <v>27.343283582089555</v>
      </c>
      <c r="BJ123" s="88">
        <f t="shared" si="105"/>
        <v>39.061833688699366</v>
      </c>
      <c r="BK123" s="105">
        <f t="shared" si="106"/>
        <v>2.9257641921397376E-2</v>
      </c>
      <c r="BL123" s="105">
        <f t="shared" si="107"/>
        <v>4.3886462882096064E-2</v>
      </c>
      <c r="BM123" s="105">
        <f t="shared" si="108"/>
        <v>4.7543668122270739E-2</v>
      </c>
      <c r="BN123" s="105">
        <f t="shared" si="109"/>
        <v>3.657205240174672E-2</v>
      </c>
      <c r="BO123" s="105">
        <f t="shared" si="110"/>
        <v>2.5600436681222704E-2</v>
      </c>
      <c r="BP123" s="105">
        <f t="shared" si="111"/>
        <v>0.18286026200873359</v>
      </c>
      <c r="BQ123" s="79">
        <f t="shared" si="112"/>
        <v>0.16</v>
      </c>
      <c r="BR123" s="79">
        <f t="shared" si="113"/>
        <v>0.24000000000000002</v>
      </c>
      <c r="BS123" s="79">
        <f t="shared" si="114"/>
        <v>0.26</v>
      </c>
      <c r="BT123" s="79">
        <f t="shared" si="115"/>
        <v>0.2</v>
      </c>
      <c r="BU123" s="79">
        <f t="shared" si="116"/>
        <v>0.14000000000000001</v>
      </c>
      <c r="BV123" s="90" t="str">
        <f t="array" aca="1" ref="BV123" ca="1">_xlfn.TEXTJOIN(" ",TRUE,
_xlfn.TEXTJOIN(":",TRUE,ROUND(BK123:BO123/MIN(IF(BK123:BO123&gt;0,BK123:BO123)),0)),
"|",
ROUND(SUM(BW123:CA123),0))</f>
        <v>1:2:2:1:1 | -1099</v>
      </c>
      <c r="BW123" s="106">
        <f t="shared" ca="1" si="117"/>
        <v>-175.84</v>
      </c>
      <c r="BX123" s="106">
        <f t="shared" ca="1" si="63"/>
        <v>-263.76000000000005</v>
      </c>
      <c r="BY123" s="106">
        <f t="shared" ca="1" si="64"/>
        <v>-285.74</v>
      </c>
      <c r="BZ123" s="106">
        <f t="shared" ca="1" si="65"/>
        <v>-219.8</v>
      </c>
      <c r="CA123" s="106">
        <f t="shared" ca="1" si="118"/>
        <v>-153.86000000000001</v>
      </c>
    </row>
    <row r="124" spans="1:79" x14ac:dyDescent="0.35">
      <c r="A124" s="25" t="s">
        <v>138</v>
      </c>
      <c r="B124" s="10" t="s">
        <v>327</v>
      </c>
      <c r="C124" s="10" t="s">
        <v>342</v>
      </c>
      <c r="D124" s="10" t="s">
        <v>346</v>
      </c>
      <c r="E124" s="11">
        <v>45906</v>
      </c>
      <c r="F124" s="17">
        <v>45892</v>
      </c>
      <c r="G124" s="14">
        <f t="shared" ca="1" si="66"/>
        <v>207</v>
      </c>
      <c r="H124" s="17">
        <v>599</v>
      </c>
      <c r="I124" s="17">
        <v>290</v>
      </c>
      <c r="J124" s="75">
        <f t="shared" si="67"/>
        <v>1058</v>
      </c>
      <c r="K124" s="17">
        <v>1100</v>
      </c>
      <c r="L124" s="85">
        <v>42</v>
      </c>
      <c r="M124" s="86">
        <f t="shared" ca="1" si="68"/>
        <v>0.20289855072463769</v>
      </c>
      <c r="N124" s="86">
        <f t="shared" si="69"/>
        <v>0.80451009251471861</v>
      </c>
      <c r="O124" s="86">
        <f t="shared" si="70"/>
        <v>0.12804878048780488</v>
      </c>
      <c r="P124" s="87">
        <f t="shared" si="71"/>
        <v>10.5</v>
      </c>
      <c r="Q124" s="104">
        <f t="shared" si="72"/>
        <v>100.76190476190476</v>
      </c>
      <c r="R124" s="88">
        <f t="shared" si="73"/>
        <v>51.58597662771286</v>
      </c>
      <c r="S124" s="88">
        <f t="shared" si="74"/>
        <v>3.8181818181818183</v>
      </c>
      <c r="T124" s="13">
        <f t="shared" si="75"/>
        <v>1</v>
      </c>
      <c r="U124" s="13">
        <f t="shared" si="76"/>
        <v>1</v>
      </c>
      <c r="V124" s="13">
        <f t="shared" si="77"/>
        <v>2</v>
      </c>
      <c r="W124" s="13">
        <f t="shared" ca="1" si="78"/>
        <v>3</v>
      </c>
      <c r="X124" s="13">
        <f t="shared" ca="1" si="79"/>
        <v>7</v>
      </c>
      <c r="Y124" s="81" t="str">
        <f t="shared" ca="1" si="80"/>
        <v>MONITOR</v>
      </c>
      <c r="Z124" s="13">
        <v>14</v>
      </c>
      <c r="AA124" s="75">
        <v>46059</v>
      </c>
      <c r="AB124" s="75">
        <f t="shared" si="81"/>
        <v>45920</v>
      </c>
      <c r="AC124" s="88">
        <f t="shared" si="82"/>
        <v>19.857142857142858</v>
      </c>
      <c r="AD124" s="89" t="str">
        <f t="shared" ca="1" si="83"/>
        <v>STABLE</v>
      </c>
      <c r="AE124" s="89" t="str">
        <f t="shared" si="84"/>
        <v>SLOW SELLING</v>
      </c>
      <c r="AF124" s="89" t="str">
        <f t="shared" si="85"/>
        <v>AT RISK</v>
      </c>
      <c r="AG124" s="89" t="str">
        <f t="shared" si="86"/>
        <v>FEASIBLE</v>
      </c>
      <c r="AH124" s="81" t="str">
        <f t="shared" ca="1" si="87"/>
        <v>MONITOR</v>
      </c>
      <c r="AI124" s="75">
        <f t="shared" ca="1" si="88"/>
        <v>0</v>
      </c>
      <c r="AJ124" s="75">
        <f t="shared" ca="1" si="89"/>
        <v>-1058</v>
      </c>
      <c r="AK124" s="13">
        <f t="shared" ca="1" si="90"/>
        <v>-1270</v>
      </c>
      <c r="AL124" s="79">
        <v>0.1</v>
      </c>
      <c r="AM124" s="79">
        <v>0.3</v>
      </c>
      <c r="AN124" s="79">
        <v>0.3</v>
      </c>
      <c r="AO124" s="79">
        <v>0.1</v>
      </c>
      <c r="AP124" s="79">
        <v>0.1</v>
      </c>
      <c r="AQ124" s="75">
        <f t="shared" si="91"/>
        <v>105.80000000000001</v>
      </c>
      <c r="AR124" s="75">
        <f t="shared" si="92"/>
        <v>317.39999999999998</v>
      </c>
      <c r="AS124" s="75">
        <f t="shared" si="93"/>
        <v>317.39999999999998</v>
      </c>
      <c r="AT124" s="75">
        <f t="shared" si="94"/>
        <v>105.80000000000001</v>
      </c>
      <c r="AU124" s="75">
        <f t="shared" si="95"/>
        <v>105.80000000000001</v>
      </c>
      <c r="AV124" s="13">
        <v>0.8</v>
      </c>
      <c r="AW124" s="13">
        <v>1.2</v>
      </c>
      <c r="AX124" s="13">
        <v>1.3</v>
      </c>
      <c r="AY124" s="13">
        <v>1</v>
      </c>
      <c r="AZ124" s="13">
        <v>0.7</v>
      </c>
      <c r="BA124" s="105">
        <f t="shared" si="96"/>
        <v>0.84000000000000008</v>
      </c>
      <c r="BB124" s="13">
        <f t="shared" si="97"/>
        <v>3.78</v>
      </c>
      <c r="BC124" s="13">
        <f t="shared" si="98"/>
        <v>4.0949999999999998</v>
      </c>
      <c r="BD124" s="13">
        <f t="shared" si="99"/>
        <v>1.05</v>
      </c>
      <c r="BE124" s="13">
        <f t="shared" si="100"/>
        <v>0.73499999999999999</v>
      </c>
      <c r="BF124" s="88">
        <f t="shared" si="101"/>
        <v>125.95238095238095</v>
      </c>
      <c r="BG124" s="88">
        <f t="shared" si="102"/>
        <v>83.968253968253961</v>
      </c>
      <c r="BH124" s="88">
        <f t="shared" si="103"/>
        <v>77.509157509157504</v>
      </c>
      <c r="BI124" s="88">
        <f t="shared" si="104"/>
        <v>100.76190476190477</v>
      </c>
      <c r="BJ124" s="88">
        <f t="shared" si="105"/>
        <v>143.94557823129253</v>
      </c>
      <c r="BK124" s="105">
        <f t="shared" si="106"/>
        <v>7.9395085066162573E-3</v>
      </c>
      <c r="BL124" s="105">
        <f t="shared" si="107"/>
        <v>1.1909262759924386E-2</v>
      </c>
      <c r="BM124" s="105">
        <f t="shared" si="108"/>
        <v>1.2901701323251418E-2</v>
      </c>
      <c r="BN124" s="105">
        <f t="shared" si="109"/>
        <v>9.9243856332703207E-3</v>
      </c>
      <c r="BO124" s="105">
        <f t="shared" si="110"/>
        <v>6.9470699432892247E-3</v>
      </c>
      <c r="BP124" s="105">
        <f t="shared" si="111"/>
        <v>4.9621928166351609E-2</v>
      </c>
      <c r="BQ124" s="79">
        <f t="shared" si="112"/>
        <v>0.16</v>
      </c>
      <c r="BR124" s="79">
        <f t="shared" si="113"/>
        <v>0.24</v>
      </c>
      <c r="BS124" s="79">
        <f t="shared" si="114"/>
        <v>0.26</v>
      </c>
      <c r="BT124" s="79">
        <f t="shared" si="115"/>
        <v>0.19999999999999998</v>
      </c>
      <c r="BU124" s="79">
        <f t="shared" si="116"/>
        <v>0.13999999999999999</v>
      </c>
      <c r="BV124" s="90" t="str">
        <f t="array" aca="1" ref="BV124" ca="1">_xlfn.TEXTJOIN(" ",TRUE,
_xlfn.TEXTJOIN(":",TRUE,ROUND(BK124:BO124/MIN(IF(BK124:BO124&gt;0,BK124:BO124)),0)),
"|",
ROUND(SUM(BW124:CA124),0))</f>
        <v>1:2:2:1:1 | -1270</v>
      </c>
      <c r="BW124" s="106">
        <f t="shared" ca="1" si="117"/>
        <v>-203.20000000000002</v>
      </c>
      <c r="BX124" s="106">
        <f t="shared" ca="1" si="63"/>
        <v>-304.8</v>
      </c>
      <c r="BY124" s="106">
        <f t="shared" ca="1" si="64"/>
        <v>-330.2</v>
      </c>
      <c r="BZ124" s="106">
        <f t="shared" ca="1" si="65"/>
        <v>-253.99999999999997</v>
      </c>
      <c r="CA124" s="106">
        <f t="shared" ca="1" si="118"/>
        <v>-177.79999999999998</v>
      </c>
    </row>
    <row r="125" spans="1:79" x14ac:dyDescent="0.35">
      <c r="A125" s="25" t="s">
        <v>139</v>
      </c>
      <c r="B125" s="10" t="s">
        <v>327</v>
      </c>
      <c r="C125" s="10" t="s">
        <v>342</v>
      </c>
      <c r="D125" s="10" t="s">
        <v>346</v>
      </c>
      <c r="E125" s="11">
        <v>45906</v>
      </c>
      <c r="F125" s="17">
        <v>45892</v>
      </c>
      <c r="G125" s="14">
        <f t="shared" ca="1" si="66"/>
        <v>207</v>
      </c>
      <c r="H125" s="17">
        <v>599</v>
      </c>
      <c r="I125" s="17">
        <v>290</v>
      </c>
      <c r="J125" s="75">
        <f t="shared" si="67"/>
        <v>1050</v>
      </c>
      <c r="K125" s="17">
        <v>1100</v>
      </c>
      <c r="L125" s="85">
        <v>50</v>
      </c>
      <c r="M125" s="86">
        <f t="shared" ca="1" si="68"/>
        <v>0.24154589371980675</v>
      </c>
      <c r="N125" s="86">
        <f t="shared" si="69"/>
        <v>0.80451009251471861</v>
      </c>
      <c r="O125" s="86">
        <f t="shared" si="70"/>
        <v>0.1524390243902439</v>
      </c>
      <c r="P125" s="87">
        <f t="shared" si="71"/>
        <v>12.5</v>
      </c>
      <c r="Q125" s="104">
        <f t="shared" si="72"/>
        <v>84</v>
      </c>
      <c r="R125" s="88">
        <f t="shared" si="73"/>
        <v>51.58597662771286</v>
      </c>
      <c r="S125" s="88">
        <f t="shared" si="74"/>
        <v>4.5454545454545459</v>
      </c>
      <c r="T125" s="13">
        <f t="shared" si="75"/>
        <v>1</v>
      </c>
      <c r="U125" s="13">
        <f t="shared" si="76"/>
        <v>1</v>
      </c>
      <c r="V125" s="13">
        <f t="shared" si="77"/>
        <v>2</v>
      </c>
      <c r="W125" s="13">
        <f t="shared" ca="1" si="78"/>
        <v>3</v>
      </c>
      <c r="X125" s="13">
        <f t="shared" ca="1" si="79"/>
        <v>7</v>
      </c>
      <c r="Y125" s="81" t="str">
        <f t="shared" ca="1" si="80"/>
        <v>MONITOR</v>
      </c>
      <c r="Z125" s="13">
        <v>14</v>
      </c>
      <c r="AA125" s="75">
        <v>46059</v>
      </c>
      <c r="AB125" s="75">
        <f t="shared" si="81"/>
        <v>45920</v>
      </c>
      <c r="AC125" s="88">
        <f t="shared" si="82"/>
        <v>19.857142857142858</v>
      </c>
      <c r="AD125" s="89" t="str">
        <f t="shared" ca="1" si="83"/>
        <v>STABLE</v>
      </c>
      <c r="AE125" s="89" t="str">
        <f t="shared" si="84"/>
        <v>SLOW SELLING</v>
      </c>
      <c r="AF125" s="89" t="str">
        <f t="shared" si="85"/>
        <v>AT RISK</v>
      </c>
      <c r="AG125" s="89" t="str">
        <f t="shared" si="86"/>
        <v>FEASIBLE</v>
      </c>
      <c r="AH125" s="81" t="str">
        <f t="shared" ca="1" si="87"/>
        <v>MONITOR</v>
      </c>
      <c r="AI125" s="75">
        <f t="shared" ca="1" si="88"/>
        <v>0</v>
      </c>
      <c r="AJ125" s="75">
        <f t="shared" ca="1" si="89"/>
        <v>-1050</v>
      </c>
      <c r="AK125" s="13">
        <f t="shared" ca="1" si="90"/>
        <v>-1260</v>
      </c>
      <c r="AL125" s="79">
        <v>0.1</v>
      </c>
      <c r="AM125" s="79">
        <v>0.3</v>
      </c>
      <c r="AN125" s="79">
        <v>0.3</v>
      </c>
      <c r="AO125" s="79">
        <v>0.1</v>
      </c>
      <c r="AP125" s="79">
        <v>0.1</v>
      </c>
      <c r="AQ125" s="75">
        <f t="shared" si="91"/>
        <v>105</v>
      </c>
      <c r="AR125" s="75">
        <f t="shared" si="92"/>
        <v>315</v>
      </c>
      <c r="AS125" s="75">
        <f t="shared" si="93"/>
        <v>315</v>
      </c>
      <c r="AT125" s="75">
        <f t="shared" si="94"/>
        <v>105</v>
      </c>
      <c r="AU125" s="75">
        <f t="shared" si="95"/>
        <v>105</v>
      </c>
      <c r="AV125" s="13">
        <v>0.8</v>
      </c>
      <c r="AW125" s="13">
        <v>1.2</v>
      </c>
      <c r="AX125" s="13">
        <v>1.3</v>
      </c>
      <c r="AY125" s="13">
        <v>1</v>
      </c>
      <c r="AZ125" s="13">
        <v>0.7</v>
      </c>
      <c r="BA125" s="105">
        <f t="shared" si="96"/>
        <v>1</v>
      </c>
      <c r="BB125" s="13">
        <f t="shared" si="97"/>
        <v>4.5</v>
      </c>
      <c r="BC125" s="13">
        <f t="shared" si="98"/>
        <v>4.875</v>
      </c>
      <c r="BD125" s="13">
        <f t="shared" si="99"/>
        <v>1.25</v>
      </c>
      <c r="BE125" s="13">
        <f t="shared" si="100"/>
        <v>0.875</v>
      </c>
      <c r="BF125" s="88">
        <f t="shared" si="101"/>
        <v>105</v>
      </c>
      <c r="BG125" s="88">
        <f t="shared" si="102"/>
        <v>70</v>
      </c>
      <c r="BH125" s="88">
        <f t="shared" si="103"/>
        <v>64.615384615384613</v>
      </c>
      <c r="BI125" s="88">
        <f t="shared" si="104"/>
        <v>84</v>
      </c>
      <c r="BJ125" s="88">
        <f t="shared" si="105"/>
        <v>120</v>
      </c>
      <c r="BK125" s="105">
        <f t="shared" si="106"/>
        <v>9.5238095238095247E-3</v>
      </c>
      <c r="BL125" s="105">
        <f t="shared" si="107"/>
        <v>1.4285714285714285E-2</v>
      </c>
      <c r="BM125" s="105">
        <f t="shared" si="108"/>
        <v>1.5476190476190477E-2</v>
      </c>
      <c r="BN125" s="105">
        <f t="shared" si="109"/>
        <v>1.1904761904761904E-2</v>
      </c>
      <c r="BO125" s="105">
        <f t="shared" si="110"/>
        <v>8.3333333333333332E-3</v>
      </c>
      <c r="BP125" s="105">
        <f t="shared" si="111"/>
        <v>5.9523809523809521E-2</v>
      </c>
      <c r="BQ125" s="79">
        <f t="shared" si="112"/>
        <v>0.16000000000000003</v>
      </c>
      <c r="BR125" s="79">
        <f t="shared" si="113"/>
        <v>0.24000000000000002</v>
      </c>
      <c r="BS125" s="79">
        <f t="shared" si="114"/>
        <v>0.26</v>
      </c>
      <c r="BT125" s="79">
        <f t="shared" si="115"/>
        <v>0.2</v>
      </c>
      <c r="BU125" s="79">
        <f t="shared" si="116"/>
        <v>0.14000000000000001</v>
      </c>
      <c r="BV125" s="90" t="str">
        <f t="array" aca="1" ref="BV125" ca="1">_xlfn.TEXTJOIN(" ",TRUE,
_xlfn.TEXTJOIN(":",TRUE,ROUND(BK125:BO125/MIN(IF(BK125:BO125&gt;0,BK125:BO125)),0)),
"|",
ROUND(SUM(BW125:CA125),0))</f>
        <v>1:2:2:1:1 | -1260</v>
      </c>
      <c r="BW125" s="106">
        <f t="shared" ca="1" si="117"/>
        <v>-201.60000000000005</v>
      </c>
      <c r="BX125" s="106">
        <f t="shared" ca="1" si="63"/>
        <v>-302.40000000000003</v>
      </c>
      <c r="BY125" s="106">
        <f t="shared" ca="1" si="64"/>
        <v>-327.60000000000002</v>
      </c>
      <c r="BZ125" s="106">
        <f t="shared" ca="1" si="65"/>
        <v>-252</v>
      </c>
      <c r="CA125" s="106">
        <f t="shared" ca="1" si="118"/>
        <v>-176.4</v>
      </c>
    </row>
    <row r="126" spans="1:79" x14ac:dyDescent="0.35">
      <c r="A126" s="25" t="s">
        <v>140</v>
      </c>
      <c r="B126" s="10" t="s">
        <v>321</v>
      </c>
      <c r="C126" s="10" t="s">
        <v>342</v>
      </c>
      <c r="D126" s="10" t="s">
        <v>346</v>
      </c>
      <c r="E126" s="11">
        <v>45920</v>
      </c>
      <c r="F126" s="17">
        <v>45892</v>
      </c>
      <c r="G126" s="14">
        <f t="shared" ca="1" si="66"/>
        <v>207</v>
      </c>
      <c r="H126" s="17">
        <v>599</v>
      </c>
      <c r="I126" s="17">
        <v>310</v>
      </c>
      <c r="J126" s="75">
        <f t="shared" si="67"/>
        <v>854</v>
      </c>
      <c r="K126" s="17">
        <v>900</v>
      </c>
      <c r="L126" s="85">
        <v>46</v>
      </c>
      <c r="M126" s="86">
        <f t="shared" ca="1" si="68"/>
        <v>0.22222222222222221</v>
      </c>
      <c r="N126" s="86">
        <f t="shared" si="69"/>
        <v>0.80451009251471861</v>
      </c>
      <c r="O126" s="86">
        <f t="shared" si="70"/>
        <v>0.1402439024390244</v>
      </c>
      <c r="P126" s="87">
        <f t="shared" si="71"/>
        <v>11.500000000000002</v>
      </c>
      <c r="Q126" s="104">
        <f t="shared" si="72"/>
        <v>74.260869565217376</v>
      </c>
      <c r="R126" s="88">
        <f t="shared" si="73"/>
        <v>48.247078464106849</v>
      </c>
      <c r="S126" s="88">
        <f t="shared" si="74"/>
        <v>5.1111111111111116</v>
      </c>
      <c r="T126" s="13">
        <f t="shared" si="75"/>
        <v>1</v>
      </c>
      <c r="U126" s="13">
        <f t="shared" si="76"/>
        <v>1</v>
      </c>
      <c r="V126" s="13">
        <f t="shared" si="77"/>
        <v>2</v>
      </c>
      <c r="W126" s="13">
        <f t="shared" ca="1" si="78"/>
        <v>3</v>
      </c>
      <c r="X126" s="13">
        <f t="shared" ca="1" si="79"/>
        <v>7</v>
      </c>
      <c r="Y126" s="81" t="str">
        <f t="shared" ca="1" si="80"/>
        <v>MONITOR</v>
      </c>
      <c r="Z126" s="13">
        <v>14</v>
      </c>
      <c r="AA126" s="75">
        <v>46059</v>
      </c>
      <c r="AB126" s="75">
        <f t="shared" si="81"/>
        <v>45920</v>
      </c>
      <c r="AC126" s="88">
        <f t="shared" si="82"/>
        <v>19.857142857142858</v>
      </c>
      <c r="AD126" s="89" t="str">
        <f t="shared" ca="1" si="83"/>
        <v>STABLE</v>
      </c>
      <c r="AE126" s="89" t="str">
        <f t="shared" si="84"/>
        <v>SLOW SELLING</v>
      </c>
      <c r="AF126" s="89" t="str">
        <f t="shared" si="85"/>
        <v>AT RISK</v>
      </c>
      <c r="AG126" s="89" t="str">
        <f t="shared" si="86"/>
        <v>FEASIBLE</v>
      </c>
      <c r="AH126" s="81" t="str">
        <f t="shared" ca="1" si="87"/>
        <v>MONITOR</v>
      </c>
      <c r="AI126" s="75">
        <f t="shared" ca="1" si="88"/>
        <v>0</v>
      </c>
      <c r="AJ126" s="75">
        <f t="shared" ca="1" si="89"/>
        <v>-854</v>
      </c>
      <c r="AK126" s="13">
        <f t="shared" ca="1" si="90"/>
        <v>-1025</v>
      </c>
      <c r="AL126" s="79">
        <v>0.1</v>
      </c>
      <c r="AM126" s="79">
        <v>0.3</v>
      </c>
      <c r="AN126" s="79">
        <v>0.3</v>
      </c>
      <c r="AO126" s="79">
        <v>0.1</v>
      </c>
      <c r="AP126" s="79">
        <v>0.1</v>
      </c>
      <c r="AQ126" s="75">
        <f t="shared" si="91"/>
        <v>85.4</v>
      </c>
      <c r="AR126" s="75">
        <f t="shared" si="92"/>
        <v>256.2</v>
      </c>
      <c r="AS126" s="75">
        <f t="shared" si="93"/>
        <v>256.2</v>
      </c>
      <c r="AT126" s="75">
        <f t="shared" si="94"/>
        <v>85.4</v>
      </c>
      <c r="AU126" s="75">
        <f t="shared" si="95"/>
        <v>85.4</v>
      </c>
      <c r="AV126" s="13">
        <v>0.8</v>
      </c>
      <c r="AW126" s="13">
        <v>1.2</v>
      </c>
      <c r="AX126" s="13">
        <v>1.3</v>
      </c>
      <c r="AY126" s="13">
        <v>1</v>
      </c>
      <c r="AZ126" s="13">
        <v>0.7</v>
      </c>
      <c r="BA126" s="105">
        <f t="shared" si="96"/>
        <v>0.92000000000000015</v>
      </c>
      <c r="BB126" s="13">
        <f t="shared" si="97"/>
        <v>4.1400000000000006</v>
      </c>
      <c r="BC126" s="13">
        <f t="shared" si="98"/>
        <v>4.4850000000000012</v>
      </c>
      <c r="BD126" s="13">
        <f t="shared" si="99"/>
        <v>1.1500000000000001</v>
      </c>
      <c r="BE126" s="13">
        <f t="shared" si="100"/>
        <v>0.80500000000000005</v>
      </c>
      <c r="BF126" s="88">
        <f t="shared" si="101"/>
        <v>92.826086956521735</v>
      </c>
      <c r="BG126" s="88">
        <f t="shared" si="102"/>
        <v>61.884057971014478</v>
      </c>
      <c r="BH126" s="88">
        <f t="shared" si="103"/>
        <v>57.123745819397975</v>
      </c>
      <c r="BI126" s="88">
        <f t="shared" si="104"/>
        <v>74.260869565217391</v>
      </c>
      <c r="BJ126" s="88">
        <f t="shared" si="105"/>
        <v>106.08695652173913</v>
      </c>
      <c r="BK126" s="105">
        <f t="shared" si="106"/>
        <v>1.0772833723653397E-2</v>
      </c>
      <c r="BL126" s="105">
        <f t="shared" si="107"/>
        <v>1.6159250585480098E-2</v>
      </c>
      <c r="BM126" s="105">
        <f t="shared" si="108"/>
        <v>1.7505854800936773E-2</v>
      </c>
      <c r="BN126" s="105">
        <f t="shared" si="109"/>
        <v>1.3466042154566744E-2</v>
      </c>
      <c r="BO126" s="105">
        <f t="shared" si="110"/>
        <v>9.4262295081967221E-3</v>
      </c>
      <c r="BP126" s="105">
        <f t="shared" si="111"/>
        <v>6.7330210772833743E-2</v>
      </c>
      <c r="BQ126" s="79">
        <f t="shared" si="112"/>
        <v>0.15999999999999998</v>
      </c>
      <c r="BR126" s="79">
        <f t="shared" si="113"/>
        <v>0.24</v>
      </c>
      <c r="BS126" s="79">
        <f t="shared" si="114"/>
        <v>0.26</v>
      </c>
      <c r="BT126" s="79">
        <f t="shared" si="115"/>
        <v>0.19999999999999993</v>
      </c>
      <c r="BU126" s="79">
        <f t="shared" si="116"/>
        <v>0.13999999999999996</v>
      </c>
      <c r="BV126" s="90" t="str">
        <f t="array" aca="1" ref="BV126" ca="1">_xlfn.TEXTJOIN(" ",TRUE,
_xlfn.TEXTJOIN(":",TRUE,ROUND(BK126:BO126/MIN(IF(BK126:BO126&gt;0,BK126:BO126)),0)),
"|",
ROUND(SUM(BW126:CA126),0))</f>
        <v>1:2:2:1:1 | -1025</v>
      </c>
      <c r="BW126" s="106">
        <f t="shared" ca="1" si="117"/>
        <v>-163.99999999999997</v>
      </c>
      <c r="BX126" s="106">
        <f t="shared" ca="1" si="63"/>
        <v>-246</v>
      </c>
      <c r="BY126" s="106">
        <f t="shared" ca="1" si="64"/>
        <v>-266.5</v>
      </c>
      <c r="BZ126" s="106">
        <f t="shared" ca="1" si="65"/>
        <v>-204.99999999999991</v>
      </c>
      <c r="CA126" s="106">
        <f t="shared" ca="1" si="118"/>
        <v>-143.49999999999994</v>
      </c>
    </row>
    <row r="127" spans="1:79" x14ac:dyDescent="0.35">
      <c r="A127" s="25" t="s">
        <v>141</v>
      </c>
      <c r="B127" s="10" t="s">
        <v>321</v>
      </c>
      <c r="C127" s="10" t="s">
        <v>342</v>
      </c>
      <c r="D127" s="10" t="s">
        <v>346</v>
      </c>
      <c r="E127" s="11">
        <v>45920</v>
      </c>
      <c r="F127" s="17">
        <v>45892</v>
      </c>
      <c r="G127" s="14">
        <f t="shared" ca="1" si="66"/>
        <v>207</v>
      </c>
      <c r="H127" s="17">
        <v>599</v>
      </c>
      <c r="I127" s="17">
        <v>310</v>
      </c>
      <c r="J127" s="75">
        <f t="shared" si="67"/>
        <v>837</v>
      </c>
      <c r="K127" s="17">
        <v>900</v>
      </c>
      <c r="L127" s="85">
        <v>63</v>
      </c>
      <c r="M127" s="86">
        <f t="shared" ca="1" si="68"/>
        <v>0.30434782608695654</v>
      </c>
      <c r="N127" s="86">
        <f t="shared" si="69"/>
        <v>0.80451009251471861</v>
      </c>
      <c r="O127" s="86">
        <f t="shared" si="70"/>
        <v>0.19207317073170732</v>
      </c>
      <c r="P127" s="87">
        <f t="shared" si="71"/>
        <v>15.75</v>
      </c>
      <c r="Q127" s="104">
        <f t="shared" si="72"/>
        <v>53.142857142857146</v>
      </c>
      <c r="R127" s="88">
        <f t="shared" si="73"/>
        <v>48.247078464106849</v>
      </c>
      <c r="S127" s="88">
        <f t="shared" si="74"/>
        <v>7.0000000000000009</v>
      </c>
      <c r="T127" s="13">
        <f t="shared" si="75"/>
        <v>1</v>
      </c>
      <c r="U127" s="13">
        <f t="shared" si="76"/>
        <v>1</v>
      </c>
      <c r="V127" s="13">
        <f t="shared" si="77"/>
        <v>2</v>
      </c>
      <c r="W127" s="13">
        <f t="shared" ca="1" si="78"/>
        <v>3</v>
      </c>
      <c r="X127" s="13">
        <f t="shared" ca="1" si="79"/>
        <v>7</v>
      </c>
      <c r="Y127" s="81" t="str">
        <f t="shared" ca="1" si="80"/>
        <v>MONITOR</v>
      </c>
      <c r="Z127" s="13">
        <v>14</v>
      </c>
      <c r="AA127" s="75">
        <v>46059</v>
      </c>
      <c r="AB127" s="75">
        <f t="shared" si="81"/>
        <v>45920</v>
      </c>
      <c r="AC127" s="88">
        <f t="shared" si="82"/>
        <v>19.857142857142858</v>
      </c>
      <c r="AD127" s="89" t="str">
        <f t="shared" ca="1" si="83"/>
        <v>STABLE</v>
      </c>
      <c r="AE127" s="89" t="str">
        <f t="shared" si="84"/>
        <v>SLOW SELLING</v>
      </c>
      <c r="AF127" s="89" t="str">
        <f t="shared" si="85"/>
        <v>AT RISK</v>
      </c>
      <c r="AG127" s="89" t="str">
        <f t="shared" si="86"/>
        <v>FEASIBLE</v>
      </c>
      <c r="AH127" s="81" t="str">
        <f t="shared" ca="1" si="87"/>
        <v>MONITOR</v>
      </c>
      <c r="AI127" s="75">
        <f t="shared" ca="1" si="88"/>
        <v>0</v>
      </c>
      <c r="AJ127" s="75">
        <f t="shared" ca="1" si="89"/>
        <v>-837</v>
      </c>
      <c r="AK127" s="13">
        <f t="shared" ca="1" si="90"/>
        <v>-1004</v>
      </c>
      <c r="AL127" s="79">
        <v>0.1</v>
      </c>
      <c r="AM127" s="79">
        <v>0.3</v>
      </c>
      <c r="AN127" s="79">
        <v>0.3</v>
      </c>
      <c r="AO127" s="79">
        <v>0.1</v>
      </c>
      <c r="AP127" s="79">
        <v>0.1</v>
      </c>
      <c r="AQ127" s="75">
        <f t="shared" si="91"/>
        <v>83.7</v>
      </c>
      <c r="AR127" s="75">
        <f t="shared" si="92"/>
        <v>251.1</v>
      </c>
      <c r="AS127" s="75">
        <f t="shared" si="93"/>
        <v>251.1</v>
      </c>
      <c r="AT127" s="75">
        <f t="shared" si="94"/>
        <v>83.7</v>
      </c>
      <c r="AU127" s="75">
        <f t="shared" si="95"/>
        <v>83.7</v>
      </c>
      <c r="AV127" s="13">
        <v>0.8</v>
      </c>
      <c r="AW127" s="13">
        <v>1.2</v>
      </c>
      <c r="AX127" s="13">
        <v>1.3</v>
      </c>
      <c r="AY127" s="13">
        <v>1</v>
      </c>
      <c r="AZ127" s="13">
        <v>0.7</v>
      </c>
      <c r="BA127" s="105">
        <f t="shared" si="96"/>
        <v>1.2600000000000002</v>
      </c>
      <c r="BB127" s="13">
        <f t="shared" si="97"/>
        <v>5.669999999999999</v>
      </c>
      <c r="BC127" s="13">
        <f t="shared" si="98"/>
        <v>6.1425000000000001</v>
      </c>
      <c r="BD127" s="13">
        <f t="shared" si="99"/>
        <v>1.5750000000000002</v>
      </c>
      <c r="BE127" s="13">
        <f t="shared" si="100"/>
        <v>1.1025</v>
      </c>
      <c r="BF127" s="88">
        <f t="shared" si="101"/>
        <v>66.428571428571416</v>
      </c>
      <c r="BG127" s="88">
        <f t="shared" si="102"/>
        <v>44.285714285714292</v>
      </c>
      <c r="BH127" s="88">
        <f t="shared" si="103"/>
        <v>40.879120879120876</v>
      </c>
      <c r="BI127" s="88">
        <f t="shared" si="104"/>
        <v>53.142857142857139</v>
      </c>
      <c r="BJ127" s="88">
        <f t="shared" si="105"/>
        <v>75.91836734693878</v>
      </c>
      <c r="BK127" s="105">
        <f t="shared" si="106"/>
        <v>1.5053763440860218E-2</v>
      </c>
      <c r="BL127" s="105">
        <f t="shared" si="107"/>
        <v>2.2580645161290318E-2</v>
      </c>
      <c r="BM127" s="105">
        <f t="shared" si="108"/>
        <v>2.4462365591397851E-2</v>
      </c>
      <c r="BN127" s="105">
        <f t="shared" si="109"/>
        <v>1.8817204301075269E-2</v>
      </c>
      <c r="BO127" s="105">
        <f t="shared" si="110"/>
        <v>1.3172043010752688E-2</v>
      </c>
      <c r="BP127" s="105">
        <f t="shared" si="111"/>
        <v>9.408602150537633E-2</v>
      </c>
      <c r="BQ127" s="79">
        <f t="shared" si="112"/>
        <v>0.16000000000000006</v>
      </c>
      <c r="BR127" s="79">
        <f t="shared" si="113"/>
        <v>0.24</v>
      </c>
      <c r="BS127" s="79">
        <f t="shared" si="114"/>
        <v>0.26000000000000006</v>
      </c>
      <c r="BT127" s="79">
        <f t="shared" si="115"/>
        <v>0.20000000000000004</v>
      </c>
      <c r="BU127" s="79">
        <f t="shared" si="116"/>
        <v>0.14000000000000001</v>
      </c>
      <c r="BV127" s="90" t="str">
        <f t="array" aca="1" ref="BV127" ca="1">_xlfn.TEXTJOIN(" ",TRUE,
_xlfn.TEXTJOIN(":",TRUE,ROUND(BK127:BO127/MIN(IF(BK127:BO127&gt;0,BK127:BO127)),0)),
"|",
ROUND(SUM(BW127:CA127),0))</f>
        <v>1:2:2:1:1 | -1004</v>
      </c>
      <c r="BW127" s="106">
        <f t="shared" ca="1" si="117"/>
        <v>-160.64000000000007</v>
      </c>
      <c r="BX127" s="106">
        <f t="shared" ca="1" si="63"/>
        <v>-240.95999999999998</v>
      </c>
      <c r="BY127" s="106">
        <f t="shared" ca="1" si="64"/>
        <v>-261.04000000000008</v>
      </c>
      <c r="BZ127" s="106">
        <f t="shared" ca="1" si="65"/>
        <v>-200.80000000000004</v>
      </c>
      <c r="CA127" s="106">
        <f t="shared" ca="1" si="118"/>
        <v>-140.56</v>
      </c>
    </row>
    <row r="128" spans="1:79" x14ac:dyDescent="0.35">
      <c r="A128" s="25" t="s">
        <v>142</v>
      </c>
      <c r="B128" s="10" t="s">
        <v>321</v>
      </c>
      <c r="C128" s="10" t="s">
        <v>342</v>
      </c>
      <c r="D128" s="10" t="s">
        <v>346</v>
      </c>
      <c r="E128" s="11">
        <v>45892</v>
      </c>
      <c r="F128" s="17">
        <v>45892</v>
      </c>
      <c r="G128" s="14">
        <f t="shared" ca="1" si="66"/>
        <v>207</v>
      </c>
      <c r="H128" s="17">
        <v>799</v>
      </c>
      <c r="I128" s="17">
        <v>410</v>
      </c>
      <c r="J128" s="75">
        <f t="shared" si="67"/>
        <v>747</v>
      </c>
      <c r="K128" s="17">
        <v>1200</v>
      </c>
      <c r="L128" s="85">
        <v>453</v>
      </c>
      <c r="M128" s="86">
        <f t="shared" ca="1" si="68"/>
        <v>2.1884057971014492</v>
      </c>
      <c r="N128" s="86">
        <f t="shared" si="69"/>
        <v>0.80451009251471861</v>
      </c>
      <c r="O128" s="86">
        <f t="shared" si="70"/>
        <v>1.3810975609756098</v>
      </c>
      <c r="P128" s="87">
        <f t="shared" si="71"/>
        <v>113.25</v>
      </c>
      <c r="Q128" s="104">
        <f t="shared" si="72"/>
        <v>6.5960264900662251</v>
      </c>
      <c r="R128" s="88">
        <f t="shared" si="73"/>
        <v>48.685857321652065</v>
      </c>
      <c r="S128" s="88">
        <f t="shared" si="74"/>
        <v>37.75</v>
      </c>
      <c r="T128" s="13">
        <f t="shared" si="75"/>
        <v>3</v>
      </c>
      <c r="U128" s="13">
        <f t="shared" si="76"/>
        <v>1</v>
      </c>
      <c r="V128" s="13">
        <f t="shared" si="77"/>
        <v>2</v>
      </c>
      <c r="W128" s="13">
        <f t="shared" ca="1" si="78"/>
        <v>3</v>
      </c>
      <c r="X128" s="13">
        <f t="shared" ca="1" si="79"/>
        <v>9</v>
      </c>
      <c r="Y128" s="81" t="str">
        <f t="shared" ca="1" si="80"/>
        <v>RE-BUY</v>
      </c>
      <c r="Z128" s="13">
        <v>14</v>
      </c>
      <c r="AA128" s="75">
        <v>46059</v>
      </c>
      <c r="AB128" s="75">
        <f t="shared" si="81"/>
        <v>45920</v>
      </c>
      <c r="AC128" s="88">
        <f t="shared" si="82"/>
        <v>19.857142857142858</v>
      </c>
      <c r="AD128" s="89" t="str">
        <f t="shared" ca="1" si="83"/>
        <v>STABLE</v>
      </c>
      <c r="AE128" s="89" t="str">
        <f t="shared" si="84"/>
        <v>FAST SELLING</v>
      </c>
      <c r="AF128" s="89" t="str">
        <f t="shared" si="85"/>
        <v>AT RISK</v>
      </c>
      <c r="AG128" s="89" t="str">
        <f t="shared" si="86"/>
        <v>FEASIBLE</v>
      </c>
      <c r="AH128" s="81" t="str">
        <f t="shared" ca="1" si="87"/>
        <v>IMMEDIATE REBUY</v>
      </c>
      <c r="AI128" s="75">
        <f t="shared" ca="1" si="88"/>
        <v>1349.292857142857</v>
      </c>
      <c r="AJ128" s="75">
        <f t="shared" ca="1" si="89"/>
        <v>602.29285714285697</v>
      </c>
      <c r="AK128" s="13">
        <f t="shared" ca="1" si="90"/>
        <v>723</v>
      </c>
      <c r="AL128" s="79">
        <v>0.1</v>
      </c>
      <c r="AM128" s="79">
        <v>0.3</v>
      </c>
      <c r="AN128" s="79">
        <v>0.3</v>
      </c>
      <c r="AO128" s="79">
        <v>0.1</v>
      </c>
      <c r="AP128" s="79">
        <v>0.1</v>
      </c>
      <c r="AQ128" s="75">
        <f t="shared" si="91"/>
        <v>74.7</v>
      </c>
      <c r="AR128" s="75">
        <f t="shared" si="92"/>
        <v>224.1</v>
      </c>
      <c r="AS128" s="75">
        <f t="shared" si="93"/>
        <v>224.1</v>
      </c>
      <c r="AT128" s="75">
        <f t="shared" si="94"/>
        <v>74.7</v>
      </c>
      <c r="AU128" s="75">
        <f t="shared" si="95"/>
        <v>74.7</v>
      </c>
      <c r="AV128" s="13">
        <v>0.8</v>
      </c>
      <c r="AW128" s="13">
        <v>1.2</v>
      </c>
      <c r="AX128" s="13">
        <v>1.3</v>
      </c>
      <c r="AY128" s="13">
        <v>1</v>
      </c>
      <c r="AZ128" s="13">
        <v>0.7</v>
      </c>
      <c r="BA128" s="105">
        <f t="shared" si="96"/>
        <v>9.06</v>
      </c>
      <c r="BB128" s="13">
        <f t="shared" si="97"/>
        <v>40.770000000000003</v>
      </c>
      <c r="BC128" s="13">
        <f t="shared" si="98"/>
        <v>44.167500000000004</v>
      </c>
      <c r="BD128" s="13">
        <f t="shared" si="99"/>
        <v>11.325000000000001</v>
      </c>
      <c r="BE128" s="13">
        <f t="shared" si="100"/>
        <v>7.9275000000000002</v>
      </c>
      <c r="BF128" s="88">
        <f t="shared" si="101"/>
        <v>8.2450331125827816</v>
      </c>
      <c r="BG128" s="88">
        <f t="shared" si="102"/>
        <v>5.4966887417218535</v>
      </c>
      <c r="BH128" s="88">
        <f t="shared" si="103"/>
        <v>5.0738665308201725</v>
      </c>
      <c r="BI128" s="88">
        <f t="shared" si="104"/>
        <v>6.5960264900662251</v>
      </c>
      <c r="BJ128" s="88">
        <f t="shared" si="105"/>
        <v>9.4228949858088935</v>
      </c>
      <c r="BK128" s="105">
        <f t="shared" si="106"/>
        <v>0.121285140562249</v>
      </c>
      <c r="BL128" s="105">
        <f t="shared" si="107"/>
        <v>0.18192771084337353</v>
      </c>
      <c r="BM128" s="105">
        <f t="shared" si="108"/>
        <v>0.19708835341365466</v>
      </c>
      <c r="BN128" s="105">
        <f t="shared" si="109"/>
        <v>0.15160642570281124</v>
      </c>
      <c r="BO128" s="105">
        <f t="shared" si="110"/>
        <v>0.10612449799196787</v>
      </c>
      <c r="BP128" s="105">
        <f t="shared" si="111"/>
        <v>0.75803212851405632</v>
      </c>
      <c r="BQ128" s="79">
        <f t="shared" si="112"/>
        <v>0.15999999999999998</v>
      </c>
      <c r="BR128" s="79">
        <f t="shared" si="113"/>
        <v>0.24000000000000002</v>
      </c>
      <c r="BS128" s="79">
        <f t="shared" si="114"/>
        <v>0.26</v>
      </c>
      <c r="BT128" s="79">
        <f t="shared" si="115"/>
        <v>0.19999999999999998</v>
      </c>
      <c r="BU128" s="79">
        <f t="shared" si="116"/>
        <v>0.13999999999999999</v>
      </c>
      <c r="BV128" s="90" t="str">
        <f t="array" aca="1" ref="BV128" ca="1">_xlfn.TEXTJOIN(" ",TRUE,
_xlfn.TEXTJOIN(":",TRUE,ROUND(BK128:BO128/MIN(IF(BK128:BO128&gt;0,BK128:BO128)),0)),
"|",
ROUND(SUM(BW128:CA128),0))</f>
        <v>1:2:2:1:1 | 723</v>
      </c>
      <c r="BW128" s="106">
        <f t="shared" ca="1" si="117"/>
        <v>115.67999999999998</v>
      </c>
      <c r="BX128" s="106">
        <f t="shared" ca="1" si="63"/>
        <v>173.52</v>
      </c>
      <c r="BY128" s="106">
        <f t="shared" ca="1" si="64"/>
        <v>187.98000000000002</v>
      </c>
      <c r="BZ128" s="106">
        <f t="shared" ca="1" si="65"/>
        <v>144.6</v>
      </c>
      <c r="CA128" s="106">
        <f t="shared" ca="1" si="118"/>
        <v>101.21999999999998</v>
      </c>
    </row>
    <row r="129" spans="1:79" x14ac:dyDescent="0.35">
      <c r="A129" s="25" t="s">
        <v>143</v>
      </c>
      <c r="B129" s="10" t="s">
        <v>321</v>
      </c>
      <c r="C129" s="10" t="s">
        <v>342</v>
      </c>
      <c r="D129" s="10" t="s">
        <v>346</v>
      </c>
      <c r="E129" s="11">
        <v>45920</v>
      </c>
      <c r="F129" s="17">
        <v>45892</v>
      </c>
      <c r="G129" s="14">
        <f t="shared" ca="1" si="66"/>
        <v>207</v>
      </c>
      <c r="H129" s="17">
        <v>799</v>
      </c>
      <c r="I129" s="17">
        <v>410</v>
      </c>
      <c r="J129" s="75">
        <f t="shared" si="67"/>
        <v>933</v>
      </c>
      <c r="K129" s="17">
        <v>1200</v>
      </c>
      <c r="L129" s="85">
        <v>267</v>
      </c>
      <c r="M129" s="86">
        <f t="shared" ca="1" si="68"/>
        <v>1.2898550724637681</v>
      </c>
      <c r="N129" s="86">
        <f t="shared" si="69"/>
        <v>0.80451009251471861</v>
      </c>
      <c r="O129" s="86">
        <f t="shared" si="70"/>
        <v>0.81402439024390238</v>
      </c>
      <c r="P129" s="87">
        <f t="shared" si="71"/>
        <v>66.75</v>
      </c>
      <c r="Q129" s="104">
        <f t="shared" si="72"/>
        <v>13.97752808988764</v>
      </c>
      <c r="R129" s="88">
        <f t="shared" si="73"/>
        <v>48.685857321652065</v>
      </c>
      <c r="S129" s="88">
        <f t="shared" si="74"/>
        <v>22.25</v>
      </c>
      <c r="T129" s="13">
        <f t="shared" si="75"/>
        <v>3</v>
      </c>
      <c r="U129" s="13">
        <f t="shared" si="76"/>
        <v>1</v>
      </c>
      <c r="V129" s="13">
        <f t="shared" si="77"/>
        <v>2</v>
      </c>
      <c r="W129" s="13">
        <f t="shared" ca="1" si="78"/>
        <v>3</v>
      </c>
      <c r="X129" s="13">
        <f t="shared" ca="1" si="79"/>
        <v>9</v>
      </c>
      <c r="Y129" s="81" t="str">
        <f t="shared" ca="1" si="80"/>
        <v>RE-BUY</v>
      </c>
      <c r="Z129" s="13">
        <v>14</v>
      </c>
      <c r="AA129" s="75">
        <v>46059</v>
      </c>
      <c r="AB129" s="75">
        <f t="shared" si="81"/>
        <v>45920</v>
      </c>
      <c r="AC129" s="88">
        <f t="shared" si="82"/>
        <v>19.857142857142858</v>
      </c>
      <c r="AD129" s="89" t="str">
        <f t="shared" ca="1" si="83"/>
        <v>STABLE</v>
      </c>
      <c r="AE129" s="89" t="str">
        <f t="shared" si="84"/>
        <v>FAST SELLING</v>
      </c>
      <c r="AF129" s="89" t="str">
        <f t="shared" si="85"/>
        <v>AT RISK</v>
      </c>
      <c r="AG129" s="89" t="str">
        <f t="shared" si="86"/>
        <v>FEASIBLE</v>
      </c>
      <c r="AH129" s="81" t="str">
        <f t="shared" ca="1" si="87"/>
        <v>IMMEDIATE REBUY</v>
      </c>
      <c r="AI129" s="75">
        <f t="shared" ca="1" si="88"/>
        <v>795.27857142857147</v>
      </c>
      <c r="AJ129" s="75">
        <f t="shared" ca="1" si="89"/>
        <v>-137.72142857142853</v>
      </c>
      <c r="AK129" s="13">
        <f t="shared" ca="1" si="90"/>
        <v>-165</v>
      </c>
      <c r="AL129" s="79">
        <v>0.1</v>
      </c>
      <c r="AM129" s="79">
        <v>0.3</v>
      </c>
      <c r="AN129" s="79">
        <v>0.3</v>
      </c>
      <c r="AO129" s="79">
        <v>0.1</v>
      </c>
      <c r="AP129" s="79">
        <v>0.1</v>
      </c>
      <c r="AQ129" s="75">
        <f t="shared" si="91"/>
        <v>93.300000000000011</v>
      </c>
      <c r="AR129" s="75">
        <f t="shared" si="92"/>
        <v>279.89999999999998</v>
      </c>
      <c r="AS129" s="75">
        <f t="shared" si="93"/>
        <v>279.89999999999998</v>
      </c>
      <c r="AT129" s="75">
        <f t="shared" si="94"/>
        <v>93.300000000000011</v>
      </c>
      <c r="AU129" s="75">
        <f t="shared" si="95"/>
        <v>93.300000000000011</v>
      </c>
      <c r="AV129" s="13">
        <v>0.8</v>
      </c>
      <c r="AW129" s="13">
        <v>1.2</v>
      </c>
      <c r="AX129" s="13">
        <v>1.3</v>
      </c>
      <c r="AY129" s="13">
        <v>1</v>
      </c>
      <c r="AZ129" s="13">
        <v>0.7</v>
      </c>
      <c r="BA129" s="105">
        <f t="shared" si="96"/>
        <v>5.3400000000000007</v>
      </c>
      <c r="BB129" s="13">
        <f t="shared" si="97"/>
        <v>24.029999999999998</v>
      </c>
      <c r="BC129" s="13">
        <f t="shared" si="98"/>
        <v>26.032499999999999</v>
      </c>
      <c r="BD129" s="13">
        <f t="shared" si="99"/>
        <v>6.6750000000000007</v>
      </c>
      <c r="BE129" s="13">
        <f t="shared" si="100"/>
        <v>4.6725000000000003</v>
      </c>
      <c r="BF129" s="88">
        <f t="shared" si="101"/>
        <v>17.471910112359549</v>
      </c>
      <c r="BG129" s="88">
        <f t="shared" si="102"/>
        <v>11.647940074906368</v>
      </c>
      <c r="BH129" s="88">
        <f t="shared" si="103"/>
        <v>10.751944684528954</v>
      </c>
      <c r="BI129" s="88">
        <f t="shared" si="104"/>
        <v>13.97752808988764</v>
      </c>
      <c r="BJ129" s="88">
        <f t="shared" si="105"/>
        <v>19.967897271268058</v>
      </c>
      <c r="BK129" s="105">
        <f t="shared" si="106"/>
        <v>5.7234726688102901E-2</v>
      </c>
      <c r="BL129" s="105">
        <f t="shared" si="107"/>
        <v>8.5852090032154341E-2</v>
      </c>
      <c r="BM129" s="105">
        <f t="shared" si="108"/>
        <v>9.3006430868167206E-2</v>
      </c>
      <c r="BN129" s="105">
        <f t="shared" si="109"/>
        <v>7.1543408360128624E-2</v>
      </c>
      <c r="BO129" s="105">
        <f t="shared" si="110"/>
        <v>5.0080385852090036E-2</v>
      </c>
      <c r="BP129" s="105">
        <f t="shared" si="111"/>
        <v>0.35771704180064307</v>
      </c>
      <c r="BQ129" s="79">
        <f t="shared" si="112"/>
        <v>0.16000000000000003</v>
      </c>
      <c r="BR129" s="79">
        <f t="shared" si="113"/>
        <v>0.24000000000000002</v>
      </c>
      <c r="BS129" s="79">
        <f t="shared" si="114"/>
        <v>0.26</v>
      </c>
      <c r="BT129" s="79">
        <f t="shared" si="115"/>
        <v>0.20000000000000004</v>
      </c>
      <c r="BU129" s="79">
        <f t="shared" si="116"/>
        <v>0.14000000000000001</v>
      </c>
      <c r="BV129" s="90" t="str">
        <f t="array" aca="1" ref="BV129" ca="1">_xlfn.TEXTJOIN(" ",TRUE,
_xlfn.TEXTJOIN(":",TRUE,ROUND(BK129:BO129/MIN(IF(BK129:BO129&gt;0,BK129:BO129)),0)),
"|",
ROUND(SUM(BW129:CA129),0))</f>
        <v>1:2:2:1:1 | -165</v>
      </c>
      <c r="BW129" s="106">
        <f t="shared" ca="1" si="117"/>
        <v>-26.400000000000006</v>
      </c>
      <c r="BX129" s="106">
        <f t="shared" ca="1" si="63"/>
        <v>-39.6</v>
      </c>
      <c r="BY129" s="106">
        <f t="shared" ca="1" si="64"/>
        <v>-42.9</v>
      </c>
      <c r="BZ129" s="106">
        <f t="shared" ca="1" si="65"/>
        <v>-33.000000000000007</v>
      </c>
      <c r="CA129" s="106">
        <f t="shared" ca="1" si="118"/>
        <v>-23.1</v>
      </c>
    </row>
    <row r="130" spans="1:79" x14ac:dyDescent="0.35">
      <c r="A130" s="25" t="s">
        <v>144</v>
      </c>
      <c r="B130" s="10" t="s">
        <v>321</v>
      </c>
      <c r="C130" s="10" t="s">
        <v>342</v>
      </c>
      <c r="D130" s="10" t="s">
        <v>346</v>
      </c>
      <c r="E130" s="11">
        <v>45920</v>
      </c>
      <c r="F130" s="17">
        <v>45892</v>
      </c>
      <c r="G130" s="14">
        <f t="shared" ca="1" si="66"/>
        <v>207</v>
      </c>
      <c r="H130" s="17">
        <v>799</v>
      </c>
      <c r="I130" s="17">
        <v>410</v>
      </c>
      <c r="J130" s="75">
        <f t="shared" si="67"/>
        <v>1097</v>
      </c>
      <c r="K130" s="17">
        <v>1300</v>
      </c>
      <c r="L130" s="85">
        <v>203</v>
      </c>
      <c r="M130" s="86">
        <f t="shared" ca="1" si="68"/>
        <v>0.98067632850241548</v>
      </c>
      <c r="N130" s="86">
        <f t="shared" si="69"/>
        <v>0.80451009251471861</v>
      </c>
      <c r="O130" s="86">
        <f t="shared" si="70"/>
        <v>0.61890243902439024</v>
      </c>
      <c r="P130" s="87">
        <f t="shared" si="71"/>
        <v>50.75</v>
      </c>
      <c r="Q130" s="104">
        <f t="shared" si="72"/>
        <v>21.615763546798028</v>
      </c>
      <c r="R130" s="88">
        <f t="shared" si="73"/>
        <v>48.685857321652065</v>
      </c>
      <c r="S130" s="88">
        <f t="shared" si="74"/>
        <v>15.615384615384615</v>
      </c>
      <c r="T130" s="13">
        <f t="shared" si="75"/>
        <v>1</v>
      </c>
      <c r="U130" s="13">
        <f t="shared" si="76"/>
        <v>1</v>
      </c>
      <c r="V130" s="13">
        <f t="shared" si="77"/>
        <v>2</v>
      </c>
      <c r="W130" s="13">
        <f t="shared" ca="1" si="78"/>
        <v>3</v>
      </c>
      <c r="X130" s="13">
        <f t="shared" ca="1" si="79"/>
        <v>7</v>
      </c>
      <c r="Y130" s="81" t="str">
        <f t="shared" ca="1" si="80"/>
        <v>MONITOR</v>
      </c>
      <c r="Z130" s="13">
        <v>14</v>
      </c>
      <c r="AA130" s="75">
        <v>46059</v>
      </c>
      <c r="AB130" s="75">
        <f t="shared" si="81"/>
        <v>45920</v>
      </c>
      <c r="AC130" s="88">
        <f t="shared" si="82"/>
        <v>19.857142857142858</v>
      </c>
      <c r="AD130" s="89" t="str">
        <f t="shared" ca="1" si="83"/>
        <v>STABLE</v>
      </c>
      <c r="AE130" s="89" t="str">
        <f t="shared" si="84"/>
        <v>SLOW SELLING</v>
      </c>
      <c r="AF130" s="89" t="str">
        <f t="shared" si="85"/>
        <v>AT RISK</v>
      </c>
      <c r="AG130" s="89" t="str">
        <f t="shared" si="86"/>
        <v>FEASIBLE</v>
      </c>
      <c r="AH130" s="81" t="str">
        <f t="shared" ca="1" si="87"/>
        <v>MONITOR</v>
      </c>
      <c r="AI130" s="75">
        <f t="shared" ca="1" si="88"/>
        <v>0</v>
      </c>
      <c r="AJ130" s="75">
        <f t="shared" ca="1" si="89"/>
        <v>-1097</v>
      </c>
      <c r="AK130" s="13">
        <f t="shared" ca="1" si="90"/>
        <v>-1316</v>
      </c>
      <c r="AL130" s="79">
        <v>0.1</v>
      </c>
      <c r="AM130" s="79">
        <v>0.3</v>
      </c>
      <c r="AN130" s="79">
        <v>0.3</v>
      </c>
      <c r="AO130" s="79">
        <v>0.1</v>
      </c>
      <c r="AP130" s="79">
        <v>0.1</v>
      </c>
      <c r="AQ130" s="75">
        <f t="shared" si="91"/>
        <v>109.7</v>
      </c>
      <c r="AR130" s="75">
        <f t="shared" si="92"/>
        <v>329.09999999999997</v>
      </c>
      <c r="AS130" s="75">
        <f t="shared" si="93"/>
        <v>329.09999999999997</v>
      </c>
      <c r="AT130" s="75">
        <f t="shared" si="94"/>
        <v>109.7</v>
      </c>
      <c r="AU130" s="75">
        <f t="shared" si="95"/>
        <v>109.7</v>
      </c>
      <c r="AV130" s="13">
        <v>0.8</v>
      </c>
      <c r="AW130" s="13">
        <v>1.2</v>
      </c>
      <c r="AX130" s="13">
        <v>1.3</v>
      </c>
      <c r="AY130" s="13">
        <v>1</v>
      </c>
      <c r="AZ130" s="13">
        <v>0.7</v>
      </c>
      <c r="BA130" s="105">
        <f t="shared" si="96"/>
        <v>4.0600000000000005</v>
      </c>
      <c r="BB130" s="13">
        <f t="shared" si="97"/>
        <v>18.27</v>
      </c>
      <c r="BC130" s="13">
        <f t="shared" si="98"/>
        <v>19.7925</v>
      </c>
      <c r="BD130" s="13">
        <f t="shared" si="99"/>
        <v>5.0750000000000002</v>
      </c>
      <c r="BE130" s="13">
        <f t="shared" si="100"/>
        <v>3.5524999999999998</v>
      </c>
      <c r="BF130" s="88">
        <f t="shared" si="101"/>
        <v>27.019704433497534</v>
      </c>
      <c r="BG130" s="88">
        <f t="shared" si="102"/>
        <v>18.013136288998357</v>
      </c>
      <c r="BH130" s="88">
        <f t="shared" si="103"/>
        <v>16.627510420613866</v>
      </c>
      <c r="BI130" s="88">
        <f t="shared" si="104"/>
        <v>21.615763546798028</v>
      </c>
      <c r="BJ130" s="88">
        <f t="shared" si="105"/>
        <v>30.879662209711473</v>
      </c>
      <c r="BK130" s="105">
        <f t="shared" si="106"/>
        <v>3.7010027347310855E-2</v>
      </c>
      <c r="BL130" s="105">
        <f t="shared" si="107"/>
        <v>5.5515041020966271E-2</v>
      </c>
      <c r="BM130" s="105">
        <f t="shared" si="108"/>
        <v>6.0141294439380134E-2</v>
      </c>
      <c r="BN130" s="105">
        <f t="shared" si="109"/>
        <v>4.626253418413856E-2</v>
      </c>
      <c r="BO130" s="105">
        <f t="shared" si="110"/>
        <v>3.2383773928896992E-2</v>
      </c>
      <c r="BP130" s="105">
        <f t="shared" si="111"/>
        <v>0.2313126709206928</v>
      </c>
      <c r="BQ130" s="79">
        <f t="shared" si="112"/>
        <v>0.16000000000000003</v>
      </c>
      <c r="BR130" s="79">
        <f t="shared" si="113"/>
        <v>0.24</v>
      </c>
      <c r="BS130" s="79">
        <f t="shared" si="114"/>
        <v>0.26</v>
      </c>
      <c r="BT130" s="79">
        <f t="shared" si="115"/>
        <v>0.2</v>
      </c>
      <c r="BU130" s="79">
        <f t="shared" si="116"/>
        <v>0.14000000000000001</v>
      </c>
      <c r="BV130" s="90" t="str">
        <f t="array" aca="1" ref="BV130" ca="1">_xlfn.TEXTJOIN(" ",TRUE,
_xlfn.TEXTJOIN(":",TRUE,ROUND(BK130:BO130/MIN(IF(BK130:BO130&gt;0,BK130:BO130)),0)),
"|",
ROUND(SUM(BW130:CA130),0))</f>
        <v>1:2:2:1:1 | -1316</v>
      </c>
      <c r="BW130" s="106">
        <f t="shared" ca="1" si="117"/>
        <v>-210.56000000000003</v>
      </c>
      <c r="BX130" s="106">
        <f t="shared" ref="BX130:BX193" ca="1" si="119">AK130*BR130</f>
        <v>-315.83999999999997</v>
      </c>
      <c r="BY130" s="106">
        <f t="shared" ref="BY130:BY193" ca="1" si="120">AK130*BS130</f>
        <v>-342.16</v>
      </c>
      <c r="BZ130" s="106">
        <f t="shared" ref="BZ130:BZ193" ca="1" si="121">AK130*BT130</f>
        <v>-263.2</v>
      </c>
      <c r="CA130" s="106">
        <f t="shared" ca="1" si="118"/>
        <v>-184.24</v>
      </c>
    </row>
    <row r="131" spans="1:79" x14ac:dyDescent="0.35">
      <c r="A131" s="25" t="s">
        <v>145</v>
      </c>
      <c r="B131" s="10" t="s">
        <v>321</v>
      </c>
      <c r="C131" s="10" t="s">
        <v>342</v>
      </c>
      <c r="D131" s="10" t="s">
        <v>346</v>
      </c>
      <c r="E131" s="11">
        <v>45920</v>
      </c>
      <c r="F131" s="17">
        <v>45892</v>
      </c>
      <c r="G131" s="14">
        <f t="shared" ref="G131:G194" ca="1" si="122">TODAY()-F131</f>
        <v>207</v>
      </c>
      <c r="H131" s="17">
        <v>799</v>
      </c>
      <c r="I131" s="17">
        <v>410</v>
      </c>
      <c r="J131" s="75">
        <f t="shared" ref="J131:J194" si="123">K131-L131</f>
        <v>901</v>
      </c>
      <c r="K131" s="17">
        <v>1300</v>
      </c>
      <c r="L131" s="85">
        <v>399</v>
      </c>
      <c r="M131" s="86">
        <f t="shared" ref="M131:M194" ca="1" si="124">L131/G131</f>
        <v>1.9275362318840579</v>
      </c>
      <c r="N131" s="86">
        <f t="shared" ref="N131:N194" si="125">AVERAGEIFS(O:O,C:C,C131)</f>
        <v>0.80451009251471861</v>
      </c>
      <c r="O131" s="86">
        <f t="shared" ref="O131:O194" si="126">L131/328</f>
        <v>1.2164634146341464</v>
      </c>
      <c r="P131" s="87">
        <f t="shared" ref="P131:P194" si="127">O131*82</f>
        <v>99.75</v>
      </c>
      <c r="Q131" s="104">
        <f t="shared" ref="Q131:Q194" si="128">J131/P131</f>
        <v>9.0325814536340854</v>
      </c>
      <c r="R131" s="88">
        <f t="shared" ref="R131:R194" si="129">(H131-I131)/H131*100</f>
        <v>48.685857321652065</v>
      </c>
      <c r="S131" s="88">
        <f t="shared" ref="S131:S194" si="130">L131/K131*100</f>
        <v>30.69230769230769</v>
      </c>
      <c r="T131" s="13">
        <f t="shared" ref="T131:T194" si="131">IF(O131&gt;=N131,3,IF(O131&gt;=0.8*N131,2,1))</f>
        <v>3</v>
      </c>
      <c r="U131" s="13">
        <f t="shared" ref="U131:U194" si="132">IF(Q131&lt;=4,3,IF(Q131&lt;=6,2,1))</f>
        <v>1</v>
      </c>
      <c r="V131" s="13">
        <f t="shared" ref="V131:V194" si="133">IF(R131&gt;=60,3,IF(R131&gt;=45,2,1))</f>
        <v>2</v>
      </c>
      <c r="W131" s="13">
        <f t="shared" ref="W131:W194" ca="1" si="134">IF(M131&lt;=10,3,IF(M131&lt;=25,2,1))</f>
        <v>3</v>
      </c>
      <c r="X131" s="13">
        <f t="shared" ref="X131:X194" ca="1" si="135">T131+U131+V131+W131</f>
        <v>9</v>
      </c>
      <c r="Y131" s="81" t="str">
        <f t="shared" ref="Y131:Y194" ca="1" si="136">IFERROR(IF(X131&gt;=9,"RE-BUY",IF(X131&gt;=6,"MONITOR","EXIT")),"EXIT")</f>
        <v>RE-BUY</v>
      </c>
      <c r="Z131" s="13">
        <v>14</v>
      </c>
      <c r="AA131" s="75">
        <v>46059</v>
      </c>
      <c r="AB131" s="75">
        <f t="shared" ref="AB131:AB194" si="137">F131+28</f>
        <v>45920</v>
      </c>
      <c r="AC131" s="88">
        <f t="shared" ref="AC131:AC194" si="138">(AA131-AB131)/7</f>
        <v>19.857142857142858</v>
      </c>
      <c r="AD131" s="89" t="str">
        <f t="shared" ref="AD131:AD194" ca="1" si="139">IF(G131&gt;=21,"STABLE","TOO EARLY")</f>
        <v>STABLE</v>
      </c>
      <c r="AE131" s="89" t="str">
        <f t="shared" ref="AE131:AE194" si="140">IF(O131&gt;=N131,"FAST SELLING","SLOW SELLING")</f>
        <v>FAST SELLING</v>
      </c>
      <c r="AF131" s="89" t="str">
        <f t="shared" ref="AF131:AF194" si="141">IF(U131&lt;=Z131,"AT RISK","SAFE")</f>
        <v>AT RISK</v>
      </c>
      <c r="AG131" s="89" t="str">
        <f t="shared" ref="AG131:AG194" si="142">IF(Z131&lt;=AC131,"FEASIBLE","NOT FEASIBLE")</f>
        <v>FEASIBLE</v>
      </c>
      <c r="AH131" s="81" t="str">
        <f t="shared" ref="AH131:AH194" ca="1" si="143">IF(AND(Y131="RE-BUY",AD131="STABLE",AE131="FAST SELLING",AG131="FEASIBLE"),"IMMEDIATE REBUY","MONITOR")</f>
        <v>IMMEDIATE REBUY</v>
      </c>
      <c r="AI131" s="75">
        <f t="shared" ref="AI131:AI194" ca="1" si="144">IF(Y131="RE-BUY",O131*82*AC131*0.6,0)</f>
        <v>1188.45</v>
      </c>
      <c r="AJ131" s="75">
        <f t="shared" ref="AJ131:AJ194" ca="1" si="145">MAX(AI131-J131)</f>
        <v>287.45000000000005</v>
      </c>
      <c r="AK131" s="13">
        <f t="shared" ref="AK131:AK194" ca="1" si="146">ROUND(AJ131*1.2,0)</f>
        <v>345</v>
      </c>
      <c r="AL131" s="79">
        <v>0.1</v>
      </c>
      <c r="AM131" s="79">
        <v>0.3</v>
      </c>
      <c r="AN131" s="79">
        <v>0.3</v>
      </c>
      <c r="AO131" s="79">
        <v>0.1</v>
      </c>
      <c r="AP131" s="79">
        <v>0.1</v>
      </c>
      <c r="AQ131" s="75">
        <f t="shared" ref="AQ131:AQ194" si="147">J131*AL131</f>
        <v>90.100000000000009</v>
      </c>
      <c r="AR131" s="75">
        <f t="shared" ref="AR131:AR184" si="148">J131*AM131</f>
        <v>270.3</v>
      </c>
      <c r="AS131" s="75">
        <f t="shared" ref="AS131:AS194" si="149">J131*AN131</f>
        <v>270.3</v>
      </c>
      <c r="AT131" s="75">
        <f t="shared" ref="AT131:AT194" si="150">J131*AO131</f>
        <v>90.100000000000009</v>
      </c>
      <c r="AU131" s="75">
        <f t="shared" ref="AU131:AU194" si="151">J131*AP131</f>
        <v>90.100000000000009</v>
      </c>
      <c r="AV131" s="13">
        <v>0.8</v>
      </c>
      <c r="AW131" s="13">
        <v>1.2</v>
      </c>
      <c r="AX131" s="13">
        <v>1.3</v>
      </c>
      <c r="AY131" s="13">
        <v>1</v>
      </c>
      <c r="AZ131" s="13">
        <v>0.7</v>
      </c>
      <c r="BA131" s="105">
        <f t="shared" ref="BA131:BA194" si="152">P131*AL131*AV131</f>
        <v>7.9800000000000013</v>
      </c>
      <c r="BB131" s="13">
        <f t="shared" ref="BB131:BB194" si="153">P131*AM131*AW131</f>
        <v>35.909999999999997</v>
      </c>
      <c r="BC131" s="13">
        <f t="shared" ref="BC131:BC194" si="154">P131*AN131*AX131</f>
        <v>38.902499999999996</v>
      </c>
      <c r="BD131" s="13">
        <f t="shared" ref="BD131:BD194" si="155">P131*AO131*AY131</f>
        <v>9.9750000000000014</v>
      </c>
      <c r="BE131" s="13">
        <f t="shared" ref="BE131:BE194" si="156">P131*AP131*AZ131</f>
        <v>6.9825000000000008</v>
      </c>
      <c r="BF131" s="88">
        <f t="shared" ref="BF131:BF194" si="157">AQ131/BA131</f>
        <v>11.290726817042605</v>
      </c>
      <c r="BG131" s="88">
        <f t="shared" ref="BG131:BG194" si="158">AR131/BB131</f>
        <v>7.5271512113617387</v>
      </c>
      <c r="BH131" s="88">
        <f t="shared" ref="BH131:BH194" si="159">AS131/BC131</f>
        <v>6.9481395797185277</v>
      </c>
      <c r="BI131" s="88">
        <f t="shared" ref="BI131:BI194" si="160">AT131/BD131</f>
        <v>9.0325814536340854</v>
      </c>
      <c r="BJ131" s="88">
        <f t="shared" ref="BJ131:BJ194" si="161">AU131/BE131</f>
        <v>12.903687790905837</v>
      </c>
      <c r="BK131" s="105">
        <f t="shared" ref="BK131:BK194" si="162">1/BF131</f>
        <v>8.856825749167592E-2</v>
      </c>
      <c r="BL131" s="105">
        <f t="shared" ref="BL131:BL194" si="163">1/BG131</f>
        <v>0.13285238623751386</v>
      </c>
      <c r="BM131" s="105">
        <f t="shared" ref="BM131:BM194" si="164">1/BH131</f>
        <v>0.14392341842397335</v>
      </c>
      <c r="BN131" s="105">
        <f t="shared" ref="BN131:BN194" si="165">1/BI131</f>
        <v>0.1107103218645949</v>
      </c>
      <c r="BO131" s="105">
        <f t="shared" ref="BO131:BO194" si="166">1/BJ131</f>
        <v>7.7497225305216424E-2</v>
      </c>
      <c r="BP131" s="105">
        <f t="shared" ref="BP131:BP194" si="167">BK131+BL131+BM131+BN131+BO131</f>
        <v>0.55355160932297454</v>
      </c>
      <c r="BQ131" s="79">
        <f t="shared" ref="BQ131:BQ194" si="168">BK131/BP131</f>
        <v>0.15999999999999998</v>
      </c>
      <c r="BR131" s="79">
        <f t="shared" ref="BR131:BR194" si="169">BL131/BP131</f>
        <v>0.23999999999999994</v>
      </c>
      <c r="BS131" s="79">
        <f t="shared" ref="BS131:BS194" si="170">BM131/BP131</f>
        <v>0.25999999999999995</v>
      </c>
      <c r="BT131" s="79">
        <f t="shared" ref="BT131:BT194" si="171">BN131/BP131</f>
        <v>0.19999999999999998</v>
      </c>
      <c r="BU131" s="79">
        <f t="shared" ref="BU131:BU194" si="172">BO131/BP131</f>
        <v>0.13999999999999999</v>
      </c>
      <c r="BV131" s="90" t="str">
        <f t="array" aca="1" ref="BV131" ca="1">_xlfn.TEXTJOIN(" ",TRUE,
_xlfn.TEXTJOIN(":",TRUE,ROUND(BK131:BO131/MIN(IF(BK131:BO131&gt;0,BK131:BO131)),0)),
"|",
ROUND(SUM(BW131:CA131),0))</f>
        <v>1:2:2:1:1 | 345</v>
      </c>
      <c r="BW131" s="106">
        <f t="shared" ca="1" si="117"/>
        <v>55.199999999999989</v>
      </c>
      <c r="BX131" s="106">
        <f t="shared" ca="1" si="119"/>
        <v>82.799999999999983</v>
      </c>
      <c r="BY131" s="106">
        <f t="shared" ca="1" si="120"/>
        <v>89.699999999999989</v>
      </c>
      <c r="BZ131" s="106">
        <f t="shared" ca="1" si="121"/>
        <v>69</v>
      </c>
      <c r="CA131" s="106">
        <f t="shared" ca="1" si="118"/>
        <v>48.3</v>
      </c>
    </row>
    <row r="132" spans="1:79" x14ac:dyDescent="0.35">
      <c r="A132" s="25" t="s">
        <v>146</v>
      </c>
      <c r="B132" s="10" t="s">
        <v>321</v>
      </c>
      <c r="C132" s="10" t="s">
        <v>342</v>
      </c>
      <c r="D132" s="10" t="s">
        <v>346</v>
      </c>
      <c r="E132" s="11">
        <v>45920</v>
      </c>
      <c r="F132" s="17">
        <v>45892</v>
      </c>
      <c r="G132" s="14">
        <f t="shared" ca="1" si="122"/>
        <v>207</v>
      </c>
      <c r="H132" s="17">
        <v>799</v>
      </c>
      <c r="I132" s="17">
        <v>410</v>
      </c>
      <c r="J132" s="75">
        <f t="shared" si="123"/>
        <v>1103</v>
      </c>
      <c r="K132" s="17">
        <v>1300</v>
      </c>
      <c r="L132" s="85">
        <v>197</v>
      </c>
      <c r="M132" s="86">
        <f t="shared" ca="1" si="124"/>
        <v>0.95169082125603865</v>
      </c>
      <c r="N132" s="86">
        <f t="shared" si="125"/>
        <v>0.80451009251471861</v>
      </c>
      <c r="O132" s="86">
        <f t="shared" si="126"/>
        <v>0.60060975609756095</v>
      </c>
      <c r="P132" s="87">
        <f t="shared" si="127"/>
        <v>49.25</v>
      </c>
      <c r="Q132" s="104">
        <f t="shared" si="128"/>
        <v>22.395939086294415</v>
      </c>
      <c r="R132" s="88">
        <f t="shared" si="129"/>
        <v>48.685857321652065</v>
      </c>
      <c r="S132" s="88">
        <f t="shared" si="130"/>
        <v>15.153846153846153</v>
      </c>
      <c r="T132" s="13">
        <f t="shared" si="131"/>
        <v>1</v>
      </c>
      <c r="U132" s="13">
        <f t="shared" si="132"/>
        <v>1</v>
      </c>
      <c r="V132" s="13">
        <f t="shared" si="133"/>
        <v>2</v>
      </c>
      <c r="W132" s="13">
        <f t="shared" ca="1" si="134"/>
        <v>3</v>
      </c>
      <c r="X132" s="13">
        <f t="shared" ca="1" si="135"/>
        <v>7</v>
      </c>
      <c r="Y132" s="81" t="str">
        <f t="shared" ca="1" si="136"/>
        <v>MONITOR</v>
      </c>
      <c r="Z132" s="13">
        <v>14</v>
      </c>
      <c r="AA132" s="75">
        <v>46059</v>
      </c>
      <c r="AB132" s="75">
        <f t="shared" si="137"/>
        <v>45920</v>
      </c>
      <c r="AC132" s="88">
        <f t="shared" si="138"/>
        <v>19.857142857142858</v>
      </c>
      <c r="AD132" s="89" t="str">
        <f t="shared" ca="1" si="139"/>
        <v>STABLE</v>
      </c>
      <c r="AE132" s="89" t="str">
        <f t="shared" si="140"/>
        <v>SLOW SELLING</v>
      </c>
      <c r="AF132" s="89" t="str">
        <f t="shared" si="141"/>
        <v>AT RISK</v>
      </c>
      <c r="AG132" s="89" t="str">
        <f t="shared" si="142"/>
        <v>FEASIBLE</v>
      </c>
      <c r="AH132" s="81" t="str">
        <f t="shared" ca="1" si="143"/>
        <v>MONITOR</v>
      </c>
      <c r="AI132" s="75">
        <f t="shared" ca="1" si="144"/>
        <v>0</v>
      </c>
      <c r="AJ132" s="75">
        <f t="shared" ca="1" si="145"/>
        <v>-1103</v>
      </c>
      <c r="AK132" s="13">
        <f t="shared" ca="1" si="146"/>
        <v>-1324</v>
      </c>
      <c r="AL132" s="79">
        <v>0.1</v>
      </c>
      <c r="AM132" s="79">
        <v>0.3</v>
      </c>
      <c r="AN132" s="79">
        <v>0.3</v>
      </c>
      <c r="AO132" s="79">
        <v>0.1</v>
      </c>
      <c r="AP132" s="79">
        <v>0.1</v>
      </c>
      <c r="AQ132" s="75">
        <f t="shared" si="147"/>
        <v>110.30000000000001</v>
      </c>
      <c r="AR132" s="75">
        <f t="shared" si="148"/>
        <v>330.9</v>
      </c>
      <c r="AS132" s="75">
        <f t="shared" si="149"/>
        <v>330.9</v>
      </c>
      <c r="AT132" s="75">
        <f t="shared" si="150"/>
        <v>110.30000000000001</v>
      </c>
      <c r="AU132" s="75">
        <f t="shared" si="151"/>
        <v>110.30000000000001</v>
      </c>
      <c r="AV132" s="13">
        <v>0.8</v>
      </c>
      <c r="AW132" s="13">
        <v>1.2</v>
      </c>
      <c r="AX132" s="13">
        <v>1.3</v>
      </c>
      <c r="AY132" s="13">
        <v>1</v>
      </c>
      <c r="AZ132" s="13">
        <v>0.7</v>
      </c>
      <c r="BA132" s="105">
        <f t="shared" si="152"/>
        <v>3.9400000000000008</v>
      </c>
      <c r="BB132" s="13">
        <f t="shared" si="153"/>
        <v>17.729999999999997</v>
      </c>
      <c r="BC132" s="13">
        <f t="shared" si="154"/>
        <v>19.2075</v>
      </c>
      <c r="BD132" s="13">
        <f t="shared" si="155"/>
        <v>4.9250000000000007</v>
      </c>
      <c r="BE132" s="13">
        <f t="shared" si="156"/>
        <v>3.4475000000000002</v>
      </c>
      <c r="BF132" s="88">
        <f t="shared" si="157"/>
        <v>27.994923857868017</v>
      </c>
      <c r="BG132" s="88">
        <f t="shared" si="158"/>
        <v>18.663282571912017</v>
      </c>
      <c r="BH132" s="88">
        <f t="shared" si="159"/>
        <v>17.227645450995706</v>
      </c>
      <c r="BI132" s="88">
        <f t="shared" si="160"/>
        <v>22.395939086294415</v>
      </c>
      <c r="BJ132" s="88">
        <f t="shared" si="161"/>
        <v>31.994198694706309</v>
      </c>
      <c r="BK132" s="105">
        <f t="shared" si="162"/>
        <v>3.5720761559383502E-2</v>
      </c>
      <c r="BL132" s="105">
        <f t="shared" si="163"/>
        <v>5.3581142339075238E-2</v>
      </c>
      <c r="BM132" s="105">
        <f t="shared" si="164"/>
        <v>5.8046237533998186E-2</v>
      </c>
      <c r="BN132" s="105">
        <f t="shared" si="165"/>
        <v>4.4650951949229377E-2</v>
      </c>
      <c r="BO132" s="105">
        <f t="shared" si="166"/>
        <v>3.125566636446056E-2</v>
      </c>
      <c r="BP132" s="105">
        <f t="shared" si="167"/>
        <v>0.22325475974614686</v>
      </c>
      <c r="BQ132" s="79">
        <f t="shared" si="168"/>
        <v>0.16</v>
      </c>
      <c r="BR132" s="79">
        <f t="shared" si="169"/>
        <v>0.23999999999999996</v>
      </c>
      <c r="BS132" s="79">
        <f t="shared" si="170"/>
        <v>0.26</v>
      </c>
      <c r="BT132" s="79">
        <f t="shared" si="171"/>
        <v>0.2</v>
      </c>
      <c r="BU132" s="79">
        <f t="shared" si="172"/>
        <v>0.13999999999999999</v>
      </c>
      <c r="BV132" s="90" t="str">
        <f t="array" aca="1" ref="BV132" ca="1">_xlfn.TEXTJOIN(" ",TRUE,
_xlfn.TEXTJOIN(":",TRUE,ROUND(BK132:BO132/MIN(IF(BK132:BO132&gt;0,BK132:BO132)),0)),
"|",
ROUND(SUM(BW132:CA132),0))</f>
        <v>1:2:2:1:1 | -1324</v>
      </c>
      <c r="BW132" s="106">
        <f t="shared" ca="1" si="117"/>
        <v>-211.84</v>
      </c>
      <c r="BX132" s="106">
        <f t="shared" ca="1" si="119"/>
        <v>-317.75999999999993</v>
      </c>
      <c r="BY132" s="106">
        <f t="shared" ca="1" si="120"/>
        <v>-344.24</v>
      </c>
      <c r="BZ132" s="106">
        <f t="shared" ca="1" si="121"/>
        <v>-264.8</v>
      </c>
      <c r="CA132" s="106">
        <f t="shared" ca="1" si="118"/>
        <v>-185.35999999999999</v>
      </c>
    </row>
    <row r="133" spans="1:79" x14ac:dyDescent="0.35">
      <c r="A133" s="25" t="s">
        <v>147</v>
      </c>
      <c r="B133" s="10" t="s">
        <v>321</v>
      </c>
      <c r="C133" s="10" t="s">
        <v>342</v>
      </c>
      <c r="D133" s="10" t="s">
        <v>346</v>
      </c>
      <c r="E133" s="11">
        <v>45892</v>
      </c>
      <c r="F133" s="17">
        <v>45892</v>
      </c>
      <c r="G133" s="14">
        <f t="shared" ca="1" si="122"/>
        <v>207</v>
      </c>
      <c r="H133" s="17">
        <v>799</v>
      </c>
      <c r="I133" s="17">
        <v>410</v>
      </c>
      <c r="J133" s="75">
        <f t="shared" si="123"/>
        <v>978</v>
      </c>
      <c r="K133" s="17">
        <v>1300</v>
      </c>
      <c r="L133" s="85">
        <v>322</v>
      </c>
      <c r="M133" s="86">
        <f t="shared" ca="1" si="124"/>
        <v>1.5555555555555556</v>
      </c>
      <c r="N133" s="86">
        <f t="shared" si="125"/>
        <v>0.80451009251471861</v>
      </c>
      <c r="O133" s="86">
        <f t="shared" si="126"/>
        <v>0.98170731707317072</v>
      </c>
      <c r="P133" s="87">
        <f t="shared" si="127"/>
        <v>80.5</v>
      </c>
      <c r="Q133" s="104">
        <f t="shared" si="128"/>
        <v>12.149068322981366</v>
      </c>
      <c r="R133" s="88">
        <f t="shared" si="129"/>
        <v>48.685857321652065</v>
      </c>
      <c r="S133" s="88">
        <f t="shared" si="130"/>
        <v>24.76923076923077</v>
      </c>
      <c r="T133" s="13">
        <f t="shared" si="131"/>
        <v>3</v>
      </c>
      <c r="U133" s="13">
        <f t="shared" si="132"/>
        <v>1</v>
      </c>
      <c r="V133" s="13">
        <f t="shared" si="133"/>
        <v>2</v>
      </c>
      <c r="W133" s="13">
        <f t="shared" ca="1" si="134"/>
        <v>3</v>
      </c>
      <c r="X133" s="13">
        <f t="shared" ca="1" si="135"/>
        <v>9</v>
      </c>
      <c r="Y133" s="81" t="str">
        <f t="shared" ca="1" si="136"/>
        <v>RE-BUY</v>
      </c>
      <c r="Z133" s="13">
        <v>14</v>
      </c>
      <c r="AA133" s="75">
        <v>46059</v>
      </c>
      <c r="AB133" s="75">
        <f t="shared" si="137"/>
        <v>45920</v>
      </c>
      <c r="AC133" s="88">
        <f t="shared" si="138"/>
        <v>19.857142857142858</v>
      </c>
      <c r="AD133" s="89" t="str">
        <f t="shared" ca="1" si="139"/>
        <v>STABLE</v>
      </c>
      <c r="AE133" s="89" t="str">
        <f t="shared" si="140"/>
        <v>FAST SELLING</v>
      </c>
      <c r="AF133" s="89" t="str">
        <f t="shared" si="141"/>
        <v>AT RISK</v>
      </c>
      <c r="AG133" s="89" t="str">
        <f t="shared" si="142"/>
        <v>FEASIBLE</v>
      </c>
      <c r="AH133" s="81" t="str">
        <f t="shared" ca="1" si="143"/>
        <v>IMMEDIATE REBUY</v>
      </c>
      <c r="AI133" s="75">
        <f t="shared" ca="1" si="144"/>
        <v>959.09999999999991</v>
      </c>
      <c r="AJ133" s="75">
        <f t="shared" ca="1" si="145"/>
        <v>-18.900000000000091</v>
      </c>
      <c r="AK133" s="13">
        <f t="shared" ca="1" si="146"/>
        <v>-23</v>
      </c>
      <c r="AL133" s="79">
        <v>0.1</v>
      </c>
      <c r="AM133" s="79">
        <v>0.3</v>
      </c>
      <c r="AN133" s="79">
        <v>0.3</v>
      </c>
      <c r="AO133" s="79">
        <v>0.1</v>
      </c>
      <c r="AP133" s="79">
        <v>0.1</v>
      </c>
      <c r="AQ133" s="75">
        <f t="shared" si="147"/>
        <v>97.800000000000011</v>
      </c>
      <c r="AR133" s="75">
        <f t="shared" si="148"/>
        <v>293.39999999999998</v>
      </c>
      <c r="AS133" s="75">
        <f t="shared" si="149"/>
        <v>293.39999999999998</v>
      </c>
      <c r="AT133" s="75">
        <f t="shared" si="150"/>
        <v>97.800000000000011</v>
      </c>
      <c r="AU133" s="75">
        <f t="shared" si="151"/>
        <v>97.800000000000011</v>
      </c>
      <c r="AV133" s="13">
        <v>0.8</v>
      </c>
      <c r="AW133" s="13">
        <v>1.2</v>
      </c>
      <c r="AX133" s="13">
        <v>1.3</v>
      </c>
      <c r="AY133" s="13">
        <v>1</v>
      </c>
      <c r="AZ133" s="13">
        <v>0.7</v>
      </c>
      <c r="BA133" s="105">
        <f t="shared" si="152"/>
        <v>6.4400000000000013</v>
      </c>
      <c r="BB133" s="13">
        <f t="shared" si="153"/>
        <v>28.979999999999997</v>
      </c>
      <c r="BC133" s="13">
        <f t="shared" si="154"/>
        <v>31.395</v>
      </c>
      <c r="BD133" s="13">
        <f t="shared" si="155"/>
        <v>8.0500000000000007</v>
      </c>
      <c r="BE133" s="13">
        <f t="shared" si="156"/>
        <v>5.6349999999999998</v>
      </c>
      <c r="BF133" s="88">
        <f t="shared" si="157"/>
        <v>15.186335403726707</v>
      </c>
      <c r="BG133" s="88">
        <f t="shared" si="158"/>
        <v>10.124223602484472</v>
      </c>
      <c r="BH133" s="88">
        <f t="shared" si="159"/>
        <v>9.3454371715241269</v>
      </c>
      <c r="BI133" s="88">
        <f t="shared" si="160"/>
        <v>12.149068322981368</v>
      </c>
      <c r="BJ133" s="88">
        <f t="shared" si="161"/>
        <v>17.355811889973385</v>
      </c>
      <c r="BK133" s="105">
        <f t="shared" si="162"/>
        <v>6.5848670756646216E-2</v>
      </c>
      <c r="BL133" s="105">
        <f t="shared" si="163"/>
        <v>9.8773006134969324E-2</v>
      </c>
      <c r="BM133" s="105">
        <f t="shared" si="164"/>
        <v>0.10700408997955012</v>
      </c>
      <c r="BN133" s="105">
        <f t="shared" si="165"/>
        <v>8.2310838445807763E-2</v>
      </c>
      <c r="BO133" s="105">
        <f t="shared" si="166"/>
        <v>5.7617586912065429E-2</v>
      </c>
      <c r="BP133" s="105">
        <f t="shared" si="167"/>
        <v>0.41155419222903888</v>
      </c>
      <c r="BQ133" s="79">
        <f t="shared" si="168"/>
        <v>0.15999999999999998</v>
      </c>
      <c r="BR133" s="79">
        <f t="shared" si="169"/>
        <v>0.24</v>
      </c>
      <c r="BS133" s="79">
        <f t="shared" si="170"/>
        <v>0.26</v>
      </c>
      <c r="BT133" s="79">
        <f t="shared" si="171"/>
        <v>0.19999999999999996</v>
      </c>
      <c r="BU133" s="79">
        <f t="shared" si="172"/>
        <v>0.13999999999999996</v>
      </c>
      <c r="BV133" s="90" t="str">
        <f t="array" aca="1" ref="BV133" ca="1">_xlfn.TEXTJOIN(" ",TRUE,
_xlfn.TEXTJOIN(":",TRUE,ROUND(BK133:BO133/MIN(IF(BK133:BO133&gt;0,BK133:BO133)),0)),
"|",
ROUND(SUM(BW133:CA133),0))</f>
        <v>1:2:2:1:1 | -23</v>
      </c>
      <c r="BW133" s="106">
        <f t="shared" ca="1" si="117"/>
        <v>-3.6799999999999993</v>
      </c>
      <c r="BX133" s="106">
        <f t="shared" ca="1" si="119"/>
        <v>-5.52</v>
      </c>
      <c r="BY133" s="106">
        <f t="shared" ca="1" si="120"/>
        <v>-5.98</v>
      </c>
      <c r="BZ133" s="106">
        <f t="shared" ca="1" si="121"/>
        <v>-4.5999999999999988</v>
      </c>
      <c r="CA133" s="106">
        <f t="shared" ca="1" si="118"/>
        <v>-3.2199999999999989</v>
      </c>
    </row>
    <row r="134" spans="1:79" x14ac:dyDescent="0.35">
      <c r="A134" s="25" t="s">
        <v>148</v>
      </c>
      <c r="B134" s="10" t="s">
        <v>321</v>
      </c>
      <c r="C134" s="10" t="s">
        <v>342</v>
      </c>
      <c r="D134" s="10" t="s">
        <v>346</v>
      </c>
      <c r="E134" s="11">
        <v>45892</v>
      </c>
      <c r="F134" s="17">
        <v>45892</v>
      </c>
      <c r="G134" s="14">
        <f t="shared" ca="1" si="122"/>
        <v>207</v>
      </c>
      <c r="H134" s="17">
        <v>799</v>
      </c>
      <c r="I134" s="17">
        <v>410</v>
      </c>
      <c r="J134" s="75">
        <f t="shared" si="123"/>
        <v>943</v>
      </c>
      <c r="K134" s="17">
        <v>1100</v>
      </c>
      <c r="L134" s="85">
        <v>157</v>
      </c>
      <c r="M134" s="86">
        <f t="shared" ca="1" si="124"/>
        <v>0.75845410628019327</v>
      </c>
      <c r="N134" s="86">
        <f t="shared" si="125"/>
        <v>0.80451009251471861</v>
      </c>
      <c r="O134" s="86">
        <f t="shared" si="126"/>
        <v>0.47865853658536583</v>
      </c>
      <c r="P134" s="87">
        <f t="shared" si="127"/>
        <v>39.25</v>
      </c>
      <c r="Q134" s="104">
        <f t="shared" si="128"/>
        <v>24.02547770700637</v>
      </c>
      <c r="R134" s="88">
        <f t="shared" si="129"/>
        <v>48.685857321652065</v>
      </c>
      <c r="S134" s="88">
        <f t="shared" si="130"/>
        <v>14.272727272727273</v>
      </c>
      <c r="T134" s="13">
        <f t="shared" si="131"/>
        <v>1</v>
      </c>
      <c r="U134" s="13">
        <f t="shared" si="132"/>
        <v>1</v>
      </c>
      <c r="V134" s="13">
        <f t="shared" si="133"/>
        <v>2</v>
      </c>
      <c r="W134" s="13">
        <f t="shared" ca="1" si="134"/>
        <v>3</v>
      </c>
      <c r="X134" s="13">
        <f t="shared" ca="1" si="135"/>
        <v>7</v>
      </c>
      <c r="Y134" s="81" t="str">
        <f t="shared" ca="1" si="136"/>
        <v>MONITOR</v>
      </c>
      <c r="Z134" s="13">
        <v>14</v>
      </c>
      <c r="AA134" s="75">
        <v>46059</v>
      </c>
      <c r="AB134" s="75">
        <f t="shared" si="137"/>
        <v>45920</v>
      </c>
      <c r="AC134" s="88">
        <f t="shared" si="138"/>
        <v>19.857142857142858</v>
      </c>
      <c r="AD134" s="89" t="str">
        <f t="shared" ca="1" si="139"/>
        <v>STABLE</v>
      </c>
      <c r="AE134" s="89" t="str">
        <f t="shared" si="140"/>
        <v>SLOW SELLING</v>
      </c>
      <c r="AF134" s="89" t="str">
        <f t="shared" si="141"/>
        <v>AT RISK</v>
      </c>
      <c r="AG134" s="89" t="str">
        <f t="shared" si="142"/>
        <v>FEASIBLE</v>
      </c>
      <c r="AH134" s="81" t="str">
        <f t="shared" ca="1" si="143"/>
        <v>MONITOR</v>
      </c>
      <c r="AI134" s="75">
        <f t="shared" ca="1" si="144"/>
        <v>0</v>
      </c>
      <c r="AJ134" s="75">
        <f t="shared" ca="1" si="145"/>
        <v>-943</v>
      </c>
      <c r="AK134" s="13">
        <f t="shared" ca="1" si="146"/>
        <v>-1132</v>
      </c>
      <c r="AL134" s="79">
        <v>0.1</v>
      </c>
      <c r="AM134" s="79">
        <v>0.3</v>
      </c>
      <c r="AN134" s="79">
        <v>0.3</v>
      </c>
      <c r="AO134" s="79">
        <v>0.1</v>
      </c>
      <c r="AP134" s="79">
        <v>0.1</v>
      </c>
      <c r="AQ134" s="75">
        <f t="shared" si="147"/>
        <v>94.300000000000011</v>
      </c>
      <c r="AR134" s="75">
        <f t="shared" si="148"/>
        <v>282.89999999999998</v>
      </c>
      <c r="AS134" s="75">
        <f t="shared" si="149"/>
        <v>282.89999999999998</v>
      </c>
      <c r="AT134" s="75">
        <f t="shared" si="150"/>
        <v>94.300000000000011</v>
      </c>
      <c r="AU134" s="75">
        <f t="shared" si="151"/>
        <v>94.300000000000011</v>
      </c>
      <c r="AV134" s="13">
        <v>0.8</v>
      </c>
      <c r="AW134" s="13">
        <v>1.2</v>
      </c>
      <c r="AX134" s="13">
        <v>1.3</v>
      </c>
      <c r="AY134" s="13">
        <v>1</v>
      </c>
      <c r="AZ134" s="13">
        <v>0.7</v>
      </c>
      <c r="BA134" s="105">
        <f t="shared" si="152"/>
        <v>3.1400000000000006</v>
      </c>
      <c r="BB134" s="13">
        <f t="shared" si="153"/>
        <v>14.13</v>
      </c>
      <c r="BC134" s="13">
        <f t="shared" si="154"/>
        <v>15.307500000000001</v>
      </c>
      <c r="BD134" s="13">
        <f t="shared" si="155"/>
        <v>3.9250000000000003</v>
      </c>
      <c r="BE134" s="13">
        <f t="shared" si="156"/>
        <v>2.7475000000000001</v>
      </c>
      <c r="BF134" s="88">
        <f t="shared" si="157"/>
        <v>30.03184713375796</v>
      </c>
      <c r="BG134" s="88">
        <f t="shared" si="158"/>
        <v>20.021231422505306</v>
      </c>
      <c r="BH134" s="88">
        <f t="shared" si="159"/>
        <v>18.481136697697206</v>
      </c>
      <c r="BI134" s="88">
        <f t="shared" si="160"/>
        <v>24.02547770700637</v>
      </c>
      <c r="BJ134" s="88">
        <f t="shared" si="161"/>
        <v>34.322111010009102</v>
      </c>
      <c r="BK134" s="105">
        <f t="shared" si="162"/>
        <v>3.329798515376458E-2</v>
      </c>
      <c r="BL134" s="105">
        <f t="shared" si="163"/>
        <v>4.994697773064688E-2</v>
      </c>
      <c r="BM134" s="105">
        <f t="shared" si="164"/>
        <v>5.4109225874867446E-2</v>
      </c>
      <c r="BN134" s="105">
        <f t="shared" si="165"/>
        <v>4.1622481442205726E-2</v>
      </c>
      <c r="BO134" s="105">
        <f t="shared" si="166"/>
        <v>2.9135737009544006E-2</v>
      </c>
      <c r="BP134" s="105">
        <f t="shared" si="167"/>
        <v>0.20811240721102864</v>
      </c>
      <c r="BQ134" s="79">
        <f t="shared" si="168"/>
        <v>0.15999999999999998</v>
      </c>
      <c r="BR134" s="79">
        <f t="shared" si="169"/>
        <v>0.24000000000000002</v>
      </c>
      <c r="BS134" s="79">
        <f t="shared" si="170"/>
        <v>0.26</v>
      </c>
      <c r="BT134" s="79">
        <f t="shared" si="171"/>
        <v>0.19999999999999998</v>
      </c>
      <c r="BU134" s="79">
        <f t="shared" si="172"/>
        <v>0.13999999999999999</v>
      </c>
      <c r="BV134" s="90" t="str">
        <f t="array" aca="1" ref="BV134" ca="1">_xlfn.TEXTJOIN(" ",TRUE,
_xlfn.TEXTJOIN(":",TRUE,ROUND(BK134:BO134/MIN(IF(BK134:BO134&gt;0,BK134:BO134)),0)),
"|",
ROUND(SUM(BW134:CA134),0))</f>
        <v>1:2:2:1:1 | -1132</v>
      </c>
      <c r="BW134" s="106">
        <f t="shared" ca="1" si="117"/>
        <v>-181.11999999999998</v>
      </c>
      <c r="BX134" s="106">
        <f t="shared" ca="1" si="119"/>
        <v>-271.68</v>
      </c>
      <c r="BY134" s="106">
        <f t="shared" ca="1" si="120"/>
        <v>-294.32</v>
      </c>
      <c r="BZ134" s="106">
        <f t="shared" ca="1" si="121"/>
        <v>-226.39999999999998</v>
      </c>
      <c r="CA134" s="106">
        <f t="shared" ca="1" si="118"/>
        <v>-158.47999999999999</v>
      </c>
    </row>
    <row r="135" spans="1:79" x14ac:dyDescent="0.35">
      <c r="A135" s="25" t="s">
        <v>149</v>
      </c>
      <c r="B135" s="10" t="s">
        <v>321</v>
      </c>
      <c r="C135" s="10" t="s">
        <v>342</v>
      </c>
      <c r="D135" s="10" t="s">
        <v>346</v>
      </c>
      <c r="E135" s="11">
        <v>45864</v>
      </c>
      <c r="F135" s="17">
        <v>45892</v>
      </c>
      <c r="G135" s="14">
        <f t="shared" ca="1" si="122"/>
        <v>207</v>
      </c>
      <c r="H135" s="17">
        <v>799</v>
      </c>
      <c r="I135" s="17">
        <v>395</v>
      </c>
      <c r="J135" s="75">
        <f t="shared" si="123"/>
        <v>674</v>
      </c>
      <c r="K135" s="17">
        <v>750</v>
      </c>
      <c r="L135" s="85">
        <v>76</v>
      </c>
      <c r="M135" s="86">
        <f t="shared" ca="1" si="124"/>
        <v>0.3671497584541063</v>
      </c>
      <c r="N135" s="86">
        <f t="shared" si="125"/>
        <v>0.80451009251471861</v>
      </c>
      <c r="O135" s="86">
        <f t="shared" si="126"/>
        <v>0.23170731707317074</v>
      </c>
      <c r="P135" s="87">
        <f t="shared" si="127"/>
        <v>19</v>
      </c>
      <c r="Q135" s="104">
        <f t="shared" si="128"/>
        <v>35.473684210526315</v>
      </c>
      <c r="R135" s="88">
        <f t="shared" si="129"/>
        <v>50.563204005006256</v>
      </c>
      <c r="S135" s="88">
        <f t="shared" si="130"/>
        <v>10.133333333333333</v>
      </c>
      <c r="T135" s="13">
        <f t="shared" si="131"/>
        <v>1</v>
      </c>
      <c r="U135" s="13">
        <f t="shared" si="132"/>
        <v>1</v>
      </c>
      <c r="V135" s="13">
        <f t="shared" si="133"/>
        <v>2</v>
      </c>
      <c r="W135" s="13">
        <f t="shared" ca="1" si="134"/>
        <v>3</v>
      </c>
      <c r="X135" s="13">
        <f t="shared" ca="1" si="135"/>
        <v>7</v>
      </c>
      <c r="Y135" s="81" t="str">
        <f t="shared" ca="1" si="136"/>
        <v>MONITOR</v>
      </c>
      <c r="Z135" s="13">
        <v>14</v>
      </c>
      <c r="AA135" s="75">
        <v>46059</v>
      </c>
      <c r="AB135" s="75">
        <f t="shared" si="137"/>
        <v>45920</v>
      </c>
      <c r="AC135" s="88">
        <f t="shared" si="138"/>
        <v>19.857142857142858</v>
      </c>
      <c r="AD135" s="89" t="str">
        <f t="shared" ca="1" si="139"/>
        <v>STABLE</v>
      </c>
      <c r="AE135" s="89" t="str">
        <f t="shared" si="140"/>
        <v>SLOW SELLING</v>
      </c>
      <c r="AF135" s="89" t="str">
        <f t="shared" si="141"/>
        <v>AT RISK</v>
      </c>
      <c r="AG135" s="89" t="str">
        <f t="shared" si="142"/>
        <v>FEASIBLE</v>
      </c>
      <c r="AH135" s="81" t="str">
        <f t="shared" ca="1" si="143"/>
        <v>MONITOR</v>
      </c>
      <c r="AI135" s="75">
        <f t="shared" ca="1" si="144"/>
        <v>0</v>
      </c>
      <c r="AJ135" s="75">
        <f t="shared" ca="1" si="145"/>
        <v>-674</v>
      </c>
      <c r="AK135" s="13">
        <f t="shared" ca="1" si="146"/>
        <v>-809</v>
      </c>
      <c r="AL135" s="79">
        <v>0.1</v>
      </c>
      <c r="AM135" s="79">
        <v>0.3</v>
      </c>
      <c r="AN135" s="79">
        <v>0.3</v>
      </c>
      <c r="AO135" s="79">
        <v>0.1</v>
      </c>
      <c r="AP135" s="79">
        <v>0.1</v>
      </c>
      <c r="AQ135" s="75">
        <f t="shared" si="147"/>
        <v>67.400000000000006</v>
      </c>
      <c r="AR135" s="75">
        <f t="shared" si="148"/>
        <v>202.2</v>
      </c>
      <c r="AS135" s="75">
        <f t="shared" si="149"/>
        <v>202.2</v>
      </c>
      <c r="AT135" s="75">
        <f t="shared" si="150"/>
        <v>67.400000000000006</v>
      </c>
      <c r="AU135" s="75">
        <f t="shared" si="151"/>
        <v>67.400000000000006</v>
      </c>
      <c r="AV135" s="13">
        <v>0.8</v>
      </c>
      <c r="AW135" s="13">
        <v>1.2</v>
      </c>
      <c r="AX135" s="13">
        <v>1.3</v>
      </c>
      <c r="AY135" s="13">
        <v>1</v>
      </c>
      <c r="AZ135" s="13">
        <v>0.7</v>
      </c>
      <c r="BA135" s="105">
        <f t="shared" si="152"/>
        <v>1.5200000000000002</v>
      </c>
      <c r="BB135" s="13">
        <f t="shared" si="153"/>
        <v>6.84</v>
      </c>
      <c r="BC135" s="13">
        <f t="shared" si="154"/>
        <v>7.41</v>
      </c>
      <c r="BD135" s="13">
        <f t="shared" si="155"/>
        <v>1.9000000000000001</v>
      </c>
      <c r="BE135" s="13">
        <f t="shared" si="156"/>
        <v>1.33</v>
      </c>
      <c r="BF135" s="88">
        <f t="shared" si="157"/>
        <v>44.34210526315789</v>
      </c>
      <c r="BG135" s="88">
        <f t="shared" si="158"/>
        <v>29.561403508771928</v>
      </c>
      <c r="BH135" s="88">
        <f t="shared" si="159"/>
        <v>27.287449392712549</v>
      </c>
      <c r="BI135" s="88">
        <f t="shared" si="160"/>
        <v>35.473684210526315</v>
      </c>
      <c r="BJ135" s="88">
        <f t="shared" si="161"/>
        <v>50.676691729323309</v>
      </c>
      <c r="BK135" s="105">
        <f t="shared" si="162"/>
        <v>2.2551928783382792E-2</v>
      </c>
      <c r="BL135" s="105">
        <f t="shared" si="163"/>
        <v>3.3827893175074189E-2</v>
      </c>
      <c r="BM135" s="105">
        <f t="shared" si="164"/>
        <v>3.6646884272997032E-2</v>
      </c>
      <c r="BN135" s="105">
        <f t="shared" si="165"/>
        <v>2.8189910979228489E-2</v>
      </c>
      <c r="BO135" s="105">
        <f t="shared" si="166"/>
        <v>1.9732937685459941E-2</v>
      </c>
      <c r="BP135" s="105">
        <f t="shared" si="167"/>
        <v>0.14094955489614244</v>
      </c>
      <c r="BQ135" s="79">
        <f t="shared" si="168"/>
        <v>0.16</v>
      </c>
      <c r="BR135" s="79">
        <f t="shared" si="169"/>
        <v>0.24000000000000002</v>
      </c>
      <c r="BS135" s="79">
        <f t="shared" si="170"/>
        <v>0.25999999999999995</v>
      </c>
      <c r="BT135" s="79">
        <f t="shared" si="171"/>
        <v>0.2</v>
      </c>
      <c r="BU135" s="79">
        <f t="shared" si="172"/>
        <v>0.13999999999999999</v>
      </c>
      <c r="BV135" s="90" t="str">
        <f t="array" aca="1" ref="BV135" ca="1">_xlfn.TEXTJOIN(" ",TRUE,
_xlfn.TEXTJOIN(":",TRUE,ROUND(BK135:BO135/MIN(IF(BK135:BO135&gt;0,BK135:BO135)),0)),
"|",
ROUND(SUM(BW135:CA135),0))</f>
        <v>1:2:2:1:1 | -809</v>
      </c>
      <c r="BW135" s="106">
        <f t="shared" ca="1" si="117"/>
        <v>-129.44</v>
      </c>
      <c r="BX135" s="106">
        <f t="shared" ca="1" si="119"/>
        <v>-194.16000000000003</v>
      </c>
      <c r="BY135" s="106">
        <f t="shared" ca="1" si="120"/>
        <v>-210.33999999999997</v>
      </c>
      <c r="BZ135" s="106">
        <f t="shared" ca="1" si="121"/>
        <v>-161.80000000000001</v>
      </c>
      <c r="CA135" s="106">
        <f t="shared" ca="1" si="118"/>
        <v>-113.25999999999999</v>
      </c>
    </row>
    <row r="136" spans="1:79" x14ac:dyDescent="0.35">
      <c r="A136" s="25" t="s">
        <v>150</v>
      </c>
      <c r="B136" s="10" t="s">
        <v>321</v>
      </c>
      <c r="C136" s="10" t="s">
        <v>342</v>
      </c>
      <c r="D136" s="10" t="s">
        <v>346</v>
      </c>
      <c r="E136" s="11">
        <v>45864</v>
      </c>
      <c r="F136" s="17">
        <v>45892</v>
      </c>
      <c r="G136" s="14">
        <f t="shared" ca="1" si="122"/>
        <v>207</v>
      </c>
      <c r="H136" s="17">
        <v>799</v>
      </c>
      <c r="I136" s="17">
        <v>395</v>
      </c>
      <c r="J136" s="75">
        <f t="shared" si="123"/>
        <v>593</v>
      </c>
      <c r="K136" s="17">
        <v>750</v>
      </c>
      <c r="L136" s="85">
        <v>157</v>
      </c>
      <c r="M136" s="86">
        <f t="shared" ca="1" si="124"/>
        <v>0.75845410628019327</v>
      </c>
      <c r="N136" s="86">
        <f t="shared" si="125"/>
        <v>0.80451009251471861</v>
      </c>
      <c r="O136" s="86">
        <f t="shared" si="126"/>
        <v>0.47865853658536583</v>
      </c>
      <c r="P136" s="87">
        <f t="shared" si="127"/>
        <v>39.25</v>
      </c>
      <c r="Q136" s="104">
        <f t="shared" si="128"/>
        <v>15.108280254777069</v>
      </c>
      <c r="R136" s="88">
        <f t="shared" si="129"/>
        <v>50.563204005006256</v>
      </c>
      <c r="S136" s="88">
        <f t="shared" si="130"/>
        <v>20.933333333333334</v>
      </c>
      <c r="T136" s="13">
        <f t="shared" si="131"/>
        <v>1</v>
      </c>
      <c r="U136" s="13">
        <f t="shared" si="132"/>
        <v>1</v>
      </c>
      <c r="V136" s="13">
        <f t="shared" si="133"/>
        <v>2</v>
      </c>
      <c r="W136" s="13">
        <f t="shared" ca="1" si="134"/>
        <v>3</v>
      </c>
      <c r="X136" s="13">
        <f t="shared" ca="1" si="135"/>
        <v>7</v>
      </c>
      <c r="Y136" s="81" t="str">
        <f t="shared" ca="1" si="136"/>
        <v>MONITOR</v>
      </c>
      <c r="Z136" s="13">
        <v>14</v>
      </c>
      <c r="AA136" s="75">
        <v>46059</v>
      </c>
      <c r="AB136" s="75">
        <f t="shared" si="137"/>
        <v>45920</v>
      </c>
      <c r="AC136" s="88">
        <f t="shared" si="138"/>
        <v>19.857142857142858</v>
      </c>
      <c r="AD136" s="89" t="str">
        <f t="shared" ca="1" si="139"/>
        <v>STABLE</v>
      </c>
      <c r="AE136" s="89" t="str">
        <f t="shared" si="140"/>
        <v>SLOW SELLING</v>
      </c>
      <c r="AF136" s="89" t="str">
        <f t="shared" si="141"/>
        <v>AT RISK</v>
      </c>
      <c r="AG136" s="89" t="str">
        <f t="shared" si="142"/>
        <v>FEASIBLE</v>
      </c>
      <c r="AH136" s="81" t="str">
        <f t="shared" ca="1" si="143"/>
        <v>MONITOR</v>
      </c>
      <c r="AI136" s="75">
        <f t="shared" ca="1" si="144"/>
        <v>0</v>
      </c>
      <c r="AJ136" s="75">
        <f t="shared" ca="1" si="145"/>
        <v>-593</v>
      </c>
      <c r="AK136" s="13">
        <f t="shared" ca="1" si="146"/>
        <v>-712</v>
      </c>
      <c r="AL136" s="79">
        <v>0.1</v>
      </c>
      <c r="AM136" s="79">
        <v>0.3</v>
      </c>
      <c r="AN136" s="79">
        <v>0.3</v>
      </c>
      <c r="AO136" s="79">
        <v>0.1</v>
      </c>
      <c r="AP136" s="79">
        <v>0.1</v>
      </c>
      <c r="AQ136" s="75">
        <f t="shared" si="147"/>
        <v>59.300000000000004</v>
      </c>
      <c r="AR136" s="75">
        <f t="shared" si="148"/>
        <v>177.9</v>
      </c>
      <c r="AS136" s="75">
        <f t="shared" si="149"/>
        <v>177.9</v>
      </c>
      <c r="AT136" s="75">
        <f t="shared" si="150"/>
        <v>59.300000000000004</v>
      </c>
      <c r="AU136" s="75">
        <f t="shared" si="151"/>
        <v>59.300000000000004</v>
      </c>
      <c r="AV136" s="13">
        <v>0.8</v>
      </c>
      <c r="AW136" s="13">
        <v>1.2</v>
      </c>
      <c r="AX136" s="13">
        <v>1.3</v>
      </c>
      <c r="AY136" s="13">
        <v>1</v>
      </c>
      <c r="AZ136" s="13">
        <v>0.7</v>
      </c>
      <c r="BA136" s="105">
        <f t="shared" si="152"/>
        <v>3.1400000000000006</v>
      </c>
      <c r="BB136" s="13">
        <f t="shared" si="153"/>
        <v>14.13</v>
      </c>
      <c r="BC136" s="13">
        <f t="shared" si="154"/>
        <v>15.307500000000001</v>
      </c>
      <c r="BD136" s="13">
        <f t="shared" si="155"/>
        <v>3.9250000000000003</v>
      </c>
      <c r="BE136" s="13">
        <f t="shared" si="156"/>
        <v>2.7475000000000001</v>
      </c>
      <c r="BF136" s="88">
        <f t="shared" si="157"/>
        <v>18.885350318471335</v>
      </c>
      <c r="BG136" s="88">
        <f t="shared" si="158"/>
        <v>12.590233545647559</v>
      </c>
      <c r="BH136" s="88">
        <f t="shared" si="159"/>
        <v>11.621754042136207</v>
      </c>
      <c r="BI136" s="88">
        <f t="shared" si="160"/>
        <v>15.108280254777069</v>
      </c>
      <c r="BJ136" s="88">
        <f t="shared" si="161"/>
        <v>21.583257506824388</v>
      </c>
      <c r="BK136" s="105">
        <f t="shared" si="162"/>
        <v>5.2951096121416533E-2</v>
      </c>
      <c r="BL136" s="105">
        <f t="shared" si="163"/>
        <v>7.9426644182124792E-2</v>
      </c>
      <c r="BM136" s="105">
        <f t="shared" si="164"/>
        <v>8.6045531197301864E-2</v>
      </c>
      <c r="BN136" s="105">
        <f t="shared" si="165"/>
        <v>6.6188870151770662E-2</v>
      </c>
      <c r="BO136" s="105">
        <f t="shared" si="166"/>
        <v>4.6332209106239454E-2</v>
      </c>
      <c r="BP136" s="105">
        <f t="shared" si="167"/>
        <v>0.33094435075885331</v>
      </c>
      <c r="BQ136" s="79">
        <f t="shared" si="168"/>
        <v>0.16</v>
      </c>
      <c r="BR136" s="79">
        <f t="shared" si="169"/>
        <v>0.24</v>
      </c>
      <c r="BS136" s="79">
        <f t="shared" si="170"/>
        <v>0.26</v>
      </c>
      <c r="BT136" s="79">
        <f t="shared" si="171"/>
        <v>0.2</v>
      </c>
      <c r="BU136" s="79">
        <f t="shared" si="172"/>
        <v>0.13999999999999996</v>
      </c>
      <c r="BV136" s="90" t="str">
        <f t="array" aca="1" ref="BV136" ca="1">_xlfn.TEXTJOIN(" ",TRUE,
_xlfn.TEXTJOIN(":",TRUE,ROUND(BK136:BO136/MIN(IF(BK136:BO136&gt;0,BK136:BO136)),0)),
"|",
ROUND(SUM(BW136:CA136),0))</f>
        <v>1:2:2:1:1 | -712</v>
      </c>
      <c r="BW136" s="106">
        <f t="shared" ca="1" si="117"/>
        <v>-113.92</v>
      </c>
      <c r="BX136" s="106">
        <f t="shared" ca="1" si="119"/>
        <v>-170.88</v>
      </c>
      <c r="BY136" s="106">
        <f t="shared" ca="1" si="120"/>
        <v>-185.12</v>
      </c>
      <c r="BZ136" s="106">
        <f t="shared" ca="1" si="121"/>
        <v>-142.4</v>
      </c>
      <c r="CA136" s="106">
        <f t="shared" ca="1" si="118"/>
        <v>-99.679999999999964</v>
      </c>
    </row>
    <row r="137" spans="1:79" x14ac:dyDescent="0.35">
      <c r="A137" s="25" t="s">
        <v>151</v>
      </c>
      <c r="B137" s="10" t="s">
        <v>327</v>
      </c>
      <c r="C137" s="10" t="s">
        <v>342</v>
      </c>
      <c r="D137" s="10" t="s">
        <v>346</v>
      </c>
      <c r="E137" s="11">
        <v>45892</v>
      </c>
      <c r="F137" s="17">
        <v>45892</v>
      </c>
      <c r="G137" s="14">
        <f t="shared" ca="1" si="122"/>
        <v>207</v>
      </c>
      <c r="H137" s="17">
        <v>799</v>
      </c>
      <c r="I137" s="17">
        <v>400</v>
      </c>
      <c r="J137" s="75">
        <f t="shared" si="123"/>
        <v>687</v>
      </c>
      <c r="K137" s="17">
        <v>1050</v>
      </c>
      <c r="L137" s="85">
        <v>363</v>
      </c>
      <c r="M137" s="86">
        <f t="shared" ca="1" si="124"/>
        <v>1.7536231884057971</v>
      </c>
      <c r="N137" s="86">
        <f t="shared" si="125"/>
        <v>0.80451009251471861</v>
      </c>
      <c r="O137" s="86">
        <f t="shared" si="126"/>
        <v>1.1067073170731707</v>
      </c>
      <c r="P137" s="87">
        <f t="shared" si="127"/>
        <v>90.75</v>
      </c>
      <c r="Q137" s="104">
        <f t="shared" si="128"/>
        <v>7.5702479338842972</v>
      </c>
      <c r="R137" s="88">
        <f t="shared" si="129"/>
        <v>49.937421777221523</v>
      </c>
      <c r="S137" s="88">
        <f t="shared" si="130"/>
        <v>34.571428571428569</v>
      </c>
      <c r="T137" s="13">
        <f t="shared" si="131"/>
        <v>3</v>
      </c>
      <c r="U137" s="13">
        <f t="shared" si="132"/>
        <v>1</v>
      </c>
      <c r="V137" s="13">
        <f t="shared" si="133"/>
        <v>2</v>
      </c>
      <c r="W137" s="13">
        <f t="shared" ca="1" si="134"/>
        <v>3</v>
      </c>
      <c r="X137" s="13">
        <f t="shared" ca="1" si="135"/>
        <v>9</v>
      </c>
      <c r="Y137" s="81" t="str">
        <f t="shared" ca="1" si="136"/>
        <v>RE-BUY</v>
      </c>
      <c r="Z137" s="13">
        <v>14</v>
      </c>
      <c r="AA137" s="75">
        <v>46059</v>
      </c>
      <c r="AB137" s="75">
        <f t="shared" si="137"/>
        <v>45920</v>
      </c>
      <c r="AC137" s="88">
        <f t="shared" si="138"/>
        <v>19.857142857142858</v>
      </c>
      <c r="AD137" s="89" t="str">
        <f t="shared" ca="1" si="139"/>
        <v>STABLE</v>
      </c>
      <c r="AE137" s="89" t="str">
        <f t="shared" si="140"/>
        <v>FAST SELLING</v>
      </c>
      <c r="AF137" s="89" t="str">
        <f t="shared" si="141"/>
        <v>AT RISK</v>
      </c>
      <c r="AG137" s="89" t="str">
        <f t="shared" si="142"/>
        <v>FEASIBLE</v>
      </c>
      <c r="AH137" s="81" t="str">
        <f t="shared" ca="1" si="143"/>
        <v>IMMEDIATE REBUY</v>
      </c>
      <c r="AI137" s="75">
        <f t="shared" ca="1" si="144"/>
        <v>1081.2214285714285</v>
      </c>
      <c r="AJ137" s="75">
        <f t="shared" ca="1" si="145"/>
        <v>394.22142857142853</v>
      </c>
      <c r="AK137" s="13">
        <f t="shared" ca="1" si="146"/>
        <v>473</v>
      </c>
      <c r="AL137" s="79">
        <v>0.1</v>
      </c>
      <c r="AM137" s="79">
        <v>0.3</v>
      </c>
      <c r="AN137" s="79">
        <v>0.3</v>
      </c>
      <c r="AO137" s="79">
        <v>0.1</v>
      </c>
      <c r="AP137" s="79">
        <v>0.1</v>
      </c>
      <c r="AQ137" s="75">
        <f t="shared" si="147"/>
        <v>68.7</v>
      </c>
      <c r="AR137" s="75">
        <f t="shared" si="148"/>
        <v>206.1</v>
      </c>
      <c r="AS137" s="75">
        <f t="shared" si="149"/>
        <v>206.1</v>
      </c>
      <c r="AT137" s="75">
        <f t="shared" si="150"/>
        <v>68.7</v>
      </c>
      <c r="AU137" s="75">
        <f t="shared" si="151"/>
        <v>68.7</v>
      </c>
      <c r="AV137" s="13">
        <v>0.8</v>
      </c>
      <c r="AW137" s="13">
        <v>1.2</v>
      </c>
      <c r="AX137" s="13">
        <v>1.3</v>
      </c>
      <c r="AY137" s="13">
        <v>1</v>
      </c>
      <c r="AZ137" s="13">
        <v>0.7</v>
      </c>
      <c r="BA137" s="105">
        <f t="shared" si="152"/>
        <v>7.2600000000000016</v>
      </c>
      <c r="BB137" s="13">
        <f t="shared" si="153"/>
        <v>32.669999999999995</v>
      </c>
      <c r="BC137" s="13">
        <f t="shared" si="154"/>
        <v>35.392499999999998</v>
      </c>
      <c r="BD137" s="13">
        <f t="shared" si="155"/>
        <v>9.0750000000000011</v>
      </c>
      <c r="BE137" s="13">
        <f t="shared" si="156"/>
        <v>6.3525</v>
      </c>
      <c r="BF137" s="88">
        <f t="shared" si="157"/>
        <v>9.4628099173553704</v>
      </c>
      <c r="BG137" s="88">
        <f t="shared" si="158"/>
        <v>6.3085399449035817</v>
      </c>
      <c r="BH137" s="88">
        <f t="shared" si="159"/>
        <v>5.8232676414494602</v>
      </c>
      <c r="BI137" s="88">
        <f t="shared" si="160"/>
        <v>7.5702479338842972</v>
      </c>
      <c r="BJ137" s="88">
        <f t="shared" si="161"/>
        <v>10.814639905548997</v>
      </c>
      <c r="BK137" s="105">
        <f t="shared" si="162"/>
        <v>0.10567685589519653</v>
      </c>
      <c r="BL137" s="105">
        <f t="shared" si="163"/>
        <v>0.15851528384279476</v>
      </c>
      <c r="BM137" s="105">
        <f t="shared" si="164"/>
        <v>0.1717248908296943</v>
      </c>
      <c r="BN137" s="105">
        <f t="shared" si="165"/>
        <v>0.13209606986899564</v>
      </c>
      <c r="BO137" s="105">
        <f t="shared" si="166"/>
        <v>9.246724890829694E-2</v>
      </c>
      <c r="BP137" s="105">
        <f t="shared" si="167"/>
        <v>0.66048034934497823</v>
      </c>
      <c r="BQ137" s="79">
        <f t="shared" si="168"/>
        <v>0.16</v>
      </c>
      <c r="BR137" s="79">
        <f t="shared" si="169"/>
        <v>0.23999999999999996</v>
      </c>
      <c r="BS137" s="79">
        <f t="shared" si="170"/>
        <v>0.25999999999999995</v>
      </c>
      <c r="BT137" s="79">
        <f t="shared" si="171"/>
        <v>0.19999999999999998</v>
      </c>
      <c r="BU137" s="79">
        <f t="shared" si="172"/>
        <v>0.13999999999999999</v>
      </c>
      <c r="BV137" s="90" t="str">
        <f t="array" aca="1" ref="BV137" ca="1">_xlfn.TEXTJOIN(" ",TRUE,
_xlfn.TEXTJOIN(":",TRUE,ROUND(BK137:BO137/MIN(IF(BK137:BO137&gt;0,BK137:BO137)),0)),
"|",
ROUND(SUM(BW137:CA137),0))</f>
        <v>1:2:2:1:1 | 473</v>
      </c>
      <c r="BW137" s="106">
        <f t="shared" ca="1" si="117"/>
        <v>75.680000000000007</v>
      </c>
      <c r="BX137" s="106">
        <f t="shared" ca="1" si="119"/>
        <v>113.51999999999998</v>
      </c>
      <c r="BY137" s="106">
        <f t="shared" ca="1" si="120"/>
        <v>122.97999999999998</v>
      </c>
      <c r="BZ137" s="106">
        <f t="shared" ca="1" si="121"/>
        <v>94.6</v>
      </c>
      <c r="CA137" s="106">
        <f t="shared" ca="1" si="118"/>
        <v>66.22</v>
      </c>
    </row>
    <row r="138" spans="1:79" x14ac:dyDescent="0.35">
      <c r="A138" s="25" t="s">
        <v>152</v>
      </c>
      <c r="B138" s="10" t="s">
        <v>321</v>
      </c>
      <c r="C138" s="10" t="s">
        <v>342</v>
      </c>
      <c r="D138" s="10" t="s">
        <v>346</v>
      </c>
      <c r="E138" s="11">
        <v>45920</v>
      </c>
      <c r="F138" s="17">
        <v>45892</v>
      </c>
      <c r="G138" s="14">
        <f t="shared" ca="1" si="122"/>
        <v>207</v>
      </c>
      <c r="H138" s="17">
        <v>799</v>
      </c>
      <c r="I138" s="17">
        <v>410</v>
      </c>
      <c r="J138" s="75">
        <f t="shared" si="123"/>
        <v>567</v>
      </c>
      <c r="K138" s="17">
        <v>1200</v>
      </c>
      <c r="L138" s="85">
        <v>633</v>
      </c>
      <c r="M138" s="86">
        <f t="shared" ca="1" si="124"/>
        <v>3.0579710144927534</v>
      </c>
      <c r="N138" s="86">
        <f t="shared" si="125"/>
        <v>0.80451009251471861</v>
      </c>
      <c r="O138" s="86">
        <f t="shared" si="126"/>
        <v>1.9298780487804879</v>
      </c>
      <c r="P138" s="87">
        <f t="shared" si="127"/>
        <v>158.25</v>
      </c>
      <c r="Q138" s="104">
        <f t="shared" si="128"/>
        <v>3.5829383886255926</v>
      </c>
      <c r="R138" s="88">
        <f t="shared" si="129"/>
        <v>48.685857321652065</v>
      </c>
      <c r="S138" s="88">
        <f t="shared" si="130"/>
        <v>52.75</v>
      </c>
      <c r="T138" s="13">
        <f t="shared" si="131"/>
        <v>3</v>
      </c>
      <c r="U138" s="13">
        <f t="shared" si="132"/>
        <v>3</v>
      </c>
      <c r="V138" s="13">
        <f t="shared" si="133"/>
        <v>2</v>
      </c>
      <c r="W138" s="13">
        <f t="shared" ca="1" si="134"/>
        <v>3</v>
      </c>
      <c r="X138" s="13">
        <f t="shared" ca="1" si="135"/>
        <v>11</v>
      </c>
      <c r="Y138" s="81" t="str">
        <f t="shared" ca="1" si="136"/>
        <v>RE-BUY</v>
      </c>
      <c r="Z138" s="13">
        <v>14</v>
      </c>
      <c r="AA138" s="75">
        <v>46059</v>
      </c>
      <c r="AB138" s="75">
        <f t="shared" si="137"/>
        <v>45920</v>
      </c>
      <c r="AC138" s="88">
        <f t="shared" si="138"/>
        <v>19.857142857142858</v>
      </c>
      <c r="AD138" s="89" t="str">
        <f t="shared" ca="1" si="139"/>
        <v>STABLE</v>
      </c>
      <c r="AE138" s="89" t="str">
        <f t="shared" si="140"/>
        <v>FAST SELLING</v>
      </c>
      <c r="AF138" s="89" t="str">
        <f t="shared" si="141"/>
        <v>AT RISK</v>
      </c>
      <c r="AG138" s="89" t="str">
        <f t="shared" si="142"/>
        <v>FEASIBLE</v>
      </c>
      <c r="AH138" s="81" t="str">
        <f t="shared" ca="1" si="143"/>
        <v>IMMEDIATE REBUY</v>
      </c>
      <c r="AI138" s="75">
        <f t="shared" ca="1" si="144"/>
        <v>1885.4357142857143</v>
      </c>
      <c r="AJ138" s="75">
        <f t="shared" ca="1" si="145"/>
        <v>1318.4357142857143</v>
      </c>
      <c r="AK138" s="13">
        <f t="shared" ca="1" si="146"/>
        <v>1582</v>
      </c>
      <c r="AL138" s="79">
        <v>0.1</v>
      </c>
      <c r="AM138" s="79">
        <v>0.3</v>
      </c>
      <c r="AN138" s="79">
        <v>0.3</v>
      </c>
      <c r="AO138" s="79">
        <v>0.1</v>
      </c>
      <c r="AP138" s="79">
        <v>0.1</v>
      </c>
      <c r="AQ138" s="75">
        <f t="shared" si="147"/>
        <v>56.7</v>
      </c>
      <c r="AR138" s="75">
        <f t="shared" si="148"/>
        <v>170.1</v>
      </c>
      <c r="AS138" s="75">
        <f t="shared" si="149"/>
        <v>170.1</v>
      </c>
      <c r="AT138" s="75">
        <f t="shared" si="150"/>
        <v>56.7</v>
      </c>
      <c r="AU138" s="75">
        <f t="shared" si="151"/>
        <v>56.7</v>
      </c>
      <c r="AV138" s="13">
        <v>0.8</v>
      </c>
      <c r="AW138" s="13">
        <v>1.2</v>
      </c>
      <c r="AX138" s="13">
        <v>1.3</v>
      </c>
      <c r="AY138" s="13">
        <v>1</v>
      </c>
      <c r="AZ138" s="13">
        <v>0.7</v>
      </c>
      <c r="BA138" s="105">
        <f t="shared" si="152"/>
        <v>12.660000000000002</v>
      </c>
      <c r="BB138" s="13">
        <f t="shared" si="153"/>
        <v>56.97</v>
      </c>
      <c r="BC138" s="13">
        <f t="shared" si="154"/>
        <v>61.717500000000001</v>
      </c>
      <c r="BD138" s="13">
        <f t="shared" si="155"/>
        <v>15.825000000000001</v>
      </c>
      <c r="BE138" s="13">
        <f t="shared" si="156"/>
        <v>11.077500000000001</v>
      </c>
      <c r="BF138" s="88">
        <f t="shared" si="157"/>
        <v>4.4786729857819898</v>
      </c>
      <c r="BG138" s="88">
        <f t="shared" si="158"/>
        <v>2.985781990521327</v>
      </c>
      <c r="BH138" s="88">
        <f t="shared" si="159"/>
        <v>2.756106452788917</v>
      </c>
      <c r="BI138" s="88">
        <f t="shared" si="160"/>
        <v>3.5829383886255926</v>
      </c>
      <c r="BJ138" s="88">
        <f t="shared" si="161"/>
        <v>5.1184834123222744</v>
      </c>
      <c r="BK138" s="105">
        <f t="shared" si="162"/>
        <v>0.22328042328042333</v>
      </c>
      <c r="BL138" s="105">
        <f t="shared" si="163"/>
        <v>0.33492063492063495</v>
      </c>
      <c r="BM138" s="105">
        <f t="shared" si="164"/>
        <v>0.36283068783068789</v>
      </c>
      <c r="BN138" s="105">
        <f t="shared" si="165"/>
        <v>0.27910052910052907</v>
      </c>
      <c r="BO138" s="105">
        <f t="shared" si="166"/>
        <v>0.19537037037037039</v>
      </c>
      <c r="BP138" s="105">
        <f t="shared" si="167"/>
        <v>1.3955026455026456</v>
      </c>
      <c r="BQ138" s="79">
        <f t="shared" si="168"/>
        <v>0.16000000000000003</v>
      </c>
      <c r="BR138" s="79">
        <f t="shared" si="169"/>
        <v>0.24000000000000002</v>
      </c>
      <c r="BS138" s="79">
        <f t="shared" si="170"/>
        <v>0.26</v>
      </c>
      <c r="BT138" s="79">
        <f t="shared" si="171"/>
        <v>0.19999999999999996</v>
      </c>
      <c r="BU138" s="79">
        <f t="shared" si="172"/>
        <v>0.14000000000000001</v>
      </c>
      <c r="BV138" s="90" t="str">
        <f t="array" aca="1" ref="BV138" ca="1">_xlfn.TEXTJOIN(" ",TRUE,
_xlfn.TEXTJOIN(":",TRUE,ROUND(BK138:BO138/MIN(IF(BK138:BO138&gt;0,BK138:BO138)),0)),
"|",
ROUND(SUM(BW138:CA138),0))</f>
        <v>1:2:2:1:1 | 1582</v>
      </c>
      <c r="BW138" s="106">
        <f t="shared" ca="1" si="117"/>
        <v>253.12000000000006</v>
      </c>
      <c r="BX138" s="106">
        <f t="shared" ca="1" si="119"/>
        <v>379.68</v>
      </c>
      <c r="BY138" s="106">
        <f t="shared" ca="1" si="120"/>
        <v>411.32</v>
      </c>
      <c r="BZ138" s="106">
        <f t="shared" ca="1" si="121"/>
        <v>316.39999999999992</v>
      </c>
      <c r="CA138" s="106">
        <f t="shared" ca="1" si="118"/>
        <v>221.48000000000002</v>
      </c>
    </row>
    <row r="139" spans="1:79" x14ac:dyDescent="0.35">
      <c r="A139" s="25" t="s">
        <v>153</v>
      </c>
      <c r="B139" s="10" t="s">
        <v>321</v>
      </c>
      <c r="C139" s="10" t="s">
        <v>342</v>
      </c>
      <c r="D139" s="10" t="s">
        <v>346</v>
      </c>
      <c r="E139" s="11">
        <v>45920</v>
      </c>
      <c r="F139" s="17">
        <v>45892</v>
      </c>
      <c r="G139" s="14">
        <f t="shared" ca="1" si="122"/>
        <v>207</v>
      </c>
      <c r="H139" s="17">
        <v>799</v>
      </c>
      <c r="I139" s="17">
        <v>410</v>
      </c>
      <c r="J139" s="75">
        <f t="shared" si="123"/>
        <v>852</v>
      </c>
      <c r="K139" s="17">
        <v>1200</v>
      </c>
      <c r="L139" s="85">
        <v>348</v>
      </c>
      <c r="M139" s="86">
        <f t="shared" ca="1" si="124"/>
        <v>1.681159420289855</v>
      </c>
      <c r="N139" s="86">
        <f t="shared" si="125"/>
        <v>0.80451009251471861</v>
      </c>
      <c r="O139" s="86">
        <f t="shared" si="126"/>
        <v>1.0609756097560976</v>
      </c>
      <c r="P139" s="87">
        <f t="shared" si="127"/>
        <v>87</v>
      </c>
      <c r="Q139" s="104">
        <f t="shared" si="128"/>
        <v>9.7931034482758612</v>
      </c>
      <c r="R139" s="88">
        <f t="shared" si="129"/>
        <v>48.685857321652065</v>
      </c>
      <c r="S139" s="88">
        <f t="shared" si="130"/>
        <v>28.999999999999996</v>
      </c>
      <c r="T139" s="13">
        <f t="shared" si="131"/>
        <v>3</v>
      </c>
      <c r="U139" s="13">
        <f t="shared" si="132"/>
        <v>1</v>
      </c>
      <c r="V139" s="13">
        <f t="shared" si="133"/>
        <v>2</v>
      </c>
      <c r="W139" s="13">
        <f t="shared" ca="1" si="134"/>
        <v>3</v>
      </c>
      <c r="X139" s="13">
        <f t="shared" ca="1" si="135"/>
        <v>9</v>
      </c>
      <c r="Y139" s="81" t="str">
        <f t="shared" ca="1" si="136"/>
        <v>RE-BUY</v>
      </c>
      <c r="Z139" s="13">
        <v>14</v>
      </c>
      <c r="AA139" s="75">
        <v>46059</v>
      </c>
      <c r="AB139" s="75">
        <f t="shared" si="137"/>
        <v>45920</v>
      </c>
      <c r="AC139" s="88">
        <f t="shared" si="138"/>
        <v>19.857142857142858</v>
      </c>
      <c r="AD139" s="89" t="str">
        <f t="shared" ca="1" si="139"/>
        <v>STABLE</v>
      </c>
      <c r="AE139" s="89" t="str">
        <f t="shared" si="140"/>
        <v>FAST SELLING</v>
      </c>
      <c r="AF139" s="89" t="str">
        <f t="shared" si="141"/>
        <v>AT RISK</v>
      </c>
      <c r="AG139" s="89" t="str">
        <f t="shared" si="142"/>
        <v>FEASIBLE</v>
      </c>
      <c r="AH139" s="81" t="str">
        <f t="shared" ca="1" si="143"/>
        <v>IMMEDIATE REBUY</v>
      </c>
      <c r="AI139" s="75">
        <f t="shared" ca="1" si="144"/>
        <v>1036.5428571428572</v>
      </c>
      <c r="AJ139" s="75">
        <f t="shared" ca="1" si="145"/>
        <v>184.5428571428572</v>
      </c>
      <c r="AK139" s="13">
        <f t="shared" ca="1" si="146"/>
        <v>221</v>
      </c>
      <c r="AL139" s="79">
        <v>0.1</v>
      </c>
      <c r="AM139" s="79">
        <v>0.3</v>
      </c>
      <c r="AN139" s="79">
        <v>0.3</v>
      </c>
      <c r="AO139" s="79">
        <v>0.1</v>
      </c>
      <c r="AP139" s="79">
        <v>0.1</v>
      </c>
      <c r="AQ139" s="75">
        <f t="shared" si="147"/>
        <v>85.2</v>
      </c>
      <c r="AR139" s="75">
        <f t="shared" si="148"/>
        <v>255.6</v>
      </c>
      <c r="AS139" s="75">
        <f t="shared" si="149"/>
        <v>255.6</v>
      </c>
      <c r="AT139" s="75">
        <f t="shared" si="150"/>
        <v>85.2</v>
      </c>
      <c r="AU139" s="75">
        <f t="shared" si="151"/>
        <v>85.2</v>
      </c>
      <c r="AV139" s="13">
        <v>0.8</v>
      </c>
      <c r="AW139" s="13">
        <v>1.2</v>
      </c>
      <c r="AX139" s="13">
        <v>1.3</v>
      </c>
      <c r="AY139" s="13">
        <v>1</v>
      </c>
      <c r="AZ139" s="13">
        <v>0.7</v>
      </c>
      <c r="BA139" s="105">
        <f t="shared" si="152"/>
        <v>6.9600000000000009</v>
      </c>
      <c r="BB139" s="13">
        <f t="shared" si="153"/>
        <v>31.319999999999997</v>
      </c>
      <c r="BC139" s="13">
        <f t="shared" si="154"/>
        <v>33.93</v>
      </c>
      <c r="BD139" s="13">
        <f t="shared" si="155"/>
        <v>8.7000000000000011</v>
      </c>
      <c r="BE139" s="13">
        <f t="shared" si="156"/>
        <v>6.0900000000000007</v>
      </c>
      <c r="BF139" s="88">
        <f t="shared" si="157"/>
        <v>12.241379310344826</v>
      </c>
      <c r="BG139" s="88">
        <f t="shared" si="158"/>
        <v>8.1609195402298855</v>
      </c>
      <c r="BH139" s="88">
        <f t="shared" si="159"/>
        <v>7.5331564986737396</v>
      </c>
      <c r="BI139" s="88">
        <f t="shared" si="160"/>
        <v>9.7931034482758612</v>
      </c>
      <c r="BJ139" s="88">
        <f t="shared" si="161"/>
        <v>13.99014778325123</v>
      </c>
      <c r="BK139" s="105">
        <f t="shared" si="162"/>
        <v>8.1690140845070439E-2</v>
      </c>
      <c r="BL139" s="105">
        <f t="shared" si="163"/>
        <v>0.12253521126760562</v>
      </c>
      <c r="BM139" s="105">
        <f t="shared" si="164"/>
        <v>0.13274647887323945</v>
      </c>
      <c r="BN139" s="105">
        <f t="shared" si="165"/>
        <v>0.10211267605633803</v>
      </c>
      <c r="BO139" s="105">
        <f t="shared" si="166"/>
        <v>7.1478873239436636E-2</v>
      </c>
      <c r="BP139" s="105">
        <f t="shared" si="167"/>
        <v>0.51056338028169024</v>
      </c>
      <c r="BQ139" s="79">
        <f t="shared" si="168"/>
        <v>0.16</v>
      </c>
      <c r="BR139" s="79">
        <f t="shared" si="169"/>
        <v>0.23999999999999994</v>
      </c>
      <c r="BS139" s="79">
        <f t="shared" si="170"/>
        <v>0.26</v>
      </c>
      <c r="BT139" s="79">
        <f t="shared" si="171"/>
        <v>0.19999999999999996</v>
      </c>
      <c r="BU139" s="79">
        <f t="shared" si="172"/>
        <v>0.14000000000000001</v>
      </c>
      <c r="BV139" s="90" t="str">
        <f t="array" aca="1" ref="BV139" ca="1">_xlfn.TEXTJOIN(" ",TRUE,
_xlfn.TEXTJOIN(":",TRUE,ROUND(BK139:BO139/MIN(IF(BK139:BO139&gt;0,BK139:BO139)),0)),
"|",
ROUND(SUM(BW139:CA139),0))</f>
        <v>1:2:2:1:1 | 221</v>
      </c>
      <c r="BW139" s="106">
        <f t="shared" ca="1" si="117"/>
        <v>35.36</v>
      </c>
      <c r="BX139" s="106">
        <f t="shared" ca="1" si="119"/>
        <v>53.039999999999985</v>
      </c>
      <c r="BY139" s="106">
        <f t="shared" ca="1" si="120"/>
        <v>57.46</v>
      </c>
      <c r="BZ139" s="106">
        <f t="shared" ca="1" si="121"/>
        <v>44.199999999999989</v>
      </c>
      <c r="CA139" s="106">
        <f t="shared" ca="1" si="118"/>
        <v>30.94</v>
      </c>
    </row>
    <row r="140" spans="1:79" x14ac:dyDescent="0.35">
      <c r="A140" s="25" t="s">
        <v>154</v>
      </c>
      <c r="B140" s="10" t="s">
        <v>321</v>
      </c>
      <c r="C140" s="10" t="s">
        <v>342</v>
      </c>
      <c r="D140" s="10" t="s">
        <v>346</v>
      </c>
      <c r="E140" s="11">
        <v>45892</v>
      </c>
      <c r="F140" s="17">
        <v>45892</v>
      </c>
      <c r="G140" s="14">
        <f t="shared" ca="1" si="122"/>
        <v>207</v>
      </c>
      <c r="H140" s="17">
        <v>799</v>
      </c>
      <c r="I140" s="17">
        <v>439.00000000000006</v>
      </c>
      <c r="J140" s="75">
        <f t="shared" si="123"/>
        <v>784</v>
      </c>
      <c r="K140" s="17">
        <v>1050</v>
      </c>
      <c r="L140" s="85">
        <v>266</v>
      </c>
      <c r="M140" s="86">
        <f t="shared" ca="1" si="124"/>
        <v>1.2850241545893719</v>
      </c>
      <c r="N140" s="86">
        <f t="shared" si="125"/>
        <v>0.80451009251471861</v>
      </c>
      <c r="O140" s="86">
        <f t="shared" si="126"/>
        <v>0.81097560975609762</v>
      </c>
      <c r="P140" s="87">
        <f t="shared" si="127"/>
        <v>66.5</v>
      </c>
      <c r="Q140" s="104">
        <f t="shared" si="128"/>
        <v>11.789473684210526</v>
      </c>
      <c r="R140" s="88">
        <f t="shared" si="129"/>
        <v>45.056320400500624</v>
      </c>
      <c r="S140" s="88">
        <f t="shared" si="130"/>
        <v>25.333333333333336</v>
      </c>
      <c r="T140" s="13">
        <f t="shared" si="131"/>
        <v>3</v>
      </c>
      <c r="U140" s="13">
        <f t="shared" si="132"/>
        <v>1</v>
      </c>
      <c r="V140" s="13">
        <f t="shared" si="133"/>
        <v>2</v>
      </c>
      <c r="W140" s="13">
        <f t="shared" ca="1" si="134"/>
        <v>3</v>
      </c>
      <c r="X140" s="13">
        <f t="shared" ca="1" si="135"/>
        <v>9</v>
      </c>
      <c r="Y140" s="81" t="str">
        <f t="shared" ca="1" si="136"/>
        <v>RE-BUY</v>
      </c>
      <c r="Z140" s="13">
        <v>14</v>
      </c>
      <c r="AA140" s="75">
        <v>46059</v>
      </c>
      <c r="AB140" s="75">
        <f t="shared" si="137"/>
        <v>45920</v>
      </c>
      <c r="AC140" s="88">
        <f t="shared" si="138"/>
        <v>19.857142857142858</v>
      </c>
      <c r="AD140" s="89" t="str">
        <f t="shared" ca="1" si="139"/>
        <v>STABLE</v>
      </c>
      <c r="AE140" s="89" t="str">
        <f t="shared" si="140"/>
        <v>FAST SELLING</v>
      </c>
      <c r="AF140" s="89" t="str">
        <f t="shared" si="141"/>
        <v>AT RISK</v>
      </c>
      <c r="AG140" s="89" t="str">
        <f t="shared" si="142"/>
        <v>FEASIBLE</v>
      </c>
      <c r="AH140" s="81" t="str">
        <f t="shared" ca="1" si="143"/>
        <v>IMMEDIATE REBUY</v>
      </c>
      <c r="AI140" s="75">
        <f t="shared" ca="1" si="144"/>
        <v>792.3</v>
      </c>
      <c r="AJ140" s="75">
        <f t="shared" ca="1" si="145"/>
        <v>8.2999999999999545</v>
      </c>
      <c r="AK140" s="13">
        <f t="shared" ca="1" si="146"/>
        <v>10</v>
      </c>
      <c r="AL140" s="79">
        <v>0.1</v>
      </c>
      <c r="AM140" s="79">
        <v>0.3</v>
      </c>
      <c r="AN140" s="79">
        <v>0.3</v>
      </c>
      <c r="AO140" s="79">
        <v>0.1</v>
      </c>
      <c r="AP140" s="79">
        <v>0.1</v>
      </c>
      <c r="AQ140" s="75">
        <f t="shared" si="147"/>
        <v>78.400000000000006</v>
      </c>
      <c r="AR140" s="75">
        <f t="shared" si="148"/>
        <v>235.2</v>
      </c>
      <c r="AS140" s="75">
        <f t="shared" si="149"/>
        <v>235.2</v>
      </c>
      <c r="AT140" s="75">
        <f t="shared" si="150"/>
        <v>78.400000000000006</v>
      </c>
      <c r="AU140" s="75">
        <f t="shared" si="151"/>
        <v>78.400000000000006</v>
      </c>
      <c r="AV140" s="13">
        <v>0.8</v>
      </c>
      <c r="AW140" s="13">
        <v>1.2</v>
      </c>
      <c r="AX140" s="13">
        <v>1.3</v>
      </c>
      <c r="AY140" s="13">
        <v>1</v>
      </c>
      <c r="AZ140" s="13">
        <v>0.7</v>
      </c>
      <c r="BA140" s="105">
        <f t="shared" si="152"/>
        <v>5.32</v>
      </c>
      <c r="BB140" s="13">
        <f t="shared" si="153"/>
        <v>23.939999999999998</v>
      </c>
      <c r="BC140" s="13">
        <f t="shared" si="154"/>
        <v>25.934999999999999</v>
      </c>
      <c r="BD140" s="13">
        <f t="shared" si="155"/>
        <v>6.65</v>
      </c>
      <c r="BE140" s="13">
        <f t="shared" si="156"/>
        <v>4.6550000000000002</v>
      </c>
      <c r="BF140" s="88">
        <f t="shared" si="157"/>
        <v>14.736842105263158</v>
      </c>
      <c r="BG140" s="88">
        <f t="shared" si="158"/>
        <v>9.8245614035087723</v>
      </c>
      <c r="BH140" s="88">
        <f t="shared" si="159"/>
        <v>9.0688259109311744</v>
      </c>
      <c r="BI140" s="88">
        <f t="shared" si="160"/>
        <v>11.789473684210526</v>
      </c>
      <c r="BJ140" s="88">
        <f t="shared" si="161"/>
        <v>16.842105263157894</v>
      </c>
      <c r="BK140" s="105">
        <f t="shared" si="162"/>
        <v>6.7857142857142852E-2</v>
      </c>
      <c r="BL140" s="105">
        <f t="shared" si="163"/>
        <v>0.10178571428571428</v>
      </c>
      <c r="BM140" s="105">
        <f t="shared" si="164"/>
        <v>0.11026785714285714</v>
      </c>
      <c r="BN140" s="105">
        <f t="shared" si="165"/>
        <v>8.4821428571428575E-2</v>
      </c>
      <c r="BO140" s="105">
        <f t="shared" si="166"/>
        <v>5.9375000000000004E-2</v>
      </c>
      <c r="BP140" s="105">
        <f t="shared" si="167"/>
        <v>0.42410714285714285</v>
      </c>
      <c r="BQ140" s="79">
        <f t="shared" si="168"/>
        <v>0.16</v>
      </c>
      <c r="BR140" s="79">
        <f t="shared" si="169"/>
        <v>0.24</v>
      </c>
      <c r="BS140" s="79">
        <f t="shared" si="170"/>
        <v>0.26</v>
      </c>
      <c r="BT140" s="79">
        <f t="shared" si="171"/>
        <v>0.2</v>
      </c>
      <c r="BU140" s="79">
        <f t="shared" si="172"/>
        <v>0.14000000000000001</v>
      </c>
      <c r="BV140" s="90" t="str">
        <f t="array" aca="1" ref="BV140" ca="1">_xlfn.TEXTJOIN(" ",TRUE,
_xlfn.TEXTJOIN(":",TRUE,ROUND(BK140:BO140/MIN(IF(BK140:BO140&gt;0,BK140:BO140)),0)),
"|",
ROUND(SUM(BW140:CA140),0))</f>
        <v>1:2:2:1:1 | 10</v>
      </c>
      <c r="BW140" s="106">
        <f t="shared" ca="1" si="117"/>
        <v>1.6</v>
      </c>
      <c r="BX140" s="106">
        <f t="shared" ca="1" si="119"/>
        <v>2.4</v>
      </c>
      <c r="BY140" s="106">
        <f t="shared" ca="1" si="120"/>
        <v>2.6</v>
      </c>
      <c r="BZ140" s="106">
        <f t="shared" ca="1" si="121"/>
        <v>2</v>
      </c>
      <c r="CA140" s="106">
        <f t="shared" ca="1" si="118"/>
        <v>1.4000000000000001</v>
      </c>
    </row>
    <row r="141" spans="1:79" x14ac:dyDescent="0.35">
      <c r="A141" s="25" t="s">
        <v>155</v>
      </c>
      <c r="B141" s="10" t="s">
        <v>321</v>
      </c>
      <c r="C141" s="10" t="s">
        <v>342</v>
      </c>
      <c r="D141" s="10" t="s">
        <v>346</v>
      </c>
      <c r="E141" s="11">
        <v>45892</v>
      </c>
      <c r="F141" s="17">
        <v>45892</v>
      </c>
      <c r="G141" s="14">
        <f t="shared" ca="1" si="122"/>
        <v>207</v>
      </c>
      <c r="H141" s="17">
        <v>799</v>
      </c>
      <c r="I141" s="17">
        <v>439.00000000000006</v>
      </c>
      <c r="J141" s="75">
        <f t="shared" si="123"/>
        <v>685</v>
      </c>
      <c r="K141" s="17">
        <v>1050</v>
      </c>
      <c r="L141" s="85">
        <v>365</v>
      </c>
      <c r="M141" s="86">
        <f t="shared" ca="1" si="124"/>
        <v>1.7632850241545894</v>
      </c>
      <c r="N141" s="86">
        <f t="shared" si="125"/>
        <v>0.80451009251471861</v>
      </c>
      <c r="O141" s="86">
        <f t="shared" si="126"/>
        <v>1.1128048780487805</v>
      </c>
      <c r="P141" s="87">
        <f t="shared" si="127"/>
        <v>91.25</v>
      </c>
      <c r="Q141" s="104">
        <f t="shared" si="128"/>
        <v>7.506849315068493</v>
      </c>
      <c r="R141" s="88">
        <f t="shared" si="129"/>
        <v>45.056320400500624</v>
      </c>
      <c r="S141" s="88">
        <f t="shared" si="130"/>
        <v>34.761904761904759</v>
      </c>
      <c r="T141" s="13">
        <f t="shared" si="131"/>
        <v>3</v>
      </c>
      <c r="U141" s="13">
        <f t="shared" si="132"/>
        <v>1</v>
      </c>
      <c r="V141" s="13">
        <f t="shared" si="133"/>
        <v>2</v>
      </c>
      <c r="W141" s="13">
        <f t="shared" ca="1" si="134"/>
        <v>3</v>
      </c>
      <c r="X141" s="13">
        <f t="shared" ca="1" si="135"/>
        <v>9</v>
      </c>
      <c r="Y141" s="81" t="str">
        <f t="shared" ca="1" si="136"/>
        <v>RE-BUY</v>
      </c>
      <c r="Z141" s="13">
        <v>14</v>
      </c>
      <c r="AA141" s="75">
        <v>46059</v>
      </c>
      <c r="AB141" s="75">
        <f t="shared" si="137"/>
        <v>45920</v>
      </c>
      <c r="AC141" s="88">
        <f t="shared" si="138"/>
        <v>19.857142857142858</v>
      </c>
      <c r="AD141" s="89" t="str">
        <f t="shared" ca="1" si="139"/>
        <v>STABLE</v>
      </c>
      <c r="AE141" s="89" t="str">
        <f t="shared" si="140"/>
        <v>FAST SELLING</v>
      </c>
      <c r="AF141" s="89" t="str">
        <f t="shared" si="141"/>
        <v>AT RISK</v>
      </c>
      <c r="AG141" s="89" t="str">
        <f t="shared" si="142"/>
        <v>FEASIBLE</v>
      </c>
      <c r="AH141" s="81" t="str">
        <f t="shared" ca="1" si="143"/>
        <v>IMMEDIATE REBUY</v>
      </c>
      <c r="AI141" s="75">
        <f t="shared" ca="1" si="144"/>
        <v>1087.1785714285713</v>
      </c>
      <c r="AJ141" s="75">
        <f t="shared" ca="1" si="145"/>
        <v>402.17857142857133</v>
      </c>
      <c r="AK141" s="13">
        <f t="shared" ca="1" si="146"/>
        <v>483</v>
      </c>
      <c r="AL141" s="79">
        <v>0.1</v>
      </c>
      <c r="AM141" s="79">
        <v>0.3</v>
      </c>
      <c r="AN141" s="79">
        <v>0.3</v>
      </c>
      <c r="AO141" s="79">
        <v>0.1</v>
      </c>
      <c r="AP141" s="79">
        <v>0.1</v>
      </c>
      <c r="AQ141" s="75">
        <f t="shared" si="147"/>
        <v>68.5</v>
      </c>
      <c r="AR141" s="75">
        <f t="shared" si="148"/>
        <v>205.5</v>
      </c>
      <c r="AS141" s="75">
        <f t="shared" si="149"/>
        <v>205.5</v>
      </c>
      <c r="AT141" s="75">
        <f t="shared" si="150"/>
        <v>68.5</v>
      </c>
      <c r="AU141" s="75">
        <f t="shared" si="151"/>
        <v>68.5</v>
      </c>
      <c r="AV141" s="13">
        <v>0.8</v>
      </c>
      <c r="AW141" s="13">
        <v>1.2</v>
      </c>
      <c r="AX141" s="13">
        <v>1.3</v>
      </c>
      <c r="AY141" s="13">
        <v>1</v>
      </c>
      <c r="AZ141" s="13">
        <v>0.7</v>
      </c>
      <c r="BA141" s="105">
        <f t="shared" si="152"/>
        <v>7.3000000000000007</v>
      </c>
      <c r="BB141" s="13">
        <f t="shared" si="153"/>
        <v>32.85</v>
      </c>
      <c r="BC141" s="13">
        <f t="shared" si="154"/>
        <v>35.587499999999999</v>
      </c>
      <c r="BD141" s="13">
        <f t="shared" si="155"/>
        <v>9.125</v>
      </c>
      <c r="BE141" s="13">
        <f t="shared" si="156"/>
        <v>6.3874999999999993</v>
      </c>
      <c r="BF141" s="88">
        <f t="shared" si="157"/>
        <v>9.3835616438356162</v>
      </c>
      <c r="BG141" s="88">
        <f t="shared" si="158"/>
        <v>6.2557077625570772</v>
      </c>
      <c r="BH141" s="88">
        <f t="shared" si="159"/>
        <v>5.7744994731296106</v>
      </c>
      <c r="BI141" s="88">
        <f t="shared" si="160"/>
        <v>7.506849315068493</v>
      </c>
      <c r="BJ141" s="88">
        <f t="shared" si="161"/>
        <v>10.724070450097848</v>
      </c>
      <c r="BK141" s="105">
        <f t="shared" si="162"/>
        <v>0.10656934306569343</v>
      </c>
      <c r="BL141" s="105">
        <f t="shared" si="163"/>
        <v>0.15985401459854015</v>
      </c>
      <c r="BM141" s="105">
        <f t="shared" si="164"/>
        <v>0.17317518248175182</v>
      </c>
      <c r="BN141" s="105">
        <f t="shared" si="165"/>
        <v>0.13321167883211679</v>
      </c>
      <c r="BO141" s="105">
        <f t="shared" si="166"/>
        <v>9.3248175182481741E-2</v>
      </c>
      <c r="BP141" s="105">
        <f t="shared" si="167"/>
        <v>0.66605839416058399</v>
      </c>
      <c r="BQ141" s="79">
        <f t="shared" si="168"/>
        <v>0.16</v>
      </c>
      <c r="BR141" s="79">
        <f t="shared" si="169"/>
        <v>0.24</v>
      </c>
      <c r="BS141" s="79">
        <f t="shared" si="170"/>
        <v>0.25999999999999995</v>
      </c>
      <c r="BT141" s="79">
        <f t="shared" si="171"/>
        <v>0.19999999999999998</v>
      </c>
      <c r="BU141" s="79">
        <f t="shared" si="172"/>
        <v>0.13999999999999999</v>
      </c>
      <c r="BV141" s="90" t="str">
        <f t="array" aca="1" ref="BV141" ca="1">_xlfn.TEXTJOIN(" ",TRUE,
_xlfn.TEXTJOIN(":",TRUE,ROUND(BK141:BO141/MIN(IF(BK141:BO141&gt;0,BK141:BO141)),0)),
"|",
ROUND(SUM(BW141:CA141),0))</f>
        <v>1:2:2:1:1 | 483</v>
      </c>
      <c r="BW141" s="106">
        <f t="shared" ref="BW141:BW204" ca="1" si="173">AK141*BQ141</f>
        <v>77.28</v>
      </c>
      <c r="BX141" s="106">
        <f t="shared" ca="1" si="119"/>
        <v>115.92</v>
      </c>
      <c r="BY141" s="106">
        <f t="shared" ca="1" si="120"/>
        <v>125.57999999999998</v>
      </c>
      <c r="BZ141" s="106">
        <f t="shared" ca="1" si="121"/>
        <v>96.6</v>
      </c>
      <c r="CA141" s="106">
        <f t="shared" ca="1" si="118"/>
        <v>67.61999999999999</v>
      </c>
    </row>
    <row r="142" spans="1:79" x14ac:dyDescent="0.35">
      <c r="A142" s="25" t="s">
        <v>156</v>
      </c>
      <c r="B142" s="10" t="s">
        <v>321</v>
      </c>
      <c r="C142" s="10" t="s">
        <v>342</v>
      </c>
      <c r="D142" s="10" t="s">
        <v>346</v>
      </c>
      <c r="E142" s="11">
        <v>45892</v>
      </c>
      <c r="F142" s="17">
        <v>45892</v>
      </c>
      <c r="G142" s="14">
        <f t="shared" ca="1" si="122"/>
        <v>207</v>
      </c>
      <c r="H142" s="17">
        <v>799</v>
      </c>
      <c r="I142" s="17">
        <v>439.00000000000006</v>
      </c>
      <c r="J142" s="75">
        <f t="shared" si="123"/>
        <v>940</v>
      </c>
      <c r="K142" s="17">
        <v>1050</v>
      </c>
      <c r="L142" s="85">
        <v>110</v>
      </c>
      <c r="M142" s="86">
        <f t="shared" ca="1" si="124"/>
        <v>0.53140096618357491</v>
      </c>
      <c r="N142" s="86">
        <f t="shared" si="125"/>
        <v>0.80451009251471861</v>
      </c>
      <c r="O142" s="86">
        <f t="shared" si="126"/>
        <v>0.33536585365853661</v>
      </c>
      <c r="P142" s="87">
        <f t="shared" si="127"/>
        <v>27.5</v>
      </c>
      <c r="Q142" s="104">
        <f t="shared" si="128"/>
        <v>34.18181818181818</v>
      </c>
      <c r="R142" s="88">
        <f t="shared" si="129"/>
        <v>45.056320400500624</v>
      </c>
      <c r="S142" s="88">
        <f t="shared" si="130"/>
        <v>10.476190476190476</v>
      </c>
      <c r="T142" s="13">
        <f t="shared" si="131"/>
        <v>1</v>
      </c>
      <c r="U142" s="13">
        <f t="shared" si="132"/>
        <v>1</v>
      </c>
      <c r="V142" s="13">
        <f t="shared" si="133"/>
        <v>2</v>
      </c>
      <c r="W142" s="13">
        <f t="shared" ca="1" si="134"/>
        <v>3</v>
      </c>
      <c r="X142" s="13">
        <f t="shared" ca="1" si="135"/>
        <v>7</v>
      </c>
      <c r="Y142" s="81" t="str">
        <f t="shared" ca="1" si="136"/>
        <v>MONITOR</v>
      </c>
      <c r="Z142" s="13">
        <v>14</v>
      </c>
      <c r="AA142" s="75">
        <v>46059</v>
      </c>
      <c r="AB142" s="75">
        <f t="shared" si="137"/>
        <v>45920</v>
      </c>
      <c r="AC142" s="88">
        <f t="shared" si="138"/>
        <v>19.857142857142858</v>
      </c>
      <c r="AD142" s="89" t="str">
        <f t="shared" ca="1" si="139"/>
        <v>STABLE</v>
      </c>
      <c r="AE142" s="89" t="str">
        <f t="shared" si="140"/>
        <v>SLOW SELLING</v>
      </c>
      <c r="AF142" s="89" t="str">
        <f t="shared" si="141"/>
        <v>AT RISK</v>
      </c>
      <c r="AG142" s="89" t="str">
        <f t="shared" si="142"/>
        <v>FEASIBLE</v>
      </c>
      <c r="AH142" s="81" t="str">
        <f t="shared" ca="1" si="143"/>
        <v>MONITOR</v>
      </c>
      <c r="AI142" s="75">
        <f t="shared" ca="1" si="144"/>
        <v>0</v>
      </c>
      <c r="AJ142" s="75">
        <f t="shared" ca="1" si="145"/>
        <v>-940</v>
      </c>
      <c r="AK142" s="13">
        <f t="shared" ca="1" si="146"/>
        <v>-1128</v>
      </c>
      <c r="AL142" s="79">
        <v>0.1</v>
      </c>
      <c r="AM142" s="79">
        <v>0.3</v>
      </c>
      <c r="AN142" s="79">
        <v>0.3</v>
      </c>
      <c r="AO142" s="79">
        <v>0.1</v>
      </c>
      <c r="AP142" s="79">
        <v>0.1</v>
      </c>
      <c r="AQ142" s="75">
        <f t="shared" si="147"/>
        <v>94</v>
      </c>
      <c r="AR142" s="75">
        <f t="shared" si="148"/>
        <v>282</v>
      </c>
      <c r="AS142" s="75">
        <f t="shared" si="149"/>
        <v>282</v>
      </c>
      <c r="AT142" s="75">
        <f t="shared" si="150"/>
        <v>94</v>
      </c>
      <c r="AU142" s="75">
        <f t="shared" si="151"/>
        <v>94</v>
      </c>
      <c r="AV142" s="13">
        <v>0.8</v>
      </c>
      <c r="AW142" s="13">
        <v>1.2</v>
      </c>
      <c r="AX142" s="13">
        <v>1.3</v>
      </c>
      <c r="AY142" s="13">
        <v>1</v>
      </c>
      <c r="AZ142" s="13">
        <v>0.7</v>
      </c>
      <c r="BA142" s="105">
        <f t="shared" si="152"/>
        <v>2.2000000000000002</v>
      </c>
      <c r="BB142" s="13">
        <f t="shared" si="153"/>
        <v>9.9</v>
      </c>
      <c r="BC142" s="13">
        <f t="shared" si="154"/>
        <v>10.725</v>
      </c>
      <c r="BD142" s="13">
        <f t="shared" si="155"/>
        <v>2.75</v>
      </c>
      <c r="BE142" s="13">
        <f t="shared" si="156"/>
        <v>1.9249999999999998</v>
      </c>
      <c r="BF142" s="88">
        <f t="shared" si="157"/>
        <v>42.727272727272727</v>
      </c>
      <c r="BG142" s="88">
        <f t="shared" si="158"/>
        <v>28.484848484848484</v>
      </c>
      <c r="BH142" s="88">
        <f t="shared" si="159"/>
        <v>26.293706293706293</v>
      </c>
      <c r="BI142" s="88">
        <f t="shared" si="160"/>
        <v>34.18181818181818</v>
      </c>
      <c r="BJ142" s="88">
        <f t="shared" si="161"/>
        <v>48.831168831168839</v>
      </c>
      <c r="BK142" s="105">
        <f t="shared" si="162"/>
        <v>2.3404255319148935E-2</v>
      </c>
      <c r="BL142" s="105">
        <f t="shared" si="163"/>
        <v>3.5106382978723406E-2</v>
      </c>
      <c r="BM142" s="105">
        <f t="shared" si="164"/>
        <v>3.8031914893617021E-2</v>
      </c>
      <c r="BN142" s="105">
        <f t="shared" si="165"/>
        <v>2.9255319148936171E-2</v>
      </c>
      <c r="BO142" s="105">
        <f t="shared" si="166"/>
        <v>2.0478723404255317E-2</v>
      </c>
      <c r="BP142" s="105">
        <f t="shared" si="167"/>
        <v>0.14627659574468085</v>
      </c>
      <c r="BQ142" s="79">
        <f t="shared" si="168"/>
        <v>0.16</v>
      </c>
      <c r="BR142" s="79">
        <f t="shared" si="169"/>
        <v>0.24000000000000002</v>
      </c>
      <c r="BS142" s="79">
        <f t="shared" si="170"/>
        <v>0.26</v>
      </c>
      <c r="BT142" s="79">
        <f t="shared" si="171"/>
        <v>0.2</v>
      </c>
      <c r="BU142" s="79">
        <f t="shared" si="172"/>
        <v>0.13999999999999999</v>
      </c>
      <c r="BV142" s="90" t="str">
        <f t="array" aca="1" ref="BV142" ca="1">_xlfn.TEXTJOIN(" ",TRUE,
_xlfn.TEXTJOIN(":",TRUE,ROUND(BK142:BO142/MIN(IF(BK142:BO142&gt;0,BK142:BO142)),0)),
"|",
ROUND(SUM(BW142:CA142),0))</f>
        <v>1:2:2:1:1 | -1128</v>
      </c>
      <c r="BW142" s="106">
        <f t="shared" ca="1" si="173"/>
        <v>-180.48</v>
      </c>
      <c r="BX142" s="106">
        <f t="shared" ca="1" si="119"/>
        <v>-270.72000000000003</v>
      </c>
      <c r="BY142" s="106">
        <f t="shared" ca="1" si="120"/>
        <v>-293.28000000000003</v>
      </c>
      <c r="BZ142" s="106">
        <f t="shared" ca="1" si="121"/>
        <v>-225.60000000000002</v>
      </c>
      <c r="CA142" s="106">
        <f t="shared" ca="1" si="118"/>
        <v>-157.91999999999999</v>
      </c>
    </row>
    <row r="143" spans="1:79" x14ac:dyDescent="0.35">
      <c r="A143" s="25" t="s">
        <v>157</v>
      </c>
      <c r="B143" s="10" t="s">
        <v>321</v>
      </c>
      <c r="C143" s="10" t="s">
        <v>342</v>
      </c>
      <c r="D143" s="10" t="s">
        <v>346</v>
      </c>
      <c r="E143" s="11">
        <v>45892</v>
      </c>
      <c r="F143" s="17">
        <v>45892</v>
      </c>
      <c r="G143" s="14">
        <f t="shared" ca="1" si="122"/>
        <v>207</v>
      </c>
      <c r="H143" s="17">
        <v>799</v>
      </c>
      <c r="I143" s="17">
        <v>439.00000000000006</v>
      </c>
      <c r="J143" s="75">
        <f t="shared" si="123"/>
        <v>890</v>
      </c>
      <c r="K143" s="17">
        <v>1050</v>
      </c>
      <c r="L143" s="85">
        <v>160</v>
      </c>
      <c r="M143" s="86">
        <f t="shared" ca="1" si="124"/>
        <v>0.77294685990338163</v>
      </c>
      <c r="N143" s="86">
        <f t="shared" si="125"/>
        <v>0.80451009251471861</v>
      </c>
      <c r="O143" s="86">
        <f t="shared" si="126"/>
        <v>0.48780487804878048</v>
      </c>
      <c r="P143" s="87">
        <f t="shared" si="127"/>
        <v>40</v>
      </c>
      <c r="Q143" s="104">
        <f t="shared" si="128"/>
        <v>22.25</v>
      </c>
      <c r="R143" s="88">
        <f t="shared" si="129"/>
        <v>45.056320400500624</v>
      </c>
      <c r="S143" s="88">
        <f t="shared" si="130"/>
        <v>15.238095238095239</v>
      </c>
      <c r="T143" s="13">
        <f t="shared" si="131"/>
        <v>1</v>
      </c>
      <c r="U143" s="13">
        <f t="shared" si="132"/>
        <v>1</v>
      </c>
      <c r="V143" s="13">
        <f t="shared" si="133"/>
        <v>2</v>
      </c>
      <c r="W143" s="13">
        <f t="shared" ca="1" si="134"/>
        <v>3</v>
      </c>
      <c r="X143" s="13">
        <f t="shared" ca="1" si="135"/>
        <v>7</v>
      </c>
      <c r="Y143" s="81" t="str">
        <f t="shared" ca="1" si="136"/>
        <v>MONITOR</v>
      </c>
      <c r="Z143" s="13">
        <v>14</v>
      </c>
      <c r="AA143" s="75">
        <v>46059</v>
      </c>
      <c r="AB143" s="75">
        <f t="shared" si="137"/>
        <v>45920</v>
      </c>
      <c r="AC143" s="88">
        <f t="shared" si="138"/>
        <v>19.857142857142858</v>
      </c>
      <c r="AD143" s="89" t="str">
        <f t="shared" ca="1" si="139"/>
        <v>STABLE</v>
      </c>
      <c r="AE143" s="89" t="str">
        <f t="shared" si="140"/>
        <v>SLOW SELLING</v>
      </c>
      <c r="AF143" s="89" t="str">
        <f t="shared" si="141"/>
        <v>AT RISK</v>
      </c>
      <c r="AG143" s="89" t="str">
        <f t="shared" si="142"/>
        <v>FEASIBLE</v>
      </c>
      <c r="AH143" s="81" t="str">
        <f t="shared" ca="1" si="143"/>
        <v>MONITOR</v>
      </c>
      <c r="AI143" s="75">
        <f t="shared" ca="1" si="144"/>
        <v>0</v>
      </c>
      <c r="AJ143" s="75">
        <f t="shared" ca="1" si="145"/>
        <v>-890</v>
      </c>
      <c r="AK143" s="13">
        <f t="shared" ca="1" si="146"/>
        <v>-1068</v>
      </c>
      <c r="AL143" s="79">
        <v>0.1</v>
      </c>
      <c r="AM143" s="79">
        <v>0.3</v>
      </c>
      <c r="AN143" s="79">
        <v>0.3</v>
      </c>
      <c r="AO143" s="79">
        <v>0.1</v>
      </c>
      <c r="AP143" s="79">
        <v>0.1</v>
      </c>
      <c r="AQ143" s="75">
        <f t="shared" si="147"/>
        <v>89</v>
      </c>
      <c r="AR143" s="75">
        <f t="shared" si="148"/>
        <v>267</v>
      </c>
      <c r="AS143" s="75">
        <f t="shared" si="149"/>
        <v>267</v>
      </c>
      <c r="AT143" s="75">
        <f t="shared" si="150"/>
        <v>89</v>
      </c>
      <c r="AU143" s="75">
        <f t="shared" si="151"/>
        <v>89</v>
      </c>
      <c r="AV143" s="13">
        <v>0.8</v>
      </c>
      <c r="AW143" s="13">
        <v>1.2</v>
      </c>
      <c r="AX143" s="13">
        <v>1.3</v>
      </c>
      <c r="AY143" s="13">
        <v>1</v>
      </c>
      <c r="AZ143" s="13">
        <v>0.7</v>
      </c>
      <c r="BA143" s="105">
        <f t="shared" si="152"/>
        <v>3.2</v>
      </c>
      <c r="BB143" s="13">
        <f t="shared" si="153"/>
        <v>14.399999999999999</v>
      </c>
      <c r="BC143" s="13">
        <f t="shared" si="154"/>
        <v>15.600000000000001</v>
      </c>
      <c r="BD143" s="13">
        <f t="shared" si="155"/>
        <v>4</v>
      </c>
      <c r="BE143" s="13">
        <f t="shared" si="156"/>
        <v>2.8</v>
      </c>
      <c r="BF143" s="88">
        <f t="shared" si="157"/>
        <v>27.8125</v>
      </c>
      <c r="BG143" s="88">
        <f t="shared" si="158"/>
        <v>18.541666666666668</v>
      </c>
      <c r="BH143" s="88">
        <f t="shared" si="159"/>
        <v>17.115384615384613</v>
      </c>
      <c r="BI143" s="88">
        <f t="shared" si="160"/>
        <v>22.25</v>
      </c>
      <c r="BJ143" s="88">
        <f t="shared" si="161"/>
        <v>31.785714285714288</v>
      </c>
      <c r="BK143" s="105">
        <f t="shared" si="162"/>
        <v>3.5955056179775284E-2</v>
      </c>
      <c r="BL143" s="105">
        <f t="shared" si="163"/>
        <v>5.3932584269662916E-2</v>
      </c>
      <c r="BM143" s="105">
        <f t="shared" si="164"/>
        <v>5.8426966292134841E-2</v>
      </c>
      <c r="BN143" s="105">
        <f t="shared" si="165"/>
        <v>4.49438202247191E-2</v>
      </c>
      <c r="BO143" s="105">
        <f t="shared" si="166"/>
        <v>3.1460674157303366E-2</v>
      </c>
      <c r="BP143" s="105">
        <f t="shared" si="167"/>
        <v>0.2247191011235955</v>
      </c>
      <c r="BQ143" s="79">
        <f t="shared" si="168"/>
        <v>0.16000000000000003</v>
      </c>
      <c r="BR143" s="79">
        <f t="shared" si="169"/>
        <v>0.24</v>
      </c>
      <c r="BS143" s="79">
        <f t="shared" si="170"/>
        <v>0.26000000000000006</v>
      </c>
      <c r="BT143" s="79">
        <f t="shared" si="171"/>
        <v>0.2</v>
      </c>
      <c r="BU143" s="79">
        <f t="shared" si="172"/>
        <v>0.13999999999999999</v>
      </c>
      <c r="BV143" s="90" t="str">
        <f t="array" aca="1" ref="BV143" ca="1">_xlfn.TEXTJOIN(" ",TRUE,
_xlfn.TEXTJOIN(":",TRUE,ROUND(BK143:BO143/MIN(IF(BK143:BO143&gt;0,BK143:BO143)),0)),
"|",
ROUND(SUM(BW143:CA143),0))</f>
        <v>1:2:2:1:1 | -1068</v>
      </c>
      <c r="BW143" s="106">
        <f t="shared" ca="1" si="173"/>
        <v>-170.88000000000002</v>
      </c>
      <c r="BX143" s="106">
        <f t="shared" ca="1" si="119"/>
        <v>-256.32</v>
      </c>
      <c r="BY143" s="106">
        <f t="shared" ca="1" si="120"/>
        <v>-277.68000000000006</v>
      </c>
      <c r="BZ143" s="106">
        <f t="shared" ca="1" si="121"/>
        <v>-213.60000000000002</v>
      </c>
      <c r="CA143" s="106">
        <f t="shared" ca="1" si="118"/>
        <v>-149.51999999999998</v>
      </c>
    </row>
    <row r="144" spans="1:79" x14ac:dyDescent="0.35">
      <c r="A144" s="25" t="s">
        <v>158</v>
      </c>
      <c r="B144" s="10" t="s">
        <v>321</v>
      </c>
      <c r="C144" s="10" t="s">
        <v>342</v>
      </c>
      <c r="D144" s="10" t="s">
        <v>346</v>
      </c>
      <c r="E144" s="11">
        <v>45864</v>
      </c>
      <c r="F144" s="17">
        <v>45892</v>
      </c>
      <c r="G144" s="14">
        <f t="shared" ca="1" si="122"/>
        <v>207</v>
      </c>
      <c r="H144" s="17">
        <v>999</v>
      </c>
      <c r="I144" s="17">
        <v>485</v>
      </c>
      <c r="J144" s="75">
        <f t="shared" si="123"/>
        <v>822</v>
      </c>
      <c r="K144" s="17">
        <v>1000</v>
      </c>
      <c r="L144" s="85">
        <v>178</v>
      </c>
      <c r="M144" s="86">
        <f t="shared" ca="1" si="124"/>
        <v>0.85990338164251212</v>
      </c>
      <c r="N144" s="86">
        <f t="shared" si="125"/>
        <v>0.80451009251471861</v>
      </c>
      <c r="O144" s="86">
        <f t="shared" si="126"/>
        <v>0.54268292682926833</v>
      </c>
      <c r="P144" s="87">
        <f t="shared" si="127"/>
        <v>44.5</v>
      </c>
      <c r="Q144" s="104">
        <f t="shared" si="128"/>
        <v>18.471910112359552</v>
      </c>
      <c r="R144" s="88">
        <f t="shared" si="129"/>
        <v>51.451451451451447</v>
      </c>
      <c r="S144" s="88">
        <f t="shared" si="130"/>
        <v>17.8</v>
      </c>
      <c r="T144" s="13">
        <f t="shared" si="131"/>
        <v>1</v>
      </c>
      <c r="U144" s="13">
        <f t="shared" si="132"/>
        <v>1</v>
      </c>
      <c r="V144" s="13">
        <f t="shared" si="133"/>
        <v>2</v>
      </c>
      <c r="W144" s="13">
        <f t="shared" ca="1" si="134"/>
        <v>3</v>
      </c>
      <c r="X144" s="13">
        <f t="shared" ca="1" si="135"/>
        <v>7</v>
      </c>
      <c r="Y144" s="81" t="str">
        <f t="shared" ca="1" si="136"/>
        <v>MONITOR</v>
      </c>
      <c r="Z144" s="13">
        <v>14</v>
      </c>
      <c r="AA144" s="75">
        <v>46059</v>
      </c>
      <c r="AB144" s="75">
        <f t="shared" si="137"/>
        <v>45920</v>
      </c>
      <c r="AC144" s="88">
        <f t="shared" si="138"/>
        <v>19.857142857142858</v>
      </c>
      <c r="AD144" s="89" t="str">
        <f t="shared" ca="1" si="139"/>
        <v>STABLE</v>
      </c>
      <c r="AE144" s="89" t="str">
        <f t="shared" si="140"/>
        <v>SLOW SELLING</v>
      </c>
      <c r="AF144" s="89" t="str">
        <f t="shared" si="141"/>
        <v>AT RISK</v>
      </c>
      <c r="AG144" s="89" t="str">
        <f t="shared" si="142"/>
        <v>FEASIBLE</v>
      </c>
      <c r="AH144" s="81" t="str">
        <f t="shared" ca="1" si="143"/>
        <v>MONITOR</v>
      </c>
      <c r="AI144" s="75">
        <f t="shared" ca="1" si="144"/>
        <v>0</v>
      </c>
      <c r="AJ144" s="75">
        <f t="shared" ca="1" si="145"/>
        <v>-822</v>
      </c>
      <c r="AK144" s="13">
        <f t="shared" ca="1" si="146"/>
        <v>-986</v>
      </c>
      <c r="AL144" s="79">
        <v>0.1</v>
      </c>
      <c r="AM144" s="79">
        <v>0.3</v>
      </c>
      <c r="AN144" s="79">
        <v>0.3</v>
      </c>
      <c r="AO144" s="79">
        <v>0.1</v>
      </c>
      <c r="AP144" s="79">
        <v>0.1</v>
      </c>
      <c r="AQ144" s="75">
        <f t="shared" si="147"/>
        <v>82.2</v>
      </c>
      <c r="AR144" s="75">
        <f t="shared" si="148"/>
        <v>246.6</v>
      </c>
      <c r="AS144" s="75">
        <f t="shared" si="149"/>
        <v>246.6</v>
      </c>
      <c r="AT144" s="75">
        <f t="shared" si="150"/>
        <v>82.2</v>
      </c>
      <c r="AU144" s="75">
        <f t="shared" si="151"/>
        <v>82.2</v>
      </c>
      <c r="AV144" s="13">
        <v>0.8</v>
      </c>
      <c r="AW144" s="13">
        <v>1.2</v>
      </c>
      <c r="AX144" s="13">
        <v>1.3</v>
      </c>
      <c r="AY144" s="13">
        <v>1</v>
      </c>
      <c r="AZ144" s="13">
        <v>0.7</v>
      </c>
      <c r="BA144" s="105">
        <f t="shared" si="152"/>
        <v>3.5600000000000005</v>
      </c>
      <c r="BB144" s="13">
        <f t="shared" si="153"/>
        <v>16.02</v>
      </c>
      <c r="BC144" s="13">
        <f t="shared" si="154"/>
        <v>17.355</v>
      </c>
      <c r="BD144" s="13">
        <f t="shared" si="155"/>
        <v>4.45</v>
      </c>
      <c r="BE144" s="13">
        <f t="shared" si="156"/>
        <v>3.1149999999999998</v>
      </c>
      <c r="BF144" s="88">
        <f t="shared" si="157"/>
        <v>23.089887640449437</v>
      </c>
      <c r="BG144" s="88">
        <f t="shared" si="158"/>
        <v>15.393258426966293</v>
      </c>
      <c r="BH144" s="88">
        <f t="shared" si="159"/>
        <v>14.209161624891962</v>
      </c>
      <c r="BI144" s="88">
        <f t="shared" si="160"/>
        <v>18.471910112359552</v>
      </c>
      <c r="BJ144" s="88">
        <f t="shared" si="161"/>
        <v>26.388443017656503</v>
      </c>
      <c r="BK144" s="105">
        <f t="shared" si="162"/>
        <v>4.3309002433090028E-2</v>
      </c>
      <c r="BL144" s="105">
        <f t="shared" si="163"/>
        <v>6.4963503649635032E-2</v>
      </c>
      <c r="BM144" s="105">
        <f t="shared" si="164"/>
        <v>7.0377128953771295E-2</v>
      </c>
      <c r="BN144" s="105">
        <f t="shared" si="165"/>
        <v>5.4136253041362527E-2</v>
      </c>
      <c r="BO144" s="105">
        <f t="shared" si="166"/>
        <v>3.7895377128953772E-2</v>
      </c>
      <c r="BP144" s="105">
        <f t="shared" si="167"/>
        <v>0.27068126520681268</v>
      </c>
      <c r="BQ144" s="79">
        <f t="shared" si="168"/>
        <v>0.16</v>
      </c>
      <c r="BR144" s="79">
        <f t="shared" si="169"/>
        <v>0.23999999999999996</v>
      </c>
      <c r="BS144" s="79">
        <f t="shared" si="170"/>
        <v>0.26</v>
      </c>
      <c r="BT144" s="79">
        <f t="shared" si="171"/>
        <v>0.19999999999999996</v>
      </c>
      <c r="BU144" s="79">
        <f t="shared" si="172"/>
        <v>0.13999999999999999</v>
      </c>
      <c r="BV144" s="90" t="str">
        <f t="array" aca="1" ref="BV144" ca="1">_xlfn.TEXTJOIN(" ",TRUE,
_xlfn.TEXTJOIN(":",TRUE,ROUND(BK144:BO144/MIN(IF(BK144:BO144&gt;0,BK144:BO144)),0)),
"|",
ROUND(SUM(BW144:CA144),0))</f>
        <v>1:2:2:1:1 | -986</v>
      </c>
      <c r="BW144" s="106">
        <f t="shared" ca="1" si="173"/>
        <v>-157.76</v>
      </c>
      <c r="BX144" s="106">
        <f t="shared" ca="1" si="119"/>
        <v>-236.63999999999996</v>
      </c>
      <c r="BY144" s="106">
        <f t="shared" ca="1" si="120"/>
        <v>-256.36</v>
      </c>
      <c r="BZ144" s="106">
        <f t="shared" ca="1" si="121"/>
        <v>-197.19999999999996</v>
      </c>
      <c r="CA144" s="106">
        <f t="shared" ca="1" si="118"/>
        <v>-138.04</v>
      </c>
    </row>
    <row r="145" spans="1:79" x14ac:dyDescent="0.35">
      <c r="A145" s="25" t="s">
        <v>159</v>
      </c>
      <c r="B145" s="10" t="s">
        <v>321</v>
      </c>
      <c r="C145" s="10" t="s">
        <v>342</v>
      </c>
      <c r="D145" s="10" t="s">
        <v>346</v>
      </c>
      <c r="E145" s="11">
        <v>45864</v>
      </c>
      <c r="F145" s="17">
        <v>45892</v>
      </c>
      <c r="G145" s="14">
        <f t="shared" ca="1" si="122"/>
        <v>207</v>
      </c>
      <c r="H145" s="17">
        <v>999</v>
      </c>
      <c r="I145" s="17">
        <v>485</v>
      </c>
      <c r="J145" s="75">
        <f t="shared" si="123"/>
        <v>870</v>
      </c>
      <c r="K145" s="17">
        <v>1000</v>
      </c>
      <c r="L145" s="85">
        <v>130</v>
      </c>
      <c r="M145" s="86">
        <f t="shared" ca="1" si="124"/>
        <v>0.6280193236714976</v>
      </c>
      <c r="N145" s="86">
        <f t="shared" si="125"/>
        <v>0.80451009251471861</v>
      </c>
      <c r="O145" s="86">
        <f t="shared" si="126"/>
        <v>0.39634146341463417</v>
      </c>
      <c r="P145" s="87">
        <f t="shared" si="127"/>
        <v>32.5</v>
      </c>
      <c r="Q145" s="104">
        <f t="shared" si="128"/>
        <v>26.76923076923077</v>
      </c>
      <c r="R145" s="88">
        <f t="shared" si="129"/>
        <v>51.451451451451447</v>
      </c>
      <c r="S145" s="88">
        <f t="shared" si="130"/>
        <v>13</v>
      </c>
      <c r="T145" s="13">
        <f t="shared" si="131"/>
        <v>1</v>
      </c>
      <c r="U145" s="13">
        <f t="shared" si="132"/>
        <v>1</v>
      </c>
      <c r="V145" s="13">
        <f t="shared" si="133"/>
        <v>2</v>
      </c>
      <c r="W145" s="13">
        <f t="shared" ca="1" si="134"/>
        <v>3</v>
      </c>
      <c r="X145" s="13">
        <f t="shared" ca="1" si="135"/>
        <v>7</v>
      </c>
      <c r="Y145" s="81" t="str">
        <f t="shared" ca="1" si="136"/>
        <v>MONITOR</v>
      </c>
      <c r="Z145" s="13">
        <v>14</v>
      </c>
      <c r="AA145" s="75">
        <v>46059</v>
      </c>
      <c r="AB145" s="75">
        <f t="shared" si="137"/>
        <v>45920</v>
      </c>
      <c r="AC145" s="88">
        <f t="shared" si="138"/>
        <v>19.857142857142858</v>
      </c>
      <c r="AD145" s="89" t="str">
        <f t="shared" ca="1" si="139"/>
        <v>STABLE</v>
      </c>
      <c r="AE145" s="89" t="str">
        <f t="shared" si="140"/>
        <v>SLOW SELLING</v>
      </c>
      <c r="AF145" s="89" t="str">
        <f t="shared" si="141"/>
        <v>AT RISK</v>
      </c>
      <c r="AG145" s="89" t="str">
        <f t="shared" si="142"/>
        <v>FEASIBLE</v>
      </c>
      <c r="AH145" s="81" t="str">
        <f t="shared" ca="1" si="143"/>
        <v>MONITOR</v>
      </c>
      <c r="AI145" s="75">
        <f t="shared" ca="1" si="144"/>
        <v>0</v>
      </c>
      <c r="AJ145" s="75">
        <f t="shared" ca="1" si="145"/>
        <v>-870</v>
      </c>
      <c r="AK145" s="13">
        <f t="shared" ca="1" si="146"/>
        <v>-1044</v>
      </c>
      <c r="AL145" s="79">
        <v>0.1</v>
      </c>
      <c r="AM145" s="79">
        <v>0.3</v>
      </c>
      <c r="AN145" s="79">
        <v>0.3</v>
      </c>
      <c r="AO145" s="79">
        <v>0.1</v>
      </c>
      <c r="AP145" s="79">
        <v>0.1</v>
      </c>
      <c r="AQ145" s="75">
        <f t="shared" si="147"/>
        <v>87</v>
      </c>
      <c r="AR145" s="75">
        <f t="shared" si="148"/>
        <v>261</v>
      </c>
      <c r="AS145" s="75">
        <f t="shared" si="149"/>
        <v>261</v>
      </c>
      <c r="AT145" s="75">
        <f t="shared" si="150"/>
        <v>87</v>
      </c>
      <c r="AU145" s="75">
        <f t="shared" si="151"/>
        <v>87</v>
      </c>
      <c r="AV145" s="13">
        <v>0.8</v>
      </c>
      <c r="AW145" s="13">
        <v>1.2</v>
      </c>
      <c r="AX145" s="13">
        <v>1.3</v>
      </c>
      <c r="AY145" s="13">
        <v>1</v>
      </c>
      <c r="AZ145" s="13">
        <v>0.7</v>
      </c>
      <c r="BA145" s="105">
        <f t="shared" si="152"/>
        <v>2.6</v>
      </c>
      <c r="BB145" s="13">
        <f t="shared" si="153"/>
        <v>11.7</v>
      </c>
      <c r="BC145" s="13">
        <f t="shared" si="154"/>
        <v>12.675000000000001</v>
      </c>
      <c r="BD145" s="13">
        <f t="shared" si="155"/>
        <v>3.25</v>
      </c>
      <c r="BE145" s="13">
        <f t="shared" si="156"/>
        <v>2.2749999999999999</v>
      </c>
      <c r="BF145" s="88">
        <f t="shared" si="157"/>
        <v>33.46153846153846</v>
      </c>
      <c r="BG145" s="88">
        <f t="shared" si="158"/>
        <v>22.30769230769231</v>
      </c>
      <c r="BH145" s="88">
        <f t="shared" si="159"/>
        <v>20.591715976331361</v>
      </c>
      <c r="BI145" s="88">
        <f t="shared" si="160"/>
        <v>26.76923076923077</v>
      </c>
      <c r="BJ145" s="88">
        <f t="shared" si="161"/>
        <v>38.241758241758241</v>
      </c>
      <c r="BK145" s="105">
        <f t="shared" si="162"/>
        <v>2.9885057471264371E-2</v>
      </c>
      <c r="BL145" s="105">
        <f t="shared" si="163"/>
        <v>4.4827586206896544E-2</v>
      </c>
      <c r="BM145" s="105">
        <f t="shared" si="164"/>
        <v>4.8563218390804595E-2</v>
      </c>
      <c r="BN145" s="105">
        <f t="shared" si="165"/>
        <v>3.7356321839080456E-2</v>
      </c>
      <c r="BO145" s="105">
        <f t="shared" si="166"/>
        <v>2.6149425287356323E-2</v>
      </c>
      <c r="BP145" s="105">
        <f t="shared" si="167"/>
        <v>0.18678160919540227</v>
      </c>
      <c r="BQ145" s="79">
        <f t="shared" si="168"/>
        <v>0.16000000000000006</v>
      </c>
      <c r="BR145" s="79">
        <f t="shared" si="169"/>
        <v>0.24</v>
      </c>
      <c r="BS145" s="79">
        <f t="shared" si="170"/>
        <v>0.26</v>
      </c>
      <c r="BT145" s="79">
        <f t="shared" si="171"/>
        <v>0.2</v>
      </c>
      <c r="BU145" s="79">
        <f t="shared" si="172"/>
        <v>0.14000000000000004</v>
      </c>
      <c r="BV145" s="90" t="str">
        <f t="array" aca="1" ref="BV145" ca="1">_xlfn.TEXTJOIN(" ",TRUE,
_xlfn.TEXTJOIN(":",TRUE,ROUND(BK145:BO145/MIN(IF(BK145:BO145&gt;0,BK145:BO145)),0)),
"|",
ROUND(SUM(BW145:CA145),0))</f>
        <v>1:2:2:1:1 | -1044</v>
      </c>
      <c r="BW145" s="106">
        <f t="shared" ca="1" si="173"/>
        <v>-167.04000000000005</v>
      </c>
      <c r="BX145" s="106">
        <f t="shared" ca="1" si="119"/>
        <v>-250.56</v>
      </c>
      <c r="BY145" s="106">
        <f t="shared" ca="1" si="120"/>
        <v>-271.44</v>
      </c>
      <c r="BZ145" s="106">
        <f t="shared" ca="1" si="121"/>
        <v>-208.8</v>
      </c>
      <c r="CA145" s="106">
        <f t="shared" ca="1" si="118"/>
        <v>-146.16000000000005</v>
      </c>
    </row>
    <row r="146" spans="1:79" x14ac:dyDescent="0.35">
      <c r="A146" s="25" t="s">
        <v>160</v>
      </c>
      <c r="B146" s="10" t="s">
        <v>321</v>
      </c>
      <c r="C146" s="10" t="s">
        <v>342</v>
      </c>
      <c r="D146" s="10" t="s">
        <v>346</v>
      </c>
      <c r="E146" s="11">
        <v>45864</v>
      </c>
      <c r="F146" s="17">
        <v>45892</v>
      </c>
      <c r="G146" s="14">
        <f t="shared" ca="1" si="122"/>
        <v>207</v>
      </c>
      <c r="H146" s="17">
        <v>999</v>
      </c>
      <c r="I146" s="17">
        <v>485</v>
      </c>
      <c r="J146" s="75">
        <f t="shared" si="123"/>
        <v>885</v>
      </c>
      <c r="K146" s="17">
        <v>1000</v>
      </c>
      <c r="L146" s="85">
        <v>115</v>
      </c>
      <c r="M146" s="86">
        <f t="shared" ca="1" si="124"/>
        <v>0.55555555555555558</v>
      </c>
      <c r="N146" s="86">
        <f t="shared" si="125"/>
        <v>0.80451009251471861</v>
      </c>
      <c r="O146" s="86">
        <f t="shared" si="126"/>
        <v>0.35060975609756095</v>
      </c>
      <c r="P146" s="87">
        <f t="shared" si="127"/>
        <v>28.75</v>
      </c>
      <c r="Q146" s="104">
        <f t="shared" si="128"/>
        <v>30.782608695652176</v>
      </c>
      <c r="R146" s="88">
        <f t="shared" si="129"/>
        <v>51.451451451451447</v>
      </c>
      <c r="S146" s="88">
        <f t="shared" si="130"/>
        <v>11.5</v>
      </c>
      <c r="T146" s="13">
        <f t="shared" si="131"/>
        <v>1</v>
      </c>
      <c r="U146" s="13">
        <f t="shared" si="132"/>
        <v>1</v>
      </c>
      <c r="V146" s="13">
        <f t="shared" si="133"/>
        <v>2</v>
      </c>
      <c r="W146" s="13">
        <f t="shared" ca="1" si="134"/>
        <v>3</v>
      </c>
      <c r="X146" s="13">
        <f t="shared" ca="1" si="135"/>
        <v>7</v>
      </c>
      <c r="Y146" s="81" t="str">
        <f t="shared" ca="1" si="136"/>
        <v>MONITOR</v>
      </c>
      <c r="Z146" s="13">
        <v>14</v>
      </c>
      <c r="AA146" s="75">
        <v>46059</v>
      </c>
      <c r="AB146" s="75">
        <f t="shared" si="137"/>
        <v>45920</v>
      </c>
      <c r="AC146" s="88">
        <f t="shared" si="138"/>
        <v>19.857142857142858</v>
      </c>
      <c r="AD146" s="89" t="str">
        <f t="shared" ca="1" si="139"/>
        <v>STABLE</v>
      </c>
      <c r="AE146" s="89" t="str">
        <f t="shared" si="140"/>
        <v>SLOW SELLING</v>
      </c>
      <c r="AF146" s="89" t="str">
        <f t="shared" si="141"/>
        <v>AT RISK</v>
      </c>
      <c r="AG146" s="89" t="str">
        <f t="shared" si="142"/>
        <v>FEASIBLE</v>
      </c>
      <c r="AH146" s="81" t="str">
        <f t="shared" ca="1" si="143"/>
        <v>MONITOR</v>
      </c>
      <c r="AI146" s="75">
        <f t="shared" ca="1" si="144"/>
        <v>0</v>
      </c>
      <c r="AJ146" s="75">
        <f t="shared" ca="1" si="145"/>
        <v>-885</v>
      </c>
      <c r="AK146" s="13">
        <f t="shared" ca="1" si="146"/>
        <v>-1062</v>
      </c>
      <c r="AL146" s="79">
        <v>0.1</v>
      </c>
      <c r="AM146" s="79">
        <v>0.3</v>
      </c>
      <c r="AN146" s="79">
        <v>0.3</v>
      </c>
      <c r="AO146" s="79">
        <v>0.1</v>
      </c>
      <c r="AP146" s="79">
        <v>0.1</v>
      </c>
      <c r="AQ146" s="75">
        <f t="shared" si="147"/>
        <v>88.5</v>
      </c>
      <c r="AR146" s="75">
        <f t="shared" si="148"/>
        <v>265.5</v>
      </c>
      <c r="AS146" s="75">
        <f t="shared" si="149"/>
        <v>265.5</v>
      </c>
      <c r="AT146" s="75">
        <f t="shared" si="150"/>
        <v>88.5</v>
      </c>
      <c r="AU146" s="75">
        <f t="shared" si="151"/>
        <v>88.5</v>
      </c>
      <c r="AV146" s="13">
        <v>0.8</v>
      </c>
      <c r="AW146" s="13">
        <v>1.2</v>
      </c>
      <c r="AX146" s="13">
        <v>1.3</v>
      </c>
      <c r="AY146" s="13">
        <v>1</v>
      </c>
      <c r="AZ146" s="13">
        <v>0.7</v>
      </c>
      <c r="BA146" s="105">
        <f t="shared" si="152"/>
        <v>2.3000000000000003</v>
      </c>
      <c r="BB146" s="13">
        <f t="shared" si="153"/>
        <v>10.35</v>
      </c>
      <c r="BC146" s="13">
        <f t="shared" si="154"/>
        <v>11.2125</v>
      </c>
      <c r="BD146" s="13">
        <f t="shared" si="155"/>
        <v>2.875</v>
      </c>
      <c r="BE146" s="13">
        <f t="shared" si="156"/>
        <v>2.0124999999999997</v>
      </c>
      <c r="BF146" s="88">
        <f t="shared" si="157"/>
        <v>38.478260869565212</v>
      </c>
      <c r="BG146" s="88">
        <f t="shared" si="158"/>
        <v>25.65217391304348</v>
      </c>
      <c r="BH146" s="88">
        <f t="shared" si="159"/>
        <v>23.678929765886288</v>
      </c>
      <c r="BI146" s="88">
        <f t="shared" si="160"/>
        <v>30.782608695652176</v>
      </c>
      <c r="BJ146" s="88">
        <f t="shared" si="161"/>
        <v>43.975155279503113</v>
      </c>
      <c r="BK146" s="105">
        <f t="shared" si="162"/>
        <v>2.5988700564971757E-2</v>
      </c>
      <c r="BL146" s="105">
        <f t="shared" si="163"/>
        <v>3.8983050847457623E-2</v>
      </c>
      <c r="BM146" s="105">
        <f t="shared" si="164"/>
        <v>4.2231638418079094E-2</v>
      </c>
      <c r="BN146" s="105">
        <f t="shared" si="165"/>
        <v>3.2485875706214688E-2</v>
      </c>
      <c r="BO146" s="105">
        <f t="shared" si="166"/>
        <v>2.2740112994350279E-2</v>
      </c>
      <c r="BP146" s="105">
        <f t="shared" si="167"/>
        <v>0.16242937853107345</v>
      </c>
      <c r="BQ146" s="79">
        <f t="shared" si="168"/>
        <v>0.16000000000000003</v>
      </c>
      <c r="BR146" s="79">
        <f t="shared" si="169"/>
        <v>0.23999999999999996</v>
      </c>
      <c r="BS146" s="79">
        <f t="shared" si="170"/>
        <v>0.26</v>
      </c>
      <c r="BT146" s="79">
        <f t="shared" si="171"/>
        <v>0.19999999999999998</v>
      </c>
      <c r="BU146" s="79">
        <f t="shared" si="172"/>
        <v>0.13999999999999999</v>
      </c>
      <c r="BV146" s="90" t="str">
        <f t="array" aca="1" ref="BV146" ca="1">_xlfn.TEXTJOIN(" ",TRUE,
_xlfn.TEXTJOIN(":",TRUE,ROUND(BK146:BO146/MIN(IF(BK146:BO146&gt;0,BK146:BO146)),0)),
"|",
ROUND(SUM(BW146:CA146),0))</f>
        <v>1:2:2:1:1 | -1062</v>
      </c>
      <c r="BW146" s="106">
        <f t="shared" ca="1" si="173"/>
        <v>-169.92000000000004</v>
      </c>
      <c r="BX146" s="106">
        <f t="shared" ca="1" si="119"/>
        <v>-254.87999999999997</v>
      </c>
      <c r="BY146" s="106">
        <f t="shared" ca="1" si="120"/>
        <v>-276.12</v>
      </c>
      <c r="BZ146" s="106">
        <f t="shared" ca="1" si="121"/>
        <v>-212.39999999999998</v>
      </c>
      <c r="CA146" s="106">
        <f t="shared" ca="1" si="118"/>
        <v>-148.67999999999998</v>
      </c>
    </row>
    <row r="147" spans="1:79" x14ac:dyDescent="0.35">
      <c r="A147" s="25" t="s">
        <v>161</v>
      </c>
      <c r="B147" s="10" t="s">
        <v>321</v>
      </c>
      <c r="C147" s="10" t="s">
        <v>342</v>
      </c>
      <c r="D147" s="10" t="s">
        <v>346</v>
      </c>
      <c r="E147" s="11">
        <v>45864</v>
      </c>
      <c r="F147" s="17">
        <v>45892</v>
      </c>
      <c r="G147" s="14">
        <f t="shared" ca="1" si="122"/>
        <v>207</v>
      </c>
      <c r="H147" s="17">
        <v>999</v>
      </c>
      <c r="I147" s="17">
        <v>485</v>
      </c>
      <c r="J147" s="75">
        <f t="shared" si="123"/>
        <v>998</v>
      </c>
      <c r="K147" s="17">
        <v>1000</v>
      </c>
      <c r="L147" s="85">
        <v>2</v>
      </c>
      <c r="M147" s="86">
        <f t="shared" ca="1" si="124"/>
        <v>9.6618357487922701E-3</v>
      </c>
      <c r="N147" s="86">
        <f t="shared" si="125"/>
        <v>0.80451009251471861</v>
      </c>
      <c r="O147" s="86">
        <f t="shared" si="126"/>
        <v>6.0975609756097563E-3</v>
      </c>
      <c r="P147" s="87">
        <f t="shared" si="127"/>
        <v>0.5</v>
      </c>
      <c r="Q147" s="104">
        <f t="shared" si="128"/>
        <v>1996</v>
      </c>
      <c r="R147" s="88">
        <f t="shared" si="129"/>
        <v>51.451451451451447</v>
      </c>
      <c r="S147" s="88">
        <f t="shared" si="130"/>
        <v>0.2</v>
      </c>
      <c r="T147" s="13">
        <f t="shared" si="131"/>
        <v>1</v>
      </c>
      <c r="U147" s="13">
        <f t="shared" si="132"/>
        <v>1</v>
      </c>
      <c r="V147" s="13">
        <f t="shared" si="133"/>
        <v>2</v>
      </c>
      <c r="W147" s="13">
        <f t="shared" ca="1" si="134"/>
        <v>3</v>
      </c>
      <c r="X147" s="13">
        <f t="shared" ca="1" si="135"/>
        <v>7</v>
      </c>
      <c r="Y147" s="81" t="str">
        <f t="shared" ca="1" si="136"/>
        <v>MONITOR</v>
      </c>
      <c r="Z147" s="13">
        <v>14</v>
      </c>
      <c r="AA147" s="75">
        <v>46059</v>
      </c>
      <c r="AB147" s="75">
        <f t="shared" si="137"/>
        <v>45920</v>
      </c>
      <c r="AC147" s="88">
        <f t="shared" si="138"/>
        <v>19.857142857142858</v>
      </c>
      <c r="AD147" s="89" t="str">
        <f t="shared" ca="1" si="139"/>
        <v>STABLE</v>
      </c>
      <c r="AE147" s="89" t="str">
        <f t="shared" si="140"/>
        <v>SLOW SELLING</v>
      </c>
      <c r="AF147" s="89" t="str">
        <f t="shared" si="141"/>
        <v>AT RISK</v>
      </c>
      <c r="AG147" s="89" t="str">
        <f t="shared" si="142"/>
        <v>FEASIBLE</v>
      </c>
      <c r="AH147" s="81" t="str">
        <f t="shared" ca="1" si="143"/>
        <v>MONITOR</v>
      </c>
      <c r="AI147" s="75">
        <f t="shared" ca="1" si="144"/>
        <v>0</v>
      </c>
      <c r="AJ147" s="75">
        <f t="shared" ca="1" si="145"/>
        <v>-998</v>
      </c>
      <c r="AK147" s="13">
        <f t="shared" ca="1" si="146"/>
        <v>-1198</v>
      </c>
      <c r="AL147" s="79">
        <v>0.1</v>
      </c>
      <c r="AM147" s="79">
        <v>0.3</v>
      </c>
      <c r="AN147" s="79">
        <v>0.3</v>
      </c>
      <c r="AO147" s="79">
        <v>0.1</v>
      </c>
      <c r="AP147" s="79">
        <v>0.1</v>
      </c>
      <c r="AQ147" s="75">
        <f t="shared" si="147"/>
        <v>99.800000000000011</v>
      </c>
      <c r="AR147" s="75">
        <f t="shared" si="148"/>
        <v>299.39999999999998</v>
      </c>
      <c r="AS147" s="75">
        <f t="shared" si="149"/>
        <v>299.39999999999998</v>
      </c>
      <c r="AT147" s="75">
        <f t="shared" si="150"/>
        <v>99.800000000000011</v>
      </c>
      <c r="AU147" s="75">
        <f t="shared" si="151"/>
        <v>99.800000000000011</v>
      </c>
      <c r="AV147" s="13">
        <v>0.8</v>
      </c>
      <c r="AW147" s="13">
        <v>1.2</v>
      </c>
      <c r="AX147" s="13">
        <v>1.3</v>
      </c>
      <c r="AY147" s="13">
        <v>1</v>
      </c>
      <c r="AZ147" s="13">
        <v>0.7</v>
      </c>
      <c r="BA147" s="105">
        <f t="shared" si="152"/>
        <v>4.0000000000000008E-2</v>
      </c>
      <c r="BB147" s="13">
        <f t="shared" si="153"/>
        <v>0.18</v>
      </c>
      <c r="BC147" s="13">
        <f t="shared" si="154"/>
        <v>0.19500000000000001</v>
      </c>
      <c r="BD147" s="13">
        <f t="shared" si="155"/>
        <v>0.05</v>
      </c>
      <c r="BE147" s="13">
        <f t="shared" si="156"/>
        <v>3.4999999999999996E-2</v>
      </c>
      <c r="BF147" s="88">
        <f t="shared" si="157"/>
        <v>2495</v>
      </c>
      <c r="BG147" s="88">
        <f t="shared" si="158"/>
        <v>1663.3333333333333</v>
      </c>
      <c r="BH147" s="88">
        <f t="shared" si="159"/>
        <v>1535.3846153846152</v>
      </c>
      <c r="BI147" s="88">
        <f t="shared" si="160"/>
        <v>1996.0000000000002</v>
      </c>
      <c r="BJ147" s="88">
        <f t="shared" si="161"/>
        <v>2851.428571428572</v>
      </c>
      <c r="BK147" s="105">
        <f t="shared" si="162"/>
        <v>4.0080160320641282E-4</v>
      </c>
      <c r="BL147" s="105">
        <f t="shared" si="163"/>
        <v>6.0120240480961932E-4</v>
      </c>
      <c r="BM147" s="105">
        <f t="shared" si="164"/>
        <v>6.5130260521042093E-4</v>
      </c>
      <c r="BN147" s="105">
        <f t="shared" si="165"/>
        <v>5.0100200400801599E-4</v>
      </c>
      <c r="BO147" s="105">
        <f t="shared" si="166"/>
        <v>3.5070140280561116E-4</v>
      </c>
      <c r="BP147" s="105">
        <f t="shared" si="167"/>
        <v>2.5050100200400801E-3</v>
      </c>
      <c r="BQ147" s="79">
        <f t="shared" si="168"/>
        <v>0.16</v>
      </c>
      <c r="BR147" s="79">
        <f t="shared" si="169"/>
        <v>0.24000000000000005</v>
      </c>
      <c r="BS147" s="79">
        <f t="shared" si="170"/>
        <v>0.26000000000000006</v>
      </c>
      <c r="BT147" s="79">
        <f t="shared" si="171"/>
        <v>0.19999999999999998</v>
      </c>
      <c r="BU147" s="79">
        <f t="shared" si="172"/>
        <v>0.13999999999999999</v>
      </c>
      <c r="BV147" s="90" t="str">
        <f t="array" aca="1" ref="BV147" ca="1">_xlfn.TEXTJOIN(" ",TRUE,
_xlfn.TEXTJOIN(":",TRUE,ROUND(BK147:BO147/MIN(IF(BK147:BO147&gt;0,BK147:BO147)),0)),
"|",
ROUND(SUM(BW147:CA147),0))</f>
        <v>1:2:2:1:1 | -1198</v>
      </c>
      <c r="BW147" s="106">
        <f t="shared" ca="1" si="173"/>
        <v>-191.68</v>
      </c>
      <c r="BX147" s="106">
        <f t="shared" ca="1" si="119"/>
        <v>-287.52000000000004</v>
      </c>
      <c r="BY147" s="106">
        <f t="shared" ca="1" si="120"/>
        <v>-311.48000000000008</v>
      </c>
      <c r="BZ147" s="106">
        <f t="shared" ca="1" si="121"/>
        <v>-239.59999999999997</v>
      </c>
      <c r="CA147" s="106">
        <f t="shared" ca="1" si="118"/>
        <v>-167.71999999999997</v>
      </c>
    </row>
    <row r="148" spans="1:79" x14ac:dyDescent="0.35">
      <c r="A148" s="25" t="s">
        <v>162</v>
      </c>
      <c r="B148" s="10" t="s">
        <v>321</v>
      </c>
      <c r="C148" s="10" t="s">
        <v>342</v>
      </c>
      <c r="D148" s="10" t="s">
        <v>346</v>
      </c>
      <c r="E148" s="11">
        <v>45927</v>
      </c>
      <c r="F148" s="17">
        <v>45892</v>
      </c>
      <c r="G148" s="14">
        <f t="shared" ca="1" si="122"/>
        <v>207</v>
      </c>
      <c r="H148" s="17">
        <v>599</v>
      </c>
      <c r="I148" s="17">
        <v>290</v>
      </c>
      <c r="J148" s="75">
        <f t="shared" si="123"/>
        <v>799</v>
      </c>
      <c r="K148" s="17">
        <v>900</v>
      </c>
      <c r="L148" s="85">
        <v>101</v>
      </c>
      <c r="M148" s="86">
        <f t="shared" ca="1" si="124"/>
        <v>0.48792270531400966</v>
      </c>
      <c r="N148" s="86">
        <f t="shared" si="125"/>
        <v>0.80451009251471861</v>
      </c>
      <c r="O148" s="86">
        <f t="shared" si="126"/>
        <v>0.30792682926829268</v>
      </c>
      <c r="P148" s="87">
        <f t="shared" si="127"/>
        <v>25.25</v>
      </c>
      <c r="Q148" s="104">
        <f t="shared" si="128"/>
        <v>31.643564356435643</v>
      </c>
      <c r="R148" s="88">
        <f t="shared" si="129"/>
        <v>51.58597662771286</v>
      </c>
      <c r="S148" s="88">
        <f t="shared" si="130"/>
        <v>11.222222222222221</v>
      </c>
      <c r="T148" s="13">
        <f t="shared" si="131"/>
        <v>1</v>
      </c>
      <c r="U148" s="13">
        <f t="shared" si="132"/>
        <v>1</v>
      </c>
      <c r="V148" s="13">
        <f t="shared" si="133"/>
        <v>2</v>
      </c>
      <c r="W148" s="13">
        <f t="shared" ca="1" si="134"/>
        <v>3</v>
      </c>
      <c r="X148" s="13">
        <f t="shared" ca="1" si="135"/>
        <v>7</v>
      </c>
      <c r="Y148" s="81" t="str">
        <f t="shared" ca="1" si="136"/>
        <v>MONITOR</v>
      </c>
      <c r="Z148" s="13">
        <v>14</v>
      </c>
      <c r="AA148" s="75">
        <v>46059</v>
      </c>
      <c r="AB148" s="75">
        <f t="shared" si="137"/>
        <v>45920</v>
      </c>
      <c r="AC148" s="88">
        <f t="shared" si="138"/>
        <v>19.857142857142858</v>
      </c>
      <c r="AD148" s="89" t="str">
        <f t="shared" ca="1" si="139"/>
        <v>STABLE</v>
      </c>
      <c r="AE148" s="89" t="str">
        <f t="shared" si="140"/>
        <v>SLOW SELLING</v>
      </c>
      <c r="AF148" s="89" t="str">
        <f t="shared" si="141"/>
        <v>AT RISK</v>
      </c>
      <c r="AG148" s="89" t="str">
        <f t="shared" si="142"/>
        <v>FEASIBLE</v>
      </c>
      <c r="AH148" s="81" t="str">
        <f t="shared" ca="1" si="143"/>
        <v>MONITOR</v>
      </c>
      <c r="AI148" s="75">
        <f t="shared" ca="1" si="144"/>
        <v>0</v>
      </c>
      <c r="AJ148" s="75">
        <f t="shared" ca="1" si="145"/>
        <v>-799</v>
      </c>
      <c r="AK148" s="13">
        <f t="shared" ca="1" si="146"/>
        <v>-959</v>
      </c>
      <c r="AL148" s="79">
        <v>0.1</v>
      </c>
      <c r="AM148" s="79">
        <v>0.3</v>
      </c>
      <c r="AN148" s="79">
        <v>0.3</v>
      </c>
      <c r="AO148" s="79">
        <v>0.1</v>
      </c>
      <c r="AP148" s="79">
        <v>0.1</v>
      </c>
      <c r="AQ148" s="75">
        <f t="shared" si="147"/>
        <v>79.900000000000006</v>
      </c>
      <c r="AR148" s="75">
        <f t="shared" si="148"/>
        <v>239.7</v>
      </c>
      <c r="AS148" s="75">
        <f t="shared" si="149"/>
        <v>239.7</v>
      </c>
      <c r="AT148" s="75">
        <f t="shared" si="150"/>
        <v>79.900000000000006</v>
      </c>
      <c r="AU148" s="75">
        <f t="shared" si="151"/>
        <v>79.900000000000006</v>
      </c>
      <c r="AV148" s="13">
        <v>0.8</v>
      </c>
      <c r="AW148" s="13">
        <v>1.2</v>
      </c>
      <c r="AX148" s="13">
        <v>1.3</v>
      </c>
      <c r="AY148" s="13">
        <v>1</v>
      </c>
      <c r="AZ148" s="13">
        <v>0.7</v>
      </c>
      <c r="BA148" s="105">
        <f t="shared" si="152"/>
        <v>2.0200000000000005</v>
      </c>
      <c r="BB148" s="13">
        <f t="shared" si="153"/>
        <v>9.0899999999999981</v>
      </c>
      <c r="BC148" s="13">
        <f t="shared" si="154"/>
        <v>9.8475000000000001</v>
      </c>
      <c r="BD148" s="13">
        <f t="shared" si="155"/>
        <v>2.5250000000000004</v>
      </c>
      <c r="BE148" s="13">
        <f t="shared" si="156"/>
        <v>1.7675000000000001</v>
      </c>
      <c r="BF148" s="88">
        <f t="shared" si="157"/>
        <v>39.554455445544548</v>
      </c>
      <c r="BG148" s="88">
        <f t="shared" si="158"/>
        <v>26.369636963696372</v>
      </c>
      <c r="BH148" s="88">
        <f t="shared" si="159"/>
        <v>24.34120335110434</v>
      </c>
      <c r="BI148" s="88">
        <f t="shared" si="160"/>
        <v>31.64356435643564</v>
      </c>
      <c r="BJ148" s="88">
        <f t="shared" si="161"/>
        <v>45.205091937765204</v>
      </c>
      <c r="BK148" s="105">
        <f t="shared" si="162"/>
        <v>2.5281602002503133E-2</v>
      </c>
      <c r="BL148" s="105">
        <f t="shared" si="163"/>
        <v>3.7922403003754691E-2</v>
      </c>
      <c r="BM148" s="105">
        <f t="shared" si="164"/>
        <v>4.1082603254067589E-2</v>
      </c>
      <c r="BN148" s="105">
        <f t="shared" si="165"/>
        <v>3.1602002503128918E-2</v>
      </c>
      <c r="BO148" s="105">
        <f t="shared" si="166"/>
        <v>2.212140175219024E-2</v>
      </c>
      <c r="BP148" s="105">
        <f t="shared" si="167"/>
        <v>0.15801001251564456</v>
      </c>
      <c r="BQ148" s="79">
        <f t="shared" si="168"/>
        <v>0.16000000000000003</v>
      </c>
      <c r="BR148" s="79">
        <f t="shared" si="169"/>
        <v>0.24</v>
      </c>
      <c r="BS148" s="79">
        <f t="shared" si="170"/>
        <v>0.26</v>
      </c>
      <c r="BT148" s="79">
        <f t="shared" si="171"/>
        <v>0.20000000000000004</v>
      </c>
      <c r="BU148" s="79">
        <f t="shared" si="172"/>
        <v>0.14000000000000001</v>
      </c>
      <c r="BV148" s="90" t="str">
        <f t="array" aca="1" ref="BV148" ca="1">_xlfn.TEXTJOIN(" ",TRUE,
_xlfn.TEXTJOIN(":",TRUE,ROUND(BK148:BO148/MIN(IF(BK148:BO148&gt;0,BK148:BO148)),0)),
"|",
ROUND(SUM(BW148:CA148),0))</f>
        <v>1:2:2:1:1 | -959</v>
      </c>
      <c r="BW148" s="106">
        <f t="shared" ca="1" si="173"/>
        <v>-153.44000000000003</v>
      </c>
      <c r="BX148" s="106">
        <f t="shared" ca="1" si="119"/>
        <v>-230.16</v>
      </c>
      <c r="BY148" s="106">
        <f t="shared" ca="1" si="120"/>
        <v>-249.34</v>
      </c>
      <c r="BZ148" s="106">
        <f t="shared" ca="1" si="121"/>
        <v>-191.80000000000004</v>
      </c>
      <c r="CA148" s="106">
        <f t="shared" ca="1" si="118"/>
        <v>-134.26000000000002</v>
      </c>
    </row>
    <row r="149" spans="1:79" x14ac:dyDescent="0.35">
      <c r="A149" s="25" t="s">
        <v>163</v>
      </c>
      <c r="B149" s="10" t="s">
        <v>319</v>
      </c>
      <c r="C149" s="10" t="s">
        <v>342</v>
      </c>
      <c r="D149" s="10" t="s">
        <v>346</v>
      </c>
      <c r="E149" s="11">
        <v>45892</v>
      </c>
      <c r="F149" s="17">
        <v>45892</v>
      </c>
      <c r="G149" s="14">
        <f t="shared" ca="1" si="122"/>
        <v>207</v>
      </c>
      <c r="H149" s="17">
        <v>499</v>
      </c>
      <c r="I149" s="17">
        <v>259</v>
      </c>
      <c r="J149" s="75">
        <f t="shared" si="123"/>
        <v>982</v>
      </c>
      <c r="K149" s="17">
        <v>1050</v>
      </c>
      <c r="L149" s="85">
        <v>68</v>
      </c>
      <c r="M149" s="86">
        <f t="shared" ca="1" si="124"/>
        <v>0.32850241545893721</v>
      </c>
      <c r="N149" s="86">
        <f t="shared" si="125"/>
        <v>0.80451009251471861</v>
      </c>
      <c r="O149" s="86">
        <f t="shared" si="126"/>
        <v>0.2073170731707317</v>
      </c>
      <c r="P149" s="87">
        <f t="shared" si="127"/>
        <v>17</v>
      </c>
      <c r="Q149" s="104">
        <f t="shared" si="128"/>
        <v>57.764705882352942</v>
      </c>
      <c r="R149" s="88">
        <f t="shared" si="129"/>
        <v>48.096192384769537</v>
      </c>
      <c r="S149" s="88">
        <f t="shared" si="130"/>
        <v>6.4761904761904754</v>
      </c>
      <c r="T149" s="13">
        <f t="shared" si="131"/>
        <v>1</v>
      </c>
      <c r="U149" s="13">
        <f t="shared" si="132"/>
        <v>1</v>
      </c>
      <c r="V149" s="13">
        <f t="shared" si="133"/>
        <v>2</v>
      </c>
      <c r="W149" s="13">
        <f t="shared" ca="1" si="134"/>
        <v>3</v>
      </c>
      <c r="X149" s="13">
        <f t="shared" ca="1" si="135"/>
        <v>7</v>
      </c>
      <c r="Y149" s="81" t="str">
        <f t="shared" ca="1" si="136"/>
        <v>MONITOR</v>
      </c>
      <c r="Z149" s="13">
        <v>14</v>
      </c>
      <c r="AA149" s="75">
        <v>46059</v>
      </c>
      <c r="AB149" s="75">
        <f t="shared" si="137"/>
        <v>45920</v>
      </c>
      <c r="AC149" s="88">
        <f t="shared" si="138"/>
        <v>19.857142857142858</v>
      </c>
      <c r="AD149" s="89" t="str">
        <f t="shared" ca="1" si="139"/>
        <v>STABLE</v>
      </c>
      <c r="AE149" s="89" t="str">
        <f t="shared" si="140"/>
        <v>SLOW SELLING</v>
      </c>
      <c r="AF149" s="89" t="str">
        <f t="shared" si="141"/>
        <v>AT RISK</v>
      </c>
      <c r="AG149" s="89" t="str">
        <f t="shared" si="142"/>
        <v>FEASIBLE</v>
      </c>
      <c r="AH149" s="81" t="str">
        <f t="shared" ca="1" si="143"/>
        <v>MONITOR</v>
      </c>
      <c r="AI149" s="75">
        <f t="shared" ca="1" si="144"/>
        <v>0</v>
      </c>
      <c r="AJ149" s="75">
        <f t="shared" ca="1" si="145"/>
        <v>-982</v>
      </c>
      <c r="AK149" s="13">
        <f t="shared" ca="1" si="146"/>
        <v>-1178</v>
      </c>
      <c r="AL149" s="79">
        <v>0.1</v>
      </c>
      <c r="AM149" s="79">
        <v>0.3</v>
      </c>
      <c r="AN149" s="79">
        <v>0.3</v>
      </c>
      <c r="AO149" s="79">
        <v>0.1</v>
      </c>
      <c r="AP149" s="79">
        <v>0.1</v>
      </c>
      <c r="AQ149" s="75">
        <f t="shared" si="147"/>
        <v>98.2</v>
      </c>
      <c r="AR149" s="75">
        <f t="shared" si="148"/>
        <v>294.59999999999997</v>
      </c>
      <c r="AS149" s="75">
        <f t="shared" si="149"/>
        <v>294.59999999999997</v>
      </c>
      <c r="AT149" s="75">
        <f t="shared" si="150"/>
        <v>98.2</v>
      </c>
      <c r="AU149" s="75">
        <f t="shared" si="151"/>
        <v>98.2</v>
      </c>
      <c r="AV149" s="13">
        <v>0.8</v>
      </c>
      <c r="AW149" s="13">
        <v>1.2</v>
      </c>
      <c r="AX149" s="13">
        <v>1.3</v>
      </c>
      <c r="AY149" s="13">
        <v>1</v>
      </c>
      <c r="AZ149" s="13">
        <v>0.7</v>
      </c>
      <c r="BA149" s="105">
        <f t="shared" si="152"/>
        <v>1.3600000000000003</v>
      </c>
      <c r="BB149" s="13">
        <f t="shared" si="153"/>
        <v>6.1199999999999992</v>
      </c>
      <c r="BC149" s="13">
        <f t="shared" si="154"/>
        <v>6.63</v>
      </c>
      <c r="BD149" s="13">
        <f t="shared" si="155"/>
        <v>1.7000000000000002</v>
      </c>
      <c r="BE149" s="13">
        <f t="shared" si="156"/>
        <v>1.19</v>
      </c>
      <c r="BF149" s="88">
        <f t="shared" si="157"/>
        <v>72.20588235294116</v>
      </c>
      <c r="BG149" s="88">
        <f t="shared" si="158"/>
        <v>48.137254901960787</v>
      </c>
      <c r="BH149" s="88">
        <f t="shared" si="159"/>
        <v>44.434389140271492</v>
      </c>
      <c r="BI149" s="88">
        <f t="shared" si="160"/>
        <v>57.764705882352935</v>
      </c>
      <c r="BJ149" s="88">
        <f t="shared" si="161"/>
        <v>82.52100840336135</v>
      </c>
      <c r="BK149" s="105">
        <f t="shared" si="162"/>
        <v>1.3849287169042773E-2</v>
      </c>
      <c r="BL149" s="105">
        <f t="shared" si="163"/>
        <v>2.0773930753564155E-2</v>
      </c>
      <c r="BM149" s="105">
        <f t="shared" si="164"/>
        <v>2.2505091649694501E-2</v>
      </c>
      <c r="BN149" s="105">
        <f t="shared" si="165"/>
        <v>1.7311608961303463E-2</v>
      </c>
      <c r="BO149" s="105">
        <f t="shared" si="166"/>
        <v>1.2118126272912423E-2</v>
      </c>
      <c r="BP149" s="105">
        <f t="shared" si="167"/>
        <v>8.6558044806517312E-2</v>
      </c>
      <c r="BQ149" s="79">
        <f t="shared" si="168"/>
        <v>0.16000000000000003</v>
      </c>
      <c r="BR149" s="79">
        <f t="shared" si="169"/>
        <v>0.24</v>
      </c>
      <c r="BS149" s="79">
        <f t="shared" si="170"/>
        <v>0.26</v>
      </c>
      <c r="BT149" s="79">
        <f t="shared" si="171"/>
        <v>0.2</v>
      </c>
      <c r="BU149" s="79">
        <f t="shared" si="172"/>
        <v>0.13999999999999999</v>
      </c>
      <c r="BV149" s="90" t="str">
        <f t="array" aca="1" ref="BV149" ca="1">_xlfn.TEXTJOIN(" ",TRUE,
_xlfn.TEXTJOIN(":",TRUE,ROUND(BK149:BO149/MIN(IF(BK149:BO149&gt;0,BK149:BO149)),0)),
"|",
ROUND(SUM(BW149:CA149),0))</f>
        <v>1:2:2:1:1 | -1178</v>
      </c>
      <c r="BW149" s="106">
        <f t="shared" ca="1" si="173"/>
        <v>-188.48000000000005</v>
      </c>
      <c r="BX149" s="106">
        <f t="shared" ca="1" si="119"/>
        <v>-282.71999999999997</v>
      </c>
      <c r="BY149" s="106">
        <f t="shared" ca="1" si="120"/>
        <v>-306.28000000000003</v>
      </c>
      <c r="BZ149" s="106">
        <f t="shared" ca="1" si="121"/>
        <v>-235.60000000000002</v>
      </c>
      <c r="CA149" s="106">
        <f t="shared" ref="CA149:CA212" ca="1" si="174">AK149*BU149</f>
        <v>-164.92</v>
      </c>
    </row>
    <row r="150" spans="1:79" x14ac:dyDescent="0.35">
      <c r="A150" s="25" t="s">
        <v>164</v>
      </c>
      <c r="B150" s="10" t="s">
        <v>319</v>
      </c>
      <c r="C150" s="10" t="s">
        <v>342</v>
      </c>
      <c r="D150" s="10" t="s">
        <v>346</v>
      </c>
      <c r="E150" s="11">
        <v>45892</v>
      </c>
      <c r="F150" s="17">
        <v>45892</v>
      </c>
      <c r="G150" s="14">
        <f t="shared" ca="1" si="122"/>
        <v>207</v>
      </c>
      <c r="H150" s="17">
        <v>499</v>
      </c>
      <c r="I150" s="17">
        <v>259</v>
      </c>
      <c r="J150" s="75">
        <f t="shared" si="123"/>
        <v>929</v>
      </c>
      <c r="K150" s="17">
        <v>1050</v>
      </c>
      <c r="L150" s="85">
        <v>121</v>
      </c>
      <c r="M150" s="86">
        <f t="shared" ca="1" si="124"/>
        <v>0.58454106280193241</v>
      </c>
      <c r="N150" s="86">
        <f t="shared" si="125"/>
        <v>0.80451009251471861</v>
      </c>
      <c r="O150" s="86">
        <f t="shared" si="126"/>
        <v>0.36890243902439024</v>
      </c>
      <c r="P150" s="87">
        <f t="shared" si="127"/>
        <v>30.25</v>
      </c>
      <c r="Q150" s="104">
        <f t="shared" si="128"/>
        <v>30.710743801652892</v>
      </c>
      <c r="R150" s="88">
        <f t="shared" si="129"/>
        <v>48.096192384769537</v>
      </c>
      <c r="S150" s="88">
        <f t="shared" si="130"/>
        <v>11.523809523809524</v>
      </c>
      <c r="T150" s="13">
        <f t="shared" si="131"/>
        <v>1</v>
      </c>
      <c r="U150" s="13">
        <f t="shared" si="132"/>
        <v>1</v>
      </c>
      <c r="V150" s="13">
        <f t="shared" si="133"/>
        <v>2</v>
      </c>
      <c r="W150" s="13">
        <f t="shared" ca="1" si="134"/>
        <v>3</v>
      </c>
      <c r="X150" s="13">
        <f t="shared" ca="1" si="135"/>
        <v>7</v>
      </c>
      <c r="Y150" s="81" t="str">
        <f t="shared" ca="1" si="136"/>
        <v>MONITOR</v>
      </c>
      <c r="Z150" s="13">
        <v>14</v>
      </c>
      <c r="AA150" s="75">
        <v>46059</v>
      </c>
      <c r="AB150" s="75">
        <f t="shared" si="137"/>
        <v>45920</v>
      </c>
      <c r="AC150" s="88">
        <f t="shared" si="138"/>
        <v>19.857142857142858</v>
      </c>
      <c r="AD150" s="89" t="str">
        <f t="shared" ca="1" si="139"/>
        <v>STABLE</v>
      </c>
      <c r="AE150" s="89" t="str">
        <f t="shared" si="140"/>
        <v>SLOW SELLING</v>
      </c>
      <c r="AF150" s="89" t="str">
        <f t="shared" si="141"/>
        <v>AT RISK</v>
      </c>
      <c r="AG150" s="89" t="str">
        <f t="shared" si="142"/>
        <v>FEASIBLE</v>
      </c>
      <c r="AH150" s="81" t="str">
        <f t="shared" ca="1" si="143"/>
        <v>MONITOR</v>
      </c>
      <c r="AI150" s="75">
        <f t="shared" ca="1" si="144"/>
        <v>0</v>
      </c>
      <c r="AJ150" s="75">
        <f t="shared" ca="1" si="145"/>
        <v>-929</v>
      </c>
      <c r="AK150" s="13">
        <f t="shared" ca="1" si="146"/>
        <v>-1115</v>
      </c>
      <c r="AL150" s="79">
        <v>0.1</v>
      </c>
      <c r="AM150" s="79">
        <v>0.3</v>
      </c>
      <c r="AN150" s="79">
        <v>0.3</v>
      </c>
      <c r="AO150" s="79">
        <v>0.1</v>
      </c>
      <c r="AP150" s="79">
        <v>0.1</v>
      </c>
      <c r="AQ150" s="75">
        <f t="shared" si="147"/>
        <v>92.9</v>
      </c>
      <c r="AR150" s="75">
        <f t="shared" si="148"/>
        <v>278.7</v>
      </c>
      <c r="AS150" s="75">
        <f t="shared" si="149"/>
        <v>278.7</v>
      </c>
      <c r="AT150" s="75">
        <f t="shared" si="150"/>
        <v>92.9</v>
      </c>
      <c r="AU150" s="75">
        <f t="shared" si="151"/>
        <v>92.9</v>
      </c>
      <c r="AV150" s="13">
        <v>0.8</v>
      </c>
      <c r="AW150" s="13">
        <v>1.2</v>
      </c>
      <c r="AX150" s="13">
        <v>1.3</v>
      </c>
      <c r="AY150" s="13">
        <v>1</v>
      </c>
      <c r="AZ150" s="13">
        <v>0.7</v>
      </c>
      <c r="BA150" s="105">
        <f t="shared" si="152"/>
        <v>2.4200000000000004</v>
      </c>
      <c r="BB150" s="13">
        <f t="shared" si="153"/>
        <v>10.889999999999999</v>
      </c>
      <c r="BC150" s="13">
        <f t="shared" si="154"/>
        <v>11.797499999999999</v>
      </c>
      <c r="BD150" s="13">
        <f t="shared" si="155"/>
        <v>3.0250000000000004</v>
      </c>
      <c r="BE150" s="13">
        <f t="shared" si="156"/>
        <v>2.1175000000000002</v>
      </c>
      <c r="BF150" s="88">
        <f t="shared" si="157"/>
        <v>38.388429752066109</v>
      </c>
      <c r="BG150" s="88">
        <f t="shared" si="158"/>
        <v>25.592286501377412</v>
      </c>
      <c r="BH150" s="88">
        <f t="shared" si="159"/>
        <v>23.623649078194532</v>
      </c>
      <c r="BI150" s="88">
        <f t="shared" si="160"/>
        <v>30.710743801652892</v>
      </c>
      <c r="BJ150" s="88">
        <f t="shared" si="161"/>
        <v>43.872491145218419</v>
      </c>
      <c r="BK150" s="105">
        <f t="shared" si="162"/>
        <v>2.6049515608180845E-2</v>
      </c>
      <c r="BL150" s="105">
        <f t="shared" si="163"/>
        <v>3.9074273412271258E-2</v>
      </c>
      <c r="BM150" s="105">
        <f t="shared" si="164"/>
        <v>4.2330462863293866E-2</v>
      </c>
      <c r="BN150" s="105">
        <f t="shared" si="165"/>
        <v>3.256189451022605E-2</v>
      </c>
      <c r="BO150" s="105">
        <f t="shared" si="166"/>
        <v>2.2793326157158234E-2</v>
      </c>
      <c r="BP150" s="105">
        <f t="shared" si="167"/>
        <v>0.16280947255113026</v>
      </c>
      <c r="BQ150" s="79">
        <f t="shared" si="168"/>
        <v>0.16</v>
      </c>
      <c r="BR150" s="79">
        <f t="shared" si="169"/>
        <v>0.23999999999999996</v>
      </c>
      <c r="BS150" s="79">
        <f t="shared" si="170"/>
        <v>0.26</v>
      </c>
      <c r="BT150" s="79">
        <f t="shared" si="171"/>
        <v>0.19999999999999998</v>
      </c>
      <c r="BU150" s="79">
        <f t="shared" si="172"/>
        <v>0.13999999999999999</v>
      </c>
      <c r="BV150" s="90" t="str">
        <f t="array" aca="1" ref="BV150" ca="1">_xlfn.TEXTJOIN(" ",TRUE,
_xlfn.TEXTJOIN(":",TRUE,ROUND(BK150:BO150/MIN(IF(BK150:BO150&gt;0,BK150:BO150)),0)),
"|",
ROUND(SUM(BW150:CA150),0))</f>
        <v>1:2:2:1:1 | -1115</v>
      </c>
      <c r="BW150" s="106">
        <f t="shared" ca="1" si="173"/>
        <v>-178.4</v>
      </c>
      <c r="BX150" s="106">
        <f t="shared" ca="1" si="119"/>
        <v>-267.59999999999997</v>
      </c>
      <c r="BY150" s="106">
        <f t="shared" ca="1" si="120"/>
        <v>-289.90000000000003</v>
      </c>
      <c r="BZ150" s="106">
        <f t="shared" ca="1" si="121"/>
        <v>-222.99999999999997</v>
      </c>
      <c r="CA150" s="106">
        <f t="shared" ca="1" si="174"/>
        <v>-156.1</v>
      </c>
    </row>
    <row r="151" spans="1:79" x14ac:dyDescent="0.35">
      <c r="A151" s="25" t="s">
        <v>165</v>
      </c>
      <c r="B151" s="10" t="s">
        <v>326</v>
      </c>
      <c r="C151" s="10" t="s">
        <v>342</v>
      </c>
      <c r="D151" s="10" t="s">
        <v>346</v>
      </c>
      <c r="E151" s="11">
        <v>45864</v>
      </c>
      <c r="F151" s="17">
        <v>45892</v>
      </c>
      <c r="G151" s="14">
        <f t="shared" ca="1" si="122"/>
        <v>207</v>
      </c>
      <c r="H151" s="17">
        <v>799</v>
      </c>
      <c r="I151" s="17">
        <v>400</v>
      </c>
      <c r="J151" s="75">
        <f t="shared" si="123"/>
        <v>927</v>
      </c>
      <c r="K151" s="17">
        <v>1050</v>
      </c>
      <c r="L151" s="85">
        <v>123</v>
      </c>
      <c r="M151" s="86">
        <f t="shared" ca="1" si="124"/>
        <v>0.59420289855072461</v>
      </c>
      <c r="N151" s="86">
        <f t="shared" si="125"/>
        <v>0.80451009251471861</v>
      </c>
      <c r="O151" s="86">
        <f t="shared" si="126"/>
        <v>0.375</v>
      </c>
      <c r="P151" s="87">
        <f t="shared" si="127"/>
        <v>30.75</v>
      </c>
      <c r="Q151" s="104">
        <f t="shared" si="128"/>
        <v>30.146341463414632</v>
      </c>
      <c r="R151" s="88">
        <f t="shared" si="129"/>
        <v>49.937421777221523</v>
      </c>
      <c r="S151" s="88">
        <f t="shared" si="130"/>
        <v>11.714285714285715</v>
      </c>
      <c r="T151" s="13">
        <f t="shared" si="131"/>
        <v>1</v>
      </c>
      <c r="U151" s="13">
        <f t="shared" si="132"/>
        <v>1</v>
      </c>
      <c r="V151" s="13">
        <f t="shared" si="133"/>
        <v>2</v>
      </c>
      <c r="W151" s="13">
        <f t="shared" ca="1" si="134"/>
        <v>3</v>
      </c>
      <c r="X151" s="13">
        <f t="shared" ca="1" si="135"/>
        <v>7</v>
      </c>
      <c r="Y151" s="81" t="str">
        <f t="shared" ca="1" si="136"/>
        <v>MONITOR</v>
      </c>
      <c r="Z151" s="13">
        <v>14</v>
      </c>
      <c r="AA151" s="75">
        <v>46059</v>
      </c>
      <c r="AB151" s="75">
        <f t="shared" si="137"/>
        <v>45920</v>
      </c>
      <c r="AC151" s="88">
        <f t="shared" si="138"/>
        <v>19.857142857142858</v>
      </c>
      <c r="AD151" s="89" t="str">
        <f t="shared" ca="1" si="139"/>
        <v>STABLE</v>
      </c>
      <c r="AE151" s="89" t="str">
        <f t="shared" si="140"/>
        <v>SLOW SELLING</v>
      </c>
      <c r="AF151" s="89" t="str">
        <f t="shared" si="141"/>
        <v>AT RISK</v>
      </c>
      <c r="AG151" s="89" t="str">
        <f t="shared" si="142"/>
        <v>FEASIBLE</v>
      </c>
      <c r="AH151" s="81" t="str">
        <f t="shared" ca="1" si="143"/>
        <v>MONITOR</v>
      </c>
      <c r="AI151" s="75">
        <f t="shared" ca="1" si="144"/>
        <v>0</v>
      </c>
      <c r="AJ151" s="75">
        <f t="shared" ca="1" si="145"/>
        <v>-927</v>
      </c>
      <c r="AK151" s="13">
        <f t="shared" ca="1" si="146"/>
        <v>-1112</v>
      </c>
      <c r="AL151" s="79">
        <v>0.1</v>
      </c>
      <c r="AM151" s="79">
        <v>0.3</v>
      </c>
      <c r="AN151" s="79">
        <v>0.3</v>
      </c>
      <c r="AO151" s="79">
        <v>0.1</v>
      </c>
      <c r="AP151" s="79">
        <v>0.1</v>
      </c>
      <c r="AQ151" s="75">
        <f t="shared" si="147"/>
        <v>92.7</v>
      </c>
      <c r="AR151" s="75">
        <f t="shared" si="148"/>
        <v>278.09999999999997</v>
      </c>
      <c r="AS151" s="75">
        <f t="shared" si="149"/>
        <v>278.09999999999997</v>
      </c>
      <c r="AT151" s="75">
        <f t="shared" si="150"/>
        <v>92.7</v>
      </c>
      <c r="AU151" s="75">
        <f t="shared" si="151"/>
        <v>92.7</v>
      </c>
      <c r="AV151" s="13">
        <v>0.8</v>
      </c>
      <c r="AW151" s="13">
        <v>1.2</v>
      </c>
      <c r="AX151" s="13">
        <v>1.3</v>
      </c>
      <c r="AY151" s="13">
        <v>1</v>
      </c>
      <c r="AZ151" s="13">
        <v>0.7</v>
      </c>
      <c r="BA151" s="105">
        <f t="shared" si="152"/>
        <v>2.4600000000000004</v>
      </c>
      <c r="BB151" s="13">
        <f t="shared" si="153"/>
        <v>11.069999999999999</v>
      </c>
      <c r="BC151" s="13">
        <f t="shared" si="154"/>
        <v>11.9925</v>
      </c>
      <c r="BD151" s="13">
        <f t="shared" si="155"/>
        <v>3.0750000000000002</v>
      </c>
      <c r="BE151" s="13">
        <f t="shared" si="156"/>
        <v>2.1524999999999999</v>
      </c>
      <c r="BF151" s="88">
        <f t="shared" si="157"/>
        <v>37.68292682926829</v>
      </c>
      <c r="BG151" s="88">
        <f t="shared" si="158"/>
        <v>25.121951219512194</v>
      </c>
      <c r="BH151" s="88">
        <f t="shared" si="159"/>
        <v>23.189493433395871</v>
      </c>
      <c r="BI151" s="88">
        <f t="shared" si="160"/>
        <v>30.146341463414632</v>
      </c>
      <c r="BJ151" s="88">
        <f t="shared" si="161"/>
        <v>43.066202090592341</v>
      </c>
      <c r="BK151" s="105">
        <f t="shared" si="162"/>
        <v>2.6537216828478965E-2</v>
      </c>
      <c r="BL151" s="105">
        <f t="shared" si="163"/>
        <v>3.9805825242718446E-2</v>
      </c>
      <c r="BM151" s="105">
        <f t="shared" si="164"/>
        <v>4.3122977346278318E-2</v>
      </c>
      <c r="BN151" s="105">
        <f t="shared" si="165"/>
        <v>3.3171521035598707E-2</v>
      </c>
      <c r="BO151" s="105">
        <f t="shared" si="166"/>
        <v>2.3220064724919089E-2</v>
      </c>
      <c r="BP151" s="105">
        <f t="shared" si="167"/>
        <v>0.16585760517799353</v>
      </c>
      <c r="BQ151" s="79">
        <f t="shared" si="168"/>
        <v>0.16</v>
      </c>
      <c r="BR151" s="79">
        <f t="shared" si="169"/>
        <v>0.24</v>
      </c>
      <c r="BS151" s="79">
        <f t="shared" si="170"/>
        <v>0.26</v>
      </c>
      <c r="BT151" s="79">
        <f t="shared" si="171"/>
        <v>0.2</v>
      </c>
      <c r="BU151" s="79">
        <f t="shared" si="172"/>
        <v>0.13999999999999996</v>
      </c>
      <c r="BV151" s="90" t="str">
        <f t="array" aca="1" ref="BV151" ca="1">_xlfn.TEXTJOIN(" ",TRUE,
_xlfn.TEXTJOIN(":",TRUE,ROUND(BK151:BO151/MIN(IF(BK151:BO151&gt;0,BK151:BO151)),0)),
"|",
ROUND(SUM(BW151:CA151),0))</f>
        <v>1:2:2:1:1 | -1112</v>
      </c>
      <c r="BW151" s="106">
        <f t="shared" ca="1" si="173"/>
        <v>-177.92000000000002</v>
      </c>
      <c r="BX151" s="106">
        <f t="shared" ca="1" si="119"/>
        <v>-266.88</v>
      </c>
      <c r="BY151" s="106">
        <f t="shared" ca="1" si="120"/>
        <v>-289.12</v>
      </c>
      <c r="BZ151" s="106">
        <f t="shared" ca="1" si="121"/>
        <v>-222.4</v>
      </c>
      <c r="CA151" s="106">
        <f t="shared" ca="1" si="174"/>
        <v>-155.67999999999995</v>
      </c>
    </row>
    <row r="152" spans="1:79" x14ac:dyDescent="0.35">
      <c r="A152" s="25" t="s">
        <v>166</v>
      </c>
      <c r="B152" s="10" t="s">
        <v>326</v>
      </c>
      <c r="C152" s="10" t="s">
        <v>342</v>
      </c>
      <c r="D152" s="10" t="s">
        <v>346</v>
      </c>
      <c r="E152" s="11">
        <v>45920</v>
      </c>
      <c r="F152" s="17">
        <v>45892</v>
      </c>
      <c r="G152" s="14">
        <f t="shared" ca="1" si="122"/>
        <v>207</v>
      </c>
      <c r="H152" s="17">
        <v>799</v>
      </c>
      <c r="I152" s="17">
        <v>400</v>
      </c>
      <c r="J152" s="75">
        <f t="shared" si="123"/>
        <v>927</v>
      </c>
      <c r="K152" s="17">
        <v>1050</v>
      </c>
      <c r="L152" s="85">
        <v>123</v>
      </c>
      <c r="M152" s="86">
        <f t="shared" ca="1" si="124"/>
        <v>0.59420289855072461</v>
      </c>
      <c r="N152" s="86">
        <f t="shared" si="125"/>
        <v>0.80451009251471861</v>
      </c>
      <c r="O152" s="86">
        <f t="shared" si="126"/>
        <v>0.375</v>
      </c>
      <c r="P152" s="87">
        <f t="shared" si="127"/>
        <v>30.75</v>
      </c>
      <c r="Q152" s="104">
        <f t="shared" si="128"/>
        <v>30.146341463414632</v>
      </c>
      <c r="R152" s="88">
        <f t="shared" si="129"/>
        <v>49.937421777221523</v>
      </c>
      <c r="S152" s="88">
        <f t="shared" si="130"/>
        <v>11.714285714285715</v>
      </c>
      <c r="T152" s="13">
        <f t="shared" si="131"/>
        <v>1</v>
      </c>
      <c r="U152" s="13">
        <f t="shared" si="132"/>
        <v>1</v>
      </c>
      <c r="V152" s="13">
        <f t="shared" si="133"/>
        <v>2</v>
      </c>
      <c r="W152" s="13">
        <f t="shared" ca="1" si="134"/>
        <v>3</v>
      </c>
      <c r="X152" s="13">
        <f t="shared" ca="1" si="135"/>
        <v>7</v>
      </c>
      <c r="Y152" s="81" t="str">
        <f t="shared" ca="1" si="136"/>
        <v>MONITOR</v>
      </c>
      <c r="Z152" s="13">
        <v>14</v>
      </c>
      <c r="AA152" s="75">
        <v>46059</v>
      </c>
      <c r="AB152" s="75">
        <f t="shared" si="137"/>
        <v>45920</v>
      </c>
      <c r="AC152" s="88">
        <f t="shared" si="138"/>
        <v>19.857142857142858</v>
      </c>
      <c r="AD152" s="89" t="str">
        <f t="shared" ca="1" si="139"/>
        <v>STABLE</v>
      </c>
      <c r="AE152" s="89" t="str">
        <f t="shared" si="140"/>
        <v>SLOW SELLING</v>
      </c>
      <c r="AF152" s="89" t="str">
        <f t="shared" si="141"/>
        <v>AT RISK</v>
      </c>
      <c r="AG152" s="89" t="str">
        <f t="shared" si="142"/>
        <v>FEASIBLE</v>
      </c>
      <c r="AH152" s="81" t="str">
        <f t="shared" ca="1" si="143"/>
        <v>MONITOR</v>
      </c>
      <c r="AI152" s="75">
        <f t="shared" ca="1" si="144"/>
        <v>0</v>
      </c>
      <c r="AJ152" s="75">
        <f t="shared" ca="1" si="145"/>
        <v>-927</v>
      </c>
      <c r="AK152" s="13">
        <f t="shared" ca="1" si="146"/>
        <v>-1112</v>
      </c>
      <c r="AL152" s="79">
        <v>0.1</v>
      </c>
      <c r="AM152" s="79">
        <v>0.3</v>
      </c>
      <c r="AN152" s="79">
        <v>0.3</v>
      </c>
      <c r="AO152" s="79">
        <v>0.1</v>
      </c>
      <c r="AP152" s="79">
        <v>0.1</v>
      </c>
      <c r="AQ152" s="75">
        <f t="shared" si="147"/>
        <v>92.7</v>
      </c>
      <c r="AR152" s="75">
        <f t="shared" si="148"/>
        <v>278.09999999999997</v>
      </c>
      <c r="AS152" s="75">
        <f t="shared" si="149"/>
        <v>278.09999999999997</v>
      </c>
      <c r="AT152" s="75">
        <f t="shared" si="150"/>
        <v>92.7</v>
      </c>
      <c r="AU152" s="75">
        <f t="shared" si="151"/>
        <v>92.7</v>
      </c>
      <c r="AV152" s="13">
        <v>0.8</v>
      </c>
      <c r="AW152" s="13">
        <v>1.2</v>
      </c>
      <c r="AX152" s="13">
        <v>1.3</v>
      </c>
      <c r="AY152" s="13">
        <v>1</v>
      </c>
      <c r="AZ152" s="13">
        <v>0.7</v>
      </c>
      <c r="BA152" s="105">
        <f t="shared" si="152"/>
        <v>2.4600000000000004</v>
      </c>
      <c r="BB152" s="13">
        <f t="shared" si="153"/>
        <v>11.069999999999999</v>
      </c>
      <c r="BC152" s="13">
        <f t="shared" si="154"/>
        <v>11.9925</v>
      </c>
      <c r="BD152" s="13">
        <f t="shared" si="155"/>
        <v>3.0750000000000002</v>
      </c>
      <c r="BE152" s="13">
        <f t="shared" si="156"/>
        <v>2.1524999999999999</v>
      </c>
      <c r="BF152" s="88">
        <f t="shared" si="157"/>
        <v>37.68292682926829</v>
      </c>
      <c r="BG152" s="88">
        <f t="shared" si="158"/>
        <v>25.121951219512194</v>
      </c>
      <c r="BH152" s="88">
        <f t="shared" si="159"/>
        <v>23.189493433395871</v>
      </c>
      <c r="BI152" s="88">
        <f t="shared" si="160"/>
        <v>30.146341463414632</v>
      </c>
      <c r="BJ152" s="88">
        <f t="shared" si="161"/>
        <v>43.066202090592341</v>
      </c>
      <c r="BK152" s="105">
        <f t="shared" si="162"/>
        <v>2.6537216828478965E-2</v>
      </c>
      <c r="BL152" s="105">
        <f t="shared" si="163"/>
        <v>3.9805825242718446E-2</v>
      </c>
      <c r="BM152" s="105">
        <f t="shared" si="164"/>
        <v>4.3122977346278318E-2</v>
      </c>
      <c r="BN152" s="105">
        <f t="shared" si="165"/>
        <v>3.3171521035598707E-2</v>
      </c>
      <c r="BO152" s="105">
        <f t="shared" si="166"/>
        <v>2.3220064724919089E-2</v>
      </c>
      <c r="BP152" s="105">
        <f t="shared" si="167"/>
        <v>0.16585760517799353</v>
      </c>
      <c r="BQ152" s="79">
        <f t="shared" si="168"/>
        <v>0.16</v>
      </c>
      <c r="BR152" s="79">
        <f t="shared" si="169"/>
        <v>0.24</v>
      </c>
      <c r="BS152" s="79">
        <f t="shared" si="170"/>
        <v>0.26</v>
      </c>
      <c r="BT152" s="79">
        <f t="shared" si="171"/>
        <v>0.2</v>
      </c>
      <c r="BU152" s="79">
        <f t="shared" si="172"/>
        <v>0.13999999999999996</v>
      </c>
      <c r="BV152" s="90" t="str">
        <f t="array" aca="1" ref="BV152" ca="1">_xlfn.TEXTJOIN(" ",TRUE,
_xlfn.TEXTJOIN(":",TRUE,ROUND(BK152:BO152/MIN(IF(BK152:BO152&gt;0,BK152:BO152)),0)),
"|",
ROUND(SUM(BW152:CA152),0))</f>
        <v>1:2:2:1:1 | -1112</v>
      </c>
      <c r="BW152" s="106">
        <f t="shared" ca="1" si="173"/>
        <v>-177.92000000000002</v>
      </c>
      <c r="BX152" s="106">
        <f t="shared" ca="1" si="119"/>
        <v>-266.88</v>
      </c>
      <c r="BY152" s="106">
        <f t="shared" ca="1" si="120"/>
        <v>-289.12</v>
      </c>
      <c r="BZ152" s="106">
        <f t="shared" ca="1" si="121"/>
        <v>-222.4</v>
      </c>
      <c r="CA152" s="106">
        <f t="shared" ca="1" si="174"/>
        <v>-155.67999999999995</v>
      </c>
    </row>
    <row r="153" spans="1:79" x14ac:dyDescent="0.35">
      <c r="A153" s="25" t="s">
        <v>167</v>
      </c>
      <c r="B153" s="15" t="s">
        <v>323</v>
      </c>
      <c r="C153" s="10" t="s">
        <v>342</v>
      </c>
      <c r="D153" s="10" t="s">
        <v>346</v>
      </c>
      <c r="E153" s="11">
        <v>45878</v>
      </c>
      <c r="F153" s="17">
        <v>45892</v>
      </c>
      <c r="G153" s="14">
        <f t="shared" ca="1" si="122"/>
        <v>207</v>
      </c>
      <c r="H153" s="17">
        <v>599</v>
      </c>
      <c r="I153" s="17">
        <v>280</v>
      </c>
      <c r="J153" s="75">
        <f t="shared" si="123"/>
        <v>916</v>
      </c>
      <c r="K153" s="17">
        <v>1000</v>
      </c>
      <c r="L153" s="85">
        <v>84</v>
      </c>
      <c r="M153" s="86">
        <f t="shared" ca="1" si="124"/>
        <v>0.40579710144927539</v>
      </c>
      <c r="N153" s="86">
        <f t="shared" si="125"/>
        <v>0.80451009251471861</v>
      </c>
      <c r="O153" s="86">
        <f t="shared" si="126"/>
        <v>0.25609756097560976</v>
      </c>
      <c r="P153" s="87">
        <f t="shared" si="127"/>
        <v>21</v>
      </c>
      <c r="Q153" s="104">
        <f t="shared" si="128"/>
        <v>43.61904761904762</v>
      </c>
      <c r="R153" s="88">
        <f t="shared" si="129"/>
        <v>53.255425709515855</v>
      </c>
      <c r="S153" s="88">
        <f t="shared" si="130"/>
        <v>8.4</v>
      </c>
      <c r="T153" s="13">
        <f t="shared" si="131"/>
        <v>1</v>
      </c>
      <c r="U153" s="13">
        <f t="shared" si="132"/>
        <v>1</v>
      </c>
      <c r="V153" s="13">
        <f t="shared" si="133"/>
        <v>2</v>
      </c>
      <c r="W153" s="13">
        <f t="shared" ca="1" si="134"/>
        <v>3</v>
      </c>
      <c r="X153" s="13">
        <f t="shared" ca="1" si="135"/>
        <v>7</v>
      </c>
      <c r="Y153" s="81" t="str">
        <f t="shared" ca="1" si="136"/>
        <v>MONITOR</v>
      </c>
      <c r="Z153" s="13">
        <v>14</v>
      </c>
      <c r="AA153" s="75">
        <v>46059</v>
      </c>
      <c r="AB153" s="75">
        <f t="shared" si="137"/>
        <v>45920</v>
      </c>
      <c r="AC153" s="88">
        <f t="shared" si="138"/>
        <v>19.857142857142858</v>
      </c>
      <c r="AD153" s="89" t="str">
        <f t="shared" ca="1" si="139"/>
        <v>STABLE</v>
      </c>
      <c r="AE153" s="89" t="str">
        <f t="shared" si="140"/>
        <v>SLOW SELLING</v>
      </c>
      <c r="AF153" s="89" t="str">
        <f t="shared" si="141"/>
        <v>AT RISK</v>
      </c>
      <c r="AG153" s="89" t="str">
        <f t="shared" si="142"/>
        <v>FEASIBLE</v>
      </c>
      <c r="AH153" s="81" t="str">
        <f t="shared" ca="1" si="143"/>
        <v>MONITOR</v>
      </c>
      <c r="AI153" s="75">
        <f t="shared" ca="1" si="144"/>
        <v>0</v>
      </c>
      <c r="AJ153" s="75">
        <f t="shared" ca="1" si="145"/>
        <v>-916</v>
      </c>
      <c r="AK153" s="13">
        <f t="shared" ca="1" si="146"/>
        <v>-1099</v>
      </c>
      <c r="AL153" s="79">
        <v>0.1</v>
      </c>
      <c r="AM153" s="79">
        <v>0.3</v>
      </c>
      <c r="AN153" s="79">
        <v>0.3</v>
      </c>
      <c r="AO153" s="79">
        <v>0.1</v>
      </c>
      <c r="AP153" s="79">
        <v>0.1</v>
      </c>
      <c r="AQ153" s="75">
        <f t="shared" si="147"/>
        <v>91.600000000000009</v>
      </c>
      <c r="AR153" s="75">
        <f t="shared" si="148"/>
        <v>274.8</v>
      </c>
      <c r="AS153" s="75">
        <f t="shared" si="149"/>
        <v>274.8</v>
      </c>
      <c r="AT153" s="75">
        <f t="shared" si="150"/>
        <v>91.600000000000009</v>
      </c>
      <c r="AU153" s="75">
        <f t="shared" si="151"/>
        <v>91.600000000000009</v>
      </c>
      <c r="AV153" s="13">
        <v>0.8</v>
      </c>
      <c r="AW153" s="13">
        <v>1.2</v>
      </c>
      <c r="AX153" s="13">
        <v>1.3</v>
      </c>
      <c r="AY153" s="13">
        <v>1</v>
      </c>
      <c r="AZ153" s="13">
        <v>0.7</v>
      </c>
      <c r="BA153" s="105">
        <f t="shared" si="152"/>
        <v>1.6800000000000002</v>
      </c>
      <c r="BB153" s="13">
        <f t="shared" si="153"/>
        <v>7.56</v>
      </c>
      <c r="BC153" s="13">
        <f t="shared" si="154"/>
        <v>8.19</v>
      </c>
      <c r="BD153" s="13">
        <f t="shared" si="155"/>
        <v>2.1</v>
      </c>
      <c r="BE153" s="13">
        <f t="shared" si="156"/>
        <v>1.47</v>
      </c>
      <c r="BF153" s="88">
        <f t="shared" si="157"/>
        <v>54.523809523809526</v>
      </c>
      <c r="BG153" s="88">
        <f t="shared" si="158"/>
        <v>36.349206349206355</v>
      </c>
      <c r="BH153" s="88">
        <f t="shared" si="159"/>
        <v>33.553113553113555</v>
      </c>
      <c r="BI153" s="88">
        <f t="shared" si="160"/>
        <v>43.61904761904762</v>
      </c>
      <c r="BJ153" s="88">
        <f t="shared" si="161"/>
        <v>62.312925170068034</v>
      </c>
      <c r="BK153" s="105">
        <f t="shared" si="162"/>
        <v>1.8340611353711789E-2</v>
      </c>
      <c r="BL153" s="105">
        <f t="shared" si="163"/>
        <v>2.751091703056768E-2</v>
      </c>
      <c r="BM153" s="105">
        <f t="shared" si="164"/>
        <v>2.9803493449781657E-2</v>
      </c>
      <c r="BN153" s="105">
        <f t="shared" si="165"/>
        <v>2.2925764192139736E-2</v>
      </c>
      <c r="BO153" s="105">
        <f t="shared" si="166"/>
        <v>1.6048034934497815E-2</v>
      </c>
      <c r="BP153" s="105">
        <f t="shared" si="167"/>
        <v>0.11462882096069868</v>
      </c>
      <c r="BQ153" s="79">
        <f t="shared" si="168"/>
        <v>0.16</v>
      </c>
      <c r="BR153" s="79">
        <f t="shared" si="169"/>
        <v>0.23999999999999996</v>
      </c>
      <c r="BS153" s="79">
        <f t="shared" si="170"/>
        <v>0.26</v>
      </c>
      <c r="BT153" s="79">
        <f t="shared" si="171"/>
        <v>0.2</v>
      </c>
      <c r="BU153" s="79">
        <f t="shared" si="172"/>
        <v>0.14000000000000001</v>
      </c>
      <c r="BV153" s="90" t="str">
        <f t="array" aca="1" ref="BV153" ca="1">_xlfn.TEXTJOIN(" ",TRUE,
_xlfn.TEXTJOIN(":",TRUE,ROUND(BK153:BO153/MIN(IF(BK153:BO153&gt;0,BK153:BO153)),0)),
"|",
ROUND(SUM(BW153:CA153),0))</f>
        <v>1:2:2:1:1 | -1099</v>
      </c>
      <c r="BW153" s="106">
        <f t="shared" ca="1" si="173"/>
        <v>-175.84</v>
      </c>
      <c r="BX153" s="106">
        <f t="shared" ca="1" si="119"/>
        <v>-263.75999999999993</v>
      </c>
      <c r="BY153" s="106">
        <f t="shared" ca="1" si="120"/>
        <v>-285.74</v>
      </c>
      <c r="BZ153" s="106">
        <f t="shared" ca="1" si="121"/>
        <v>-219.8</v>
      </c>
      <c r="CA153" s="106">
        <f t="shared" ca="1" si="174"/>
        <v>-153.86000000000001</v>
      </c>
    </row>
    <row r="154" spans="1:79" x14ac:dyDescent="0.35">
      <c r="A154" s="25" t="s">
        <v>168</v>
      </c>
      <c r="B154" s="15" t="s">
        <v>323</v>
      </c>
      <c r="C154" s="10" t="s">
        <v>342</v>
      </c>
      <c r="D154" s="10" t="s">
        <v>346</v>
      </c>
      <c r="E154" s="11">
        <v>45878</v>
      </c>
      <c r="F154" s="17">
        <v>45892</v>
      </c>
      <c r="G154" s="14">
        <f t="shared" ca="1" si="122"/>
        <v>207</v>
      </c>
      <c r="H154" s="17">
        <v>599</v>
      </c>
      <c r="I154" s="17">
        <v>280</v>
      </c>
      <c r="J154" s="75">
        <f t="shared" si="123"/>
        <v>919</v>
      </c>
      <c r="K154" s="17">
        <v>1000</v>
      </c>
      <c r="L154" s="85">
        <v>81</v>
      </c>
      <c r="M154" s="86">
        <f t="shared" ca="1" si="124"/>
        <v>0.39130434782608697</v>
      </c>
      <c r="N154" s="86">
        <f t="shared" si="125"/>
        <v>0.80451009251471861</v>
      </c>
      <c r="O154" s="86">
        <f t="shared" si="126"/>
        <v>0.24695121951219512</v>
      </c>
      <c r="P154" s="87">
        <f t="shared" si="127"/>
        <v>20.25</v>
      </c>
      <c r="Q154" s="104">
        <f t="shared" si="128"/>
        <v>45.382716049382715</v>
      </c>
      <c r="R154" s="88">
        <f t="shared" si="129"/>
        <v>53.255425709515855</v>
      </c>
      <c r="S154" s="88">
        <f t="shared" si="130"/>
        <v>8.1</v>
      </c>
      <c r="T154" s="13">
        <f t="shared" si="131"/>
        <v>1</v>
      </c>
      <c r="U154" s="13">
        <f t="shared" si="132"/>
        <v>1</v>
      </c>
      <c r="V154" s="13">
        <f t="shared" si="133"/>
        <v>2</v>
      </c>
      <c r="W154" s="13">
        <f t="shared" ca="1" si="134"/>
        <v>3</v>
      </c>
      <c r="X154" s="13">
        <f t="shared" ca="1" si="135"/>
        <v>7</v>
      </c>
      <c r="Y154" s="81" t="str">
        <f t="shared" ca="1" si="136"/>
        <v>MONITOR</v>
      </c>
      <c r="Z154" s="13">
        <v>14</v>
      </c>
      <c r="AA154" s="75">
        <v>46059</v>
      </c>
      <c r="AB154" s="75">
        <f t="shared" si="137"/>
        <v>45920</v>
      </c>
      <c r="AC154" s="88">
        <f t="shared" si="138"/>
        <v>19.857142857142858</v>
      </c>
      <c r="AD154" s="89" t="str">
        <f t="shared" ca="1" si="139"/>
        <v>STABLE</v>
      </c>
      <c r="AE154" s="89" t="str">
        <f t="shared" si="140"/>
        <v>SLOW SELLING</v>
      </c>
      <c r="AF154" s="89" t="str">
        <f t="shared" si="141"/>
        <v>AT RISK</v>
      </c>
      <c r="AG154" s="89" t="str">
        <f t="shared" si="142"/>
        <v>FEASIBLE</v>
      </c>
      <c r="AH154" s="81" t="str">
        <f t="shared" ca="1" si="143"/>
        <v>MONITOR</v>
      </c>
      <c r="AI154" s="75">
        <f t="shared" ca="1" si="144"/>
        <v>0</v>
      </c>
      <c r="AJ154" s="75">
        <f t="shared" ca="1" si="145"/>
        <v>-919</v>
      </c>
      <c r="AK154" s="13">
        <f t="shared" ca="1" si="146"/>
        <v>-1103</v>
      </c>
      <c r="AL154" s="79">
        <v>0.1</v>
      </c>
      <c r="AM154" s="79">
        <v>0.3</v>
      </c>
      <c r="AN154" s="79">
        <v>0.3</v>
      </c>
      <c r="AO154" s="79">
        <v>0.1</v>
      </c>
      <c r="AP154" s="79">
        <v>0.1</v>
      </c>
      <c r="AQ154" s="75">
        <f t="shared" si="147"/>
        <v>91.9</v>
      </c>
      <c r="AR154" s="75">
        <f t="shared" si="148"/>
        <v>275.7</v>
      </c>
      <c r="AS154" s="75">
        <f t="shared" si="149"/>
        <v>275.7</v>
      </c>
      <c r="AT154" s="75">
        <f t="shared" si="150"/>
        <v>91.9</v>
      </c>
      <c r="AU154" s="75">
        <f t="shared" si="151"/>
        <v>91.9</v>
      </c>
      <c r="AV154" s="13">
        <v>0.8</v>
      </c>
      <c r="AW154" s="13">
        <v>1.2</v>
      </c>
      <c r="AX154" s="13">
        <v>1.3</v>
      </c>
      <c r="AY154" s="13">
        <v>1</v>
      </c>
      <c r="AZ154" s="13">
        <v>0.7</v>
      </c>
      <c r="BA154" s="105">
        <f t="shared" si="152"/>
        <v>1.62</v>
      </c>
      <c r="BB154" s="13">
        <f t="shared" si="153"/>
        <v>7.29</v>
      </c>
      <c r="BC154" s="13">
        <f t="shared" si="154"/>
        <v>7.8975000000000009</v>
      </c>
      <c r="BD154" s="13">
        <f t="shared" si="155"/>
        <v>2.0249999999999999</v>
      </c>
      <c r="BE154" s="13">
        <f t="shared" si="156"/>
        <v>1.4174999999999998</v>
      </c>
      <c r="BF154" s="88">
        <f t="shared" si="157"/>
        <v>56.728395061728392</v>
      </c>
      <c r="BG154" s="88">
        <f t="shared" si="158"/>
        <v>37.818930041152264</v>
      </c>
      <c r="BH154" s="88">
        <f t="shared" si="159"/>
        <v>34.909781576448239</v>
      </c>
      <c r="BI154" s="88">
        <f t="shared" si="160"/>
        <v>45.382716049382722</v>
      </c>
      <c r="BJ154" s="88">
        <f t="shared" si="161"/>
        <v>64.832451499118179</v>
      </c>
      <c r="BK154" s="105">
        <f t="shared" si="162"/>
        <v>1.76278563656148E-2</v>
      </c>
      <c r="BL154" s="105">
        <f t="shared" si="163"/>
        <v>2.6441784548422199E-2</v>
      </c>
      <c r="BM154" s="105">
        <f t="shared" si="164"/>
        <v>2.8645266594124051E-2</v>
      </c>
      <c r="BN154" s="105">
        <f t="shared" si="165"/>
        <v>2.2034820457018496E-2</v>
      </c>
      <c r="BO154" s="105">
        <f t="shared" si="166"/>
        <v>1.5424374319912946E-2</v>
      </c>
      <c r="BP154" s="105">
        <f t="shared" si="167"/>
        <v>0.1101741022850925</v>
      </c>
      <c r="BQ154" s="79">
        <f t="shared" si="168"/>
        <v>0.16</v>
      </c>
      <c r="BR154" s="79">
        <f t="shared" si="169"/>
        <v>0.24</v>
      </c>
      <c r="BS154" s="79">
        <f t="shared" si="170"/>
        <v>0.26</v>
      </c>
      <c r="BT154" s="79">
        <f t="shared" si="171"/>
        <v>0.19999999999999996</v>
      </c>
      <c r="BU154" s="79">
        <f t="shared" si="172"/>
        <v>0.13999999999999996</v>
      </c>
      <c r="BV154" s="90" t="str">
        <f t="array" aca="1" ref="BV154" ca="1">_xlfn.TEXTJOIN(" ",TRUE,
_xlfn.TEXTJOIN(":",TRUE,ROUND(BK154:BO154/MIN(IF(BK154:BO154&gt;0,BK154:BO154)),0)),
"|",
ROUND(SUM(BW154:CA154),0))</f>
        <v>1:2:2:1:1 | -1103</v>
      </c>
      <c r="BW154" s="106">
        <f t="shared" ca="1" si="173"/>
        <v>-176.48</v>
      </c>
      <c r="BX154" s="106">
        <f t="shared" ca="1" si="119"/>
        <v>-264.71999999999997</v>
      </c>
      <c r="BY154" s="106">
        <f t="shared" ca="1" si="120"/>
        <v>-286.78000000000003</v>
      </c>
      <c r="BZ154" s="106">
        <f t="shared" ca="1" si="121"/>
        <v>-220.59999999999994</v>
      </c>
      <c r="CA154" s="106">
        <f t="shared" ca="1" si="174"/>
        <v>-154.41999999999996</v>
      </c>
    </row>
    <row r="155" spans="1:79" x14ac:dyDescent="0.35">
      <c r="A155" s="25" t="s">
        <v>169</v>
      </c>
      <c r="B155" s="15" t="s">
        <v>323</v>
      </c>
      <c r="C155" s="10" t="s">
        <v>342</v>
      </c>
      <c r="D155" s="10" t="s">
        <v>346</v>
      </c>
      <c r="E155" s="11">
        <v>45878</v>
      </c>
      <c r="F155" s="17">
        <v>45892</v>
      </c>
      <c r="G155" s="14">
        <f t="shared" ca="1" si="122"/>
        <v>207</v>
      </c>
      <c r="H155" s="17">
        <v>599</v>
      </c>
      <c r="I155" s="17">
        <v>280</v>
      </c>
      <c r="J155" s="75">
        <f t="shared" si="123"/>
        <v>898</v>
      </c>
      <c r="K155" s="17">
        <v>1000</v>
      </c>
      <c r="L155" s="85">
        <v>102</v>
      </c>
      <c r="M155" s="86">
        <f t="shared" ca="1" si="124"/>
        <v>0.49275362318840582</v>
      </c>
      <c r="N155" s="86">
        <f t="shared" si="125"/>
        <v>0.80451009251471861</v>
      </c>
      <c r="O155" s="86">
        <f t="shared" si="126"/>
        <v>0.31097560975609756</v>
      </c>
      <c r="P155" s="87">
        <f t="shared" si="127"/>
        <v>25.5</v>
      </c>
      <c r="Q155" s="104">
        <f t="shared" si="128"/>
        <v>35.215686274509807</v>
      </c>
      <c r="R155" s="88">
        <f t="shared" si="129"/>
        <v>53.255425709515855</v>
      </c>
      <c r="S155" s="88">
        <f t="shared" si="130"/>
        <v>10.199999999999999</v>
      </c>
      <c r="T155" s="13">
        <f t="shared" si="131"/>
        <v>1</v>
      </c>
      <c r="U155" s="13">
        <f t="shared" si="132"/>
        <v>1</v>
      </c>
      <c r="V155" s="13">
        <f t="shared" si="133"/>
        <v>2</v>
      </c>
      <c r="W155" s="13">
        <f t="shared" ca="1" si="134"/>
        <v>3</v>
      </c>
      <c r="X155" s="13">
        <f t="shared" ca="1" si="135"/>
        <v>7</v>
      </c>
      <c r="Y155" s="81" t="str">
        <f t="shared" ca="1" si="136"/>
        <v>MONITOR</v>
      </c>
      <c r="Z155" s="13">
        <v>14</v>
      </c>
      <c r="AA155" s="75">
        <v>46059</v>
      </c>
      <c r="AB155" s="75">
        <f t="shared" si="137"/>
        <v>45920</v>
      </c>
      <c r="AC155" s="88">
        <f t="shared" si="138"/>
        <v>19.857142857142858</v>
      </c>
      <c r="AD155" s="89" t="str">
        <f t="shared" ca="1" si="139"/>
        <v>STABLE</v>
      </c>
      <c r="AE155" s="89" t="str">
        <f t="shared" si="140"/>
        <v>SLOW SELLING</v>
      </c>
      <c r="AF155" s="89" t="str">
        <f t="shared" si="141"/>
        <v>AT RISK</v>
      </c>
      <c r="AG155" s="89" t="str">
        <f t="shared" si="142"/>
        <v>FEASIBLE</v>
      </c>
      <c r="AH155" s="81" t="str">
        <f t="shared" ca="1" si="143"/>
        <v>MONITOR</v>
      </c>
      <c r="AI155" s="75">
        <f t="shared" ca="1" si="144"/>
        <v>0</v>
      </c>
      <c r="AJ155" s="75">
        <f t="shared" ca="1" si="145"/>
        <v>-898</v>
      </c>
      <c r="AK155" s="13">
        <f t="shared" ca="1" si="146"/>
        <v>-1078</v>
      </c>
      <c r="AL155" s="79">
        <v>0.1</v>
      </c>
      <c r="AM155" s="79">
        <v>0.3</v>
      </c>
      <c r="AN155" s="79">
        <v>0.3</v>
      </c>
      <c r="AO155" s="79">
        <v>0.1</v>
      </c>
      <c r="AP155" s="79">
        <v>0.1</v>
      </c>
      <c r="AQ155" s="75">
        <f t="shared" si="147"/>
        <v>89.800000000000011</v>
      </c>
      <c r="AR155" s="75">
        <f t="shared" si="148"/>
        <v>269.39999999999998</v>
      </c>
      <c r="AS155" s="75">
        <f t="shared" si="149"/>
        <v>269.39999999999998</v>
      </c>
      <c r="AT155" s="75">
        <f t="shared" si="150"/>
        <v>89.800000000000011</v>
      </c>
      <c r="AU155" s="75">
        <f t="shared" si="151"/>
        <v>89.800000000000011</v>
      </c>
      <c r="AV155" s="13">
        <v>0.8</v>
      </c>
      <c r="AW155" s="13">
        <v>1.2</v>
      </c>
      <c r="AX155" s="13">
        <v>1.3</v>
      </c>
      <c r="AY155" s="13">
        <v>1</v>
      </c>
      <c r="AZ155" s="13">
        <v>0.7</v>
      </c>
      <c r="BA155" s="105">
        <f t="shared" si="152"/>
        <v>2.0400000000000005</v>
      </c>
      <c r="BB155" s="13">
        <f t="shared" si="153"/>
        <v>9.18</v>
      </c>
      <c r="BC155" s="13">
        <f t="shared" si="154"/>
        <v>9.9450000000000003</v>
      </c>
      <c r="BD155" s="13">
        <f t="shared" si="155"/>
        <v>2.5500000000000003</v>
      </c>
      <c r="BE155" s="13">
        <f t="shared" si="156"/>
        <v>1.7850000000000001</v>
      </c>
      <c r="BF155" s="88">
        <f t="shared" si="157"/>
        <v>44.019607843137251</v>
      </c>
      <c r="BG155" s="88">
        <f t="shared" si="158"/>
        <v>29.346405228758169</v>
      </c>
      <c r="BH155" s="88">
        <f t="shared" si="159"/>
        <v>27.088989441930615</v>
      </c>
      <c r="BI155" s="88">
        <f t="shared" si="160"/>
        <v>35.215686274509807</v>
      </c>
      <c r="BJ155" s="88">
        <f t="shared" si="161"/>
        <v>50.308123249299719</v>
      </c>
      <c r="BK155" s="105">
        <f t="shared" si="162"/>
        <v>2.2717149220489979E-2</v>
      </c>
      <c r="BL155" s="105">
        <f t="shared" si="163"/>
        <v>3.4075723830734969E-2</v>
      </c>
      <c r="BM155" s="105">
        <f t="shared" si="164"/>
        <v>3.691536748329622E-2</v>
      </c>
      <c r="BN155" s="105">
        <f t="shared" si="165"/>
        <v>2.8396436525612471E-2</v>
      </c>
      <c r="BO155" s="105">
        <f t="shared" si="166"/>
        <v>1.9877505567928732E-2</v>
      </c>
      <c r="BP155" s="105">
        <f t="shared" si="167"/>
        <v>0.14198218262806236</v>
      </c>
      <c r="BQ155" s="79">
        <f t="shared" si="168"/>
        <v>0.16</v>
      </c>
      <c r="BR155" s="79">
        <f t="shared" si="169"/>
        <v>0.24000000000000002</v>
      </c>
      <c r="BS155" s="79">
        <f t="shared" si="170"/>
        <v>0.26000000000000006</v>
      </c>
      <c r="BT155" s="79">
        <f t="shared" si="171"/>
        <v>0.19999999999999998</v>
      </c>
      <c r="BU155" s="79">
        <f t="shared" si="172"/>
        <v>0.14000000000000001</v>
      </c>
      <c r="BV155" s="90" t="str">
        <f t="array" aca="1" ref="BV155" ca="1">_xlfn.TEXTJOIN(" ",TRUE,
_xlfn.TEXTJOIN(":",TRUE,ROUND(BK155:BO155/MIN(IF(BK155:BO155&gt;0,BK155:BO155)),0)),
"|",
ROUND(SUM(BW155:CA155),0))</f>
        <v>1:2:2:1:1 | -1078</v>
      </c>
      <c r="BW155" s="106">
        <f t="shared" ca="1" si="173"/>
        <v>-172.48</v>
      </c>
      <c r="BX155" s="106">
        <f t="shared" ca="1" si="119"/>
        <v>-258.72000000000003</v>
      </c>
      <c r="BY155" s="106">
        <f t="shared" ca="1" si="120"/>
        <v>-280.28000000000009</v>
      </c>
      <c r="BZ155" s="106">
        <f t="shared" ca="1" si="121"/>
        <v>-215.6</v>
      </c>
      <c r="CA155" s="106">
        <f t="shared" ca="1" si="174"/>
        <v>-150.92000000000002</v>
      </c>
    </row>
    <row r="156" spans="1:79" x14ac:dyDescent="0.35">
      <c r="A156" s="25" t="s">
        <v>170</v>
      </c>
      <c r="B156" s="15" t="s">
        <v>323</v>
      </c>
      <c r="C156" s="10" t="s">
        <v>342</v>
      </c>
      <c r="D156" s="10" t="s">
        <v>346</v>
      </c>
      <c r="E156" s="11">
        <v>45878</v>
      </c>
      <c r="F156" s="17">
        <v>45892</v>
      </c>
      <c r="G156" s="14">
        <f t="shared" ca="1" si="122"/>
        <v>207</v>
      </c>
      <c r="H156" s="17">
        <v>599</v>
      </c>
      <c r="I156" s="17">
        <v>280</v>
      </c>
      <c r="J156" s="75">
        <f t="shared" si="123"/>
        <v>918</v>
      </c>
      <c r="K156" s="17">
        <v>1000</v>
      </c>
      <c r="L156" s="85">
        <v>82</v>
      </c>
      <c r="M156" s="86">
        <f t="shared" ca="1" si="124"/>
        <v>0.39613526570048307</v>
      </c>
      <c r="N156" s="86">
        <f t="shared" si="125"/>
        <v>0.80451009251471861</v>
      </c>
      <c r="O156" s="86">
        <f t="shared" si="126"/>
        <v>0.25</v>
      </c>
      <c r="P156" s="87">
        <f t="shared" si="127"/>
        <v>20.5</v>
      </c>
      <c r="Q156" s="104">
        <f t="shared" si="128"/>
        <v>44.780487804878049</v>
      </c>
      <c r="R156" s="88">
        <f t="shared" si="129"/>
        <v>53.255425709515855</v>
      </c>
      <c r="S156" s="88">
        <f t="shared" si="130"/>
        <v>8.2000000000000011</v>
      </c>
      <c r="T156" s="13">
        <f t="shared" si="131"/>
        <v>1</v>
      </c>
      <c r="U156" s="13">
        <f t="shared" si="132"/>
        <v>1</v>
      </c>
      <c r="V156" s="13">
        <f t="shared" si="133"/>
        <v>2</v>
      </c>
      <c r="W156" s="13">
        <f t="shared" ca="1" si="134"/>
        <v>3</v>
      </c>
      <c r="X156" s="13">
        <f t="shared" ca="1" si="135"/>
        <v>7</v>
      </c>
      <c r="Y156" s="81" t="str">
        <f t="shared" ca="1" si="136"/>
        <v>MONITOR</v>
      </c>
      <c r="Z156" s="13">
        <v>14</v>
      </c>
      <c r="AA156" s="75">
        <v>46059</v>
      </c>
      <c r="AB156" s="75">
        <f t="shared" si="137"/>
        <v>45920</v>
      </c>
      <c r="AC156" s="88">
        <f t="shared" si="138"/>
        <v>19.857142857142858</v>
      </c>
      <c r="AD156" s="89" t="str">
        <f t="shared" ca="1" si="139"/>
        <v>STABLE</v>
      </c>
      <c r="AE156" s="89" t="str">
        <f t="shared" si="140"/>
        <v>SLOW SELLING</v>
      </c>
      <c r="AF156" s="89" t="str">
        <f t="shared" si="141"/>
        <v>AT RISK</v>
      </c>
      <c r="AG156" s="89" t="str">
        <f t="shared" si="142"/>
        <v>FEASIBLE</v>
      </c>
      <c r="AH156" s="81" t="str">
        <f t="shared" ca="1" si="143"/>
        <v>MONITOR</v>
      </c>
      <c r="AI156" s="75">
        <f t="shared" ca="1" si="144"/>
        <v>0</v>
      </c>
      <c r="AJ156" s="75">
        <f t="shared" ca="1" si="145"/>
        <v>-918</v>
      </c>
      <c r="AK156" s="13">
        <f t="shared" ca="1" si="146"/>
        <v>-1102</v>
      </c>
      <c r="AL156" s="79">
        <v>0.1</v>
      </c>
      <c r="AM156" s="79">
        <v>0.3</v>
      </c>
      <c r="AN156" s="79">
        <v>0.3</v>
      </c>
      <c r="AO156" s="79">
        <v>0.1</v>
      </c>
      <c r="AP156" s="79">
        <v>0.1</v>
      </c>
      <c r="AQ156" s="75">
        <f t="shared" si="147"/>
        <v>91.800000000000011</v>
      </c>
      <c r="AR156" s="75">
        <f t="shared" si="148"/>
        <v>275.39999999999998</v>
      </c>
      <c r="AS156" s="75">
        <f t="shared" si="149"/>
        <v>275.39999999999998</v>
      </c>
      <c r="AT156" s="75">
        <f t="shared" si="150"/>
        <v>91.800000000000011</v>
      </c>
      <c r="AU156" s="75">
        <f t="shared" si="151"/>
        <v>91.800000000000011</v>
      </c>
      <c r="AV156" s="13">
        <v>0.8</v>
      </c>
      <c r="AW156" s="13">
        <v>1.2</v>
      </c>
      <c r="AX156" s="13">
        <v>1.3</v>
      </c>
      <c r="AY156" s="13">
        <v>1</v>
      </c>
      <c r="AZ156" s="13">
        <v>0.7</v>
      </c>
      <c r="BA156" s="105">
        <f t="shared" si="152"/>
        <v>1.6400000000000003</v>
      </c>
      <c r="BB156" s="13">
        <f t="shared" si="153"/>
        <v>7.379999999999999</v>
      </c>
      <c r="BC156" s="13">
        <f t="shared" si="154"/>
        <v>7.9949999999999992</v>
      </c>
      <c r="BD156" s="13">
        <f t="shared" si="155"/>
        <v>2.0500000000000003</v>
      </c>
      <c r="BE156" s="13">
        <f t="shared" si="156"/>
        <v>1.4350000000000001</v>
      </c>
      <c r="BF156" s="88">
        <f t="shared" si="157"/>
        <v>55.975609756097555</v>
      </c>
      <c r="BG156" s="88">
        <f t="shared" si="158"/>
        <v>37.31707317073171</v>
      </c>
      <c r="BH156" s="88">
        <f t="shared" si="159"/>
        <v>34.446529080675425</v>
      </c>
      <c r="BI156" s="88">
        <f t="shared" si="160"/>
        <v>44.780487804878049</v>
      </c>
      <c r="BJ156" s="88">
        <f t="shared" si="161"/>
        <v>63.972125435540072</v>
      </c>
      <c r="BK156" s="105">
        <f t="shared" si="162"/>
        <v>1.786492374727669E-2</v>
      </c>
      <c r="BL156" s="105">
        <f t="shared" si="163"/>
        <v>2.6797385620915031E-2</v>
      </c>
      <c r="BM156" s="105">
        <f t="shared" si="164"/>
        <v>2.9030501089324617E-2</v>
      </c>
      <c r="BN156" s="105">
        <f t="shared" si="165"/>
        <v>2.2331154684095859E-2</v>
      </c>
      <c r="BO156" s="105">
        <f t="shared" si="166"/>
        <v>1.5631808278867104E-2</v>
      </c>
      <c r="BP156" s="105">
        <f t="shared" si="167"/>
        <v>0.1116557734204793</v>
      </c>
      <c r="BQ156" s="79">
        <f t="shared" si="168"/>
        <v>0.16</v>
      </c>
      <c r="BR156" s="79">
        <f t="shared" si="169"/>
        <v>0.24</v>
      </c>
      <c r="BS156" s="79">
        <f t="shared" si="170"/>
        <v>0.26</v>
      </c>
      <c r="BT156" s="79">
        <f t="shared" si="171"/>
        <v>0.19999999999999998</v>
      </c>
      <c r="BU156" s="79">
        <f t="shared" si="172"/>
        <v>0.14000000000000001</v>
      </c>
      <c r="BV156" s="90" t="str">
        <f t="array" aca="1" ref="BV156" ca="1">_xlfn.TEXTJOIN(" ",TRUE,
_xlfn.TEXTJOIN(":",TRUE,ROUND(BK156:BO156/MIN(IF(BK156:BO156&gt;0,BK156:BO156)),0)),
"|",
ROUND(SUM(BW156:CA156),0))</f>
        <v>1:2:2:1:1 | -1102</v>
      </c>
      <c r="BW156" s="106">
        <f t="shared" ca="1" si="173"/>
        <v>-176.32</v>
      </c>
      <c r="BX156" s="106">
        <f t="shared" ca="1" si="119"/>
        <v>-264.48</v>
      </c>
      <c r="BY156" s="106">
        <f t="shared" ca="1" si="120"/>
        <v>-286.52</v>
      </c>
      <c r="BZ156" s="106">
        <f t="shared" ca="1" si="121"/>
        <v>-220.39999999999998</v>
      </c>
      <c r="CA156" s="106">
        <f t="shared" ca="1" si="174"/>
        <v>-154.28</v>
      </c>
    </row>
    <row r="157" spans="1:79" x14ac:dyDescent="0.35">
      <c r="A157" s="25" t="s">
        <v>171</v>
      </c>
      <c r="B157" s="10" t="s">
        <v>330</v>
      </c>
      <c r="C157" s="10" t="s">
        <v>342</v>
      </c>
      <c r="D157" s="10" t="s">
        <v>346</v>
      </c>
      <c r="E157" s="11">
        <v>45920</v>
      </c>
      <c r="F157" s="17">
        <v>45892</v>
      </c>
      <c r="G157" s="14">
        <f t="shared" ca="1" si="122"/>
        <v>207</v>
      </c>
      <c r="H157" s="17">
        <v>599</v>
      </c>
      <c r="I157" s="17">
        <v>290</v>
      </c>
      <c r="J157" s="75">
        <f t="shared" si="123"/>
        <v>1000</v>
      </c>
      <c r="K157" s="17">
        <v>1000</v>
      </c>
      <c r="L157" s="89">
        <v>0</v>
      </c>
      <c r="M157" s="86">
        <f t="shared" ca="1" si="124"/>
        <v>0</v>
      </c>
      <c r="N157" s="86">
        <f t="shared" si="125"/>
        <v>0.80451009251471861</v>
      </c>
      <c r="O157" s="86">
        <f t="shared" si="126"/>
        <v>0</v>
      </c>
      <c r="P157" s="87">
        <f t="shared" si="127"/>
        <v>0</v>
      </c>
      <c r="Q157" s="104" t="e">
        <f t="shared" si="128"/>
        <v>#DIV/0!</v>
      </c>
      <c r="R157" s="88">
        <f t="shared" si="129"/>
        <v>51.58597662771286</v>
      </c>
      <c r="S157" s="88">
        <f t="shared" si="130"/>
        <v>0</v>
      </c>
      <c r="T157" s="13">
        <f t="shared" si="131"/>
        <v>1</v>
      </c>
      <c r="U157" s="13" t="e">
        <f t="shared" si="132"/>
        <v>#DIV/0!</v>
      </c>
      <c r="V157" s="13">
        <f t="shared" si="133"/>
        <v>2</v>
      </c>
      <c r="W157" s="13">
        <f t="shared" ca="1" si="134"/>
        <v>3</v>
      </c>
      <c r="X157" s="13" t="e">
        <f t="shared" ca="1" si="135"/>
        <v>#DIV/0!</v>
      </c>
      <c r="Y157" s="81" t="str">
        <f t="shared" ca="1" si="136"/>
        <v>EXIT</v>
      </c>
      <c r="Z157" s="13">
        <v>14</v>
      </c>
      <c r="AA157" s="75">
        <v>46059</v>
      </c>
      <c r="AB157" s="75">
        <f t="shared" si="137"/>
        <v>45920</v>
      </c>
      <c r="AC157" s="88">
        <f t="shared" si="138"/>
        <v>19.857142857142858</v>
      </c>
      <c r="AD157" s="89" t="str">
        <f t="shared" ca="1" si="139"/>
        <v>STABLE</v>
      </c>
      <c r="AE157" s="89" t="str">
        <f t="shared" si="140"/>
        <v>SLOW SELLING</v>
      </c>
      <c r="AF157" s="89" t="e">
        <f t="shared" si="141"/>
        <v>#DIV/0!</v>
      </c>
      <c r="AG157" s="89" t="str">
        <f t="shared" si="142"/>
        <v>FEASIBLE</v>
      </c>
      <c r="AH157" s="81" t="str">
        <f t="shared" ca="1" si="143"/>
        <v>MONITOR</v>
      </c>
      <c r="AI157" s="75">
        <f t="shared" ca="1" si="144"/>
        <v>0</v>
      </c>
      <c r="AJ157" s="75">
        <f t="shared" ca="1" si="145"/>
        <v>-1000</v>
      </c>
      <c r="AK157" s="13">
        <f t="shared" ca="1" si="146"/>
        <v>-1200</v>
      </c>
      <c r="AL157" s="79">
        <v>0.1</v>
      </c>
      <c r="AM157" s="79">
        <v>0.3</v>
      </c>
      <c r="AN157" s="79">
        <v>0.3</v>
      </c>
      <c r="AO157" s="79">
        <v>0.1</v>
      </c>
      <c r="AP157" s="79">
        <v>0.1</v>
      </c>
      <c r="AQ157" s="75">
        <f t="shared" si="147"/>
        <v>100</v>
      </c>
      <c r="AR157" s="75">
        <f t="shared" si="148"/>
        <v>300</v>
      </c>
      <c r="AS157" s="75">
        <f t="shared" si="149"/>
        <v>300</v>
      </c>
      <c r="AT157" s="75">
        <f t="shared" si="150"/>
        <v>100</v>
      </c>
      <c r="AU157" s="75">
        <f t="shared" si="151"/>
        <v>100</v>
      </c>
      <c r="AV157" s="13">
        <v>0.8</v>
      </c>
      <c r="AW157" s="13">
        <v>1.2</v>
      </c>
      <c r="AX157" s="13">
        <v>1.3</v>
      </c>
      <c r="AY157" s="13">
        <v>1</v>
      </c>
      <c r="AZ157" s="13">
        <v>0.7</v>
      </c>
      <c r="BA157" s="105">
        <f t="shared" si="152"/>
        <v>0</v>
      </c>
      <c r="BB157" s="13">
        <f t="shared" si="153"/>
        <v>0</v>
      </c>
      <c r="BC157" s="13">
        <f t="shared" si="154"/>
        <v>0</v>
      </c>
      <c r="BD157" s="13">
        <f t="shared" si="155"/>
        <v>0</v>
      </c>
      <c r="BE157" s="13">
        <f t="shared" si="156"/>
        <v>0</v>
      </c>
      <c r="BF157" s="88" t="e">
        <f t="shared" si="157"/>
        <v>#DIV/0!</v>
      </c>
      <c r="BG157" s="88" t="e">
        <f t="shared" si="158"/>
        <v>#DIV/0!</v>
      </c>
      <c r="BH157" s="88" t="e">
        <f t="shared" si="159"/>
        <v>#DIV/0!</v>
      </c>
      <c r="BI157" s="88" t="e">
        <f t="shared" si="160"/>
        <v>#DIV/0!</v>
      </c>
      <c r="BJ157" s="88" t="e">
        <f t="shared" si="161"/>
        <v>#DIV/0!</v>
      </c>
      <c r="BK157" s="105" t="e">
        <f t="shared" si="162"/>
        <v>#DIV/0!</v>
      </c>
      <c r="BL157" s="105" t="e">
        <f t="shared" si="163"/>
        <v>#DIV/0!</v>
      </c>
      <c r="BM157" s="105" t="e">
        <f t="shared" si="164"/>
        <v>#DIV/0!</v>
      </c>
      <c r="BN157" s="105" t="e">
        <f t="shared" si="165"/>
        <v>#DIV/0!</v>
      </c>
      <c r="BO157" s="105" t="e">
        <f t="shared" si="166"/>
        <v>#DIV/0!</v>
      </c>
      <c r="BP157" s="105" t="e">
        <f t="shared" si="167"/>
        <v>#DIV/0!</v>
      </c>
      <c r="BQ157" s="79" t="e">
        <f t="shared" si="168"/>
        <v>#DIV/0!</v>
      </c>
      <c r="BR157" s="79" t="e">
        <f t="shared" si="169"/>
        <v>#DIV/0!</v>
      </c>
      <c r="BS157" s="79" t="e">
        <f t="shared" si="170"/>
        <v>#DIV/0!</v>
      </c>
      <c r="BT157" s="79" t="e">
        <f t="shared" si="171"/>
        <v>#DIV/0!</v>
      </c>
      <c r="BU157" s="79" t="e">
        <f t="shared" si="172"/>
        <v>#DIV/0!</v>
      </c>
      <c r="BV157" s="90" t="e">
        <f t="array" aca="1" ref="BV157" ca="1">_xlfn.TEXTJOIN(" ",TRUE,
_xlfn.TEXTJOIN(":",TRUE,ROUND(BK157:BO157/MIN(IF(BK157:BO157&gt;0,BK157:BO157)),0)),
"|",
ROUND(SUM(BW157:CA157),0))</f>
        <v>#DIV/0!</v>
      </c>
      <c r="BW157" s="106" t="e">
        <f t="shared" ca="1" si="173"/>
        <v>#DIV/0!</v>
      </c>
      <c r="BX157" s="106" t="e">
        <f t="shared" ca="1" si="119"/>
        <v>#DIV/0!</v>
      </c>
      <c r="BY157" s="106" t="e">
        <f t="shared" ca="1" si="120"/>
        <v>#DIV/0!</v>
      </c>
      <c r="BZ157" s="106" t="e">
        <f t="shared" ca="1" si="121"/>
        <v>#DIV/0!</v>
      </c>
      <c r="CA157" s="106" t="e">
        <f t="shared" ca="1" si="174"/>
        <v>#DIV/0!</v>
      </c>
    </row>
    <row r="158" spans="1:79" x14ac:dyDescent="0.35">
      <c r="A158" s="25" t="s">
        <v>172</v>
      </c>
      <c r="B158" s="10" t="s">
        <v>331</v>
      </c>
      <c r="C158" s="10" t="s">
        <v>342</v>
      </c>
      <c r="D158" s="10" t="s">
        <v>346</v>
      </c>
      <c r="E158" s="11">
        <v>45878</v>
      </c>
      <c r="F158" s="17">
        <v>45892</v>
      </c>
      <c r="G158" s="14">
        <f t="shared" ca="1" si="122"/>
        <v>207</v>
      </c>
      <c r="H158" s="17">
        <v>199</v>
      </c>
      <c r="I158" s="17">
        <v>135</v>
      </c>
      <c r="J158" s="75">
        <f t="shared" si="123"/>
        <v>1131</v>
      </c>
      <c r="K158" s="17">
        <v>1800</v>
      </c>
      <c r="L158" s="85">
        <v>669</v>
      </c>
      <c r="M158" s="86">
        <f t="shared" ca="1" si="124"/>
        <v>3.2318840579710146</v>
      </c>
      <c r="N158" s="86">
        <f t="shared" si="125"/>
        <v>0.80451009251471861</v>
      </c>
      <c r="O158" s="86">
        <f t="shared" si="126"/>
        <v>2.0396341463414633</v>
      </c>
      <c r="P158" s="87">
        <f t="shared" si="127"/>
        <v>167.25</v>
      </c>
      <c r="Q158" s="104">
        <f t="shared" si="128"/>
        <v>6.7623318385650224</v>
      </c>
      <c r="R158" s="88">
        <f t="shared" si="129"/>
        <v>32.1608040201005</v>
      </c>
      <c r="S158" s="88">
        <f t="shared" si="130"/>
        <v>37.166666666666664</v>
      </c>
      <c r="T158" s="13">
        <f t="shared" si="131"/>
        <v>3</v>
      </c>
      <c r="U158" s="13">
        <f t="shared" si="132"/>
        <v>1</v>
      </c>
      <c r="V158" s="13">
        <f t="shared" si="133"/>
        <v>1</v>
      </c>
      <c r="W158" s="13">
        <f t="shared" ca="1" si="134"/>
        <v>3</v>
      </c>
      <c r="X158" s="13">
        <f t="shared" ca="1" si="135"/>
        <v>8</v>
      </c>
      <c r="Y158" s="81" t="str">
        <f t="shared" ca="1" si="136"/>
        <v>MONITOR</v>
      </c>
      <c r="Z158" s="13">
        <v>14</v>
      </c>
      <c r="AA158" s="75">
        <v>46059</v>
      </c>
      <c r="AB158" s="75">
        <f t="shared" si="137"/>
        <v>45920</v>
      </c>
      <c r="AC158" s="88">
        <f t="shared" si="138"/>
        <v>19.857142857142858</v>
      </c>
      <c r="AD158" s="89" t="str">
        <f t="shared" ca="1" si="139"/>
        <v>STABLE</v>
      </c>
      <c r="AE158" s="89" t="str">
        <f t="shared" si="140"/>
        <v>FAST SELLING</v>
      </c>
      <c r="AF158" s="89" t="str">
        <f t="shared" si="141"/>
        <v>AT RISK</v>
      </c>
      <c r="AG158" s="89" t="str">
        <f t="shared" si="142"/>
        <v>FEASIBLE</v>
      </c>
      <c r="AH158" s="81" t="str">
        <f t="shared" ca="1" si="143"/>
        <v>MONITOR</v>
      </c>
      <c r="AI158" s="75">
        <f t="shared" ca="1" si="144"/>
        <v>0</v>
      </c>
      <c r="AJ158" s="75">
        <f t="shared" ca="1" si="145"/>
        <v>-1131</v>
      </c>
      <c r="AK158" s="13">
        <f t="shared" ca="1" si="146"/>
        <v>-1357</v>
      </c>
      <c r="AL158" s="79">
        <v>0.1</v>
      </c>
      <c r="AM158" s="79">
        <v>0.3</v>
      </c>
      <c r="AN158" s="79">
        <v>0.3</v>
      </c>
      <c r="AO158" s="79">
        <v>0.1</v>
      </c>
      <c r="AP158" s="79">
        <v>0.1</v>
      </c>
      <c r="AQ158" s="75">
        <f t="shared" si="147"/>
        <v>113.10000000000001</v>
      </c>
      <c r="AR158" s="75">
        <f t="shared" si="148"/>
        <v>339.3</v>
      </c>
      <c r="AS158" s="75">
        <f t="shared" si="149"/>
        <v>339.3</v>
      </c>
      <c r="AT158" s="75">
        <f t="shared" si="150"/>
        <v>113.10000000000001</v>
      </c>
      <c r="AU158" s="75">
        <f t="shared" si="151"/>
        <v>113.10000000000001</v>
      </c>
      <c r="AV158" s="13">
        <v>0.8</v>
      </c>
      <c r="AW158" s="13">
        <v>1.2</v>
      </c>
      <c r="AX158" s="13">
        <v>1.3</v>
      </c>
      <c r="AY158" s="13">
        <v>1</v>
      </c>
      <c r="AZ158" s="13">
        <v>0.7</v>
      </c>
      <c r="BA158" s="105">
        <f t="shared" si="152"/>
        <v>13.380000000000003</v>
      </c>
      <c r="BB158" s="13">
        <f t="shared" si="153"/>
        <v>60.209999999999994</v>
      </c>
      <c r="BC158" s="13">
        <f t="shared" si="154"/>
        <v>65.227499999999992</v>
      </c>
      <c r="BD158" s="13">
        <f t="shared" si="155"/>
        <v>16.725000000000001</v>
      </c>
      <c r="BE158" s="13">
        <f t="shared" si="156"/>
        <v>11.7075</v>
      </c>
      <c r="BF158" s="88">
        <f t="shared" si="157"/>
        <v>8.4529147982062778</v>
      </c>
      <c r="BG158" s="88">
        <f t="shared" si="158"/>
        <v>5.6352765321375191</v>
      </c>
      <c r="BH158" s="88">
        <f t="shared" si="159"/>
        <v>5.201793721973095</v>
      </c>
      <c r="BI158" s="88">
        <f t="shared" si="160"/>
        <v>6.7623318385650224</v>
      </c>
      <c r="BJ158" s="88">
        <f t="shared" si="161"/>
        <v>9.6604740550928909</v>
      </c>
      <c r="BK158" s="105">
        <f t="shared" si="162"/>
        <v>0.11830238726790451</v>
      </c>
      <c r="BL158" s="105">
        <f t="shared" si="163"/>
        <v>0.17745358090185676</v>
      </c>
      <c r="BM158" s="105">
        <f t="shared" si="164"/>
        <v>0.1922413793103448</v>
      </c>
      <c r="BN158" s="105">
        <f t="shared" si="165"/>
        <v>0.14787798408488065</v>
      </c>
      <c r="BO158" s="105">
        <f t="shared" si="166"/>
        <v>0.10351458885941643</v>
      </c>
      <c r="BP158" s="105">
        <f t="shared" si="167"/>
        <v>0.7393899204244031</v>
      </c>
      <c r="BQ158" s="79">
        <f t="shared" si="168"/>
        <v>0.16000000000000003</v>
      </c>
      <c r="BR158" s="79">
        <f t="shared" si="169"/>
        <v>0.24000000000000002</v>
      </c>
      <c r="BS158" s="79">
        <f t="shared" si="170"/>
        <v>0.26</v>
      </c>
      <c r="BT158" s="79">
        <f t="shared" si="171"/>
        <v>0.20000000000000004</v>
      </c>
      <c r="BU158" s="79">
        <f t="shared" si="172"/>
        <v>0.13999999999999999</v>
      </c>
      <c r="BV158" s="90" t="str">
        <f t="array" aca="1" ref="BV158" ca="1">_xlfn.TEXTJOIN(" ",TRUE,
_xlfn.TEXTJOIN(":",TRUE,ROUND(BK158:BO158/MIN(IF(BK158:BO158&gt;0,BK158:BO158)),0)),
"|",
ROUND(SUM(BW158:CA158),0))</f>
        <v>1:2:2:1:1 | -1357</v>
      </c>
      <c r="BW158" s="106">
        <f t="shared" ca="1" si="173"/>
        <v>-217.12000000000003</v>
      </c>
      <c r="BX158" s="106">
        <f t="shared" ca="1" si="119"/>
        <v>-325.68</v>
      </c>
      <c r="BY158" s="106">
        <f t="shared" ca="1" si="120"/>
        <v>-352.82</v>
      </c>
      <c r="BZ158" s="106">
        <f t="shared" ca="1" si="121"/>
        <v>-271.40000000000003</v>
      </c>
      <c r="CA158" s="106">
        <f t="shared" ca="1" si="174"/>
        <v>-189.98</v>
      </c>
    </row>
    <row r="159" spans="1:79" x14ac:dyDescent="0.35">
      <c r="A159" s="25" t="s">
        <v>173</v>
      </c>
      <c r="B159" s="10" t="s">
        <v>331</v>
      </c>
      <c r="C159" s="10" t="s">
        <v>342</v>
      </c>
      <c r="D159" s="10" t="s">
        <v>346</v>
      </c>
      <c r="E159" s="11">
        <v>45878</v>
      </c>
      <c r="F159" s="17">
        <v>45892</v>
      </c>
      <c r="G159" s="14">
        <f t="shared" ca="1" si="122"/>
        <v>207</v>
      </c>
      <c r="H159" s="17">
        <v>199</v>
      </c>
      <c r="I159" s="17">
        <v>135</v>
      </c>
      <c r="J159" s="75">
        <f t="shared" si="123"/>
        <v>1514</v>
      </c>
      <c r="K159" s="17">
        <v>2000</v>
      </c>
      <c r="L159" s="85">
        <v>486</v>
      </c>
      <c r="M159" s="86">
        <f t="shared" ca="1" si="124"/>
        <v>2.347826086956522</v>
      </c>
      <c r="N159" s="86">
        <f t="shared" si="125"/>
        <v>0.80451009251471861</v>
      </c>
      <c r="O159" s="86">
        <f t="shared" si="126"/>
        <v>1.4817073170731707</v>
      </c>
      <c r="P159" s="87">
        <f t="shared" si="127"/>
        <v>121.5</v>
      </c>
      <c r="Q159" s="104">
        <f t="shared" si="128"/>
        <v>12.460905349794238</v>
      </c>
      <c r="R159" s="88">
        <f t="shared" si="129"/>
        <v>32.1608040201005</v>
      </c>
      <c r="S159" s="88">
        <f t="shared" si="130"/>
        <v>24.3</v>
      </c>
      <c r="T159" s="13">
        <f t="shared" si="131"/>
        <v>3</v>
      </c>
      <c r="U159" s="13">
        <f t="shared" si="132"/>
        <v>1</v>
      </c>
      <c r="V159" s="13">
        <f t="shared" si="133"/>
        <v>1</v>
      </c>
      <c r="W159" s="13">
        <f t="shared" ca="1" si="134"/>
        <v>3</v>
      </c>
      <c r="X159" s="13">
        <f t="shared" ca="1" si="135"/>
        <v>8</v>
      </c>
      <c r="Y159" s="81" t="str">
        <f t="shared" ca="1" si="136"/>
        <v>MONITOR</v>
      </c>
      <c r="Z159" s="13">
        <v>14</v>
      </c>
      <c r="AA159" s="75">
        <v>46059</v>
      </c>
      <c r="AB159" s="75">
        <f t="shared" si="137"/>
        <v>45920</v>
      </c>
      <c r="AC159" s="88">
        <f t="shared" si="138"/>
        <v>19.857142857142858</v>
      </c>
      <c r="AD159" s="89" t="str">
        <f t="shared" ca="1" si="139"/>
        <v>STABLE</v>
      </c>
      <c r="AE159" s="89" t="str">
        <f t="shared" si="140"/>
        <v>FAST SELLING</v>
      </c>
      <c r="AF159" s="89" t="str">
        <f t="shared" si="141"/>
        <v>AT RISK</v>
      </c>
      <c r="AG159" s="89" t="str">
        <f t="shared" si="142"/>
        <v>FEASIBLE</v>
      </c>
      <c r="AH159" s="81" t="str">
        <f t="shared" ca="1" si="143"/>
        <v>MONITOR</v>
      </c>
      <c r="AI159" s="75">
        <f t="shared" ca="1" si="144"/>
        <v>0</v>
      </c>
      <c r="AJ159" s="75">
        <f t="shared" ca="1" si="145"/>
        <v>-1514</v>
      </c>
      <c r="AK159" s="13">
        <f t="shared" ca="1" si="146"/>
        <v>-1817</v>
      </c>
      <c r="AL159" s="79">
        <v>0.1</v>
      </c>
      <c r="AM159" s="79">
        <v>0.3</v>
      </c>
      <c r="AN159" s="79">
        <v>0.3</v>
      </c>
      <c r="AO159" s="79">
        <v>0.1</v>
      </c>
      <c r="AP159" s="79">
        <v>0.1</v>
      </c>
      <c r="AQ159" s="75">
        <f t="shared" si="147"/>
        <v>151.4</v>
      </c>
      <c r="AR159" s="75">
        <f t="shared" si="148"/>
        <v>454.2</v>
      </c>
      <c r="AS159" s="75">
        <f t="shared" si="149"/>
        <v>454.2</v>
      </c>
      <c r="AT159" s="75">
        <f t="shared" si="150"/>
        <v>151.4</v>
      </c>
      <c r="AU159" s="75">
        <f t="shared" si="151"/>
        <v>151.4</v>
      </c>
      <c r="AV159" s="13">
        <v>0.8</v>
      </c>
      <c r="AW159" s="13">
        <v>1.2</v>
      </c>
      <c r="AX159" s="13">
        <v>1.3</v>
      </c>
      <c r="AY159" s="13">
        <v>1</v>
      </c>
      <c r="AZ159" s="13">
        <v>0.7</v>
      </c>
      <c r="BA159" s="105">
        <f t="shared" si="152"/>
        <v>9.7200000000000006</v>
      </c>
      <c r="BB159" s="13">
        <f t="shared" si="153"/>
        <v>43.739999999999995</v>
      </c>
      <c r="BC159" s="13">
        <f t="shared" si="154"/>
        <v>47.384999999999998</v>
      </c>
      <c r="BD159" s="13">
        <f t="shared" si="155"/>
        <v>12.15</v>
      </c>
      <c r="BE159" s="13">
        <f t="shared" si="156"/>
        <v>8.504999999999999</v>
      </c>
      <c r="BF159" s="88">
        <f t="shared" si="157"/>
        <v>15.576131687242798</v>
      </c>
      <c r="BG159" s="88">
        <f t="shared" si="158"/>
        <v>10.384087791495199</v>
      </c>
      <c r="BH159" s="88">
        <f t="shared" si="159"/>
        <v>9.5853118075340298</v>
      </c>
      <c r="BI159" s="88">
        <f t="shared" si="160"/>
        <v>12.460905349794238</v>
      </c>
      <c r="BJ159" s="88">
        <f t="shared" si="161"/>
        <v>17.801293356848916</v>
      </c>
      <c r="BK159" s="105">
        <f t="shared" si="162"/>
        <v>6.4200792602377807E-2</v>
      </c>
      <c r="BL159" s="105">
        <f t="shared" si="163"/>
        <v>9.6301188903566703E-2</v>
      </c>
      <c r="BM159" s="105">
        <f t="shared" si="164"/>
        <v>0.10432628797886394</v>
      </c>
      <c r="BN159" s="105">
        <f t="shared" si="165"/>
        <v>8.0250990752972262E-2</v>
      </c>
      <c r="BO159" s="105">
        <f t="shared" si="166"/>
        <v>5.6175693527080572E-2</v>
      </c>
      <c r="BP159" s="105">
        <f t="shared" si="167"/>
        <v>0.40125495376486131</v>
      </c>
      <c r="BQ159" s="79">
        <f t="shared" si="168"/>
        <v>0.16</v>
      </c>
      <c r="BR159" s="79">
        <f t="shared" si="169"/>
        <v>0.23999999999999996</v>
      </c>
      <c r="BS159" s="79">
        <f t="shared" si="170"/>
        <v>0.26</v>
      </c>
      <c r="BT159" s="79">
        <f t="shared" si="171"/>
        <v>0.2</v>
      </c>
      <c r="BU159" s="79">
        <f t="shared" si="172"/>
        <v>0.13999999999999999</v>
      </c>
      <c r="BV159" s="90" t="str">
        <f t="array" aca="1" ref="BV159" ca="1">_xlfn.TEXTJOIN(" ",TRUE,
_xlfn.TEXTJOIN(":",TRUE,ROUND(BK159:BO159/MIN(IF(BK159:BO159&gt;0,BK159:BO159)),0)),
"|",
ROUND(SUM(BW159:CA159),0))</f>
        <v>1:2:2:1:1 | -1817</v>
      </c>
      <c r="BW159" s="106">
        <f t="shared" ca="1" si="173"/>
        <v>-290.72000000000003</v>
      </c>
      <c r="BX159" s="106">
        <f t="shared" ca="1" si="119"/>
        <v>-436.07999999999993</v>
      </c>
      <c r="BY159" s="106">
        <f t="shared" ca="1" si="120"/>
        <v>-472.42</v>
      </c>
      <c r="BZ159" s="106">
        <f t="shared" ca="1" si="121"/>
        <v>-363.40000000000003</v>
      </c>
      <c r="CA159" s="106">
        <f t="shared" ca="1" si="174"/>
        <v>-254.37999999999997</v>
      </c>
    </row>
    <row r="160" spans="1:79" x14ac:dyDescent="0.35">
      <c r="A160" s="25" t="s">
        <v>174</v>
      </c>
      <c r="B160" s="10" t="s">
        <v>331</v>
      </c>
      <c r="C160" s="10" t="s">
        <v>342</v>
      </c>
      <c r="D160" s="10" t="s">
        <v>346</v>
      </c>
      <c r="E160" s="11">
        <v>45878</v>
      </c>
      <c r="F160" s="17">
        <v>45892</v>
      </c>
      <c r="G160" s="14">
        <f t="shared" ca="1" si="122"/>
        <v>207</v>
      </c>
      <c r="H160" s="17">
        <v>199</v>
      </c>
      <c r="I160" s="17">
        <v>135</v>
      </c>
      <c r="J160" s="75">
        <f t="shared" si="123"/>
        <v>1706</v>
      </c>
      <c r="K160" s="17">
        <v>1800</v>
      </c>
      <c r="L160" s="85">
        <v>94</v>
      </c>
      <c r="M160" s="86">
        <f t="shared" ca="1" si="124"/>
        <v>0.45410628019323673</v>
      </c>
      <c r="N160" s="86">
        <f t="shared" si="125"/>
        <v>0.80451009251471861</v>
      </c>
      <c r="O160" s="86">
        <f t="shared" si="126"/>
        <v>0.28658536585365851</v>
      </c>
      <c r="P160" s="87">
        <f t="shared" si="127"/>
        <v>23.499999999999996</v>
      </c>
      <c r="Q160" s="104">
        <f t="shared" si="128"/>
        <v>72.59574468085107</v>
      </c>
      <c r="R160" s="88">
        <f t="shared" si="129"/>
        <v>32.1608040201005</v>
      </c>
      <c r="S160" s="88">
        <f t="shared" si="130"/>
        <v>5.2222222222222223</v>
      </c>
      <c r="T160" s="13">
        <f t="shared" si="131"/>
        <v>1</v>
      </c>
      <c r="U160" s="13">
        <f t="shared" si="132"/>
        <v>1</v>
      </c>
      <c r="V160" s="13">
        <f t="shared" si="133"/>
        <v>1</v>
      </c>
      <c r="W160" s="13">
        <f t="shared" ca="1" si="134"/>
        <v>3</v>
      </c>
      <c r="X160" s="13">
        <f t="shared" ca="1" si="135"/>
        <v>6</v>
      </c>
      <c r="Y160" s="81" t="str">
        <f t="shared" ca="1" si="136"/>
        <v>MONITOR</v>
      </c>
      <c r="Z160" s="13">
        <v>14</v>
      </c>
      <c r="AA160" s="75">
        <v>46059</v>
      </c>
      <c r="AB160" s="75">
        <f t="shared" si="137"/>
        <v>45920</v>
      </c>
      <c r="AC160" s="88">
        <f t="shared" si="138"/>
        <v>19.857142857142858</v>
      </c>
      <c r="AD160" s="89" t="str">
        <f t="shared" ca="1" si="139"/>
        <v>STABLE</v>
      </c>
      <c r="AE160" s="89" t="str">
        <f t="shared" si="140"/>
        <v>SLOW SELLING</v>
      </c>
      <c r="AF160" s="89" t="str">
        <f t="shared" si="141"/>
        <v>AT RISK</v>
      </c>
      <c r="AG160" s="89" t="str">
        <f t="shared" si="142"/>
        <v>FEASIBLE</v>
      </c>
      <c r="AH160" s="81" t="str">
        <f t="shared" ca="1" si="143"/>
        <v>MONITOR</v>
      </c>
      <c r="AI160" s="75">
        <f t="shared" ca="1" si="144"/>
        <v>0</v>
      </c>
      <c r="AJ160" s="75">
        <f t="shared" ca="1" si="145"/>
        <v>-1706</v>
      </c>
      <c r="AK160" s="13">
        <f t="shared" ca="1" si="146"/>
        <v>-2047</v>
      </c>
      <c r="AL160" s="79">
        <v>0.1</v>
      </c>
      <c r="AM160" s="79">
        <v>0.3</v>
      </c>
      <c r="AN160" s="79">
        <v>0.3</v>
      </c>
      <c r="AO160" s="79">
        <v>0.1</v>
      </c>
      <c r="AP160" s="79">
        <v>0.1</v>
      </c>
      <c r="AQ160" s="75">
        <f t="shared" si="147"/>
        <v>170.60000000000002</v>
      </c>
      <c r="AR160" s="75">
        <f t="shared" si="148"/>
        <v>511.79999999999995</v>
      </c>
      <c r="AS160" s="75">
        <f t="shared" si="149"/>
        <v>511.79999999999995</v>
      </c>
      <c r="AT160" s="75">
        <f t="shared" si="150"/>
        <v>170.60000000000002</v>
      </c>
      <c r="AU160" s="75">
        <f t="shared" si="151"/>
        <v>170.60000000000002</v>
      </c>
      <c r="AV160" s="13">
        <v>0.8</v>
      </c>
      <c r="AW160" s="13">
        <v>1.2</v>
      </c>
      <c r="AX160" s="13">
        <v>1.3</v>
      </c>
      <c r="AY160" s="13">
        <v>1</v>
      </c>
      <c r="AZ160" s="13">
        <v>0.7</v>
      </c>
      <c r="BA160" s="105">
        <f t="shared" si="152"/>
        <v>1.88</v>
      </c>
      <c r="BB160" s="13">
        <f t="shared" si="153"/>
        <v>8.4599999999999991</v>
      </c>
      <c r="BC160" s="13">
        <f t="shared" si="154"/>
        <v>9.1649999999999991</v>
      </c>
      <c r="BD160" s="13">
        <f t="shared" si="155"/>
        <v>2.3499999999999996</v>
      </c>
      <c r="BE160" s="13">
        <f t="shared" si="156"/>
        <v>1.6449999999999996</v>
      </c>
      <c r="BF160" s="88">
        <f t="shared" si="157"/>
        <v>90.744680851063848</v>
      </c>
      <c r="BG160" s="88">
        <f t="shared" si="158"/>
        <v>60.49645390070922</v>
      </c>
      <c r="BH160" s="88">
        <f t="shared" si="159"/>
        <v>55.842880523731587</v>
      </c>
      <c r="BI160" s="88">
        <f t="shared" si="160"/>
        <v>72.595744680851084</v>
      </c>
      <c r="BJ160" s="88">
        <f t="shared" si="161"/>
        <v>103.70820668693013</v>
      </c>
      <c r="BK160" s="105">
        <f t="shared" si="162"/>
        <v>1.1019929660023445E-2</v>
      </c>
      <c r="BL160" s="105">
        <f t="shared" si="163"/>
        <v>1.6529894490035169E-2</v>
      </c>
      <c r="BM160" s="105">
        <f t="shared" si="164"/>
        <v>1.7907385697538102E-2</v>
      </c>
      <c r="BN160" s="105">
        <f t="shared" si="165"/>
        <v>1.3774912075029304E-2</v>
      </c>
      <c r="BO160" s="105">
        <f t="shared" si="166"/>
        <v>9.6424384525205121E-3</v>
      </c>
      <c r="BP160" s="105">
        <f t="shared" si="167"/>
        <v>6.8874560375146526E-2</v>
      </c>
      <c r="BQ160" s="79">
        <f t="shared" si="168"/>
        <v>0.16</v>
      </c>
      <c r="BR160" s="79">
        <f t="shared" si="169"/>
        <v>0.24000000000000002</v>
      </c>
      <c r="BS160" s="79">
        <f t="shared" si="170"/>
        <v>0.26000000000000006</v>
      </c>
      <c r="BT160" s="79">
        <f t="shared" si="171"/>
        <v>0.19999999999999998</v>
      </c>
      <c r="BU160" s="79">
        <f t="shared" si="172"/>
        <v>0.13999999999999999</v>
      </c>
      <c r="BV160" s="90" t="str">
        <f t="array" aca="1" ref="BV160" ca="1">_xlfn.TEXTJOIN(" ",TRUE,
_xlfn.TEXTJOIN(":",TRUE,ROUND(BK160:BO160/MIN(IF(BK160:BO160&gt;0,BK160:BO160)),0)),
"|",
ROUND(SUM(BW160:CA160),0))</f>
        <v>1:2:2:1:1 | -2047</v>
      </c>
      <c r="BW160" s="106">
        <f t="shared" ca="1" si="173"/>
        <v>-327.52</v>
      </c>
      <c r="BX160" s="106">
        <f t="shared" ca="1" si="119"/>
        <v>-491.28000000000003</v>
      </c>
      <c r="BY160" s="106">
        <f t="shared" ca="1" si="120"/>
        <v>-532.22000000000014</v>
      </c>
      <c r="BZ160" s="106">
        <f t="shared" ca="1" si="121"/>
        <v>-409.4</v>
      </c>
      <c r="CA160" s="106">
        <f t="shared" ca="1" si="174"/>
        <v>-286.58</v>
      </c>
    </row>
    <row r="161" spans="1:79" x14ac:dyDescent="0.35">
      <c r="A161" s="25" t="s">
        <v>175</v>
      </c>
      <c r="B161" s="10" t="s">
        <v>331</v>
      </c>
      <c r="C161" s="10" t="s">
        <v>342</v>
      </c>
      <c r="D161" s="10" t="s">
        <v>346</v>
      </c>
      <c r="E161" s="11">
        <v>45878</v>
      </c>
      <c r="F161" s="17">
        <v>45892</v>
      </c>
      <c r="G161" s="14">
        <f t="shared" ca="1" si="122"/>
        <v>207</v>
      </c>
      <c r="H161" s="17">
        <v>199</v>
      </c>
      <c r="I161" s="17">
        <v>135</v>
      </c>
      <c r="J161" s="75">
        <f t="shared" si="123"/>
        <v>865</v>
      </c>
      <c r="K161" s="17">
        <v>1600</v>
      </c>
      <c r="L161" s="85">
        <v>735</v>
      </c>
      <c r="M161" s="86">
        <f t="shared" ca="1" si="124"/>
        <v>3.5507246376811592</v>
      </c>
      <c r="N161" s="86">
        <f t="shared" si="125"/>
        <v>0.80451009251471861</v>
      </c>
      <c r="O161" s="86">
        <f t="shared" si="126"/>
        <v>2.2408536585365852</v>
      </c>
      <c r="P161" s="87">
        <f t="shared" si="127"/>
        <v>183.75</v>
      </c>
      <c r="Q161" s="104">
        <f t="shared" si="128"/>
        <v>4.7074829931972788</v>
      </c>
      <c r="R161" s="88">
        <f t="shared" si="129"/>
        <v>32.1608040201005</v>
      </c>
      <c r="S161" s="88">
        <f t="shared" si="130"/>
        <v>45.9375</v>
      </c>
      <c r="T161" s="13">
        <f t="shared" si="131"/>
        <v>3</v>
      </c>
      <c r="U161" s="13">
        <f t="shared" si="132"/>
        <v>2</v>
      </c>
      <c r="V161" s="13">
        <f t="shared" si="133"/>
        <v>1</v>
      </c>
      <c r="W161" s="13">
        <f t="shared" ca="1" si="134"/>
        <v>3</v>
      </c>
      <c r="X161" s="13">
        <f t="shared" ca="1" si="135"/>
        <v>9</v>
      </c>
      <c r="Y161" s="81" t="str">
        <f t="shared" ca="1" si="136"/>
        <v>RE-BUY</v>
      </c>
      <c r="Z161" s="13">
        <v>14</v>
      </c>
      <c r="AA161" s="75">
        <v>46059</v>
      </c>
      <c r="AB161" s="75">
        <f t="shared" si="137"/>
        <v>45920</v>
      </c>
      <c r="AC161" s="88">
        <f t="shared" si="138"/>
        <v>19.857142857142858</v>
      </c>
      <c r="AD161" s="89" t="str">
        <f t="shared" ca="1" si="139"/>
        <v>STABLE</v>
      </c>
      <c r="AE161" s="89" t="str">
        <f t="shared" si="140"/>
        <v>FAST SELLING</v>
      </c>
      <c r="AF161" s="89" t="str">
        <f t="shared" si="141"/>
        <v>AT RISK</v>
      </c>
      <c r="AG161" s="89" t="str">
        <f t="shared" si="142"/>
        <v>FEASIBLE</v>
      </c>
      <c r="AH161" s="81" t="str">
        <f t="shared" ca="1" si="143"/>
        <v>IMMEDIATE REBUY</v>
      </c>
      <c r="AI161" s="75">
        <f t="shared" ca="1" si="144"/>
        <v>2189.25</v>
      </c>
      <c r="AJ161" s="75">
        <f t="shared" ca="1" si="145"/>
        <v>1324.25</v>
      </c>
      <c r="AK161" s="13">
        <f t="shared" ca="1" si="146"/>
        <v>1589</v>
      </c>
      <c r="AL161" s="79">
        <v>0.1</v>
      </c>
      <c r="AM161" s="79">
        <v>0.3</v>
      </c>
      <c r="AN161" s="79">
        <v>0.3</v>
      </c>
      <c r="AO161" s="79">
        <v>0.1</v>
      </c>
      <c r="AP161" s="79">
        <v>0.1</v>
      </c>
      <c r="AQ161" s="75">
        <f t="shared" si="147"/>
        <v>86.5</v>
      </c>
      <c r="AR161" s="75">
        <f t="shared" si="148"/>
        <v>259.5</v>
      </c>
      <c r="AS161" s="75">
        <f t="shared" si="149"/>
        <v>259.5</v>
      </c>
      <c r="AT161" s="75">
        <f t="shared" si="150"/>
        <v>86.5</v>
      </c>
      <c r="AU161" s="75">
        <f t="shared" si="151"/>
        <v>86.5</v>
      </c>
      <c r="AV161" s="13">
        <v>0.8</v>
      </c>
      <c r="AW161" s="13">
        <v>1.2</v>
      </c>
      <c r="AX161" s="13">
        <v>1.3</v>
      </c>
      <c r="AY161" s="13">
        <v>1</v>
      </c>
      <c r="AZ161" s="13">
        <v>0.7</v>
      </c>
      <c r="BA161" s="105">
        <f t="shared" si="152"/>
        <v>14.700000000000001</v>
      </c>
      <c r="BB161" s="13">
        <f t="shared" si="153"/>
        <v>66.149999999999991</v>
      </c>
      <c r="BC161" s="13">
        <f t="shared" si="154"/>
        <v>71.662500000000009</v>
      </c>
      <c r="BD161" s="13">
        <f t="shared" si="155"/>
        <v>18.375</v>
      </c>
      <c r="BE161" s="13">
        <f t="shared" si="156"/>
        <v>12.862499999999999</v>
      </c>
      <c r="BF161" s="88">
        <f t="shared" si="157"/>
        <v>5.8843537414965983</v>
      </c>
      <c r="BG161" s="88">
        <f t="shared" si="158"/>
        <v>3.9229024943310664</v>
      </c>
      <c r="BH161" s="88">
        <f t="shared" si="159"/>
        <v>3.6211407639979063</v>
      </c>
      <c r="BI161" s="88">
        <f t="shared" si="160"/>
        <v>4.7074829931972788</v>
      </c>
      <c r="BJ161" s="88">
        <f t="shared" si="161"/>
        <v>6.7249757045675418</v>
      </c>
      <c r="BK161" s="105">
        <f t="shared" si="162"/>
        <v>0.16994219653179191</v>
      </c>
      <c r="BL161" s="105">
        <f t="shared" si="163"/>
        <v>0.25491329479768782</v>
      </c>
      <c r="BM161" s="105">
        <f t="shared" si="164"/>
        <v>0.27615606936416187</v>
      </c>
      <c r="BN161" s="105">
        <f t="shared" si="165"/>
        <v>0.21242774566473988</v>
      </c>
      <c r="BO161" s="105">
        <f t="shared" si="166"/>
        <v>0.14869942196531791</v>
      </c>
      <c r="BP161" s="105">
        <f t="shared" si="167"/>
        <v>1.0621387283236994</v>
      </c>
      <c r="BQ161" s="79">
        <f t="shared" si="168"/>
        <v>0.16</v>
      </c>
      <c r="BR161" s="79">
        <f t="shared" si="169"/>
        <v>0.23999999999999996</v>
      </c>
      <c r="BS161" s="79">
        <f t="shared" si="170"/>
        <v>0.26</v>
      </c>
      <c r="BT161" s="79">
        <f t="shared" si="171"/>
        <v>0.2</v>
      </c>
      <c r="BU161" s="79">
        <f t="shared" si="172"/>
        <v>0.13999999999999999</v>
      </c>
      <c r="BV161" s="90" t="str">
        <f t="array" aca="1" ref="BV161" ca="1">_xlfn.TEXTJOIN(" ",TRUE,
_xlfn.TEXTJOIN(":",TRUE,ROUND(BK161:BO161/MIN(IF(BK161:BO161&gt;0,BK161:BO161)),0)),
"|",
ROUND(SUM(BW161:CA161),0))</f>
        <v>1:2:2:1:1 | 1589</v>
      </c>
      <c r="BW161" s="106">
        <f t="shared" ca="1" si="173"/>
        <v>254.24</v>
      </c>
      <c r="BX161" s="106">
        <f t="shared" ca="1" si="119"/>
        <v>381.35999999999996</v>
      </c>
      <c r="BY161" s="106">
        <f t="shared" ca="1" si="120"/>
        <v>413.14</v>
      </c>
      <c r="BZ161" s="106">
        <f t="shared" ca="1" si="121"/>
        <v>317.8</v>
      </c>
      <c r="CA161" s="106">
        <f t="shared" ca="1" si="174"/>
        <v>222.45999999999998</v>
      </c>
    </row>
    <row r="162" spans="1:79" x14ac:dyDescent="0.35">
      <c r="A162" s="25" t="s">
        <v>176</v>
      </c>
      <c r="B162" s="10" t="s">
        <v>331</v>
      </c>
      <c r="C162" s="10" t="s">
        <v>342</v>
      </c>
      <c r="D162" s="10" t="s">
        <v>346</v>
      </c>
      <c r="E162" s="11">
        <v>45948</v>
      </c>
      <c r="F162" s="17">
        <v>45892</v>
      </c>
      <c r="G162" s="14">
        <f t="shared" ca="1" si="122"/>
        <v>207</v>
      </c>
      <c r="H162" s="17">
        <v>199</v>
      </c>
      <c r="I162" s="17">
        <v>135</v>
      </c>
      <c r="J162" s="75">
        <f t="shared" si="123"/>
        <v>1482</v>
      </c>
      <c r="K162" s="17">
        <v>2000</v>
      </c>
      <c r="L162" s="85">
        <v>518</v>
      </c>
      <c r="M162" s="86">
        <f t="shared" ca="1" si="124"/>
        <v>2.5024154589371981</v>
      </c>
      <c r="N162" s="86">
        <f t="shared" si="125"/>
        <v>0.80451009251471861</v>
      </c>
      <c r="O162" s="86">
        <f t="shared" si="126"/>
        <v>1.5792682926829269</v>
      </c>
      <c r="P162" s="87">
        <f t="shared" si="127"/>
        <v>129.5</v>
      </c>
      <c r="Q162" s="104">
        <f t="shared" si="128"/>
        <v>11.444015444015443</v>
      </c>
      <c r="R162" s="88">
        <f t="shared" si="129"/>
        <v>32.1608040201005</v>
      </c>
      <c r="S162" s="88">
        <f t="shared" si="130"/>
        <v>25.900000000000002</v>
      </c>
      <c r="T162" s="13">
        <f t="shared" si="131"/>
        <v>3</v>
      </c>
      <c r="U162" s="13">
        <f t="shared" si="132"/>
        <v>1</v>
      </c>
      <c r="V162" s="13">
        <f t="shared" si="133"/>
        <v>1</v>
      </c>
      <c r="W162" s="13">
        <f t="shared" ca="1" si="134"/>
        <v>3</v>
      </c>
      <c r="X162" s="13">
        <f t="shared" ca="1" si="135"/>
        <v>8</v>
      </c>
      <c r="Y162" s="81" t="str">
        <f t="shared" ca="1" si="136"/>
        <v>MONITOR</v>
      </c>
      <c r="Z162" s="13">
        <v>14</v>
      </c>
      <c r="AA162" s="75">
        <v>46059</v>
      </c>
      <c r="AB162" s="75">
        <f t="shared" si="137"/>
        <v>45920</v>
      </c>
      <c r="AC162" s="88">
        <f t="shared" si="138"/>
        <v>19.857142857142858</v>
      </c>
      <c r="AD162" s="89" t="str">
        <f t="shared" ca="1" si="139"/>
        <v>STABLE</v>
      </c>
      <c r="AE162" s="89" t="str">
        <f t="shared" si="140"/>
        <v>FAST SELLING</v>
      </c>
      <c r="AF162" s="89" t="str">
        <f t="shared" si="141"/>
        <v>AT RISK</v>
      </c>
      <c r="AG162" s="89" t="str">
        <f t="shared" si="142"/>
        <v>FEASIBLE</v>
      </c>
      <c r="AH162" s="81" t="str">
        <f t="shared" ca="1" si="143"/>
        <v>MONITOR</v>
      </c>
      <c r="AI162" s="75">
        <f t="shared" ca="1" si="144"/>
        <v>0</v>
      </c>
      <c r="AJ162" s="75">
        <f t="shared" ca="1" si="145"/>
        <v>-1482</v>
      </c>
      <c r="AK162" s="13">
        <f t="shared" ca="1" si="146"/>
        <v>-1778</v>
      </c>
      <c r="AL162" s="79">
        <v>0.1</v>
      </c>
      <c r="AM162" s="79">
        <v>0.3</v>
      </c>
      <c r="AN162" s="79">
        <v>0.3</v>
      </c>
      <c r="AO162" s="79">
        <v>0.1</v>
      </c>
      <c r="AP162" s="79">
        <v>0.1</v>
      </c>
      <c r="AQ162" s="75">
        <f t="shared" si="147"/>
        <v>148.20000000000002</v>
      </c>
      <c r="AR162" s="75">
        <f t="shared" si="148"/>
        <v>444.59999999999997</v>
      </c>
      <c r="AS162" s="75">
        <f t="shared" si="149"/>
        <v>444.59999999999997</v>
      </c>
      <c r="AT162" s="75">
        <f t="shared" si="150"/>
        <v>148.20000000000002</v>
      </c>
      <c r="AU162" s="75">
        <f t="shared" si="151"/>
        <v>148.20000000000002</v>
      </c>
      <c r="AV162" s="13">
        <v>0.8</v>
      </c>
      <c r="AW162" s="13">
        <v>1.2</v>
      </c>
      <c r="AX162" s="13">
        <v>1.3</v>
      </c>
      <c r="AY162" s="13">
        <v>1</v>
      </c>
      <c r="AZ162" s="13">
        <v>0.7</v>
      </c>
      <c r="BA162" s="105">
        <f t="shared" si="152"/>
        <v>10.360000000000001</v>
      </c>
      <c r="BB162" s="13">
        <f t="shared" si="153"/>
        <v>46.62</v>
      </c>
      <c r="BC162" s="13">
        <f t="shared" si="154"/>
        <v>50.505000000000003</v>
      </c>
      <c r="BD162" s="13">
        <f t="shared" si="155"/>
        <v>12.950000000000001</v>
      </c>
      <c r="BE162" s="13">
        <f t="shared" si="156"/>
        <v>9.0649999999999995</v>
      </c>
      <c r="BF162" s="88">
        <f t="shared" si="157"/>
        <v>14.305019305019306</v>
      </c>
      <c r="BG162" s="88">
        <f t="shared" si="158"/>
        <v>9.5366795366795358</v>
      </c>
      <c r="BH162" s="88">
        <f t="shared" si="159"/>
        <v>8.8030888030888015</v>
      </c>
      <c r="BI162" s="88">
        <f t="shared" si="160"/>
        <v>11.444015444015445</v>
      </c>
      <c r="BJ162" s="88">
        <f t="shared" si="161"/>
        <v>16.348593491450636</v>
      </c>
      <c r="BK162" s="105">
        <f t="shared" si="162"/>
        <v>6.9905533063427797E-2</v>
      </c>
      <c r="BL162" s="105">
        <f t="shared" si="163"/>
        <v>0.10485829959514172</v>
      </c>
      <c r="BM162" s="105">
        <f t="shared" si="164"/>
        <v>0.1135964912280702</v>
      </c>
      <c r="BN162" s="105">
        <f t="shared" si="165"/>
        <v>8.7381916329284742E-2</v>
      </c>
      <c r="BO162" s="105">
        <f t="shared" si="166"/>
        <v>6.1167341430499317E-2</v>
      </c>
      <c r="BP162" s="105">
        <f t="shared" si="167"/>
        <v>0.43690958164642368</v>
      </c>
      <c r="BQ162" s="79">
        <f t="shared" si="168"/>
        <v>0.16</v>
      </c>
      <c r="BR162" s="79">
        <f t="shared" si="169"/>
        <v>0.24000000000000007</v>
      </c>
      <c r="BS162" s="79">
        <f t="shared" si="170"/>
        <v>0.26000000000000006</v>
      </c>
      <c r="BT162" s="79">
        <f t="shared" si="171"/>
        <v>0.2</v>
      </c>
      <c r="BU162" s="79">
        <f t="shared" si="172"/>
        <v>0.14000000000000001</v>
      </c>
      <c r="BV162" s="90" t="str">
        <f t="array" aca="1" ref="BV162" ca="1">_xlfn.TEXTJOIN(" ",TRUE,
_xlfn.TEXTJOIN(":",TRUE,ROUND(BK162:BO162/MIN(IF(BK162:BO162&gt;0,BK162:BO162)),0)),
"|",
ROUND(SUM(BW162:CA162),0))</f>
        <v>1:2:2:1:1 | -1778</v>
      </c>
      <c r="BW162" s="106">
        <f t="shared" ca="1" si="173"/>
        <v>-284.48</v>
      </c>
      <c r="BX162" s="106">
        <f t="shared" ca="1" si="119"/>
        <v>-426.72000000000014</v>
      </c>
      <c r="BY162" s="106">
        <f t="shared" ca="1" si="120"/>
        <v>-462.28000000000009</v>
      </c>
      <c r="BZ162" s="106">
        <f t="shared" ca="1" si="121"/>
        <v>-355.6</v>
      </c>
      <c r="CA162" s="106">
        <f t="shared" ca="1" si="174"/>
        <v>-248.92000000000002</v>
      </c>
    </row>
    <row r="163" spans="1:79" x14ac:dyDescent="0.35">
      <c r="A163" s="25" t="s">
        <v>177</v>
      </c>
      <c r="B163" s="10" t="s">
        <v>331</v>
      </c>
      <c r="C163" s="10" t="s">
        <v>342</v>
      </c>
      <c r="D163" s="10" t="s">
        <v>346</v>
      </c>
      <c r="E163" s="11">
        <v>45948</v>
      </c>
      <c r="F163" s="17">
        <v>45892</v>
      </c>
      <c r="G163" s="14">
        <f t="shared" ca="1" si="122"/>
        <v>207</v>
      </c>
      <c r="H163" s="17">
        <v>199</v>
      </c>
      <c r="I163" s="17">
        <v>135</v>
      </c>
      <c r="J163" s="75">
        <f t="shared" si="123"/>
        <v>1036</v>
      </c>
      <c r="K163" s="17">
        <v>1800</v>
      </c>
      <c r="L163" s="85">
        <v>764</v>
      </c>
      <c r="M163" s="86">
        <f t="shared" ca="1" si="124"/>
        <v>3.6908212560386473</v>
      </c>
      <c r="N163" s="86">
        <f t="shared" si="125"/>
        <v>0.80451009251471861</v>
      </c>
      <c r="O163" s="86">
        <f t="shared" si="126"/>
        <v>2.3292682926829267</v>
      </c>
      <c r="P163" s="87">
        <f t="shared" si="127"/>
        <v>191</v>
      </c>
      <c r="Q163" s="104">
        <f t="shared" si="128"/>
        <v>5.4240837696335076</v>
      </c>
      <c r="R163" s="88">
        <f t="shared" si="129"/>
        <v>32.1608040201005</v>
      </c>
      <c r="S163" s="88">
        <f t="shared" si="130"/>
        <v>42.444444444444443</v>
      </c>
      <c r="T163" s="13">
        <f t="shared" si="131"/>
        <v>3</v>
      </c>
      <c r="U163" s="13">
        <f t="shared" si="132"/>
        <v>2</v>
      </c>
      <c r="V163" s="13">
        <f t="shared" si="133"/>
        <v>1</v>
      </c>
      <c r="W163" s="13">
        <f t="shared" ca="1" si="134"/>
        <v>3</v>
      </c>
      <c r="X163" s="13">
        <f t="shared" ca="1" si="135"/>
        <v>9</v>
      </c>
      <c r="Y163" s="81" t="str">
        <f t="shared" ca="1" si="136"/>
        <v>RE-BUY</v>
      </c>
      <c r="Z163" s="13">
        <v>14</v>
      </c>
      <c r="AA163" s="75">
        <v>46059</v>
      </c>
      <c r="AB163" s="75">
        <f t="shared" si="137"/>
        <v>45920</v>
      </c>
      <c r="AC163" s="88">
        <f t="shared" si="138"/>
        <v>19.857142857142858</v>
      </c>
      <c r="AD163" s="89" t="str">
        <f t="shared" ca="1" si="139"/>
        <v>STABLE</v>
      </c>
      <c r="AE163" s="89" t="str">
        <f t="shared" si="140"/>
        <v>FAST SELLING</v>
      </c>
      <c r="AF163" s="89" t="str">
        <f t="shared" si="141"/>
        <v>AT RISK</v>
      </c>
      <c r="AG163" s="89" t="str">
        <f t="shared" si="142"/>
        <v>FEASIBLE</v>
      </c>
      <c r="AH163" s="81" t="str">
        <f t="shared" ca="1" si="143"/>
        <v>IMMEDIATE REBUY</v>
      </c>
      <c r="AI163" s="75">
        <f t="shared" ca="1" si="144"/>
        <v>2275.6285714285714</v>
      </c>
      <c r="AJ163" s="75">
        <f t="shared" ca="1" si="145"/>
        <v>1239.6285714285714</v>
      </c>
      <c r="AK163" s="13">
        <f t="shared" ca="1" si="146"/>
        <v>1488</v>
      </c>
      <c r="AL163" s="79">
        <v>0.1</v>
      </c>
      <c r="AM163" s="79">
        <v>0.3</v>
      </c>
      <c r="AN163" s="79">
        <v>0.3</v>
      </c>
      <c r="AO163" s="79">
        <v>0.1</v>
      </c>
      <c r="AP163" s="79">
        <v>0.1</v>
      </c>
      <c r="AQ163" s="75">
        <f t="shared" si="147"/>
        <v>103.60000000000001</v>
      </c>
      <c r="AR163" s="75">
        <f t="shared" si="148"/>
        <v>310.8</v>
      </c>
      <c r="AS163" s="75">
        <f t="shared" si="149"/>
        <v>310.8</v>
      </c>
      <c r="AT163" s="75">
        <f t="shared" si="150"/>
        <v>103.60000000000001</v>
      </c>
      <c r="AU163" s="75">
        <f t="shared" si="151"/>
        <v>103.60000000000001</v>
      </c>
      <c r="AV163" s="13">
        <v>0.8</v>
      </c>
      <c r="AW163" s="13">
        <v>1.2</v>
      </c>
      <c r="AX163" s="13">
        <v>1.3</v>
      </c>
      <c r="AY163" s="13">
        <v>1</v>
      </c>
      <c r="AZ163" s="13">
        <v>0.7</v>
      </c>
      <c r="BA163" s="105">
        <f t="shared" si="152"/>
        <v>15.280000000000001</v>
      </c>
      <c r="BB163" s="13">
        <f t="shared" si="153"/>
        <v>68.759999999999991</v>
      </c>
      <c r="BC163" s="13">
        <f t="shared" si="154"/>
        <v>74.489999999999995</v>
      </c>
      <c r="BD163" s="13">
        <f t="shared" si="155"/>
        <v>19.100000000000001</v>
      </c>
      <c r="BE163" s="13">
        <f t="shared" si="156"/>
        <v>13.370000000000001</v>
      </c>
      <c r="BF163" s="88">
        <f t="shared" si="157"/>
        <v>6.7801047120418847</v>
      </c>
      <c r="BG163" s="88">
        <f t="shared" si="158"/>
        <v>4.520069808027924</v>
      </c>
      <c r="BH163" s="88">
        <f t="shared" si="159"/>
        <v>4.1723721304873145</v>
      </c>
      <c r="BI163" s="88">
        <f t="shared" si="160"/>
        <v>5.4240837696335076</v>
      </c>
      <c r="BJ163" s="88">
        <f t="shared" si="161"/>
        <v>7.7486910994764395</v>
      </c>
      <c r="BK163" s="105">
        <f t="shared" si="162"/>
        <v>0.14749034749034751</v>
      </c>
      <c r="BL163" s="105">
        <f t="shared" si="163"/>
        <v>0.2212355212355212</v>
      </c>
      <c r="BM163" s="105">
        <f t="shared" si="164"/>
        <v>0.23967181467181464</v>
      </c>
      <c r="BN163" s="105">
        <f t="shared" si="165"/>
        <v>0.18436293436293438</v>
      </c>
      <c r="BO163" s="105">
        <f t="shared" si="166"/>
        <v>0.12905405405405407</v>
      </c>
      <c r="BP163" s="105">
        <f t="shared" si="167"/>
        <v>0.9218146718146718</v>
      </c>
      <c r="BQ163" s="79">
        <f t="shared" si="168"/>
        <v>0.16000000000000003</v>
      </c>
      <c r="BR163" s="79">
        <f t="shared" si="169"/>
        <v>0.23999999999999996</v>
      </c>
      <c r="BS163" s="79">
        <f t="shared" si="170"/>
        <v>0.25999999999999995</v>
      </c>
      <c r="BT163" s="79">
        <f t="shared" si="171"/>
        <v>0.2</v>
      </c>
      <c r="BU163" s="79">
        <f t="shared" si="172"/>
        <v>0.14000000000000001</v>
      </c>
      <c r="BV163" s="90" t="str">
        <f t="array" aca="1" ref="BV163" ca="1">_xlfn.TEXTJOIN(" ",TRUE,
_xlfn.TEXTJOIN(":",TRUE,ROUND(BK163:BO163/MIN(IF(BK163:BO163&gt;0,BK163:BO163)),0)),
"|",
ROUND(SUM(BW163:CA163),0))</f>
        <v>1:2:2:1:1 | 1488</v>
      </c>
      <c r="BW163" s="106">
        <f t="shared" ca="1" si="173"/>
        <v>238.08000000000004</v>
      </c>
      <c r="BX163" s="106">
        <f t="shared" ca="1" si="119"/>
        <v>357.11999999999995</v>
      </c>
      <c r="BY163" s="106">
        <f t="shared" ca="1" si="120"/>
        <v>386.87999999999994</v>
      </c>
      <c r="BZ163" s="106">
        <f t="shared" ca="1" si="121"/>
        <v>297.60000000000002</v>
      </c>
      <c r="CA163" s="106">
        <f t="shared" ca="1" si="174"/>
        <v>208.32000000000002</v>
      </c>
    </row>
    <row r="164" spans="1:79" x14ac:dyDescent="0.35">
      <c r="A164" s="25" t="s">
        <v>178</v>
      </c>
      <c r="B164" s="10" t="s">
        <v>331</v>
      </c>
      <c r="C164" s="10" t="s">
        <v>342</v>
      </c>
      <c r="D164" s="10" t="s">
        <v>346</v>
      </c>
      <c r="E164" s="11">
        <v>45948</v>
      </c>
      <c r="F164" s="17">
        <v>45892</v>
      </c>
      <c r="G164" s="14">
        <f t="shared" ca="1" si="122"/>
        <v>207</v>
      </c>
      <c r="H164" s="17">
        <v>199</v>
      </c>
      <c r="I164" s="17">
        <v>135</v>
      </c>
      <c r="J164" s="75">
        <f t="shared" si="123"/>
        <v>934</v>
      </c>
      <c r="K164" s="17">
        <v>1600</v>
      </c>
      <c r="L164" s="85">
        <v>666</v>
      </c>
      <c r="M164" s="86">
        <f t="shared" ca="1" si="124"/>
        <v>3.2173913043478262</v>
      </c>
      <c r="N164" s="86">
        <f t="shared" si="125"/>
        <v>0.80451009251471861</v>
      </c>
      <c r="O164" s="86">
        <f t="shared" si="126"/>
        <v>2.0304878048780486</v>
      </c>
      <c r="P164" s="87">
        <f t="shared" si="127"/>
        <v>166.49999999999997</v>
      </c>
      <c r="Q164" s="104">
        <f t="shared" si="128"/>
        <v>5.6096096096096106</v>
      </c>
      <c r="R164" s="88">
        <f t="shared" si="129"/>
        <v>32.1608040201005</v>
      </c>
      <c r="S164" s="88">
        <f t="shared" si="130"/>
        <v>41.625</v>
      </c>
      <c r="T164" s="13">
        <f t="shared" si="131"/>
        <v>3</v>
      </c>
      <c r="U164" s="13">
        <f t="shared" si="132"/>
        <v>2</v>
      </c>
      <c r="V164" s="13">
        <f t="shared" si="133"/>
        <v>1</v>
      </c>
      <c r="W164" s="13">
        <f t="shared" ca="1" si="134"/>
        <v>3</v>
      </c>
      <c r="X164" s="13">
        <f t="shared" ca="1" si="135"/>
        <v>9</v>
      </c>
      <c r="Y164" s="81" t="str">
        <f t="shared" ca="1" si="136"/>
        <v>RE-BUY</v>
      </c>
      <c r="Z164" s="13">
        <v>14</v>
      </c>
      <c r="AA164" s="75">
        <v>46059</v>
      </c>
      <c r="AB164" s="75">
        <f t="shared" si="137"/>
        <v>45920</v>
      </c>
      <c r="AC164" s="88">
        <f t="shared" si="138"/>
        <v>19.857142857142858</v>
      </c>
      <c r="AD164" s="89" t="str">
        <f t="shared" ca="1" si="139"/>
        <v>STABLE</v>
      </c>
      <c r="AE164" s="89" t="str">
        <f t="shared" si="140"/>
        <v>FAST SELLING</v>
      </c>
      <c r="AF164" s="89" t="str">
        <f t="shared" si="141"/>
        <v>AT RISK</v>
      </c>
      <c r="AG164" s="89" t="str">
        <f t="shared" si="142"/>
        <v>FEASIBLE</v>
      </c>
      <c r="AH164" s="81" t="str">
        <f t="shared" ca="1" si="143"/>
        <v>IMMEDIATE REBUY</v>
      </c>
      <c r="AI164" s="75">
        <f t="shared" ca="1" si="144"/>
        <v>1983.7285714285711</v>
      </c>
      <c r="AJ164" s="75">
        <f t="shared" ca="1" si="145"/>
        <v>1049.7285714285711</v>
      </c>
      <c r="AK164" s="13">
        <f t="shared" ca="1" si="146"/>
        <v>1260</v>
      </c>
      <c r="AL164" s="79">
        <v>0.1</v>
      </c>
      <c r="AM164" s="79">
        <v>0.3</v>
      </c>
      <c r="AN164" s="79">
        <v>0.3</v>
      </c>
      <c r="AO164" s="79">
        <v>0.1</v>
      </c>
      <c r="AP164" s="79">
        <v>0.1</v>
      </c>
      <c r="AQ164" s="75">
        <f t="shared" si="147"/>
        <v>93.4</v>
      </c>
      <c r="AR164" s="75">
        <f t="shared" si="148"/>
        <v>280.2</v>
      </c>
      <c r="AS164" s="75">
        <f t="shared" si="149"/>
        <v>280.2</v>
      </c>
      <c r="AT164" s="75">
        <f t="shared" si="150"/>
        <v>93.4</v>
      </c>
      <c r="AU164" s="75">
        <f t="shared" si="151"/>
        <v>93.4</v>
      </c>
      <c r="AV164" s="13">
        <v>0.8</v>
      </c>
      <c r="AW164" s="13">
        <v>1.2</v>
      </c>
      <c r="AX164" s="13">
        <v>1.3</v>
      </c>
      <c r="AY164" s="13">
        <v>1</v>
      </c>
      <c r="AZ164" s="13">
        <v>0.7</v>
      </c>
      <c r="BA164" s="105">
        <f t="shared" si="152"/>
        <v>13.32</v>
      </c>
      <c r="BB164" s="13">
        <f t="shared" si="153"/>
        <v>59.939999999999984</v>
      </c>
      <c r="BC164" s="13">
        <f t="shared" si="154"/>
        <v>64.934999999999988</v>
      </c>
      <c r="BD164" s="13">
        <f t="shared" si="155"/>
        <v>16.649999999999999</v>
      </c>
      <c r="BE164" s="13">
        <f t="shared" si="156"/>
        <v>11.654999999999998</v>
      </c>
      <c r="BF164" s="88">
        <f t="shared" si="157"/>
        <v>7.0120120120120122</v>
      </c>
      <c r="BG164" s="88">
        <f t="shared" si="158"/>
        <v>4.6746746746746757</v>
      </c>
      <c r="BH164" s="88">
        <f t="shared" si="159"/>
        <v>4.3150843150843157</v>
      </c>
      <c r="BI164" s="88">
        <f t="shared" si="160"/>
        <v>5.6096096096096106</v>
      </c>
      <c r="BJ164" s="88">
        <f t="shared" si="161"/>
        <v>8.0137280137280165</v>
      </c>
      <c r="BK164" s="105">
        <f t="shared" si="162"/>
        <v>0.14261241970021413</v>
      </c>
      <c r="BL164" s="105">
        <f t="shared" si="163"/>
        <v>0.21391862955032115</v>
      </c>
      <c r="BM164" s="105">
        <f t="shared" si="164"/>
        <v>0.23174518201284794</v>
      </c>
      <c r="BN164" s="105">
        <f t="shared" si="165"/>
        <v>0.17826552462526762</v>
      </c>
      <c r="BO164" s="105">
        <f t="shared" si="166"/>
        <v>0.12478586723768732</v>
      </c>
      <c r="BP164" s="105">
        <f t="shared" si="167"/>
        <v>0.89132762312633806</v>
      </c>
      <c r="BQ164" s="79">
        <f t="shared" si="168"/>
        <v>0.16000000000000003</v>
      </c>
      <c r="BR164" s="79">
        <f t="shared" si="169"/>
        <v>0.24000000000000002</v>
      </c>
      <c r="BS164" s="79">
        <f t="shared" si="170"/>
        <v>0.26000000000000006</v>
      </c>
      <c r="BT164" s="79">
        <f t="shared" si="171"/>
        <v>0.2</v>
      </c>
      <c r="BU164" s="79">
        <f t="shared" si="172"/>
        <v>0.13999999999999999</v>
      </c>
      <c r="BV164" s="90" t="str">
        <f t="array" aca="1" ref="BV164" ca="1">_xlfn.TEXTJOIN(" ",TRUE,
_xlfn.TEXTJOIN(":",TRUE,ROUND(BK164:BO164/MIN(IF(BK164:BO164&gt;0,BK164:BO164)),0)),
"|",
ROUND(SUM(BW164:CA164),0))</f>
        <v>1:2:2:1:1 | 1260</v>
      </c>
      <c r="BW164" s="106">
        <f t="shared" ca="1" si="173"/>
        <v>201.60000000000005</v>
      </c>
      <c r="BX164" s="106">
        <f t="shared" ca="1" si="119"/>
        <v>302.40000000000003</v>
      </c>
      <c r="BY164" s="106">
        <f t="shared" ca="1" si="120"/>
        <v>327.60000000000008</v>
      </c>
      <c r="BZ164" s="106">
        <f t="shared" ca="1" si="121"/>
        <v>252</v>
      </c>
      <c r="CA164" s="106">
        <f t="shared" ca="1" si="174"/>
        <v>176.39999999999998</v>
      </c>
    </row>
    <row r="165" spans="1:79" x14ac:dyDescent="0.35">
      <c r="A165" s="25" t="s">
        <v>179</v>
      </c>
      <c r="B165" s="10" t="s">
        <v>331</v>
      </c>
      <c r="C165" s="10" t="s">
        <v>342</v>
      </c>
      <c r="D165" s="10" t="s">
        <v>346</v>
      </c>
      <c r="E165" s="11">
        <v>45948</v>
      </c>
      <c r="F165" s="17">
        <v>45892</v>
      </c>
      <c r="G165" s="14">
        <f t="shared" ca="1" si="122"/>
        <v>207</v>
      </c>
      <c r="H165" s="17">
        <v>199</v>
      </c>
      <c r="I165" s="17">
        <v>135</v>
      </c>
      <c r="J165" s="75">
        <f t="shared" si="123"/>
        <v>1158</v>
      </c>
      <c r="K165" s="17">
        <v>1800</v>
      </c>
      <c r="L165" s="85">
        <v>642</v>
      </c>
      <c r="M165" s="86">
        <f t="shared" ca="1" si="124"/>
        <v>3.1014492753623188</v>
      </c>
      <c r="N165" s="86">
        <f t="shared" si="125"/>
        <v>0.80451009251471861</v>
      </c>
      <c r="O165" s="86">
        <f t="shared" si="126"/>
        <v>1.9573170731707317</v>
      </c>
      <c r="P165" s="87">
        <f t="shared" si="127"/>
        <v>160.5</v>
      </c>
      <c r="Q165" s="104">
        <f t="shared" si="128"/>
        <v>7.2149532710280377</v>
      </c>
      <c r="R165" s="88">
        <f t="shared" si="129"/>
        <v>32.1608040201005</v>
      </c>
      <c r="S165" s="88">
        <f t="shared" si="130"/>
        <v>35.666666666666671</v>
      </c>
      <c r="T165" s="13">
        <f t="shared" si="131"/>
        <v>3</v>
      </c>
      <c r="U165" s="13">
        <f t="shared" si="132"/>
        <v>1</v>
      </c>
      <c r="V165" s="13">
        <f t="shared" si="133"/>
        <v>1</v>
      </c>
      <c r="W165" s="13">
        <f t="shared" ca="1" si="134"/>
        <v>3</v>
      </c>
      <c r="X165" s="13">
        <f t="shared" ca="1" si="135"/>
        <v>8</v>
      </c>
      <c r="Y165" s="81" t="str">
        <f t="shared" ca="1" si="136"/>
        <v>MONITOR</v>
      </c>
      <c r="Z165" s="13">
        <v>14</v>
      </c>
      <c r="AA165" s="75">
        <v>46059</v>
      </c>
      <c r="AB165" s="75">
        <f t="shared" si="137"/>
        <v>45920</v>
      </c>
      <c r="AC165" s="88">
        <f t="shared" si="138"/>
        <v>19.857142857142858</v>
      </c>
      <c r="AD165" s="89" t="str">
        <f t="shared" ca="1" si="139"/>
        <v>STABLE</v>
      </c>
      <c r="AE165" s="89" t="str">
        <f t="shared" si="140"/>
        <v>FAST SELLING</v>
      </c>
      <c r="AF165" s="89" t="str">
        <f t="shared" si="141"/>
        <v>AT RISK</v>
      </c>
      <c r="AG165" s="89" t="str">
        <f t="shared" si="142"/>
        <v>FEASIBLE</v>
      </c>
      <c r="AH165" s="81" t="str">
        <f t="shared" ca="1" si="143"/>
        <v>MONITOR</v>
      </c>
      <c r="AI165" s="75">
        <f t="shared" ca="1" si="144"/>
        <v>0</v>
      </c>
      <c r="AJ165" s="75">
        <f t="shared" ca="1" si="145"/>
        <v>-1158</v>
      </c>
      <c r="AK165" s="13">
        <f t="shared" ca="1" si="146"/>
        <v>-1390</v>
      </c>
      <c r="AL165" s="79">
        <v>0.1</v>
      </c>
      <c r="AM165" s="79">
        <v>0.3</v>
      </c>
      <c r="AN165" s="79">
        <v>0.3</v>
      </c>
      <c r="AO165" s="79">
        <v>0.1</v>
      </c>
      <c r="AP165" s="79">
        <v>0.1</v>
      </c>
      <c r="AQ165" s="75">
        <f t="shared" si="147"/>
        <v>115.80000000000001</v>
      </c>
      <c r="AR165" s="75">
        <f t="shared" si="148"/>
        <v>347.4</v>
      </c>
      <c r="AS165" s="75">
        <f t="shared" si="149"/>
        <v>347.4</v>
      </c>
      <c r="AT165" s="75">
        <f t="shared" si="150"/>
        <v>115.80000000000001</v>
      </c>
      <c r="AU165" s="75">
        <f t="shared" si="151"/>
        <v>115.80000000000001</v>
      </c>
      <c r="AV165" s="13">
        <v>0.8</v>
      </c>
      <c r="AW165" s="13">
        <v>1.2</v>
      </c>
      <c r="AX165" s="13">
        <v>1.3</v>
      </c>
      <c r="AY165" s="13">
        <v>1</v>
      </c>
      <c r="AZ165" s="13">
        <v>0.7</v>
      </c>
      <c r="BA165" s="105">
        <f t="shared" si="152"/>
        <v>12.840000000000002</v>
      </c>
      <c r="BB165" s="13">
        <f t="shared" si="153"/>
        <v>57.779999999999994</v>
      </c>
      <c r="BC165" s="13">
        <f t="shared" si="154"/>
        <v>62.594999999999999</v>
      </c>
      <c r="BD165" s="13">
        <f t="shared" si="155"/>
        <v>16.05</v>
      </c>
      <c r="BE165" s="13">
        <f t="shared" si="156"/>
        <v>11.234999999999999</v>
      </c>
      <c r="BF165" s="88">
        <f t="shared" si="157"/>
        <v>9.0186915887850461</v>
      </c>
      <c r="BG165" s="88">
        <f t="shared" si="158"/>
        <v>6.0124610591900316</v>
      </c>
      <c r="BH165" s="88">
        <f t="shared" si="159"/>
        <v>5.549964054636952</v>
      </c>
      <c r="BI165" s="88">
        <f t="shared" si="160"/>
        <v>7.2149532710280377</v>
      </c>
      <c r="BJ165" s="88">
        <f t="shared" si="161"/>
        <v>10.307076101468626</v>
      </c>
      <c r="BK165" s="105">
        <f t="shared" si="162"/>
        <v>0.11088082901554405</v>
      </c>
      <c r="BL165" s="105">
        <f t="shared" si="163"/>
        <v>0.16632124352331604</v>
      </c>
      <c r="BM165" s="105">
        <f t="shared" si="164"/>
        <v>0.18018134715025907</v>
      </c>
      <c r="BN165" s="105">
        <f t="shared" si="165"/>
        <v>0.13860103626943004</v>
      </c>
      <c r="BO165" s="105">
        <f t="shared" si="166"/>
        <v>9.7020725388601028E-2</v>
      </c>
      <c r="BP165" s="105">
        <f t="shared" si="167"/>
        <v>0.69300518134715028</v>
      </c>
      <c r="BQ165" s="79">
        <f t="shared" si="168"/>
        <v>0.16</v>
      </c>
      <c r="BR165" s="79">
        <f t="shared" si="169"/>
        <v>0.23999999999999996</v>
      </c>
      <c r="BS165" s="79">
        <f t="shared" si="170"/>
        <v>0.26</v>
      </c>
      <c r="BT165" s="79">
        <f t="shared" si="171"/>
        <v>0.19999999999999998</v>
      </c>
      <c r="BU165" s="79">
        <f t="shared" si="172"/>
        <v>0.13999999999999999</v>
      </c>
      <c r="BV165" s="90" t="str">
        <f t="array" aca="1" ref="BV165" ca="1">_xlfn.TEXTJOIN(" ",TRUE,
_xlfn.TEXTJOIN(":",TRUE,ROUND(BK165:BO165/MIN(IF(BK165:BO165&gt;0,BK165:BO165)),0)),
"|",
ROUND(SUM(BW165:CA165),0))</f>
        <v>1:2:2:1:1 | -1390</v>
      </c>
      <c r="BW165" s="106">
        <f t="shared" ca="1" si="173"/>
        <v>-222.4</v>
      </c>
      <c r="BX165" s="106">
        <f t="shared" ca="1" si="119"/>
        <v>-333.59999999999997</v>
      </c>
      <c r="BY165" s="106">
        <f t="shared" ca="1" si="120"/>
        <v>-361.40000000000003</v>
      </c>
      <c r="BZ165" s="106">
        <f t="shared" ca="1" si="121"/>
        <v>-278</v>
      </c>
      <c r="CA165" s="106">
        <f t="shared" ca="1" si="174"/>
        <v>-194.59999999999997</v>
      </c>
    </row>
    <row r="166" spans="1:79" x14ac:dyDescent="0.35">
      <c r="A166" s="25" t="s">
        <v>180</v>
      </c>
      <c r="B166" s="10" t="s">
        <v>331</v>
      </c>
      <c r="C166" s="10" t="s">
        <v>342</v>
      </c>
      <c r="D166" s="10" t="s">
        <v>346</v>
      </c>
      <c r="E166" s="11">
        <v>45976</v>
      </c>
      <c r="F166" s="17">
        <v>45892</v>
      </c>
      <c r="G166" s="14">
        <f t="shared" ca="1" si="122"/>
        <v>207</v>
      </c>
      <c r="H166" s="17">
        <v>199</v>
      </c>
      <c r="I166" s="17">
        <v>135</v>
      </c>
      <c r="J166" s="75">
        <f t="shared" si="123"/>
        <v>1567</v>
      </c>
      <c r="K166" s="17">
        <v>1600</v>
      </c>
      <c r="L166" s="85">
        <v>33</v>
      </c>
      <c r="M166" s="86">
        <f t="shared" ca="1" si="124"/>
        <v>0.15942028985507245</v>
      </c>
      <c r="N166" s="86">
        <f t="shared" si="125"/>
        <v>0.80451009251471861</v>
      </c>
      <c r="O166" s="86">
        <f t="shared" si="126"/>
        <v>0.10060975609756098</v>
      </c>
      <c r="P166" s="87">
        <f t="shared" si="127"/>
        <v>8.25</v>
      </c>
      <c r="Q166" s="104">
        <f t="shared" si="128"/>
        <v>189.93939393939394</v>
      </c>
      <c r="R166" s="88">
        <f t="shared" si="129"/>
        <v>32.1608040201005</v>
      </c>
      <c r="S166" s="88">
        <f t="shared" si="130"/>
        <v>2.0625</v>
      </c>
      <c r="T166" s="13">
        <f t="shared" si="131"/>
        <v>1</v>
      </c>
      <c r="U166" s="13">
        <f t="shared" si="132"/>
        <v>1</v>
      </c>
      <c r="V166" s="13">
        <f t="shared" si="133"/>
        <v>1</v>
      </c>
      <c r="W166" s="13">
        <f t="shared" ca="1" si="134"/>
        <v>3</v>
      </c>
      <c r="X166" s="13">
        <f t="shared" ca="1" si="135"/>
        <v>6</v>
      </c>
      <c r="Y166" s="81" t="str">
        <f t="shared" ca="1" si="136"/>
        <v>MONITOR</v>
      </c>
      <c r="Z166" s="13">
        <v>14</v>
      </c>
      <c r="AA166" s="75">
        <v>46059</v>
      </c>
      <c r="AB166" s="75">
        <f t="shared" si="137"/>
        <v>45920</v>
      </c>
      <c r="AC166" s="88">
        <f t="shared" si="138"/>
        <v>19.857142857142858</v>
      </c>
      <c r="AD166" s="89" t="str">
        <f t="shared" ca="1" si="139"/>
        <v>STABLE</v>
      </c>
      <c r="AE166" s="89" t="str">
        <f t="shared" si="140"/>
        <v>SLOW SELLING</v>
      </c>
      <c r="AF166" s="89" t="str">
        <f t="shared" si="141"/>
        <v>AT RISK</v>
      </c>
      <c r="AG166" s="89" t="str">
        <f t="shared" si="142"/>
        <v>FEASIBLE</v>
      </c>
      <c r="AH166" s="81" t="str">
        <f t="shared" ca="1" si="143"/>
        <v>MONITOR</v>
      </c>
      <c r="AI166" s="75">
        <f t="shared" ca="1" si="144"/>
        <v>0</v>
      </c>
      <c r="AJ166" s="75">
        <f t="shared" ca="1" si="145"/>
        <v>-1567</v>
      </c>
      <c r="AK166" s="13">
        <f t="shared" ca="1" si="146"/>
        <v>-1880</v>
      </c>
      <c r="AL166" s="79">
        <v>0.1</v>
      </c>
      <c r="AM166" s="79">
        <v>0.3</v>
      </c>
      <c r="AN166" s="79">
        <v>0.3</v>
      </c>
      <c r="AO166" s="79">
        <v>0.1</v>
      </c>
      <c r="AP166" s="79">
        <v>0.1</v>
      </c>
      <c r="AQ166" s="75">
        <f t="shared" si="147"/>
        <v>156.70000000000002</v>
      </c>
      <c r="AR166" s="75">
        <f t="shared" si="148"/>
        <v>470.09999999999997</v>
      </c>
      <c r="AS166" s="75">
        <f t="shared" si="149"/>
        <v>470.09999999999997</v>
      </c>
      <c r="AT166" s="75">
        <f t="shared" si="150"/>
        <v>156.70000000000002</v>
      </c>
      <c r="AU166" s="75">
        <f t="shared" si="151"/>
        <v>156.70000000000002</v>
      </c>
      <c r="AV166" s="13">
        <v>0.8</v>
      </c>
      <c r="AW166" s="13">
        <v>1.2</v>
      </c>
      <c r="AX166" s="13">
        <v>1.3</v>
      </c>
      <c r="AY166" s="13">
        <v>1</v>
      </c>
      <c r="AZ166" s="13">
        <v>0.7</v>
      </c>
      <c r="BA166" s="105">
        <f t="shared" si="152"/>
        <v>0.66000000000000014</v>
      </c>
      <c r="BB166" s="13">
        <f t="shared" si="153"/>
        <v>2.97</v>
      </c>
      <c r="BC166" s="13">
        <f t="shared" si="154"/>
        <v>3.2175000000000002</v>
      </c>
      <c r="BD166" s="13">
        <f t="shared" si="155"/>
        <v>0.82500000000000007</v>
      </c>
      <c r="BE166" s="13">
        <f t="shared" si="156"/>
        <v>0.57750000000000001</v>
      </c>
      <c r="BF166" s="88">
        <f t="shared" si="157"/>
        <v>237.42424242424241</v>
      </c>
      <c r="BG166" s="88">
        <f t="shared" si="158"/>
        <v>158.28282828282826</v>
      </c>
      <c r="BH166" s="88">
        <f t="shared" si="159"/>
        <v>146.1072261072261</v>
      </c>
      <c r="BI166" s="88">
        <f t="shared" si="160"/>
        <v>189.93939393939394</v>
      </c>
      <c r="BJ166" s="88">
        <f t="shared" si="161"/>
        <v>271.34199134199139</v>
      </c>
      <c r="BK166" s="105">
        <f t="shared" si="162"/>
        <v>4.2118698149329935E-3</v>
      </c>
      <c r="BL166" s="105">
        <f t="shared" si="163"/>
        <v>6.3178047223994907E-3</v>
      </c>
      <c r="BM166" s="105">
        <f t="shared" si="164"/>
        <v>6.8442884492661143E-3</v>
      </c>
      <c r="BN166" s="105">
        <f t="shared" si="165"/>
        <v>5.2648372686662417E-3</v>
      </c>
      <c r="BO166" s="105">
        <f t="shared" si="166"/>
        <v>3.6853860880663681E-3</v>
      </c>
      <c r="BP166" s="105">
        <f t="shared" si="167"/>
        <v>2.6324186343331207E-2</v>
      </c>
      <c r="BQ166" s="79">
        <f t="shared" si="168"/>
        <v>0.16</v>
      </c>
      <c r="BR166" s="79">
        <f t="shared" si="169"/>
        <v>0.24000000000000005</v>
      </c>
      <c r="BS166" s="79">
        <f t="shared" si="170"/>
        <v>0.26</v>
      </c>
      <c r="BT166" s="79">
        <f t="shared" si="171"/>
        <v>0.2</v>
      </c>
      <c r="BU166" s="79">
        <f t="shared" si="172"/>
        <v>0.13999999999999996</v>
      </c>
      <c r="BV166" s="90" t="str">
        <f t="array" aca="1" ref="BV166" ca="1">_xlfn.TEXTJOIN(" ",TRUE,
_xlfn.TEXTJOIN(":",TRUE,ROUND(BK166:BO166/MIN(IF(BK166:BO166&gt;0,BK166:BO166)),0)),
"|",
ROUND(SUM(BW166:CA166),0))</f>
        <v>1:2:2:1:1 | -1880</v>
      </c>
      <c r="BW166" s="106">
        <f t="shared" ca="1" si="173"/>
        <v>-300.8</v>
      </c>
      <c r="BX166" s="106">
        <f t="shared" ca="1" si="119"/>
        <v>-451.2000000000001</v>
      </c>
      <c r="BY166" s="106">
        <f t="shared" ca="1" si="120"/>
        <v>-488.8</v>
      </c>
      <c r="BZ166" s="106">
        <f t="shared" ca="1" si="121"/>
        <v>-376</v>
      </c>
      <c r="CA166" s="106">
        <f t="shared" ca="1" si="174"/>
        <v>-263.19999999999993</v>
      </c>
    </row>
    <row r="167" spans="1:79" x14ac:dyDescent="0.35">
      <c r="A167" s="25" t="s">
        <v>181</v>
      </c>
      <c r="B167" s="10" t="s">
        <v>331</v>
      </c>
      <c r="C167" s="10" t="s">
        <v>342</v>
      </c>
      <c r="D167" s="10" t="s">
        <v>346</v>
      </c>
      <c r="E167" s="11">
        <v>45976</v>
      </c>
      <c r="F167" s="17">
        <v>45892</v>
      </c>
      <c r="G167" s="14">
        <f t="shared" ca="1" si="122"/>
        <v>207</v>
      </c>
      <c r="H167" s="17">
        <v>199</v>
      </c>
      <c r="I167" s="17">
        <v>135</v>
      </c>
      <c r="J167" s="75">
        <f t="shared" si="123"/>
        <v>1332</v>
      </c>
      <c r="K167" s="17">
        <v>2000</v>
      </c>
      <c r="L167" s="85">
        <v>668</v>
      </c>
      <c r="M167" s="86">
        <f t="shared" ca="1" si="124"/>
        <v>3.2270531400966185</v>
      </c>
      <c r="N167" s="86">
        <f t="shared" si="125"/>
        <v>0.80451009251471861</v>
      </c>
      <c r="O167" s="86">
        <f t="shared" si="126"/>
        <v>2.0365853658536586</v>
      </c>
      <c r="P167" s="87">
        <f t="shared" si="127"/>
        <v>167</v>
      </c>
      <c r="Q167" s="104">
        <f t="shared" si="128"/>
        <v>7.976047904191617</v>
      </c>
      <c r="R167" s="88">
        <f t="shared" si="129"/>
        <v>32.1608040201005</v>
      </c>
      <c r="S167" s="88">
        <f t="shared" si="130"/>
        <v>33.4</v>
      </c>
      <c r="T167" s="13">
        <f t="shared" si="131"/>
        <v>3</v>
      </c>
      <c r="U167" s="13">
        <f t="shared" si="132"/>
        <v>1</v>
      </c>
      <c r="V167" s="13">
        <f t="shared" si="133"/>
        <v>1</v>
      </c>
      <c r="W167" s="13">
        <f t="shared" ca="1" si="134"/>
        <v>3</v>
      </c>
      <c r="X167" s="13">
        <f t="shared" ca="1" si="135"/>
        <v>8</v>
      </c>
      <c r="Y167" s="81" t="str">
        <f t="shared" ca="1" si="136"/>
        <v>MONITOR</v>
      </c>
      <c r="Z167" s="13">
        <v>14</v>
      </c>
      <c r="AA167" s="75">
        <v>46059</v>
      </c>
      <c r="AB167" s="75">
        <f t="shared" si="137"/>
        <v>45920</v>
      </c>
      <c r="AC167" s="88">
        <f t="shared" si="138"/>
        <v>19.857142857142858</v>
      </c>
      <c r="AD167" s="89" t="str">
        <f t="shared" ca="1" si="139"/>
        <v>STABLE</v>
      </c>
      <c r="AE167" s="89" t="str">
        <f t="shared" si="140"/>
        <v>FAST SELLING</v>
      </c>
      <c r="AF167" s="89" t="str">
        <f t="shared" si="141"/>
        <v>AT RISK</v>
      </c>
      <c r="AG167" s="89" t="str">
        <f t="shared" si="142"/>
        <v>FEASIBLE</v>
      </c>
      <c r="AH167" s="81" t="str">
        <f t="shared" ca="1" si="143"/>
        <v>MONITOR</v>
      </c>
      <c r="AI167" s="75">
        <f t="shared" ca="1" si="144"/>
        <v>0</v>
      </c>
      <c r="AJ167" s="75">
        <f t="shared" ca="1" si="145"/>
        <v>-1332</v>
      </c>
      <c r="AK167" s="13">
        <f t="shared" ca="1" si="146"/>
        <v>-1598</v>
      </c>
      <c r="AL167" s="79">
        <v>0.1</v>
      </c>
      <c r="AM167" s="79">
        <v>0.3</v>
      </c>
      <c r="AN167" s="79">
        <v>0.3</v>
      </c>
      <c r="AO167" s="79">
        <v>0.1</v>
      </c>
      <c r="AP167" s="79">
        <v>0.1</v>
      </c>
      <c r="AQ167" s="75">
        <f t="shared" si="147"/>
        <v>133.20000000000002</v>
      </c>
      <c r="AR167" s="75">
        <f t="shared" si="148"/>
        <v>399.59999999999997</v>
      </c>
      <c r="AS167" s="75">
        <f t="shared" si="149"/>
        <v>399.59999999999997</v>
      </c>
      <c r="AT167" s="75">
        <f t="shared" si="150"/>
        <v>133.20000000000002</v>
      </c>
      <c r="AU167" s="75">
        <f t="shared" si="151"/>
        <v>133.20000000000002</v>
      </c>
      <c r="AV167" s="13">
        <v>0.8</v>
      </c>
      <c r="AW167" s="13">
        <v>1.2</v>
      </c>
      <c r="AX167" s="13">
        <v>1.3</v>
      </c>
      <c r="AY167" s="13">
        <v>1</v>
      </c>
      <c r="AZ167" s="13">
        <v>0.7</v>
      </c>
      <c r="BA167" s="105">
        <f t="shared" si="152"/>
        <v>13.36</v>
      </c>
      <c r="BB167" s="13">
        <f t="shared" si="153"/>
        <v>60.12</v>
      </c>
      <c r="BC167" s="13">
        <f t="shared" si="154"/>
        <v>65.13000000000001</v>
      </c>
      <c r="BD167" s="13">
        <f t="shared" si="155"/>
        <v>16.7</v>
      </c>
      <c r="BE167" s="13">
        <f t="shared" si="156"/>
        <v>11.69</v>
      </c>
      <c r="BF167" s="88">
        <f t="shared" si="157"/>
        <v>9.9700598802395231</v>
      </c>
      <c r="BG167" s="88">
        <f t="shared" si="158"/>
        <v>6.6467065868263466</v>
      </c>
      <c r="BH167" s="88">
        <f t="shared" si="159"/>
        <v>6.1354214647627803</v>
      </c>
      <c r="BI167" s="88">
        <f t="shared" si="160"/>
        <v>7.9760479041916179</v>
      </c>
      <c r="BJ167" s="88">
        <f t="shared" si="161"/>
        <v>11.394354148845169</v>
      </c>
      <c r="BK167" s="105">
        <f t="shared" si="162"/>
        <v>0.10030030030030028</v>
      </c>
      <c r="BL167" s="105">
        <f t="shared" si="163"/>
        <v>0.15045045045045047</v>
      </c>
      <c r="BM167" s="105">
        <f t="shared" si="164"/>
        <v>0.16298798798798803</v>
      </c>
      <c r="BN167" s="105">
        <f t="shared" si="165"/>
        <v>0.12537537537537535</v>
      </c>
      <c r="BO167" s="105">
        <f t="shared" si="166"/>
        <v>8.776276276276275E-2</v>
      </c>
      <c r="BP167" s="105">
        <f t="shared" si="167"/>
        <v>0.62687687687687688</v>
      </c>
      <c r="BQ167" s="79">
        <f t="shared" si="168"/>
        <v>0.15999999999999998</v>
      </c>
      <c r="BR167" s="79">
        <f t="shared" si="169"/>
        <v>0.24000000000000002</v>
      </c>
      <c r="BS167" s="79">
        <f t="shared" si="170"/>
        <v>0.26000000000000006</v>
      </c>
      <c r="BT167" s="79">
        <f t="shared" si="171"/>
        <v>0.19999999999999996</v>
      </c>
      <c r="BU167" s="79">
        <f t="shared" si="172"/>
        <v>0.13999999999999999</v>
      </c>
      <c r="BV167" s="90" t="str">
        <f t="array" aca="1" ref="BV167" ca="1">_xlfn.TEXTJOIN(" ",TRUE,
_xlfn.TEXTJOIN(":",TRUE,ROUND(BK167:BO167/MIN(IF(BK167:BO167&gt;0,BK167:BO167)),0)),
"|",
ROUND(SUM(BW167:CA167),0))</f>
        <v>1:2:2:1:1 | -1598</v>
      </c>
      <c r="BW167" s="106">
        <f t="shared" ca="1" si="173"/>
        <v>-255.67999999999995</v>
      </c>
      <c r="BX167" s="106">
        <f t="shared" ca="1" si="119"/>
        <v>-383.52000000000004</v>
      </c>
      <c r="BY167" s="106">
        <f t="shared" ca="1" si="120"/>
        <v>-415.48000000000008</v>
      </c>
      <c r="BZ167" s="106">
        <f t="shared" ca="1" si="121"/>
        <v>-319.59999999999991</v>
      </c>
      <c r="CA167" s="106">
        <f t="shared" ca="1" si="174"/>
        <v>-223.71999999999997</v>
      </c>
    </row>
    <row r="168" spans="1:79" x14ac:dyDescent="0.35">
      <c r="A168" s="25" t="s">
        <v>182</v>
      </c>
      <c r="B168" s="10" t="s">
        <v>331</v>
      </c>
      <c r="C168" s="10" t="s">
        <v>342</v>
      </c>
      <c r="D168" s="10" t="s">
        <v>346</v>
      </c>
      <c r="E168" s="11">
        <v>45976</v>
      </c>
      <c r="F168" s="17">
        <v>45892</v>
      </c>
      <c r="G168" s="14">
        <f t="shared" ca="1" si="122"/>
        <v>207</v>
      </c>
      <c r="H168" s="17">
        <v>199</v>
      </c>
      <c r="I168" s="17">
        <v>135</v>
      </c>
      <c r="J168" s="75">
        <f t="shared" si="123"/>
        <v>1308</v>
      </c>
      <c r="K168" s="17">
        <v>2000</v>
      </c>
      <c r="L168" s="85">
        <v>692</v>
      </c>
      <c r="M168" s="86">
        <f t="shared" ca="1" si="124"/>
        <v>3.3429951690821258</v>
      </c>
      <c r="N168" s="86">
        <f t="shared" si="125"/>
        <v>0.80451009251471861</v>
      </c>
      <c r="O168" s="86">
        <f t="shared" si="126"/>
        <v>2.1097560975609757</v>
      </c>
      <c r="P168" s="87">
        <f t="shared" si="127"/>
        <v>173</v>
      </c>
      <c r="Q168" s="104">
        <f t="shared" si="128"/>
        <v>7.5606936416184976</v>
      </c>
      <c r="R168" s="88">
        <f t="shared" si="129"/>
        <v>32.1608040201005</v>
      </c>
      <c r="S168" s="88">
        <f t="shared" si="130"/>
        <v>34.599999999999994</v>
      </c>
      <c r="T168" s="13">
        <f t="shared" si="131"/>
        <v>3</v>
      </c>
      <c r="U168" s="13">
        <f t="shared" si="132"/>
        <v>1</v>
      </c>
      <c r="V168" s="13">
        <f t="shared" si="133"/>
        <v>1</v>
      </c>
      <c r="W168" s="13">
        <f t="shared" ca="1" si="134"/>
        <v>3</v>
      </c>
      <c r="X168" s="13">
        <f t="shared" ca="1" si="135"/>
        <v>8</v>
      </c>
      <c r="Y168" s="81" t="str">
        <f t="shared" ca="1" si="136"/>
        <v>MONITOR</v>
      </c>
      <c r="Z168" s="13">
        <v>14</v>
      </c>
      <c r="AA168" s="75">
        <v>46059</v>
      </c>
      <c r="AB168" s="75">
        <f t="shared" si="137"/>
        <v>45920</v>
      </c>
      <c r="AC168" s="88">
        <f t="shared" si="138"/>
        <v>19.857142857142858</v>
      </c>
      <c r="AD168" s="89" t="str">
        <f t="shared" ca="1" si="139"/>
        <v>STABLE</v>
      </c>
      <c r="AE168" s="89" t="str">
        <f t="shared" si="140"/>
        <v>FAST SELLING</v>
      </c>
      <c r="AF168" s="89" t="str">
        <f t="shared" si="141"/>
        <v>AT RISK</v>
      </c>
      <c r="AG168" s="89" t="str">
        <f t="shared" si="142"/>
        <v>FEASIBLE</v>
      </c>
      <c r="AH168" s="81" t="str">
        <f t="shared" ca="1" si="143"/>
        <v>MONITOR</v>
      </c>
      <c r="AI168" s="75">
        <f t="shared" ca="1" si="144"/>
        <v>0</v>
      </c>
      <c r="AJ168" s="75">
        <f t="shared" ca="1" si="145"/>
        <v>-1308</v>
      </c>
      <c r="AK168" s="13">
        <f t="shared" ca="1" si="146"/>
        <v>-1570</v>
      </c>
      <c r="AL168" s="79">
        <v>0.1</v>
      </c>
      <c r="AM168" s="79">
        <v>0.3</v>
      </c>
      <c r="AN168" s="79">
        <v>0.3</v>
      </c>
      <c r="AO168" s="79">
        <v>0.1</v>
      </c>
      <c r="AP168" s="79">
        <v>0.1</v>
      </c>
      <c r="AQ168" s="75">
        <f t="shared" si="147"/>
        <v>130.80000000000001</v>
      </c>
      <c r="AR168" s="75">
        <f t="shared" si="148"/>
        <v>392.4</v>
      </c>
      <c r="AS168" s="75">
        <f t="shared" si="149"/>
        <v>392.4</v>
      </c>
      <c r="AT168" s="75">
        <f t="shared" si="150"/>
        <v>130.80000000000001</v>
      </c>
      <c r="AU168" s="75">
        <f t="shared" si="151"/>
        <v>130.80000000000001</v>
      </c>
      <c r="AV168" s="13">
        <v>0.8</v>
      </c>
      <c r="AW168" s="13">
        <v>1.2</v>
      </c>
      <c r="AX168" s="13">
        <v>1.3</v>
      </c>
      <c r="AY168" s="13">
        <v>1</v>
      </c>
      <c r="AZ168" s="13">
        <v>0.7</v>
      </c>
      <c r="BA168" s="105">
        <f t="shared" si="152"/>
        <v>13.840000000000002</v>
      </c>
      <c r="BB168" s="13">
        <f t="shared" si="153"/>
        <v>62.279999999999994</v>
      </c>
      <c r="BC168" s="13">
        <f t="shared" si="154"/>
        <v>67.47</v>
      </c>
      <c r="BD168" s="13">
        <f t="shared" si="155"/>
        <v>17.3</v>
      </c>
      <c r="BE168" s="13">
        <f t="shared" si="156"/>
        <v>12.11</v>
      </c>
      <c r="BF168" s="88">
        <f t="shared" si="157"/>
        <v>9.4508670520231206</v>
      </c>
      <c r="BG168" s="88">
        <f t="shared" si="158"/>
        <v>6.300578034682081</v>
      </c>
      <c r="BH168" s="88">
        <f t="shared" si="159"/>
        <v>5.8159181858603821</v>
      </c>
      <c r="BI168" s="88">
        <f t="shared" si="160"/>
        <v>7.5606936416184976</v>
      </c>
      <c r="BJ168" s="88">
        <f t="shared" si="161"/>
        <v>10.800990916597854</v>
      </c>
      <c r="BK168" s="105">
        <f t="shared" si="162"/>
        <v>0.10581039755351683</v>
      </c>
      <c r="BL168" s="105">
        <f t="shared" si="163"/>
        <v>0.15871559633027524</v>
      </c>
      <c r="BM168" s="105">
        <f t="shared" si="164"/>
        <v>0.17194189602446483</v>
      </c>
      <c r="BN168" s="105">
        <f t="shared" si="165"/>
        <v>0.13226299694189603</v>
      </c>
      <c r="BO168" s="105">
        <f t="shared" si="166"/>
        <v>9.2584097859327211E-2</v>
      </c>
      <c r="BP168" s="105">
        <f t="shared" si="167"/>
        <v>0.66131498470948014</v>
      </c>
      <c r="BQ168" s="79">
        <f t="shared" si="168"/>
        <v>0.16</v>
      </c>
      <c r="BR168" s="79">
        <f t="shared" si="169"/>
        <v>0.24000000000000002</v>
      </c>
      <c r="BS168" s="79">
        <f t="shared" si="170"/>
        <v>0.26</v>
      </c>
      <c r="BT168" s="79">
        <f t="shared" si="171"/>
        <v>0.2</v>
      </c>
      <c r="BU168" s="79">
        <f t="shared" si="172"/>
        <v>0.13999999999999999</v>
      </c>
      <c r="BV168" s="90" t="str">
        <f t="array" aca="1" ref="BV168" ca="1">_xlfn.TEXTJOIN(" ",TRUE,
_xlfn.TEXTJOIN(":",TRUE,ROUND(BK168:BO168/MIN(IF(BK168:BO168&gt;0,BK168:BO168)),0)),
"|",
ROUND(SUM(BW168:CA168),0))</f>
        <v>1:2:2:1:1 | -1570</v>
      </c>
      <c r="BW168" s="106">
        <f t="shared" ca="1" si="173"/>
        <v>-251.20000000000002</v>
      </c>
      <c r="BX168" s="106">
        <f t="shared" ca="1" si="119"/>
        <v>-376.8</v>
      </c>
      <c r="BY168" s="106">
        <f t="shared" ca="1" si="120"/>
        <v>-408.2</v>
      </c>
      <c r="BZ168" s="106">
        <f t="shared" ca="1" si="121"/>
        <v>-314</v>
      </c>
      <c r="CA168" s="106">
        <f t="shared" ca="1" si="174"/>
        <v>-219.79999999999998</v>
      </c>
    </row>
    <row r="169" spans="1:79" x14ac:dyDescent="0.35">
      <c r="A169" s="25" t="s">
        <v>183</v>
      </c>
      <c r="B169" s="10" t="s">
        <v>331</v>
      </c>
      <c r="C169" s="10" t="s">
        <v>342</v>
      </c>
      <c r="D169" s="10" t="s">
        <v>346</v>
      </c>
      <c r="E169" s="11">
        <v>45976</v>
      </c>
      <c r="F169" s="17">
        <v>45892</v>
      </c>
      <c r="G169" s="14">
        <f t="shared" ca="1" si="122"/>
        <v>207</v>
      </c>
      <c r="H169" s="17">
        <v>199</v>
      </c>
      <c r="I169" s="17">
        <v>135</v>
      </c>
      <c r="J169" s="75">
        <f t="shared" si="123"/>
        <v>1042</v>
      </c>
      <c r="K169" s="17">
        <v>1800</v>
      </c>
      <c r="L169" s="85">
        <v>758</v>
      </c>
      <c r="M169" s="86">
        <f t="shared" ca="1" si="124"/>
        <v>3.6618357487922704</v>
      </c>
      <c r="N169" s="86">
        <f t="shared" si="125"/>
        <v>0.80451009251471861</v>
      </c>
      <c r="O169" s="86">
        <f t="shared" si="126"/>
        <v>2.3109756097560976</v>
      </c>
      <c r="P169" s="87">
        <f t="shared" si="127"/>
        <v>189.5</v>
      </c>
      <c r="Q169" s="104">
        <f t="shared" si="128"/>
        <v>5.4986807387862795</v>
      </c>
      <c r="R169" s="88">
        <f t="shared" si="129"/>
        <v>32.1608040201005</v>
      </c>
      <c r="S169" s="88">
        <f t="shared" si="130"/>
        <v>42.111111111111107</v>
      </c>
      <c r="T169" s="13">
        <f t="shared" si="131"/>
        <v>3</v>
      </c>
      <c r="U169" s="13">
        <f t="shared" si="132"/>
        <v>2</v>
      </c>
      <c r="V169" s="13">
        <f t="shared" si="133"/>
        <v>1</v>
      </c>
      <c r="W169" s="13">
        <f t="shared" ca="1" si="134"/>
        <v>3</v>
      </c>
      <c r="X169" s="13">
        <f t="shared" ca="1" si="135"/>
        <v>9</v>
      </c>
      <c r="Y169" s="81" t="str">
        <f t="shared" ca="1" si="136"/>
        <v>RE-BUY</v>
      </c>
      <c r="Z169" s="13">
        <v>14</v>
      </c>
      <c r="AA169" s="75">
        <v>46059</v>
      </c>
      <c r="AB169" s="75">
        <f t="shared" si="137"/>
        <v>45920</v>
      </c>
      <c r="AC169" s="88">
        <f t="shared" si="138"/>
        <v>19.857142857142858</v>
      </c>
      <c r="AD169" s="89" t="str">
        <f t="shared" ca="1" si="139"/>
        <v>STABLE</v>
      </c>
      <c r="AE169" s="89" t="str">
        <f t="shared" si="140"/>
        <v>FAST SELLING</v>
      </c>
      <c r="AF169" s="89" t="str">
        <f t="shared" si="141"/>
        <v>AT RISK</v>
      </c>
      <c r="AG169" s="89" t="str">
        <f t="shared" si="142"/>
        <v>FEASIBLE</v>
      </c>
      <c r="AH169" s="81" t="str">
        <f t="shared" ca="1" si="143"/>
        <v>IMMEDIATE REBUY</v>
      </c>
      <c r="AI169" s="75">
        <f t="shared" ca="1" si="144"/>
        <v>2257.7571428571428</v>
      </c>
      <c r="AJ169" s="75">
        <f t="shared" ca="1" si="145"/>
        <v>1215.7571428571428</v>
      </c>
      <c r="AK169" s="13">
        <f t="shared" ca="1" si="146"/>
        <v>1459</v>
      </c>
      <c r="AL169" s="79">
        <v>0.1</v>
      </c>
      <c r="AM169" s="79">
        <v>0.3</v>
      </c>
      <c r="AN169" s="79">
        <v>0.3</v>
      </c>
      <c r="AO169" s="79">
        <v>0.1</v>
      </c>
      <c r="AP169" s="79">
        <v>0.1</v>
      </c>
      <c r="AQ169" s="75">
        <f t="shared" si="147"/>
        <v>104.2</v>
      </c>
      <c r="AR169" s="75">
        <f t="shared" si="148"/>
        <v>312.59999999999997</v>
      </c>
      <c r="AS169" s="75">
        <f t="shared" si="149"/>
        <v>312.59999999999997</v>
      </c>
      <c r="AT169" s="75">
        <f t="shared" si="150"/>
        <v>104.2</v>
      </c>
      <c r="AU169" s="75">
        <f t="shared" si="151"/>
        <v>104.2</v>
      </c>
      <c r="AV169" s="13">
        <v>0.8</v>
      </c>
      <c r="AW169" s="13">
        <v>1.2</v>
      </c>
      <c r="AX169" s="13">
        <v>1.3</v>
      </c>
      <c r="AY169" s="13">
        <v>1</v>
      </c>
      <c r="AZ169" s="13">
        <v>0.7</v>
      </c>
      <c r="BA169" s="105">
        <f t="shared" si="152"/>
        <v>15.16</v>
      </c>
      <c r="BB169" s="13">
        <f t="shared" si="153"/>
        <v>68.22</v>
      </c>
      <c r="BC169" s="13">
        <f t="shared" si="154"/>
        <v>73.905000000000001</v>
      </c>
      <c r="BD169" s="13">
        <f t="shared" si="155"/>
        <v>18.95</v>
      </c>
      <c r="BE169" s="13">
        <f t="shared" si="156"/>
        <v>13.264999999999999</v>
      </c>
      <c r="BF169" s="88">
        <f t="shared" si="157"/>
        <v>6.8733509234828496</v>
      </c>
      <c r="BG169" s="88">
        <f t="shared" si="158"/>
        <v>4.5822339489885664</v>
      </c>
      <c r="BH169" s="88">
        <f t="shared" si="159"/>
        <v>4.2297544144509835</v>
      </c>
      <c r="BI169" s="88">
        <f t="shared" si="160"/>
        <v>5.4986807387862804</v>
      </c>
      <c r="BJ169" s="88">
        <f t="shared" si="161"/>
        <v>7.8552581982661147</v>
      </c>
      <c r="BK169" s="105">
        <f t="shared" si="162"/>
        <v>0.145489443378119</v>
      </c>
      <c r="BL169" s="105">
        <f t="shared" si="163"/>
        <v>0.21823416506717849</v>
      </c>
      <c r="BM169" s="105">
        <f t="shared" si="164"/>
        <v>0.23642034548944343</v>
      </c>
      <c r="BN169" s="105">
        <f t="shared" si="165"/>
        <v>0.18186180422264872</v>
      </c>
      <c r="BO169" s="105">
        <f t="shared" si="166"/>
        <v>0.12730326295585412</v>
      </c>
      <c r="BP169" s="105">
        <f t="shared" si="167"/>
        <v>0.90930902111324385</v>
      </c>
      <c r="BQ169" s="79">
        <f t="shared" si="168"/>
        <v>0.15999999999999998</v>
      </c>
      <c r="BR169" s="79">
        <f t="shared" si="169"/>
        <v>0.23999999999999996</v>
      </c>
      <c r="BS169" s="79">
        <f t="shared" si="170"/>
        <v>0.26</v>
      </c>
      <c r="BT169" s="79">
        <f t="shared" si="171"/>
        <v>0.19999999999999996</v>
      </c>
      <c r="BU169" s="79">
        <f t="shared" si="172"/>
        <v>0.13999999999999999</v>
      </c>
      <c r="BV169" s="90" t="str">
        <f t="array" aca="1" ref="BV169" ca="1">_xlfn.TEXTJOIN(" ",TRUE,
_xlfn.TEXTJOIN(":",TRUE,ROUND(BK169:BO169/MIN(IF(BK169:BO169&gt;0,BK169:BO169)),0)),
"|",
ROUND(SUM(BW169:CA169),0))</f>
        <v>1:2:2:1:1 | 1459</v>
      </c>
      <c r="BW169" s="106">
        <f t="shared" ca="1" si="173"/>
        <v>233.43999999999997</v>
      </c>
      <c r="BX169" s="106">
        <f t="shared" ca="1" si="119"/>
        <v>350.15999999999997</v>
      </c>
      <c r="BY169" s="106">
        <f t="shared" ca="1" si="120"/>
        <v>379.34000000000003</v>
      </c>
      <c r="BZ169" s="106">
        <f t="shared" ca="1" si="121"/>
        <v>291.79999999999995</v>
      </c>
      <c r="CA169" s="106">
        <f t="shared" ca="1" si="174"/>
        <v>204.26</v>
      </c>
    </row>
    <row r="170" spans="1:79" x14ac:dyDescent="0.35">
      <c r="A170" s="25" t="s">
        <v>184</v>
      </c>
      <c r="B170" s="10" t="s">
        <v>330</v>
      </c>
      <c r="C170" s="10" t="s">
        <v>342</v>
      </c>
      <c r="D170" s="10" t="s">
        <v>346</v>
      </c>
      <c r="E170" s="11">
        <v>45906</v>
      </c>
      <c r="F170" s="17">
        <v>45892</v>
      </c>
      <c r="G170" s="14">
        <f t="shared" ca="1" si="122"/>
        <v>207</v>
      </c>
      <c r="H170" s="17">
        <v>199</v>
      </c>
      <c r="I170" s="17">
        <v>135</v>
      </c>
      <c r="J170" s="75">
        <f t="shared" si="123"/>
        <v>991</v>
      </c>
      <c r="K170" s="17">
        <v>1800</v>
      </c>
      <c r="L170" s="85">
        <v>809</v>
      </c>
      <c r="M170" s="86">
        <f t="shared" ca="1" si="124"/>
        <v>3.9082125603864735</v>
      </c>
      <c r="N170" s="86">
        <f t="shared" si="125"/>
        <v>0.80451009251471861</v>
      </c>
      <c r="O170" s="86">
        <f t="shared" si="126"/>
        <v>2.4664634146341462</v>
      </c>
      <c r="P170" s="87">
        <f t="shared" si="127"/>
        <v>202.25</v>
      </c>
      <c r="Q170" s="104">
        <f t="shared" si="128"/>
        <v>4.8998763906056864</v>
      </c>
      <c r="R170" s="88">
        <f t="shared" si="129"/>
        <v>32.1608040201005</v>
      </c>
      <c r="S170" s="88">
        <f t="shared" si="130"/>
        <v>44.944444444444443</v>
      </c>
      <c r="T170" s="13">
        <f t="shared" si="131"/>
        <v>3</v>
      </c>
      <c r="U170" s="13">
        <f t="shared" si="132"/>
        <v>2</v>
      </c>
      <c r="V170" s="13">
        <f t="shared" si="133"/>
        <v>1</v>
      </c>
      <c r="W170" s="13">
        <f t="shared" ca="1" si="134"/>
        <v>3</v>
      </c>
      <c r="X170" s="13">
        <f t="shared" ca="1" si="135"/>
        <v>9</v>
      </c>
      <c r="Y170" s="81" t="str">
        <f t="shared" ca="1" si="136"/>
        <v>RE-BUY</v>
      </c>
      <c r="Z170" s="13">
        <v>14</v>
      </c>
      <c r="AA170" s="75">
        <v>46059</v>
      </c>
      <c r="AB170" s="75">
        <f t="shared" si="137"/>
        <v>45920</v>
      </c>
      <c r="AC170" s="88">
        <f t="shared" si="138"/>
        <v>19.857142857142858</v>
      </c>
      <c r="AD170" s="89" t="str">
        <f t="shared" ca="1" si="139"/>
        <v>STABLE</v>
      </c>
      <c r="AE170" s="89" t="str">
        <f t="shared" si="140"/>
        <v>FAST SELLING</v>
      </c>
      <c r="AF170" s="89" t="str">
        <f t="shared" si="141"/>
        <v>AT RISK</v>
      </c>
      <c r="AG170" s="89" t="str">
        <f t="shared" si="142"/>
        <v>FEASIBLE</v>
      </c>
      <c r="AH170" s="81" t="str">
        <f t="shared" ca="1" si="143"/>
        <v>IMMEDIATE REBUY</v>
      </c>
      <c r="AI170" s="75">
        <f t="shared" ca="1" si="144"/>
        <v>2409.6642857142856</v>
      </c>
      <c r="AJ170" s="75">
        <f t="shared" ca="1" si="145"/>
        <v>1418.6642857142856</v>
      </c>
      <c r="AK170" s="13">
        <f t="shared" ca="1" si="146"/>
        <v>1702</v>
      </c>
      <c r="AL170" s="79">
        <v>0.1</v>
      </c>
      <c r="AM170" s="79">
        <v>0.3</v>
      </c>
      <c r="AN170" s="79">
        <v>0.3</v>
      </c>
      <c r="AO170" s="79">
        <v>0.1</v>
      </c>
      <c r="AP170" s="79">
        <v>0.1</v>
      </c>
      <c r="AQ170" s="75">
        <f t="shared" si="147"/>
        <v>99.100000000000009</v>
      </c>
      <c r="AR170" s="75">
        <f t="shared" si="148"/>
        <v>297.3</v>
      </c>
      <c r="AS170" s="75">
        <f t="shared" si="149"/>
        <v>297.3</v>
      </c>
      <c r="AT170" s="75">
        <f t="shared" si="150"/>
        <v>99.100000000000009</v>
      </c>
      <c r="AU170" s="75">
        <f t="shared" si="151"/>
        <v>99.100000000000009</v>
      </c>
      <c r="AV170" s="13">
        <v>0.8</v>
      </c>
      <c r="AW170" s="13">
        <v>1.2</v>
      </c>
      <c r="AX170" s="13">
        <v>1.3</v>
      </c>
      <c r="AY170" s="13">
        <v>1</v>
      </c>
      <c r="AZ170" s="13">
        <v>0.7</v>
      </c>
      <c r="BA170" s="105">
        <f t="shared" si="152"/>
        <v>16.180000000000003</v>
      </c>
      <c r="BB170" s="13">
        <f t="shared" si="153"/>
        <v>72.809999999999988</v>
      </c>
      <c r="BC170" s="13">
        <f t="shared" si="154"/>
        <v>78.877499999999998</v>
      </c>
      <c r="BD170" s="13">
        <f t="shared" si="155"/>
        <v>20.225000000000001</v>
      </c>
      <c r="BE170" s="13">
        <f t="shared" si="156"/>
        <v>14.157500000000001</v>
      </c>
      <c r="BF170" s="88">
        <f t="shared" si="157"/>
        <v>6.1248454882571064</v>
      </c>
      <c r="BG170" s="88">
        <f t="shared" si="158"/>
        <v>4.0832303255047391</v>
      </c>
      <c r="BH170" s="88">
        <f t="shared" si="159"/>
        <v>3.7691356850812974</v>
      </c>
      <c r="BI170" s="88">
        <f t="shared" si="160"/>
        <v>4.8998763906056864</v>
      </c>
      <c r="BJ170" s="88">
        <f t="shared" si="161"/>
        <v>6.9998234151509804</v>
      </c>
      <c r="BK170" s="105">
        <f t="shared" si="162"/>
        <v>0.16326942482341072</v>
      </c>
      <c r="BL170" s="105">
        <f t="shared" si="163"/>
        <v>0.244904137235116</v>
      </c>
      <c r="BM170" s="105">
        <f t="shared" si="164"/>
        <v>0.26531281533804235</v>
      </c>
      <c r="BN170" s="105">
        <f t="shared" si="165"/>
        <v>0.20408678102926336</v>
      </c>
      <c r="BO170" s="105">
        <f t="shared" si="166"/>
        <v>0.14286074672048435</v>
      </c>
      <c r="BP170" s="105">
        <f t="shared" si="167"/>
        <v>1.0204339051463169</v>
      </c>
      <c r="BQ170" s="79">
        <f t="shared" si="168"/>
        <v>0.16</v>
      </c>
      <c r="BR170" s="79">
        <f t="shared" si="169"/>
        <v>0.23999999999999994</v>
      </c>
      <c r="BS170" s="79">
        <f t="shared" si="170"/>
        <v>0.25999999999999995</v>
      </c>
      <c r="BT170" s="79">
        <f t="shared" si="171"/>
        <v>0.19999999999999998</v>
      </c>
      <c r="BU170" s="79">
        <f t="shared" si="172"/>
        <v>0.13999999999999999</v>
      </c>
      <c r="BV170" s="90" t="str">
        <f t="array" aca="1" ref="BV170" ca="1">_xlfn.TEXTJOIN(" ",TRUE,
_xlfn.TEXTJOIN(":",TRUE,ROUND(BK170:BO170/MIN(IF(BK170:BO170&gt;0,BK170:BO170)),0)),
"|",
ROUND(SUM(BW170:CA170),0))</f>
        <v>1:2:2:1:1 | 1702</v>
      </c>
      <c r="BW170" s="106">
        <f t="shared" ca="1" si="173"/>
        <v>272.32</v>
      </c>
      <c r="BX170" s="106">
        <f t="shared" ca="1" si="119"/>
        <v>408.4799999999999</v>
      </c>
      <c r="BY170" s="106">
        <f t="shared" ca="1" si="120"/>
        <v>442.51999999999992</v>
      </c>
      <c r="BZ170" s="106">
        <f t="shared" ca="1" si="121"/>
        <v>340.4</v>
      </c>
      <c r="CA170" s="106">
        <f t="shared" ca="1" si="174"/>
        <v>238.27999999999997</v>
      </c>
    </row>
    <row r="171" spans="1:79" x14ac:dyDescent="0.35">
      <c r="A171" s="25" t="s">
        <v>185</v>
      </c>
      <c r="B171" s="10" t="s">
        <v>330</v>
      </c>
      <c r="C171" s="10" t="s">
        <v>342</v>
      </c>
      <c r="D171" s="10" t="s">
        <v>346</v>
      </c>
      <c r="E171" s="11">
        <v>45906</v>
      </c>
      <c r="F171" s="17">
        <v>45892</v>
      </c>
      <c r="G171" s="14">
        <f t="shared" ca="1" si="122"/>
        <v>207</v>
      </c>
      <c r="H171" s="17">
        <v>199</v>
      </c>
      <c r="I171" s="17">
        <v>135</v>
      </c>
      <c r="J171" s="75">
        <f t="shared" si="123"/>
        <v>1310</v>
      </c>
      <c r="K171" s="17">
        <v>1800</v>
      </c>
      <c r="L171" s="85">
        <v>490</v>
      </c>
      <c r="M171" s="86">
        <f t="shared" ca="1" si="124"/>
        <v>2.3671497584541061</v>
      </c>
      <c r="N171" s="86">
        <f t="shared" si="125"/>
        <v>0.80451009251471861</v>
      </c>
      <c r="O171" s="86">
        <f t="shared" si="126"/>
        <v>1.4939024390243902</v>
      </c>
      <c r="P171" s="87">
        <f t="shared" si="127"/>
        <v>122.5</v>
      </c>
      <c r="Q171" s="104">
        <f t="shared" si="128"/>
        <v>10.693877551020408</v>
      </c>
      <c r="R171" s="88">
        <f t="shared" si="129"/>
        <v>32.1608040201005</v>
      </c>
      <c r="S171" s="88">
        <f t="shared" si="130"/>
        <v>27.222222222222221</v>
      </c>
      <c r="T171" s="13">
        <f t="shared" si="131"/>
        <v>3</v>
      </c>
      <c r="U171" s="13">
        <f t="shared" si="132"/>
        <v>1</v>
      </c>
      <c r="V171" s="13">
        <f t="shared" si="133"/>
        <v>1</v>
      </c>
      <c r="W171" s="13">
        <f t="shared" ca="1" si="134"/>
        <v>3</v>
      </c>
      <c r="X171" s="13">
        <f t="shared" ca="1" si="135"/>
        <v>8</v>
      </c>
      <c r="Y171" s="81" t="str">
        <f t="shared" ca="1" si="136"/>
        <v>MONITOR</v>
      </c>
      <c r="Z171" s="13">
        <v>14</v>
      </c>
      <c r="AA171" s="75">
        <v>46059</v>
      </c>
      <c r="AB171" s="75">
        <f t="shared" si="137"/>
        <v>45920</v>
      </c>
      <c r="AC171" s="88">
        <f t="shared" si="138"/>
        <v>19.857142857142858</v>
      </c>
      <c r="AD171" s="89" t="str">
        <f t="shared" ca="1" si="139"/>
        <v>STABLE</v>
      </c>
      <c r="AE171" s="89" t="str">
        <f t="shared" si="140"/>
        <v>FAST SELLING</v>
      </c>
      <c r="AF171" s="89" t="str">
        <f t="shared" si="141"/>
        <v>AT RISK</v>
      </c>
      <c r="AG171" s="89" t="str">
        <f t="shared" si="142"/>
        <v>FEASIBLE</v>
      </c>
      <c r="AH171" s="81" t="str">
        <f t="shared" ca="1" si="143"/>
        <v>MONITOR</v>
      </c>
      <c r="AI171" s="75">
        <f t="shared" ca="1" si="144"/>
        <v>0</v>
      </c>
      <c r="AJ171" s="75">
        <f t="shared" ca="1" si="145"/>
        <v>-1310</v>
      </c>
      <c r="AK171" s="13">
        <f t="shared" ca="1" si="146"/>
        <v>-1572</v>
      </c>
      <c r="AL171" s="79">
        <v>0.1</v>
      </c>
      <c r="AM171" s="79">
        <v>0.3</v>
      </c>
      <c r="AN171" s="79">
        <v>0.3</v>
      </c>
      <c r="AO171" s="79">
        <v>0.1</v>
      </c>
      <c r="AP171" s="79">
        <v>0.1</v>
      </c>
      <c r="AQ171" s="75">
        <f t="shared" si="147"/>
        <v>131</v>
      </c>
      <c r="AR171" s="75">
        <f t="shared" si="148"/>
        <v>393</v>
      </c>
      <c r="AS171" s="75">
        <f t="shared" si="149"/>
        <v>393</v>
      </c>
      <c r="AT171" s="75">
        <f t="shared" si="150"/>
        <v>131</v>
      </c>
      <c r="AU171" s="75">
        <f t="shared" si="151"/>
        <v>131</v>
      </c>
      <c r="AV171" s="13">
        <v>0.8</v>
      </c>
      <c r="AW171" s="13">
        <v>1.2</v>
      </c>
      <c r="AX171" s="13">
        <v>1.3</v>
      </c>
      <c r="AY171" s="13">
        <v>1</v>
      </c>
      <c r="AZ171" s="13">
        <v>0.7</v>
      </c>
      <c r="BA171" s="105">
        <f t="shared" si="152"/>
        <v>9.8000000000000007</v>
      </c>
      <c r="BB171" s="13">
        <f t="shared" si="153"/>
        <v>44.1</v>
      </c>
      <c r="BC171" s="13">
        <f t="shared" si="154"/>
        <v>47.774999999999999</v>
      </c>
      <c r="BD171" s="13">
        <f t="shared" si="155"/>
        <v>12.25</v>
      </c>
      <c r="BE171" s="13">
        <f t="shared" si="156"/>
        <v>8.5749999999999993</v>
      </c>
      <c r="BF171" s="88">
        <f t="shared" si="157"/>
        <v>13.367346938775508</v>
      </c>
      <c r="BG171" s="88">
        <f t="shared" si="158"/>
        <v>8.9115646258503407</v>
      </c>
      <c r="BH171" s="88">
        <f t="shared" si="159"/>
        <v>8.2260596546310829</v>
      </c>
      <c r="BI171" s="88">
        <f t="shared" si="160"/>
        <v>10.693877551020408</v>
      </c>
      <c r="BJ171" s="88">
        <f t="shared" si="161"/>
        <v>15.276967930029155</v>
      </c>
      <c r="BK171" s="105">
        <f t="shared" si="162"/>
        <v>7.4809160305343528E-2</v>
      </c>
      <c r="BL171" s="105">
        <f t="shared" si="163"/>
        <v>0.11221374045801526</v>
      </c>
      <c r="BM171" s="105">
        <f t="shared" si="164"/>
        <v>0.12156488549618322</v>
      </c>
      <c r="BN171" s="105">
        <f t="shared" si="165"/>
        <v>9.3511450381679392E-2</v>
      </c>
      <c r="BO171" s="105">
        <f t="shared" si="166"/>
        <v>6.5458015267175568E-2</v>
      </c>
      <c r="BP171" s="105">
        <f t="shared" si="167"/>
        <v>0.46755725190839692</v>
      </c>
      <c r="BQ171" s="79">
        <f t="shared" si="168"/>
        <v>0.16000000000000003</v>
      </c>
      <c r="BR171" s="79">
        <f t="shared" si="169"/>
        <v>0.24</v>
      </c>
      <c r="BS171" s="79">
        <f t="shared" si="170"/>
        <v>0.26000000000000006</v>
      </c>
      <c r="BT171" s="79">
        <f t="shared" si="171"/>
        <v>0.2</v>
      </c>
      <c r="BU171" s="79">
        <f t="shared" si="172"/>
        <v>0.13999999999999999</v>
      </c>
      <c r="BV171" s="90" t="str">
        <f t="array" aca="1" ref="BV171" ca="1">_xlfn.TEXTJOIN(" ",TRUE,
_xlfn.TEXTJOIN(":",TRUE,ROUND(BK171:BO171/MIN(IF(BK171:BO171&gt;0,BK171:BO171)),0)),
"|",
ROUND(SUM(BW171:CA171),0))</f>
        <v>1:2:2:1:1 | -1572</v>
      </c>
      <c r="BW171" s="106">
        <f t="shared" ca="1" si="173"/>
        <v>-251.52000000000004</v>
      </c>
      <c r="BX171" s="106">
        <f t="shared" ca="1" si="119"/>
        <v>-377.28</v>
      </c>
      <c r="BY171" s="106">
        <f t="shared" ca="1" si="120"/>
        <v>-408.72000000000008</v>
      </c>
      <c r="BZ171" s="106">
        <f t="shared" ca="1" si="121"/>
        <v>-314.40000000000003</v>
      </c>
      <c r="CA171" s="106">
        <f t="shared" ca="1" si="174"/>
        <v>-220.07999999999998</v>
      </c>
    </row>
    <row r="172" spans="1:79" x14ac:dyDescent="0.35">
      <c r="A172" s="25" t="s">
        <v>186</v>
      </c>
      <c r="B172" s="10" t="s">
        <v>330</v>
      </c>
      <c r="C172" s="10" t="s">
        <v>342</v>
      </c>
      <c r="D172" s="10" t="s">
        <v>346</v>
      </c>
      <c r="E172" s="11">
        <v>45906</v>
      </c>
      <c r="F172" s="17">
        <v>45892</v>
      </c>
      <c r="G172" s="14">
        <f t="shared" ca="1" si="122"/>
        <v>207</v>
      </c>
      <c r="H172" s="17">
        <v>199</v>
      </c>
      <c r="I172" s="17">
        <v>135</v>
      </c>
      <c r="J172" s="75">
        <f t="shared" si="123"/>
        <v>1098</v>
      </c>
      <c r="K172" s="17">
        <v>1600</v>
      </c>
      <c r="L172" s="85">
        <v>502</v>
      </c>
      <c r="M172" s="86">
        <f t="shared" ca="1" si="124"/>
        <v>2.42512077294686</v>
      </c>
      <c r="N172" s="86">
        <f t="shared" si="125"/>
        <v>0.80451009251471861</v>
      </c>
      <c r="O172" s="86">
        <f t="shared" si="126"/>
        <v>1.5304878048780488</v>
      </c>
      <c r="P172" s="87">
        <f t="shared" si="127"/>
        <v>125.5</v>
      </c>
      <c r="Q172" s="104">
        <f t="shared" si="128"/>
        <v>8.7490039840637444</v>
      </c>
      <c r="R172" s="88">
        <f t="shared" si="129"/>
        <v>32.1608040201005</v>
      </c>
      <c r="S172" s="88">
        <f t="shared" si="130"/>
        <v>31.374999999999996</v>
      </c>
      <c r="T172" s="13">
        <f t="shared" si="131"/>
        <v>3</v>
      </c>
      <c r="U172" s="13">
        <f t="shared" si="132"/>
        <v>1</v>
      </c>
      <c r="V172" s="13">
        <f t="shared" si="133"/>
        <v>1</v>
      </c>
      <c r="W172" s="13">
        <f t="shared" ca="1" si="134"/>
        <v>3</v>
      </c>
      <c r="X172" s="13">
        <f t="shared" ca="1" si="135"/>
        <v>8</v>
      </c>
      <c r="Y172" s="81" t="str">
        <f t="shared" ca="1" si="136"/>
        <v>MONITOR</v>
      </c>
      <c r="Z172" s="13">
        <v>14</v>
      </c>
      <c r="AA172" s="75">
        <v>46059</v>
      </c>
      <c r="AB172" s="75">
        <f t="shared" si="137"/>
        <v>45920</v>
      </c>
      <c r="AC172" s="88">
        <f t="shared" si="138"/>
        <v>19.857142857142858</v>
      </c>
      <c r="AD172" s="89" t="str">
        <f t="shared" ca="1" si="139"/>
        <v>STABLE</v>
      </c>
      <c r="AE172" s="89" t="str">
        <f t="shared" si="140"/>
        <v>FAST SELLING</v>
      </c>
      <c r="AF172" s="89" t="str">
        <f t="shared" si="141"/>
        <v>AT RISK</v>
      </c>
      <c r="AG172" s="89" t="str">
        <f t="shared" si="142"/>
        <v>FEASIBLE</v>
      </c>
      <c r="AH172" s="81" t="str">
        <f t="shared" ca="1" si="143"/>
        <v>MONITOR</v>
      </c>
      <c r="AI172" s="75">
        <f t="shared" ca="1" si="144"/>
        <v>0</v>
      </c>
      <c r="AJ172" s="75">
        <f t="shared" ca="1" si="145"/>
        <v>-1098</v>
      </c>
      <c r="AK172" s="13">
        <f t="shared" ca="1" si="146"/>
        <v>-1318</v>
      </c>
      <c r="AL172" s="79">
        <v>0.1</v>
      </c>
      <c r="AM172" s="79">
        <v>0.3</v>
      </c>
      <c r="AN172" s="79">
        <v>0.3</v>
      </c>
      <c r="AO172" s="79">
        <v>0.1</v>
      </c>
      <c r="AP172" s="79">
        <v>0.1</v>
      </c>
      <c r="AQ172" s="75">
        <f t="shared" si="147"/>
        <v>109.80000000000001</v>
      </c>
      <c r="AR172" s="75">
        <f t="shared" si="148"/>
        <v>329.4</v>
      </c>
      <c r="AS172" s="75">
        <f t="shared" si="149"/>
        <v>329.4</v>
      </c>
      <c r="AT172" s="75">
        <f t="shared" si="150"/>
        <v>109.80000000000001</v>
      </c>
      <c r="AU172" s="75">
        <f t="shared" si="151"/>
        <v>109.80000000000001</v>
      </c>
      <c r="AV172" s="13">
        <v>0.8</v>
      </c>
      <c r="AW172" s="13">
        <v>1.2</v>
      </c>
      <c r="AX172" s="13">
        <v>1.3</v>
      </c>
      <c r="AY172" s="13">
        <v>1</v>
      </c>
      <c r="AZ172" s="13">
        <v>0.7</v>
      </c>
      <c r="BA172" s="105">
        <f t="shared" si="152"/>
        <v>10.040000000000001</v>
      </c>
      <c r="BB172" s="13">
        <f t="shared" si="153"/>
        <v>45.18</v>
      </c>
      <c r="BC172" s="13">
        <f t="shared" si="154"/>
        <v>48.945</v>
      </c>
      <c r="BD172" s="13">
        <f t="shared" si="155"/>
        <v>12.55</v>
      </c>
      <c r="BE172" s="13">
        <f t="shared" si="156"/>
        <v>8.7850000000000001</v>
      </c>
      <c r="BF172" s="88">
        <f t="shared" si="157"/>
        <v>10.936254980079681</v>
      </c>
      <c r="BG172" s="88">
        <f t="shared" si="158"/>
        <v>7.2908366533864539</v>
      </c>
      <c r="BH172" s="88">
        <f t="shared" si="159"/>
        <v>6.7300030646644187</v>
      </c>
      <c r="BI172" s="88">
        <f t="shared" si="160"/>
        <v>8.7490039840637461</v>
      </c>
      <c r="BJ172" s="88">
        <f t="shared" si="161"/>
        <v>12.498577120091065</v>
      </c>
      <c r="BK172" s="105">
        <f t="shared" si="162"/>
        <v>9.143897996357013E-2</v>
      </c>
      <c r="BL172" s="105">
        <f t="shared" si="163"/>
        <v>0.13715846994535519</v>
      </c>
      <c r="BM172" s="105">
        <f t="shared" si="164"/>
        <v>0.14858834244080146</v>
      </c>
      <c r="BN172" s="105">
        <f t="shared" si="165"/>
        <v>0.11429872495446264</v>
      </c>
      <c r="BO172" s="105">
        <f t="shared" si="166"/>
        <v>8.0009107468123855E-2</v>
      </c>
      <c r="BP172" s="105">
        <f t="shared" si="167"/>
        <v>0.57149362477231336</v>
      </c>
      <c r="BQ172" s="79">
        <f t="shared" si="168"/>
        <v>0.15999999999999998</v>
      </c>
      <c r="BR172" s="79">
        <f t="shared" si="169"/>
        <v>0.23999999999999996</v>
      </c>
      <c r="BS172" s="79">
        <f t="shared" si="170"/>
        <v>0.26</v>
      </c>
      <c r="BT172" s="79">
        <f t="shared" si="171"/>
        <v>0.19999999999999996</v>
      </c>
      <c r="BU172" s="79">
        <f t="shared" si="172"/>
        <v>0.13999999999999999</v>
      </c>
      <c r="BV172" s="90" t="str">
        <f t="array" aca="1" ref="BV172" ca="1">_xlfn.TEXTJOIN(" ",TRUE,
_xlfn.TEXTJOIN(":",TRUE,ROUND(BK172:BO172/MIN(IF(BK172:BO172&gt;0,BK172:BO172)),0)),
"|",
ROUND(SUM(BW172:CA172),0))</f>
        <v>1:2:2:1:1 | -1318</v>
      </c>
      <c r="BW172" s="106">
        <f t="shared" ca="1" si="173"/>
        <v>-210.87999999999997</v>
      </c>
      <c r="BX172" s="106">
        <f t="shared" ca="1" si="119"/>
        <v>-316.31999999999994</v>
      </c>
      <c r="BY172" s="106">
        <f t="shared" ca="1" si="120"/>
        <v>-342.68</v>
      </c>
      <c r="BZ172" s="106">
        <f t="shared" ca="1" si="121"/>
        <v>-263.59999999999997</v>
      </c>
      <c r="CA172" s="106">
        <f t="shared" ca="1" si="174"/>
        <v>-184.51999999999998</v>
      </c>
    </row>
    <row r="173" spans="1:79" x14ac:dyDescent="0.35">
      <c r="A173" s="25" t="s">
        <v>187</v>
      </c>
      <c r="B173" s="10" t="s">
        <v>330</v>
      </c>
      <c r="C173" s="10" t="s">
        <v>342</v>
      </c>
      <c r="D173" s="10" t="s">
        <v>346</v>
      </c>
      <c r="E173" s="11">
        <v>45906</v>
      </c>
      <c r="F173" s="17">
        <v>45892</v>
      </c>
      <c r="G173" s="14">
        <f t="shared" ca="1" si="122"/>
        <v>207</v>
      </c>
      <c r="H173" s="17">
        <v>199</v>
      </c>
      <c r="I173" s="17">
        <v>135</v>
      </c>
      <c r="J173" s="75">
        <f t="shared" si="123"/>
        <v>1321</v>
      </c>
      <c r="K173" s="17">
        <v>2000</v>
      </c>
      <c r="L173" s="85">
        <v>679</v>
      </c>
      <c r="M173" s="86">
        <f t="shared" ca="1" si="124"/>
        <v>3.2801932367149758</v>
      </c>
      <c r="N173" s="86">
        <f t="shared" si="125"/>
        <v>0.80451009251471861</v>
      </c>
      <c r="O173" s="86">
        <f t="shared" si="126"/>
        <v>2.0701219512195124</v>
      </c>
      <c r="P173" s="87">
        <f t="shared" si="127"/>
        <v>169.75</v>
      </c>
      <c r="Q173" s="104">
        <f t="shared" si="128"/>
        <v>7.7820324005891015</v>
      </c>
      <c r="R173" s="88">
        <f t="shared" si="129"/>
        <v>32.1608040201005</v>
      </c>
      <c r="S173" s="88">
        <f t="shared" si="130"/>
        <v>33.950000000000003</v>
      </c>
      <c r="T173" s="13">
        <f t="shared" si="131"/>
        <v>3</v>
      </c>
      <c r="U173" s="13">
        <f t="shared" si="132"/>
        <v>1</v>
      </c>
      <c r="V173" s="13">
        <f t="shared" si="133"/>
        <v>1</v>
      </c>
      <c r="W173" s="13">
        <f t="shared" ca="1" si="134"/>
        <v>3</v>
      </c>
      <c r="X173" s="13">
        <f t="shared" ca="1" si="135"/>
        <v>8</v>
      </c>
      <c r="Y173" s="81" t="str">
        <f t="shared" ca="1" si="136"/>
        <v>MONITOR</v>
      </c>
      <c r="Z173" s="13">
        <v>14</v>
      </c>
      <c r="AA173" s="75">
        <v>46059</v>
      </c>
      <c r="AB173" s="75">
        <f t="shared" si="137"/>
        <v>45920</v>
      </c>
      <c r="AC173" s="88">
        <f t="shared" si="138"/>
        <v>19.857142857142858</v>
      </c>
      <c r="AD173" s="89" t="str">
        <f t="shared" ca="1" si="139"/>
        <v>STABLE</v>
      </c>
      <c r="AE173" s="89" t="str">
        <f t="shared" si="140"/>
        <v>FAST SELLING</v>
      </c>
      <c r="AF173" s="89" t="str">
        <f t="shared" si="141"/>
        <v>AT RISK</v>
      </c>
      <c r="AG173" s="89" t="str">
        <f t="shared" si="142"/>
        <v>FEASIBLE</v>
      </c>
      <c r="AH173" s="81" t="str">
        <f t="shared" ca="1" si="143"/>
        <v>MONITOR</v>
      </c>
      <c r="AI173" s="75">
        <f t="shared" ca="1" si="144"/>
        <v>0</v>
      </c>
      <c r="AJ173" s="75">
        <f t="shared" ca="1" si="145"/>
        <v>-1321</v>
      </c>
      <c r="AK173" s="13">
        <f t="shared" ca="1" si="146"/>
        <v>-1585</v>
      </c>
      <c r="AL173" s="79">
        <v>0.1</v>
      </c>
      <c r="AM173" s="79">
        <v>0.3</v>
      </c>
      <c r="AN173" s="79">
        <v>0.3</v>
      </c>
      <c r="AO173" s="79">
        <v>0.1</v>
      </c>
      <c r="AP173" s="79">
        <v>0.1</v>
      </c>
      <c r="AQ173" s="75">
        <f t="shared" si="147"/>
        <v>132.1</v>
      </c>
      <c r="AR173" s="75">
        <f t="shared" si="148"/>
        <v>396.3</v>
      </c>
      <c r="AS173" s="75">
        <f t="shared" si="149"/>
        <v>396.3</v>
      </c>
      <c r="AT173" s="75">
        <f t="shared" si="150"/>
        <v>132.1</v>
      </c>
      <c r="AU173" s="75">
        <f t="shared" si="151"/>
        <v>132.1</v>
      </c>
      <c r="AV173" s="13">
        <v>0.8</v>
      </c>
      <c r="AW173" s="13">
        <v>1.2</v>
      </c>
      <c r="AX173" s="13">
        <v>1.3</v>
      </c>
      <c r="AY173" s="13">
        <v>1</v>
      </c>
      <c r="AZ173" s="13">
        <v>0.7</v>
      </c>
      <c r="BA173" s="105">
        <f t="shared" si="152"/>
        <v>13.580000000000002</v>
      </c>
      <c r="BB173" s="13">
        <f t="shared" si="153"/>
        <v>61.109999999999992</v>
      </c>
      <c r="BC173" s="13">
        <f t="shared" si="154"/>
        <v>66.202500000000001</v>
      </c>
      <c r="BD173" s="13">
        <f t="shared" si="155"/>
        <v>16.975000000000001</v>
      </c>
      <c r="BE173" s="13">
        <f t="shared" si="156"/>
        <v>11.8825</v>
      </c>
      <c r="BF173" s="88">
        <f t="shared" si="157"/>
        <v>9.7275405007363744</v>
      </c>
      <c r="BG173" s="88">
        <f t="shared" si="158"/>
        <v>6.485027000490919</v>
      </c>
      <c r="BH173" s="88">
        <f t="shared" si="159"/>
        <v>5.9861787696839244</v>
      </c>
      <c r="BI173" s="88">
        <f t="shared" si="160"/>
        <v>7.7820324005891006</v>
      </c>
      <c r="BJ173" s="88">
        <f t="shared" si="161"/>
        <v>11.117189143698717</v>
      </c>
      <c r="BK173" s="105">
        <f t="shared" si="162"/>
        <v>0.10280090840272524</v>
      </c>
      <c r="BL173" s="105">
        <f t="shared" si="163"/>
        <v>0.15420136260408779</v>
      </c>
      <c r="BM173" s="105">
        <f t="shared" si="164"/>
        <v>0.16705147615442847</v>
      </c>
      <c r="BN173" s="105">
        <f t="shared" si="165"/>
        <v>0.12850113550340653</v>
      </c>
      <c r="BO173" s="105">
        <f t="shared" si="166"/>
        <v>8.9950794852384552E-2</v>
      </c>
      <c r="BP173" s="105">
        <f t="shared" si="167"/>
        <v>0.64250567751703258</v>
      </c>
      <c r="BQ173" s="79">
        <f t="shared" si="168"/>
        <v>0.16000000000000003</v>
      </c>
      <c r="BR173" s="79">
        <f t="shared" si="169"/>
        <v>0.23999999999999996</v>
      </c>
      <c r="BS173" s="79">
        <f t="shared" si="170"/>
        <v>0.26</v>
      </c>
      <c r="BT173" s="79">
        <f t="shared" si="171"/>
        <v>0.2</v>
      </c>
      <c r="BU173" s="79">
        <f t="shared" si="172"/>
        <v>0.13999999999999999</v>
      </c>
      <c r="BV173" s="90" t="str">
        <f t="array" aca="1" ref="BV173" ca="1">_xlfn.TEXTJOIN(" ",TRUE,
_xlfn.TEXTJOIN(":",TRUE,ROUND(BK173:BO173/MIN(IF(BK173:BO173&gt;0,BK173:BO173)),0)),
"|",
ROUND(SUM(BW173:CA173),0))</f>
        <v>1:2:2:1:1 | -1585</v>
      </c>
      <c r="BW173" s="106">
        <f t="shared" ca="1" si="173"/>
        <v>-253.60000000000005</v>
      </c>
      <c r="BX173" s="106">
        <f t="shared" ca="1" si="119"/>
        <v>-380.39999999999992</v>
      </c>
      <c r="BY173" s="106">
        <f t="shared" ca="1" si="120"/>
        <v>-412.1</v>
      </c>
      <c r="BZ173" s="106">
        <f t="shared" ca="1" si="121"/>
        <v>-317</v>
      </c>
      <c r="CA173" s="106">
        <f t="shared" ca="1" si="174"/>
        <v>-221.89999999999998</v>
      </c>
    </row>
    <row r="174" spans="1:79" x14ac:dyDescent="0.35">
      <c r="A174" s="25" t="s">
        <v>188</v>
      </c>
      <c r="B174" s="10" t="s">
        <v>330</v>
      </c>
      <c r="C174" s="10" t="s">
        <v>342</v>
      </c>
      <c r="D174" s="10" t="s">
        <v>346</v>
      </c>
      <c r="E174" s="11">
        <v>45906</v>
      </c>
      <c r="F174" s="17">
        <v>45892</v>
      </c>
      <c r="G174" s="14">
        <f t="shared" ca="1" si="122"/>
        <v>207</v>
      </c>
      <c r="H174" s="17">
        <v>199</v>
      </c>
      <c r="I174" s="17">
        <v>135</v>
      </c>
      <c r="J174" s="75">
        <f t="shared" si="123"/>
        <v>1970</v>
      </c>
      <c r="K174" s="17">
        <v>2000</v>
      </c>
      <c r="L174" s="85">
        <v>30</v>
      </c>
      <c r="M174" s="86">
        <f t="shared" ca="1" si="124"/>
        <v>0.14492753623188406</v>
      </c>
      <c r="N174" s="86">
        <f t="shared" si="125"/>
        <v>0.80451009251471861</v>
      </c>
      <c r="O174" s="86">
        <f t="shared" si="126"/>
        <v>9.1463414634146339E-2</v>
      </c>
      <c r="P174" s="87">
        <f t="shared" si="127"/>
        <v>7.5</v>
      </c>
      <c r="Q174" s="104">
        <f t="shared" si="128"/>
        <v>262.66666666666669</v>
      </c>
      <c r="R174" s="88">
        <f t="shared" si="129"/>
        <v>32.1608040201005</v>
      </c>
      <c r="S174" s="88">
        <f t="shared" si="130"/>
        <v>1.5</v>
      </c>
      <c r="T174" s="13">
        <f t="shared" si="131"/>
        <v>1</v>
      </c>
      <c r="U174" s="13">
        <f t="shared" si="132"/>
        <v>1</v>
      </c>
      <c r="V174" s="13">
        <f t="shared" si="133"/>
        <v>1</v>
      </c>
      <c r="W174" s="13">
        <f t="shared" ca="1" si="134"/>
        <v>3</v>
      </c>
      <c r="X174" s="13">
        <f t="shared" ca="1" si="135"/>
        <v>6</v>
      </c>
      <c r="Y174" s="81" t="str">
        <f t="shared" ca="1" si="136"/>
        <v>MONITOR</v>
      </c>
      <c r="Z174" s="13">
        <v>14</v>
      </c>
      <c r="AA174" s="75">
        <v>46059</v>
      </c>
      <c r="AB174" s="75">
        <f t="shared" si="137"/>
        <v>45920</v>
      </c>
      <c r="AC174" s="88">
        <f t="shared" si="138"/>
        <v>19.857142857142858</v>
      </c>
      <c r="AD174" s="89" t="str">
        <f t="shared" ca="1" si="139"/>
        <v>STABLE</v>
      </c>
      <c r="AE174" s="89" t="str">
        <f t="shared" si="140"/>
        <v>SLOW SELLING</v>
      </c>
      <c r="AF174" s="89" t="str">
        <f t="shared" si="141"/>
        <v>AT RISK</v>
      </c>
      <c r="AG174" s="89" t="str">
        <f t="shared" si="142"/>
        <v>FEASIBLE</v>
      </c>
      <c r="AH174" s="81" t="str">
        <f t="shared" ca="1" si="143"/>
        <v>MONITOR</v>
      </c>
      <c r="AI174" s="75">
        <f t="shared" ca="1" si="144"/>
        <v>0</v>
      </c>
      <c r="AJ174" s="75">
        <f t="shared" ca="1" si="145"/>
        <v>-1970</v>
      </c>
      <c r="AK174" s="13">
        <f t="shared" ca="1" si="146"/>
        <v>-2364</v>
      </c>
      <c r="AL174" s="79">
        <v>0.1</v>
      </c>
      <c r="AM174" s="79">
        <v>0.3</v>
      </c>
      <c r="AN174" s="79">
        <v>0.3</v>
      </c>
      <c r="AO174" s="79">
        <v>0.1</v>
      </c>
      <c r="AP174" s="79">
        <v>0.1</v>
      </c>
      <c r="AQ174" s="75">
        <f t="shared" si="147"/>
        <v>197</v>
      </c>
      <c r="AR174" s="75">
        <f t="shared" si="148"/>
        <v>591</v>
      </c>
      <c r="AS174" s="75">
        <f t="shared" si="149"/>
        <v>591</v>
      </c>
      <c r="AT174" s="75">
        <f t="shared" si="150"/>
        <v>197</v>
      </c>
      <c r="AU174" s="75">
        <f t="shared" si="151"/>
        <v>197</v>
      </c>
      <c r="AV174" s="13">
        <v>0.8</v>
      </c>
      <c r="AW174" s="13">
        <v>1.2</v>
      </c>
      <c r="AX174" s="13">
        <v>1.3</v>
      </c>
      <c r="AY174" s="13">
        <v>1</v>
      </c>
      <c r="AZ174" s="13">
        <v>0.7</v>
      </c>
      <c r="BA174" s="105">
        <f t="shared" si="152"/>
        <v>0.60000000000000009</v>
      </c>
      <c r="BB174" s="13">
        <f t="shared" si="153"/>
        <v>2.6999999999999997</v>
      </c>
      <c r="BC174" s="13">
        <f t="shared" si="154"/>
        <v>2.9250000000000003</v>
      </c>
      <c r="BD174" s="13">
        <f t="shared" si="155"/>
        <v>0.75</v>
      </c>
      <c r="BE174" s="13">
        <f t="shared" si="156"/>
        <v>0.52499999999999991</v>
      </c>
      <c r="BF174" s="88">
        <f t="shared" si="157"/>
        <v>328.33333333333326</v>
      </c>
      <c r="BG174" s="88">
        <f t="shared" si="158"/>
        <v>218.88888888888891</v>
      </c>
      <c r="BH174" s="88">
        <f t="shared" si="159"/>
        <v>202.05128205128204</v>
      </c>
      <c r="BI174" s="88">
        <f t="shared" si="160"/>
        <v>262.66666666666669</v>
      </c>
      <c r="BJ174" s="88">
        <f t="shared" si="161"/>
        <v>375.2380952380953</v>
      </c>
      <c r="BK174" s="105">
        <f t="shared" si="162"/>
        <v>3.0456852791878181E-3</v>
      </c>
      <c r="BL174" s="105">
        <f t="shared" si="163"/>
        <v>4.5685279187817254E-3</v>
      </c>
      <c r="BM174" s="105">
        <f t="shared" si="164"/>
        <v>4.9492385786802035E-3</v>
      </c>
      <c r="BN174" s="105">
        <f t="shared" si="165"/>
        <v>3.8071065989847713E-3</v>
      </c>
      <c r="BO174" s="105">
        <f t="shared" si="166"/>
        <v>2.6649746192893395E-3</v>
      </c>
      <c r="BP174" s="105">
        <f t="shared" si="167"/>
        <v>1.9035532994923859E-2</v>
      </c>
      <c r="BQ174" s="79">
        <f t="shared" si="168"/>
        <v>0.16000000000000003</v>
      </c>
      <c r="BR174" s="79">
        <f t="shared" si="169"/>
        <v>0.23999999999999996</v>
      </c>
      <c r="BS174" s="79">
        <f t="shared" si="170"/>
        <v>0.26</v>
      </c>
      <c r="BT174" s="79">
        <f t="shared" si="171"/>
        <v>0.19999999999999996</v>
      </c>
      <c r="BU174" s="79">
        <f t="shared" si="172"/>
        <v>0.13999999999999996</v>
      </c>
      <c r="BV174" s="90" t="str">
        <f t="array" aca="1" ref="BV174" ca="1">_xlfn.TEXTJOIN(" ",TRUE,
_xlfn.TEXTJOIN(":",TRUE,ROUND(BK174:BO174/MIN(IF(BK174:BO174&gt;0,BK174:BO174)),0)),
"|",
ROUND(SUM(BW174:CA174),0))</f>
        <v>1:2:2:1:1 | -2364</v>
      </c>
      <c r="BW174" s="106">
        <f t="shared" ca="1" si="173"/>
        <v>-378.24000000000007</v>
      </c>
      <c r="BX174" s="106">
        <f t="shared" ca="1" si="119"/>
        <v>-567.3599999999999</v>
      </c>
      <c r="BY174" s="106">
        <f t="shared" ca="1" si="120"/>
        <v>-614.64</v>
      </c>
      <c r="BZ174" s="106">
        <f t="shared" ca="1" si="121"/>
        <v>-472.7999999999999</v>
      </c>
      <c r="CA174" s="106">
        <f t="shared" ca="1" si="174"/>
        <v>-330.95999999999992</v>
      </c>
    </row>
    <row r="175" spans="1:79" x14ac:dyDescent="0.35">
      <c r="A175" s="25" t="s">
        <v>189</v>
      </c>
      <c r="B175" s="10" t="s">
        <v>330</v>
      </c>
      <c r="C175" s="10" t="s">
        <v>342</v>
      </c>
      <c r="D175" s="10" t="s">
        <v>346</v>
      </c>
      <c r="E175" s="11">
        <v>45906</v>
      </c>
      <c r="F175" s="17">
        <v>45892</v>
      </c>
      <c r="G175" s="14">
        <f t="shared" ca="1" si="122"/>
        <v>207</v>
      </c>
      <c r="H175" s="17">
        <v>199</v>
      </c>
      <c r="I175" s="17">
        <v>135</v>
      </c>
      <c r="J175" s="75">
        <f t="shared" si="123"/>
        <v>881</v>
      </c>
      <c r="K175" s="17">
        <v>1600</v>
      </c>
      <c r="L175" s="85">
        <v>719</v>
      </c>
      <c r="M175" s="86">
        <f t="shared" ca="1" si="124"/>
        <v>3.4734299516908211</v>
      </c>
      <c r="N175" s="86">
        <f t="shared" si="125"/>
        <v>0.80451009251471861</v>
      </c>
      <c r="O175" s="86">
        <f t="shared" si="126"/>
        <v>2.1920731707317072</v>
      </c>
      <c r="P175" s="87">
        <f t="shared" si="127"/>
        <v>179.75</v>
      </c>
      <c r="Q175" s="104">
        <f t="shared" si="128"/>
        <v>4.9012517385257306</v>
      </c>
      <c r="R175" s="88">
        <f t="shared" si="129"/>
        <v>32.1608040201005</v>
      </c>
      <c r="S175" s="88">
        <f t="shared" si="130"/>
        <v>44.9375</v>
      </c>
      <c r="T175" s="13">
        <f t="shared" si="131"/>
        <v>3</v>
      </c>
      <c r="U175" s="13">
        <f t="shared" si="132"/>
        <v>2</v>
      </c>
      <c r="V175" s="13">
        <f t="shared" si="133"/>
        <v>1</v>
      </c>
      <c r="W175" s="13">
        <f t="shared" ca="1" si="134"/>
        <v>3</v>
      </c>
      <c r="X175" s="13">
        <f t="shared" ca="1" si="135"/>
        <v>9</v>
      </c>
      <c r="Y175" s="81" t="str">
        <f t="shared" ca="1" si="136"/>
        <v>RE-BUY</v>
      </c>
      <c r="Z175" s="13">
        <v>14</v>
      </c>
      <c r="AA175" s="75">
        <v>46059</v>
      </c>
      <c r="AB175" s="75">
        <f t="shared" si="137"/>
        <v>45920</v>
      </c>
      <c r="AC175" s="88">
        <f t="shared" si="138"/>
        <v>19.857142857142858</v>
      </c>
      <c r="AD175" s="89" t="str">
        <f t="shared" ca="1" si="139"/>
        <v>STABLE</v>
      </c>
      <c r="AE175" s="89" t="str">
        <f t="shared" si="140"/>
        <v>FAST SELLING</v>
      </c>
      <c r="AF175" s="89" t="str">
        <f t="shared" si="141"/>
        <v>AT RISK</v>
      </c>
      <c r="AG175" s="89" t="str">
        <f t="shared" si="142"/>
        <v>FEASIBLE</v>
      </c>
      <c r="AH175" s="81" t="str">
        <f t="shared" ca="1" si="143"/>
        <v>IMMEDIATE REBUY</v>
      </c>
      <c r="AI175" s="75">
        <f t="shared" ca="1" si="144"/>
        <v>2141.5928571428572</v>
      </c>
      <c r="AJ175" s="75">
        <f t="shared" ca="1" si="145"/>
        <v>1260.5928571428572</v>
      </c>
      <c r="AK175" s="13">
        <f t="shared" ca="1" si="146"/>
        <v>1513</v>
      </c>
      <c r="AL175" s="79">
        <v>0.1</v>
      </c>
      <c r="AM175" s="79">
        <v>0.3</v>
      </c>
      <c r="AN175" s="79">
        <v>0.3</v>
      </c>
      <c r="AO175" s="79">
        <v>0.1</v>
      </c>
      <c r="AP175" s="79">
        <v>0.1</v>
      </c>
      <c r="AQ175" s="75">
        <f t="shared" si="147"/>
        <v>88.100000000000009</v>
      </c>
      <c r="AR175" s="75">
        <f t="shared" si="148"/>
        <v>264.3</v>
      </c>
      <c r="AS175" s="75">
        <f t="shared" si="149"/>
        <v>264.3</v>
      </c>
      <c r="AT175" s="75">
        <f t="shared" si="150"/>
        <v>88.100000000000009</v>
      </c>
      <c r="AU175" s="75">
        <f t="shared" si="151"/>
        <v>88.100000000000009</v>
      </c>
      <c r="AV175" s="13">
        <v>0.8</v>
      </c>
      <c r="AW175" s="13">
        <v>1.2</v>
      </c>
      <c r="AX175" s="13">
        <v>1.3</v>
      </c>
      <c r="AY175" s="13">
        <v>1</v>
      </c>
      <c r="AZ175" s="13">
        <v>0.7</v>
      </c>
      <c r="BA175" s="105">
        <f t="shared" si="152"/>
        <v>14.380000000000003</v>
      </c>
      <c r="BB175" s="13">
        <f t="shared" si="153"/>
        <v>64.709999999999994</v>
      </c>
      <c r="BC175" s="13">
        <f t="shared" si="154"/>
        <v>70.102499999999992</v>
      </c>
      <c r="BD175" s="13">
        <f t="shared" si="155"/>
        <v>17.975000000000001</v>
      </c>
      <c r="BE175" s="13">
        <f t="shared" si="156"/>
        <v>12.5825</v>
      </c>
      <c r="BF175" s="88">
        <f t="shared" si="157"/>
        <v>6.1265646731571621</v>
      </c>
      <c r="BG175" s="88">
        <f t="shared" si="158"/>
        <v>4.084376448771442</v>
      </c>
      <c r="BH175" s="88">
        <f t="shared" si="159"/>
        <v>3.770193645019793</v>
      </c>
      <c r="BI175" s="88">
        <f t="shared" si="160"/>
        <v>4.9012517385257306</v>
      </c>
      <c r="BJ175" s="88">
        <f t="shared" si="161"/>
        <v>7.0017881978939016</v>
      </c>
      <c r="BK175" s="105">
        <f t="shared" si="162"/>
        <v>0.16322360953461976</v>
      </c>
      <c r="BL175" s="105">
        <f t="shared" si="163"/>
        <v>0.24483541430192962</v>
      </c>
      <c r="BM175" s="105">
        <f t="shared" si="164"/>
        <v>0.26523836549375707</v>
      </c>
      <c r="BN175" s="105">
        <f t="shared" si="165"/>
        <v>0.20402951191827468</v>
      </c>
      <c r="BO175" s="105">
        <f t="shared" si="166"/>
        <v>0.14282065834279226</v>
      </c>
      <c r="BP175" s="105">
        <f t="shared" si="167"/>
        <v>1.0201475595913734</v>
      </c>
      <c r="BQ175" s="79">
        <f t="shared" si="168"/>
        <v>0.16</v>
      </c>
      <c r="BR175" s="79">
        <f t="shared" si="169"/>
        <v>0.24000000000000002</v>
      </c>
      <c r="BS175" s="79">
        <f t="shared" si="170"/>
        <v>0.26</v>
      </c>
      <c r="BT175" s="79">
        <f t="shared" si="171"/>
        <v>0.2</v>
      </c>
      <c r="BU175" s="79">
        <f t="shared" si="172"/>
        <v>0.13999999999999999</v>
      </c>
      <c r="BV175" s="90" t="str">
        <f t="array" aca="1" ref="BV175" ca="1">_xlfn.TEXTJOIN(" ",TRUE,
_xlfn.TEXTJOIN(":",TRUE,ROUND(BK175:BO175/MIN(IF(BK175:BO175&gt;0,BK175:BO175)),0)),
"|",
ROUND(SUM(BW175:CA175),0))</f>
        <v>1:2:2:1:1 | 1513</v>
      </c>
      <c r="BW175" s="106">
        <f t="shared" ca="1" si="173"/>
        <v>242.08</v>
      </c>
      <c r="BX175" s="106">
        <f t="shared" ca="1" si="119"/>
        <v>363.12</v>
      </c>
      <c r="BY175" s="106">
        <f t="shared" ca="1" si="120"/>
        <v>393.38</v>
      </c>
      <c r="BZ175" s="106">
        <f t="shared" ca="1" si="121"/>
        <v>302.60000000000002</v>
      </c>
      <c r="CA175" s="106">
        <f t="shared" ca="1" si="174"/>
        <v>211.81999999999996</v>
      </c>
    </row>
    <row r="176" spans="1:79" x14ac:dyDescent="0.35">
      <c r="A176" s="25" t="s">
        <v>190</v>
      </c>
      <c r="B176" s="10" t="s">
        <v>330</v>
      </c>
      <c r="C176" s="10" t="s">
        <v>342</v>
      </c>
      <c r="D176" s="10" t="s">
        <v>346</v>
      </c>
      <c r="E176" s="11">
        <v>45906</v>
      </c>
      <c r="F176" s="17">
        <v>45892</v>
      </c>
      <c r="G176" s="14">
        <f t="shared" ca="1" si="122"/>
        <v>207</v>
      </c>
      <c r="H176" s="17">
        <v>199</v>
      </c>
      <c r="I176" s="17">
        <v>135</v>
      </c>
      <c r="J176" s="75">
        <f t="shared" si="123"/>
        <v>1371</v>
      </c>
      <c r="K176" s="17">
        <v>2000</v>
      </c>
      <c r="L176" s="85">
        <v>629</v>
      </c>
      <c r="M176" s="86">
        <f t="shared" ca="1" si="124"/>
        <v>3.0386473429951693</v>
      </c>
      <c r="N176" s="86">
        <f t="shared" si="125"/>
        <v>0.80451009251471861</v>
      </c>
      <c r="O176" s="86">
        <f t="shared" si="126"/>
        <v>1.9176829268292683</v>
      </c>
      <c r="P176" s="87">
        <f t="shared" si="127"/>
        <v>157.25</v>
      </c>
      <c r="Q176" s="104">
        <f t="shared" si="128"/>
        <v>8.7186009538950717</v>
      </c>
      <c r="R176" s="88">
        <f t="shared" si="129"/>
        <v>32.1608040201005</v>
      </c>
      <c r="S176" s="88">
        <f t="shared" si="130"/>
        <v>31.45</v>
      </c>
      <c r="T176" s="13">
        <f t="shared" si="131"/>
        <v>3</v>
      </c>
      <c r="U176" s="13">
        <f t="shared" si="132"/>
        <v>1</v>
      </c>
      <c r="V176" s="13">
        <f t="shared" si="133"/>
        <v>1</v>
      </c>
      <c r="W176" s="13">
        <f t="shared" ca="1" si="134"/>
        <v>3</v>
      </c>
      <c r="X176" s="13">
        <f t="shared" ca="1" si="135"/>
        <v>8</v>
      </c>
      <c r="Y176" s="81" t="str">
        <f t="shared" ca="1" si="136"/>
        <v>MONITOR</v>
      </c>
      <c r="Z176" s="13">
        <v>14</v>
      </c>
      <c r="AA176" s="75">
        <v>46059</v>
      </c>
      <c r="AB176" s="75">
        <f t="shared" si="137"/>
        <v>45920</v>
      </c>
      <c r="AC176" s="88">
        <f t="shared" si="138"/>
        <v>19.857142857142858</v>
      </c>
      <c r="AD176" s="89" t="str">
        <f t="shared" ca="1" si="139"/>
        <v>STABLE</v>
      </c>
      <c r="AE176" s="89" t="str">
        <f t="shared" si="140"/>
        <v>FAST SELLING</v>
      </c>
      <c r="AF176" s="89" t="str">
        <f t="shared" si="141"/>
        <v>AT RISK</v>
      </c>
      <c r="AG176" s="89" t="str">
        <f t="shared" si="142"/>
        <v>FEASIBLE</v>
      </c>
      <c r="AH176" s="81" t="str">
        <f t="shared" ca="1" si="143"/>
        <v>MONITOR</v>
      </c>
      <c r="AI176" s="75">
        <f t="shared" ca="1" si="144"/>
        <v>0</v>
      </c>
      <c r="AJ176" s="75">
        <f t="shared" ca="1" si="145"/>
        <v>-1371</v>
      </c>
      <c r="AK176" s="13">
        <f t="shared" ca="1" si="146"/>
        <v>-1645</v>
      </c>
      <c r="AL176" s="79">
        <v>0.1</v>
      </c>
      <c r="AM176" s="79">
        <v>0.3</v>
      </c>
      <c r="AN176" s="79">
        <v>0.3</v>
      </c>
      <c r="AO176" s="79">
        <v>0.1</v>
      </c>
      <c r="AP176" s="79">
        <v>0.1</v>
      </c>
      <c r="AQ176" s="75">
        <f t="shared" si="147"/>
        <v>137.1</v>
      </c>
      <c r="AR176" s="75">
        <f t="shared" si="148"/>
        <v>411.3</v>
      </c>
      <c r="AS176" s="75">
        <f t="shared" si="149"/>
        <v>411.3</v>
      </c>
      <c r="AT176" s="75">
        <f t="shared" si="150"/>
        <v>137.1</v>
      </c>
      <c r="AU176" s="75">
        <f t="shared" si="151"/>
        <v>137.1</v>
      </c>
      <c r="AV176" s="13">
        <v>0.8</v>
      </c>
      <c r="AW176" s="13">
        <v>1.2</v>
      </c>
      <c r="AX176" s="13">
        <v>1.3</v>
      </c>
      <c r="AY176" s="13">
        <v>1</v>
      </c>
      <c r="AZ176" s="13">
        <v>0.7</v>
      </c>
      <c r="BA176" s="105">
        <f t="shared" si="152"/>
        <v>12.580000000000002</v>
      </c>
      <c r="BB176" s="13">
        <f t="shared" si="153"/>
        <v>56.609999999999992</v>
      </c>
      <c r="BC176" s="13">
        <f t="shared" si="154"/>
        <v>61.327500000000001</v>
      </c>
      <c r="BD176" s="13">
        <f t="shared" si="155"/>
        <v>15.725000000000001</v>
      </c>
      <c r="BE176" s="13">
        <f t="shared" si="156"/>
        <v>11.0075</v>
      </c>
      <c r="BF176" s="88">
        <f t="shared" si="157"/>
        <v>10.898251192368837</v>
      </c>
      <c r="BG176" s="88">
        <f t="shared" si="158"/>
        <v>7.265500794912561</v>
      </c>
      <c r="BH176" s="88">
        <f t="shared" si="159"/>
        <v>6.7066161183808246</v>
      </c>
      <c r="BI176" s="88">
        <f t="shared" si="160"/>
        <v>8.7186009538950699</v>
      </c>
      <c r="BJ176" s="88">
        <f t="shared" si="161"/>
        <v>12.455144219850101</v>
      </c>
      <c r="BK176" s="105">
        <f t="shared" si="162"/>
        <v>9.1757840991976675E-2</v>
      </c>
      <c r="BL176" s="105">
        <f t="shared" si="163"/>
        <v>0.13763676148796497</v>
      </c>
      <c r="BM176" s="105">
        <f t="shared" si="164"/>
        <v>0.14910649161196207</v>
      </c>
      <c r="BN176" s="105">
        <f t="shared" si="165"/>
        <v>0.11469730123997085</v>
      </c>
      <c r="BO176" s="105">
        <f t="shared" si="166"/>
        <v>8.0288110867979587E-2</v>
      </c>
      <c r="BP176" s="105">
        <f t="shared" si="167"/>
        <v>0.57348650619985408</v>
      </c>
      <c r="BQ176" s="79">
        <f t="shared" si="168"/>
        <v>0.16000000000000003</v>
      </c>
      <c r="BR176" s="79">
        <f t="shared" si="169"/>
        <v>0.24</v>
      </c>
      <c r="BS176" s="79">
        <f t="shared" si="170"/>
        <v>0.26</v>
      </c>
      <c r="BT176" s="79">
        <f t="shared" si="171"/>
        <v>0.20000000000000007</v>
      </c>
      <c r="BU176" s="79">
        <f t="shared" si="172"/>
        <v>0.14000000000000001</v>
      </c>
      <c r="BV176" s="90" t="str">
        <f t="array" aca="1" ref="BV176" ca="1">_xlfn.TEXTJOIN(" ",TRUE,
_xlfn.TEXTJOIN(":",TRUE,ROUND(BK176:BO176/MIN(IF(BK176:BO176&gt;0,BK176:BO176)),0)),
"|",
ROUND(SUM(BW176:CA176),0))</f>
        <v>1:2:2:1:1 | -1645</v>
      </c>
      <c r="BW176" s="106">
        <f t="shared" ca="1" si="173"/>
        <v>-263.20000000000005</v>
      </c>
      <c r="BX176" s="106">
        <f t="shared" ca="1" si="119"/>
        <v>-394.8</v>
      </c>
      <c r="BY176" s="106">
        <f t="shared" ca="1" si="120"/>
        <v>-427.7</v>
      </c>
      <c r="BZ176" s="106">
        <f t="shared" ca="1" si="121"/>
        <v>-329.00000000000011</v>
      </c>
      <c r="CA176" s="106">
        <f t="shared" ca="1" si="174"/>
        <v>-230.3</v>
      </c>
    </row>
    <row r="177" spans="1:79" x14ac:dyDescent="0.35">
      <c r="A177" s="25" t="s">
        <v>191</v>
      </c>
      <c r="B177" s="10" t="s">
        <v>330</v>
      </c>
      <c r="C177" s="10" t="s">
        <v>342</v>
      </c>
      <c r="D177" s="10" t="s">
        <v>346</v>
      </c>
      <c r="E177" s="11">
        <v>45927</v>
      </c>
      <c r="F177" s="17">
        <v>45892</v>
      </c>
      <c r="G177" s="14">
        <f t="shared" ca="1" si="122"/>
        <v>207</v>
      </c>
      <c r="H177" s="17">
        <v>199</v>
      </c>
      <c r="I177" s="17">
        <v>135</v>
      </c>
      <c r="J177" s="75">
        <f t="shared" si="123"/>
        <v>1029</v>
      </c>
      <c r="K177" s="17">
        <v>1800</v>
      </c>
      <c r="L177" s="85">
        <v>771</v>
      </c>
      <c r="M177" s="86">
        <f t="shared" ca="1" si="124"/>
        <v>3.7246376811594204</v>
      </c>
      <c r="N177" s="86">
        <f t="shared" si="125"/>
        <v>0.80451009251471861</v>
      </c>
      <c r="O177" s="86">
        <f t="shared" si="126"/>
        <v>2.350609756097561</v>
      </c>
      <c r="P177" s="87">
        <f t="shared" si="127"/>
        <v>192.75</v>
      </c>
      <c r="Q177" s="104">
        <f t="shared" si="128"/>
        <v>5.3385214007782098</v>
      </c>
      <c r="R177" s="88">
        <f t="shared" si="129"/>
        <v>32.1608040201005</v>
      </c>
      <c r="S177" s="88">
        <f t="shared" si="130"/>
        <v>42.833333333333336</v>
      </c>
      <c r="T177" s="13">
        <f t="shared" si="131"/>
        <v>3</v>
      </c>
      <c r="U177" s="13">
        <f t="shared" si="132"/>
        <v>2</v>
      </c>
      <c r="V177" s="13">
        <f t="shared" si="133"/>
        <v>1</v>
      </c>
      <c r="W177" s="13">
        <f t="shared" ca="1" si="134"/>
        <v>3</v>
      </c>
      <c r="X177" s="13">
        <f t="shared" ca="1" si="135"/>
        <v>9</v>
      </c>
      <c r="Y177" s="81" t="str">
        <f t="shared" ca="1" si="136"/>
        <v>RE-BUY</v>
      </c>
      <c r="Z177" s="13">
        <v>14</v>
      </c>
      <c r="AA177" s="75">
        <v>46059</v>
      </c>
      <c r="AB177" s="75">
        <f t="shared" si="137"/>
        <v>45920</v>
      </c>
      <c r="AC177" s="88">
        <f t="shared" si="138"/>
        <v>19.857142857142858</v>
      </c>
      <c r="AD177" s="89" t="str">
        <f t="shared" ca="1" si="139"/>
        <v>STABLE</v>
      </c>
      <c r="AE177" s="89" t="str">
        <f t="shared" si="140"/>
        <v>FAST SELLING</v>
      </c>
      <c r="AF177" s="89" t="str">
        <f t="shared" si="141"/>
        <v>AT RISK</v>
      </c>
      <c r="AG177" s="89" t="str">
        <f t="shared" si="142"/>
        <v>FEASIBLE</v>
      </c>
      <c r="AH177" s="81" t="str">
        <f t="shared" ca="1" si="143"/>
        <v>IMMEDIATE REBUY</v>
      </c>
      <c r="AI177" s="75">
        <f t="shared" ca="1" si="144"/>
        <v>2296.4785714285713</v>
      </c>
      <c r="AJ177" s="75">
        <f t="shared" ca="1" si="145"/>
        <v>1267.4785714285713</v>
      </c>
      <c r="AK177" s="13">
        <f t="shared" ca="1" si="146"/>
        <v>1521</v>
      </c>
      <c r="AL177" s="79">
        <v>0.1</v>
      </c>
      <c r="AM177" s="79">
        <v>0.3</v>
      </c>
      <c r="AN177" s="79">
        <v>0.3</v>
      </c>
      <c r="AO177" s="79">
        <v>0.1</v>
      </c>
      <c r="AP177" s="79">
        <v>0.1</v>
      </c>
      <c r="AQ177" s="75">
        <f t="shared" si="147"/>
        <v>102.9</v>
      </c>
      <c r="AR177" s="75">
        <f t="shared" si="148"/>
        <v>308.7</v>
      </c>
      <c r="AS177" s="75">
        <f t="shared" si="149"/>
        <v>308.7</v>
      </c>
      <c r="AT177" s="75">
        <f t="shared" si="150"/>
        <v>102.9</v>
      </c>
      <c r="AU177" s="75">
        <f t="shared" si="151"/>
        <v>102.9</v>
      </c>
      <c r="AV177" s="13">
        <v>0.8</v>
      </c>
      <c r="AW177" s="13">
        <v>1.2</v>
      </c>
      <c r="AX177" s="13">
        <v>1.3</v>
      </c>
      <c r="AY177" s="13">
        <v>1</v>
      </c>
      <c r="AZ177" s="13">
        <v>0.7</v>
      </c>
      <c r="BA177" s="105">
        <f t="shared" si="152"/>
        <v>15.420000000000002</v>
      </c>
      <c r="BB177" s="13">
        <f t="shared" si="153"/>
        <v>69.389999999999986</v>
      </c>
      <c r="BC177" s="13">
        <f t="shared" si="154"/>
        <v>75.172499999999999</v>
      </c>
      <c r="BD177" s="13">
        <f t="shared" si="155"/>
        <v>19.275000000000002</v>
      </c>
      <c r="BE177" s="13">
        <f t="shared" si="156"/>
        <v>13.492500000000001</v>
      </c>
      <c r="BF177" s="88">
        <f t="shared" si="157"/>
        <v>6.673151750972762</v>
      </c>
      <c r="BG177" s="88">
        <f t="shared" si="158"/>
        <v>4.4487678339818428</v>
      </c>
      <c r="BH177" s="88">
        <f t="shared" si="159"/>
        <v>4.1065549236755459</v>
      </c>
      <c r="BI177" s="88">
        <f t="shared" si="160"/>
        <v>5.3385214007782098</v>
      </c>
      <c r="BJ177" s="88">
        <f t="shared" si="161"/>
        <v>7.6264591439688711</v>
      </c>
      <c r="BK177" s="105">
        <f t="shared" si="162"/>
        <v>0.14985422740524781</v>
      </c>
      <c r="BL177" s="105">
        <f t="shared" si="163"/>
        <v>0.22478134110787168</v>
      </c>
      <c r="BM177" s="105">
        <f t="shared" si="164"/>
        <v>0.24351311953352772</v>
      </c>
      <c r="BN177" s="105">
        <f t="shared" si="165"/>
        <v>0.18731778425655979</v>
      </c>
      <c r="BO177" s="105">
        <f t="shared" si="166"/>
        <v>0.13112244897959185</v>
      </c>
      <c r="BP177" s="105">
        <f t="shared" si="167"/>
        <v>0.93658892128279891</v>
      </c>
      <c r="BQ177" s="79">
        <f t="shared" si="168"/>
        <v>0.15999999999999998</v>
      </c>
      <c r="BR177" s="79">
        <f t="shared" si="169"/>
        <v>0.23999999999999994</v>
      </c>
      <c r="BS177" s="79">
        <f t="shared" si="170"/>
        <v>0.26</v>
      </c>
      <c r="BT177" s="79">
        <f t="shared" si="171"/>
        <v>0.2</v>
      </c>
      <c r="BU177" s="79">
        <f t="shared" si="172"/>
        <v>0.14000000000000001</v>
      </c>
      <c r="BV177" s="90" t="str">
        <f t="array" aca="1" ref="BV177" ca="1">_xlfn.TEXTJOIN(" ",TRUE,
_xlfn.TEXTJOIN(":",TRUE,ROUND(BK177:BO177/MIN(IF(BK177:BO177&gt;0,BK177:BO177)),0)),
"|",
ROUND(SUM(BW177:CA177),0))</f>
        <v>1:2:2:1:1 | 1521</v>
      </c>
      <c r="BW177" s="106">
        <f t="shared" ca="1" si="173"/>
        <v>243.35999999999996</v>
      </c>
      <c r="BX177" s="106">
        <f t="shared" ca="1" si="119"/>
        <v>365.03999999999991</v>
      </c>
      <c r="BY177" s="106">
        <f t="shared" ca="1" si="120"/>
        <v>395.46000000000004</v>
      </c>
      <c r="BZ177" s="106">
        <f t="shared" ca="1" si="121"/>
        <v>304.2</v>
      </c>
      <c r="CA177" s="106">
        <f t="shared" ca="1" si="174"/>
        <v>212.94000000000003</v>
      </c>
    </row>
    <row r="178" spans="1:79" x14ac:dyDescent="0.35">
      <c r="A178" s="25" t="s">
        <v>192</v>
      </c>
      <c r="B178" s="10" t="s">
        <v>330</v>
      </c>
      <c r="C178" s="10" t="s">
        <v>342</v>
      </c>
      <c r="D178" s="10" t="s">
        <v>346</v>
      </c>
      <c r="E178" s="11">
        <v>45927</v>
      </c>
      <c r="F178" s="17">
        <v>45892</v>
      </c>
      <c r="G178" s="14">
        <f t="shared" ca="1" si="122"/>
        <v>207</v>
      </c>
      <c r="H178" s="17">
        <v>199</v>
      </c>
      <c r="I178" s="17">
        <v>135</v>
      </c>
      <c r="J178" s="75">
        <f t="shared" si="123"/>
        <v>1465</v>
      </c>
      <c r="K178" s="17">
        <v>2000</v>
      </c>
      <c r="L178" s="85">
        <v>535</v>
      </c>
      <c r="M178" s="86">
        <f t="shared" ca="1" si="124"/>
        <v>2.5845410628019323</v>
      </c>
      <c r="N178" s="86">
        <f t="shared" si="125"/>
        <v>0.80451009251471861</v>
      </c>
      <c r="O178" s="86">
        <f t="shared" si="126"/>
        <v>1.6310975609756098</v>
      </c>
      <c r="P178" s="87">
        <f t="shared" si="127"/>
        <v>133.75</v>
      </c>
      <c r="Q178" s="104">
        <f t="shared" si="128"/>
        <v>10.953271028037383</v>
      </c>
      <c r="R178" s="88">
        <f t="shared" si="129"/>
        <v>32.1608040201005</v>
      </c>
      <c r="S178" s="88">
        <f t="shared" si="130"/>
        <v>26.75</v>
      </c>
      <c r="T178" s="13">
        <f t="shared" si="131"/>
        <v>3</v>
      </c>
      <c r="U178" s="13">
        <f t="shared" si="132"/>
        <v>1</v>
      </c>
      <c r="V178" s="13">
        <f t="shared" si="133"/>
        <v>1</v>
      </c>
      <c r="W178" s="13">
        <f t="shared" ca="1" si="134"/>
        <v>3</v>
      </c>
      <c r="X178" s="13">
        <f t="shared" ca="1" si="135"/>
        <v>8</v>
      </c>
      <c r="Y178" s="81" t="str">
        <f t="shared" ca="1" si="136"/>
        <v>MONITOR</v>
      </c>
      <c r="Z178" s="13">
        <v>14</v>
      </c>
      <c r="AA178" s="75">
        <v>46059</v>
      </c>
      <c r="AB178" s="75">
        <f t="shared" si="137"/>
        <v>45920</v>
      </c>
      <c r="AC178" s="88">
        <f t="shared" si="138"/>
        <v>19.857142857142858</v>
      </c>
      <c r="AD178" s="89" t="str">
        <f t="shared" ca="1" si="139"/>
        <v>STABLE</v>
      </c>
      <c r="AE178" s="89" t="str">
        <f t="shared" si="140"/>
        <v>FAST SELLING</v>
      </c>
      <c r="AF178" s="89" t="str">
        <f t="shared" si="141"/>
        <v>AT RISK</v>
      </c>
      <c r="AG178" s="89" t="str">
        <f t="shared" si="142"/>
        <v>FEASIBLE</v>
      </c>
      <c r="AH178" s="81" t="str">
        <f t="shared" ca="1" si="143"/>
        <v>MONITOR</v>
      </c>
      <c r="AI178" s="75">
        <f t="shared" ca="1" si="144"/>
        <v>0</v>
      </c>
      <c r="AJ178" s="75">
        <f t="shared" ca="1" si="145"/>
        <v>-1465</v>
      </c>
      <c r="AK178" s="13">
        <f t="shared" ca="1" si="146"/>
        <v>-1758</v>
      </c>
      <c r="AL178" s="79">
        <v>0.1</v>
      </c>
      <c r="AM178" s="79">
        <v>0.3</v>
      </c>
      <c r="AN178" s="79">
        <v>0.3</v>
      </c>
      <c r="AO178" s="79">
        <v>0.1</v>
      </c>
      <c r="AP178" s="79">
        <v>0.1</v>
      </c>
      <c r="AQ178" s="75">
        <f t="shared" si="147"/>
        <v>146.5</v>
      </c>
      <c r="AR178" s="75">
        <f t="shared" si="148"/>
        <v>439.5</v>
      </c>
      <c r="AS178" s="75">
        <f t="shared" si="149"/>
        <v>439.5</v>
      </c>
      <c r="AT178" s="75">
        <f t="shared" si="150"/>
        <v>146.5</v>
      </c>
      <c r="AU178" s="75">
        <f t="shared" si="151"/>
        <v>146.5</v>
      </c>
      <c r="AV178" s="13">
        <v>0.8</v>
      </c>
      <c r="AW178" s="13">
        <v>1.2</v>
      </c>
      <c r="AX178" s="13">
        <v>1.3</v>
      </c>
      <c r="AY178" s="13">
        <v>1</v>
      </c>
      <c r="AZ178" s="13">
        <v>0.7</v>
      </c>
      <c r="BA178" s="105">
        <f t="shared" si="152"/>
        <v>10.700000000000001</v>
      </c>
      <c r="BB178" s="13">
        <f t="shared" si="153"/>
        <v>48.15</v>
      </c>
      <c r="BC178" s="13">
        <f t="shared" si="154"/>
        <v>52.162500000000001</v>
      </c>
      <c r="BD178" s="13">
        <f t="shared" si="155"/>
        <v>13.375</v>
      </c>
      <c r="BE178" s="13">
        <f t="shared" si="156"/>
        <v>9.3624999999999989</v>
      </c>
      <c r="BF178" s="88">
        <f t="shared" si="157"/>
        <v>13.691588785046727</v>
      </c>
      <c r="BG178" s="88">
        <f t="shared" si="158"/>
        <v>9.1277258566978201</v>
      </c>
      <c r="BH178" s="88">
        <f t="shared" si="159"/>
        <v>8.4255930984902943</v>
      </c>
      <c r="BI178" s="88">
        <f t="shared" si="160"/>
        <v>10.953271028037383</v>
      </c>
      <c r="BJ178" s="88">
        <f t="shared" si="161"/>
        <v>15.647530040053406</v>
      </c>
      <c r="BK178" s="105">
        <f t="shared" si="162"/>
        <v>7.3037542662116053E-2</v>
      </c>
      <c r="BL178" s="105">
        <f t="shared" si="163"/>
        <v>0.10955631399317405</v>
      </c>
      <c r="BM178" s="105">
        <f t="shared" si="164"/>
        <v>0.11868600682593858</v>
      </c>
      <c r="BN178" s="105">
        <f t="shared" si="165"/>
        <v>9.1296928327645049E-2</v>
      </c>
      <c r="BO178" s="105">
        <f t="shared" si="166"/>
        <v>6.3907849829351535E-2</v>
      </c>
      <c r="BP178" s="105">
        <f t="shared" si="167"/>
        <v>0.45648464163822527</v>
      </c>
      <c r="BQ178" s="79">
        <f t="shared" si="168"/>
        <v>0.16000000000000003</v>
      </c>
      <c r="BR178" s="79">
        <f t="shared" si="169"/>
        <v>0.23999999999999996</v>
      </c>
      <c r="BS178" s="79">
        <f t="shared" si="170"/>
        <v>0.26</v>
      </c>
      <c r="BT178" s="79">
        <f t="shared" si="171"/>
        <v>0.19999999999999998</v>
      </c>
      <c r="BU178" s="79">
        <f t="shared" si="172"/>
        <v>0.13999999999999999</v>
      </c>
      <c r="BV178" s="90" t="str">
        <f t="array" aca="1" ref="BV178" ca="1">_xlfn.TEXTJOIN(" ",TRUE,
_xlfn.TEXTJOIN(":",TRUE,ROUND(BK178:BO178/MIN(IF(BK178:BO178&gt;0,BK178:BO178)),0)),
"|",
ROUND(SUM(BW178:CA178),0))</f>
        <v>1:2:2:1:1 | -1758</v>
      </c>
      <c r="BW178" s="106">
        <f t="shared" ca="1" si="173"/>
        <v>-281.28000000000003</v>
      </c>
      <c r="BX178" s="106">
        <f t="shared" ca="1" si="119"/>
        <v>-421.91999999999996</v>
      </c>
      <c r="BY178" s="106">
        <f t="shared" ca="1" si="120"/>
        <v>-457.08000000000004</v>
      </c>
      <c r="BZ178" s="106">
        <f t="shared" ca="1" si="121"/>
        <v>-351.59999999999997</v>
      </c>
      <c r="CA178" s="106">
        <f t="shared" ca="1" si="174"/>
        <v>-246.11999999999998</v>
      </c>
    </row>
    <row r="179" spans="1:79" x14ac:dyDescent="0.35">
      <c r="A179" s="25" t="s">
        <v>193</v>
      </c>
      <c r="B179" s="10" t="s">
        <v>330</v>
      </c>
      <c r="C179" s="10" t="s">
        <v>342</v>
      </c>
      <c r="D179" s="10" t="s">
        <v>346</v>
      </c>
      <c r="E179" s="11">
        <v>45927</v>
      </c>
      <c r="F179" s="17">
        <v>45892</v>
      </c>
      <c r="G179" s="14">
        <f t="shared" ca="1" si="122"/>
        <v>207</v>
      </c>
      <c r="H179" s="17">
        <v>199</v>
      </c>
      <c r="I179" s="17">
        <v>135</v>
      </c>
      <c r="J179" s="75">
        <f t="shared" si="123"/>
        <v>1372</v>
      </c>
      <c r="K179" s="17">
        <v>1800</v>
      </c>
      <c r="L179" s="85">
        <v>428</v>
      </c>
      <c r="M179" s="86">
        <f t="shared" ca="1" si="124"/>
        <v>2.0676328502415457</v>
      </c>
      <c r="N179" s="86">
        <f t="shared" si="125"/>
        <v>0.80451009251471861</v>
      </c>
      <c r="O179" s="86">
        <f t="shared" si="126"/>
        <v>1.3048780487804879</v>
      </c>
      <c r="P179" s="87">
        <f t="shared" si="127"/>
        <v>107</v>
      </c>
      <c r="Q179" s="104">
        <f t="shared" si="128"/>
        <v>12.822429906542055</v>
      </c>
      <c r="R179" s="88">
        <f t="shared" si="129"/>
        <v>32.1608040201005</v>
      </c>
      <c r="S179" s="88">
        <f t="shared" si="130"/>
        <v>23.777777777777779</v>
      </c>
      <c r="T179" s="13">
        <f t="shared" si="131"/>
        <v>3</v>
      </c>
      <c r="U179" s="13">
        <f t="shared" si="132"/>
        <v>1</v>
      </c>
      <c r="V179" s="13">
        <f t="shared" si="133"/>
        <v>1</v>
      </c>
      <c r="W179" s="13">
        <f t="shared" ca="1" si="134"/>
        <v>3</v>
      </c>
      <c r="X179" s="13">
        <f t="shared" ca="1" si="135"/>
        <v>8</v>
      </c>
      <c r="Y179" s="81" t="str">
        <f t="shared" ca="1" si="136"/>
        <v>MONITOR</v>
      </c>
      <c r="Z179" s="13">
        <v>14</v>
      </c>
      <c r="AA179" s="75">
        <v>46059</v>
      </c>
      <c r="AB179" s="75">
        <f t="shared" si="137"/>
        <v>45920</v>
      </c>
      <c r="AC179" s="88">
        <f t="shared" si="138"/>
        <v>19.857142857142858</v>
      </c>
      <c r="AD179" s="89" t="str">
        <f t="shared" ca="1" si="139"/>
        <v>STABLE</v>
      </c>
      <c r="AE179" s="89" t="str">
        <f t="shared" si="140"/>
        <v>FAST SELLING</v>
      </c>
      <c r="AF179" s="89" t="str">
        <f t="shared" si="141"/>
        <v>AT RISK</v>
      </c>
      <c r="AG179" s="89" t="str">
        <f t="shared" si="142"/>
        <v>FEASIBLE</v>
      </c>
      <c r="AH179" s="81" t="str">
        <f t="shared" ca="1" si="143"/>
        <v>MONITOR</v>
      </c>
      <c r="AI179" s="75">
        <f t="shared" ca="1" si="144"/>
        <v>0</v>
      </c>
      <c r="AJ179" s="75">
        <f t="shared" ca="1" si="145"/>
        <v>-1372</v>
      </c>
      <c r="AK179" s="13">
        <f t="shared" ca="1" si="146"/>
        <v>-1646</v>
      </c>
      <c r="AL179" s="79">
        <v>0.1</v>
      </c>
      <c r="AM179" s="79">
        <v>0.3</v>
      </c>
      <c r="AN179" s="79">
        <v>0.3</v>
      </c>
      <c r="AO179" s="79">
        <v>0.1</v>
      </c>
      <c r="AP179" s="79">
        <v>0.1</v>
      </c>
      <c r="AQ179" s="75">
        <f t="shared" si="147"/>
        <v>137.20000000000002</v>
      </c>
      <c r="AR179" s="75">
        <f t="shared" si="148"/>
        <v>411.59999999999997</v>
      </c>
      <c r="AS179" s="75">
        <f t="shared" si="149"/>
        <v>411.59999999999997</v>
      </c>
      <c r="AT179" s="75">
        <f t="shared" si="150"/>
        <v>137.20000000000002</v>
      </c>
      <c r="AU179" s="75">
        <f t="shared" si="151"/>
        <v>137.20000000000002</v>
      </c>
      <c r="AV179" s="13">
        <v>0.8</v>
      </c>
      <c r="AW179" s="13">
        <v>1.2</v>
      </c>
      <c r="AX179" s="13">
        <v>1.3</v>
      </c>
      <c r="AY179" s="13">
        <v>1</v>
      </c>
      <c r="AZ179" s="13">
        <v>0.7</v>
      </c>
      <c r="BA179" s="105">
        <f t="shared" si="152"/>
        <v>8.56</v>
      </c>
      <c r="BB179" s="13">
        <f t="shared" si="153"/>
        <v>38.520000000000003</v>
      </c>
      <c r="BC179" s="13">
        <f t="shared" si="154"/>
        <v>41.730000000000004</v>
      </c>
      <c r="BD179" s="13">
        <f t="shared" si="155"/>
        <v>10.700000000000001</v>
      </c>
      <c r="BE179" s="13">
        <f t="shared" si="156"/>
        <v>7.49</v>
      </c>
      <c r="BF179" s="88">
        <f t="shared" si="157"/>
        <v>16.028037383177573</v>
      </c>
      <c r="BG179" s="88">
        <f t="shared" si="158"/>
        <v>10.685358255451712</v>
      </c>
      <c r="BH179" s="88">
        <f t="shared" si="159"/>
        <v>9.8634076204169645</v>
      </c>
      <c r="BI179" s="88">
        <f t="shared" si="160"/>
        <v>12.822429906542057</v>
      </c>
      <c r="BJ179" s="88">
        <f t="shared" si="161"/>
        <v>18.317757009345797</v>
      </c>
      <c r="BK179" s="105">
        <f t="shared" si="162"/>
        <v>6.2390670553935851E-2</v>
      </c>
      <c r="BL179" s="105">
        <f t="shared" si="163"/>
        <v>9.3586005830903804E-2</v>
      </c>
      <c r="BM179" s="105">
        <f t="shared" si="164"/>
        <v>0.10138483965014579</v>
      </c>
      <c r="BN179" s="105">
        <f t="shared" si="165"/>
        <v>7.798833819241982E-2</v>
      </c>
      <c r="BO179" s="105">
        <f t="shared" si="166"/>
        <v>5.4591836734693866E-2</v>
      </c>
      <c r="BP179" s="105">
        <f t="shared" si="167"/>
        <v>0.38994169096209913</v>
      </c>
      <c r="BQ179" s="79">
        <f t="shared" si="168"/>
        <v>0.15999999999999998</v>
      </c>
      <c r="BR179" s="79">
        <f t="shared" si="169"/>
        <v>0.24000000000000002</v>
      </c>
      <c r="BS179" s="79">
        <f t="shared" si="170"/>
        <v>0.26000000000000006</v>
      </c>
      <c r="BT179" s="79">
        <f t="shared" si="171"/>
        <v>0.19999999999999998</v>
      </c>
      <c r="BU179" s="79">
        <f t="shared" si="172"/>
        <v>0.13999999999999996</v>
      </c>
      <c r="BV179" s="90" t="str">
        <f t="array" aca="1" ref="BV179" ca="1">_xlfn.TEXTJOIN(" ",TRUE,
_xlfn.TEXTJOIN(":",TRUE,ROUND(BK179:BO179/MIN(IF(BK179:BO179&gt;0,BK179:BO179)),0)),
"|",
ROUND(SUM(BW179:CA179),0))</f>
        <v>1:2:2:1:1 | -1646</v>
      </c>
      <c r="BW179" s="106">
        <f t="shared" ca="1" si="173"/>
        <v>-263.35999999999996</v>
      </c>
      <c r="BX179" s="106">
        <f t="shared" ca="1" si="119"/>
        <v>-395.04</v>
      </c>
      <c r="BY179" s="106">
        <f t="shared" ca="1" si="120"/>
        <v>-427.96000000000009</v>
      </c>
      <c r="BZ179" s="106">
        <f t="shared" ca="1" si="121"/>
        <v>-329.2</v>
      </c>
      <c r="CA179" s="106">
        <f t="shared" ca="1" si="174"/>
        <v>-230.43999999999994</v>
      </c>
    </row>
    <row r="180" spans="1:79" x14ac:dyDescent="0.35">
      <c r="A180" s="25" t="s">
        <v>194</v>
      </c>
      <c r="B180" s="10" t="s">
        <v>330</v>
      </c>
      <c r="C180" s="10" t="s">
        <v>342</v>
      </c>
      <c r="D180" s="10" t="s">
        <v>346</v>
      </c>
      <c r="E180" s="11">
        <v>45920</v>
      </c>
      <c r="F180" s="17">
        <v>45892</v>
      </c>
      <c r="G180" s="14">
        <f t="shared" ca="1" si="122"/>
        <v>207</v>
      </c>
      <c r="H180" s="17">
        <v>299</v>
      </c>
      <c r="I180" s="17">
        <v>180</v>
      </c>
      <c r="J180" s="75">
        <f t="shared" si="123"/>
        <v>1211</v>
      </c>
      <c r="K180" s="17">
        <v>1550</v>
      </c>
      <c r="L180" s="85">
        <v>339</v>
      </c>
      <c r="M180" s="86">
        <f t="shared" ca="1" si="124"/>
        <v>1.6376811594202898</v>
      </c>
      <c r="N180" s="86">
        <f t="shared" si="125"/>
        <v>0.80451009251471861</v>
      </c>
      <c r="O180" s="86">
        <f t="shared" si="126"/>
        <v>1.0335365853658536</v>
      </c>
      <c r="P180" s="87">
        <f t="shared" si="127"/>
        <v>84.75</v>
      </c>
      <c r="Q180" s="104">
        <f t="shared" si="128"/>
        <v>14.289085545722713</v>
      </c>
      <c r="R180" s="88">
        <f t="shared" si="129"/>
        <v>39.799331103678931</v>
      </c>
      <c r="S180" s="88">
        <f t="shared" si="130"/>
        <v>21.870967741935484</v>
      </c>
      <c r="T180" s="13">
        <f t="shared" si="131"/>
        <v>3</v>
      </c>
      <c r="U180" s="13">
        <f t="shared" si="132"/>
        <v>1</v>
      </c>
      <c r="V180" s="13">
        <f t="shared" si="133"/>
        <v>1</v>
      </c>
      <c r="W180" s="13">
        <f t="shared" ca="1" si="134"/>
        <v>3</v>
      </c>
      <c r="X180" s="13">
        <f t="shared" ca="1" si="135"/>
        <v>8</v>
      </c>
      <c r="Y180" s="81" t="str">
        <f t="shared" ca="1" si="136"/>
        <v>MONITOR</v>
      </c>
      <c r="Z180" s="13">
        <v>14</v>
      </c>
      <c r="AA180" s="75">
        <v>46059</v>
      </c>
      <c r="AB180" s="75">
        <f t="shared" si="137"/>
        <v>45920</v>
      </c>
      <c r="AC180" s="88">
        <f t="shared" si="138"/>
        <v>19.857142857142858</v>
      </c>
      <c r="AD180" s="89" t="str">
        <f t="shared" ca="1" si="139"/>
        <v>STABLE</v>
      </c>
      <c r="AE180" s="89" t="str">
        <f t="shared" si="140"/>
        <v>FAST SELLING</v>
      </c>
      <c r="AF180" s="89" t="str">
        <f t="shared" si="141"/>
        <v>AT RISK</v>
      </c>
      <c r="AG180" s="89" t="str">
        <f t="shared" si="142"/>
        <v>FEASIBLE</v>
      </c>
      <c r="AH180" s="81" t="str">
        <f t="shared" ca="1" si="143"/>
        <v>MONITOR</v>
      </c>
      <c r="AI180" s="75">
        <f t="shared" ca="1" si="144"/>
        <v>0</v>
      </c>
      <c r="AJ180" s="75">
        <f t="shared" ca="1" si="145"/>
        <v>-1211</v>
      </c>
      <c r="AK180" s="13">
        <f t="shared" ca="1" si="146"/>
        <v>-1453</v>
      </c>
      <c r="AL180" s="79">
        <v>0.1</v>
      </c>
      <c r="AM180" s="79">
        <v>0.3</v>
      </c>
      <c r="AN180" s="79">
        <v>0.3</v>
      </c>
      <c r="AO180" s="79">
        <v>0.1</v>
      </c>
      <c r="AP180" s="79">
        <v>0.1</v>
      </c>
      <c r="AQ180" s="75">
        <f t="shared" si="147"/>
        <v>121.10000000000001</v>
      </c>
      <c r="AR180" s="75">
        <f t="shared" si="148"/>
        <v>363.3</v>
      </c>
      <c r="AS180" s="75">
        <f t="shared" si="149"/>
        <v>363.3</v>
      </c>
      <c r="AT180" s="75">
        <f t="shared" si="150"/>
        <v>121.10000000000001</v>
      </c>
      <c r="AU180" s="75">
        <f t="shared" si="151"/>
        <v>121.10000000000001</v>
      </c>
      <c r="AV180" s="13">
        <v>0.8</v>
      </c>
      <c r="AW180" s="13">
        <v>1.2</v>
      </c>
      <c r="AX180" s="13">
        <v>1.3</v>
      </c>
      <c r="AY180" s="13">
        <v>1</v>
      </c>
      <c r="AZ180" s="13">
        <v>0.7</v>
      </c>
      <c r="BA180" s="105">
        <f t="shared" si="152"/>
        <v>6.78</v>
      </c>
      <c r="BB180" s="13">
        <f t="shared" si="153"/>
        <v>30.509999999999998</v>
      </c>
      <c r="BC180" s="13">
        <f t="shared" si="154"/>
        <v>33.052500000000002</v>
      </c>
      <c r="BD180" s="13">
        <f t="shared" si="155"/>
        <v>8.4749999999999996</v>
      </c>
      <c r="BE180" s="13">
        <f t="shared" si="156"/>
        <v>5.9324999999999992</v>
      </c>
      <c r="BF180" s="88">
        <f t="shared" si="157"/>
        <v>17.861356932153392</v>
      </c>
      <c r="BG180" s="88">
        <f t="shared" si="158"/>
        <v>11.907571288102263</v>
      </c>
      <c r="BH180" s="88">
        <f t="shared" si="159"/>
        <v>10.991604265940548</v>
      </c>
      <c r="BI180" s="88">
        <f t="shared" si="160"/>
        <v>14.289085545722715</v>
      </c>
      <c r="BJ180" s="88">
        <f t="shared" si="161"/>
        <v>20.412979351032451</v>
      </c>
      <c r="BK180" s="105">
        <f t="shared" si="162"/>
        <v>5.5986787778695299E-2</v>
      </c>
      <c r="BL180" s="105">
        <f t="shared" si="163"/>
        <v>8.3980181668042928E-2</v>
      </c>
      <c r="BM180" s="105">
        <f t="shared" si="164"/>
        <v>9.0978530140379862E-2</v>
      </c>
      <c r="BN180" s="105">
        <f t="shared" si="165"/>
        <v>6.9983484723369113E-2</v>
      </c>
      <c r="BO180" s="105">
        <f t="shared" si="166"/>
        <v>4.8988439306358378E-2</v>
      </c>
      <c r="BP180" s="105">
        <f t="shared" si="167"/>
        <v>0.34991742361684558</v>
      </c>
      <c r="BQ180" s="79">
        <f t="shared" si="168"/>
        <v>0.16000000000000003</v>
      </c>
      <c r="BR180" s="79">
        <f t="shared" si="169"/>
        <v>0.23999999999999996</v>
      </c>
      <c r="BS180" s="79">
        <f t="shared" si="170"/>
        <v>0.26</v>
      </c>
      <c r="BT180" s="79">
        <f t="shared" si="171"/>
        <v>0.19999999999999998</v>
      </c>
      <c r="BU180" s="79">
        <f t="shared" si="172"/>
        <v>0.13999999999999999</v>
      </c>
      <c r="BV180" s="90" t="str">
        <f t="array" aca="1" ref="BV180" ca="1">_xlfn.TEXTJOIN(" ",TRUE,
_xlfn.TEXTJOIN(":",TRUE,ROUND(BK180:BO180/MIN(IF(BK180:BO180&gt;0,BK180:BO180)),0)),
"|",
ROUND(SUM(BW180:CA180),0))</f>
        <v>1:2:2:1:1 | -1453</v>
      </c>
      <c r="BW180" s="106">
        <f t="shared" ca="1" si="173"/>
        <v>-232.48000000000005</v>
      </c>
      <c r="BX180" s="106">
        <f t="shared" ca="1" si="119"/>
        <v>-348.71999999999997</v>
      </c>
      <c r="BY180" s="106">
        <f t="shared" ca="1" si="120"/>
        <v>-377.78000000000003</v>
      </c>
      <c r="BZ180" s="106">
        <f t="shared" ca="1" si="121"/>
        <v>-290.59999999999997</v>
      </c>
      <c r="CA180" s="106">
        <f t="shared" ca="1" si="174"/>
        <v>-203.42</v>
      </c>
    </row>
    <row r="181" spans="1:79" x14ac:dyDescent="0.35">
      <c r="A181" s="25" t="s">
        <v>195</v>
      </c>
      <c r="B181" s="10" t="s">
        <v>330</v>
      </c>
      <c r="C181" s="10" t="s">
        <v>342</v>
      </c>
      <c r="D181" s="10" t="s">
        <v>346</v>
      </c>
      <c r="E181" s="11">
        <v>45920</v>
      </c>
      <c r="F181" s="17">
        <v>45892</v>
      </c>
      <c r="G181" s="14">
        <f t="shared" ca="1" si="122"/>
        <v>207</v>
      </c>
      <c r="H181" s="17">
        <v>299</v>
      </c>
      <c r="I181" s="17">
        <v>180</v>
      </c>
      <c r="J181" s="75">
        <f t="shared" si="123"/>
        <v>1046</v>
      </c>
      <c r="K181" s="17">
        <v>1550</v>
      </c>
      <c r="L181" s="85">
        <v>504</v>
      </c>
      <c r="M181" s="86">
        <f t="shared" ca="1" si="124"/>
        <v>2.4347826086956523</v>
      </c>
      <c r="N181" s="86">
        <f t="shared" si="125"/>
        <v>0.80451009251471861</v>
      </c>
      <c r="O181" s="86">
        <f t="shared" si="126"/>
        <v>1.5365853658536586</v>
      </c>
      <c r="P181" s="87">
        <f t="shared" si="127"/>
        <v>126</v>
      </c>
      <c r="Q181" s="104">
        <f t="shared" si="128"/>
        <v>8.3015873015873023</v>
      </c>
      <c r="R181" s="88">
        <f t="shared" si="129"/>
        <v>39.799331103678931</v>
      </c>
      <c r="S181" s="88">
        <f t="shared" si="130"/>
        <v>32.516129032258064</v>
      </c>
      <c r="T181" s="13">
        <f t="shared" si="131"/>
        <v>3</v>
      </c>
      <c r="U181" s="13">
        <f t="shared" si="132"/>
        <v>1</v>
      </c>
      <c r="V181" s="13">
        <f t="shared" si="133"/>
        <v>1</v>
      </c>
      <c r="W181" s="13">
        <f t="shared" ca="1" si="134"/>
        <v>3</v>
      </c>
      <c r="X181" s="13">
        <f t="shared" ca="1" si="135"/>
        <v>8</v>
      </c>
      <c r="Y181" s="81" t="str">
        <f t="shared" ca="1" si="136"/>
        <v>MONITOR</v>
      </c>
      <c r="Z181" s="13">
        <v>14</v>
      </c>
      <c r="AA181" s="75">
        <v>46059</v>
      </c>
      <c r="AB181" s="75">
        <f t="shared" si="137"/>
        <v>45920</v>
      </c>
      <c r="AC181" s="88">
        <f t="shared" si="138"/>
        <v>19.857142857142858</v>
      </c>
      <c r="AD181" s="89" t="str">
        <f t="shared" ca="1" si="139"/>
        <v>STABLE</v>
      </c>
      <c r="AE181" s="89" t="str">
        <f t="shared" si="140"/>
        <v>FAST SELLING</v>
      </c>
      <c r="AF181" s="89" t="str">
        <f t="shared" si="141"/>
        <v>AT RISK</v>
      </c>
      <c r="AG181" s="89" t="str">
        <f t="shared" si="142"/>
        <v>FEASIBLE</v>
      </c>
      <c r="AH181" s="81" t="str">
        <f t="shared" ca="1" si="143"/>
        <v>MONITOR</v>
      </c>
      <c r="AI181" s="75">
        <f t="shared" ca="1" si="144"/>
        <v>0</v>
      </c>
      <c r="AJ181" s="75">
        <f t="shared" ca="1" si="145"/>
        <v>-1046</v>
      </c>
      <c r="AK181" s="13">
        <f t="shared" ca="1" si="146"/>
        <v>-1255</v>
      </c>
      <c r="AL181" s="79">
        <v>0.1</v>
      </c>
      <c r="AM181" s="79">
        <v>0.3</v>
      </c>
      <c r="AN181" s="79">
        <v>0.3</v>
      </c>
      <c r="AO181" s="79">
        <v>0.1</v>
      </c>
      <c r="AP181" s="79">
        <v>0.1</v>
      </c>
      <c r="AQ181" s="75">
        <f t="shared" si="147"/>
        <v>104.60000000000001</v>
      </c>
      <c r="AR181" s="75">
        <f t="shared" si="148"/>
        <v>313.8</v>
      </c>
      <c r="AS181" s="75">
        <f t="shared" si="149"/>
        <v>313.8</v>
      </c>
      <c r="AT181" s="75">
        <f t="shared" si="150"/>
        <v>104.60000000000001</v>
      </c>
      <c r="AU181" s="75">
        <f t="shared" si="151"/>
        <v>104.60000000000001</v>
      </c>
      <c r="AV181" s="13">
        <v>0.8</v>
      </c>
      <c r="AW181" s="13">
        <v>1.2</v>
      </c>
      <c r="AX181" s="13">
        <v>1.3</v>
      </c>
      <c r="AY181" s="13">
        <v>1</v>
      </c>
      <c r="AZ181" s="13">
        <v>0.7</v>
      </c>
      <c r="BA181" s="105">
        <f t="shared" si="152"/>
        <v>10.080000000000002</v>
      </c>
      <c r="BB181" s="13">
        <f t="shared" si="153"/>
        <v>45.359999999999992</v>
      </c>
      <c r="BC181" s="13">
        <f t="shared" si="154"/>
        <v>49.14</v>
      </c>
      <c r="BD181" s="13">
        <f t="shared" si="155"/>
        <v>12.600000000000001</v>
      </c>
      <c r="BE181" s="13">
        <f t="shared" si="156"/>
        <v>8.82</v>
      </c>
      <c r="BF181" s="88">
        <f t="shared" si="157"/>
        <v>10.376984126984127</v>
      </c>
      <c r="BG181" s="88">
        <f t="shared" si="158"/>
        <v>6.9179894179894195</v>
      </c>
      <c r="BH181" s="88">
        <f t="shared" si="159"/>
        <v>6.3858363858363862</v>
      </c>
      <c r="BI181" s="88">
        <f t="shared" si="160"/>
        <v>8.3015873015873005</v>
      </c>
      <c r="BJ181" s="88">
        <f t="shared" si="161"/>
        <v>11.859410430839002</v>
      </c>
      <c r="BK181" s="105">
        <f t="shared" si="162"/>
        <v>9.6367112810707464E-2</v>
      </c>
      <c r="BL181" s="105">
        <f t="shared" si="163"/>
        <v>0.14455066921606116</v>
      </c>
      <c r="BM181" s="105">
        <f t="shared" si="164"/>
        <v>0.1565965583173996</v>
      </c>
      <c r="BN181" s="105">
        <f t="shared" si="165"/>
        <v>0.12045889101338433</v>
      </c>
      <c r="BO181" s="105">
        <f t="shared" si="166"/>
        <v>8.4321223709369023E-2</v>
      </c>
      <c r="BP181" s="105">
        <f t="shared" si="167"/>
        <v>0.60229445506692159</v>
      </c>
      <c r="BQ181" s="79">
        <f t="shared" si="168"/>
        <v>0.16000000000000003</v>
      </c>
      <c r="BR181" s="79">
        <f t="shared" si="169"/>
        <v>0.23999999999999996</v>
      </c>
      <c r="BS181" s="79">
        <f t="shared" si="170"/>
        <v>0.26</v>
      </c>
      <c r="BT181" s="79">
        <f t="shared" si="171"/>
        <v>0.20000000000000004</v>
      </c>
      <c r="BU181" s="79">
        <f t="shared" si="172"/>
        <v>0.14000000000000001</v>
      </c>
      <c r="BV181" s="90" t="str">
        <f t="array" aca="1" ref="BV181" ca="1">_xlfn.TEXTJOIN(" ",TRUE,
_xlfn.TEXTJOIN(":",TRUE,ROUND(BK181:BO181/MIN(IF(BK181:BO181&gt;0,BK181:BO181)),0)),
"|",
ROUND(SUM(BW181:CA181),0))</f>
        <v>1:2:2:1:1 | -1255</v>
      </c>
      <c r="BW181" s="106">
        <f t="shared" ca="1" si="173"/>
        <v>-200.80000000000004</v>
      </c>
      <c r="BX181" s="106">
        <f t="shared" ca="1" si="119"/>
        <v>-301.19999999999993</v>
      </c>
      <c r="BY181" s="106">
        <f t="shared" ca="1" si="120"/>
        <v>-326.3</v>
      </c>
      <c r="BZ181" s="106">
        <f t="shared" ca="1" si="121"/>
        <v>-251.00000000000006</v>
      </c>
      <c r="CA181" s="106">
        <f t="shared" ca="1" si="174"/>
        <v>-175.70000000000002</v>
      </c>
    </row>
    <row r="182" spans="1:79" x14ac:dyDescent="0.35">
      <c r="A182" s="25" t="s">
        <v>196</v>
      </c>
      <c r="B182" s="10" t="s">
        <v>330</v>
      </c>
      <c r="C182" s="10" t="s">
        <v>342</v>
      </c>
      <c r="D182" s="10" t="s">
        <v>346</v>
      </c>
      <c r="E182" s="11">
        <v>45885</v>
      </c>
      <c r="F182" s="17">
        <v>45892</v>
      </c>
      <c r="G182" s="14">
        <f t="shared" ca="1" si="122"/>
        <v>207</v>
      </c>
      <c r="H182" s="17">
        <v>299</v>
      </c>
      <c r="I182" s="17">
        <v>180</v>
      </c>
      <c r="J182" s="75">
        <f t="shared" si="123"/>
        <v>1087</v>
      </c>
      <c r="K182" s="17">
        <v>1550</v>
      </c>
      <c r="L182" s="85">
        <v>463</v>
      </c>
      <c r="M182" s="86">
        <f t="shared" ca="1" si="124"/>
        <v>2.2367149758454108</v>
      </c>
      <c r="N182" s="86">
        <f t="shared" si="125"/>
        <v>0.80451009251471861</v>
      </c>
      <c r="O182" s="86">
        <f t="shared" si="126"/>
        <v>1.4115853658536586</v>
      </c>
      <c r="P182" s="87">
        <f t="shared" si="127"/>
        <v>115.75</v>
      </c>
      <c r="Q182" s="104">
        <f t="shared" si="128"/>
        <v>9.3909287257019436</v>
      </c>
      <c r="R182" s="88">
        <f t="shared" si="129"/>
        <v>39.799331103678931</v>
      </c>
      <c r="S182" s="88">
        <f t="shared" si="130"/>
        <v>29.870967741935484</v>
      </c>
      <c r="T182" s="13">
        <f t="shared" si="131"/>
        <v>3</v>
      </c>
      <c r="U182" s="13">
        <f t="shared" si="132"/>
        <v>1</v>
      </c>
      <c r="V182" s="13">
        <f t="shared" si="133"/>
        <v>1</v>
      </c>
      <c r="W182" s="13">
        <f t="shared" ca="1" si="134"/>
        <v>3</v>
      </c>
      <c r="X182" s="13">
        <f t="shared" ca="1" si="135"/>
        <v>8</v>
      </c>
      <c r="Y182" s="81" t="str">
        <f t="shared" ca="1" si="136"/>
        <v>MONITOR</v>
      </c>
      <c r="Z182" s="13">
        <v>14</v>
      </c>
      <c r="AA182" s="75">
        <v>46059</v>
      </c>
      <c r="AB182" s="75">
        <f t="shared" si="137"/>
        <v>45920</v>
      </c>
      <c r="AC182" s="88">
        <f t="shared" si="138"/>
        <v>19.857142857142858</v>
      </c>
      <c r="AD182" s="89" t="str">
        <f t="shared" ca="1" si="139"/>
        <v>STABLE</v>
      </c>
      <c r="AE182" s="89" t="str">
        <f t="shared" si="140"/>
        <v>FAST SELLING</v>
      </c>
      <c r="AF182" s="89" t="str">
        <f t="shared" si="141"/>
        <v>AT RISK</v>
      </c>
      <c r="AG182" s="89" t="str">
        <f t="shared" si="142"/>
        <v>FEASIBLE</v>
      </c>
      <c r="AH182" s="81" t="str">
        <f t="shared" ca="1" si="143"/>
        <v>MONITOR</v>
      </c>
      <c r="AI182" s="75">
        <f t="shared" ca="1" si="144"/>
        <v>0</v>
      </c>
      <c r="AJ182" s="75">
        <f t="shared" ca="1" si="145"/>
        <v>-1087</v>
      </c>
      <c r="AK182" s="13">
        <f t="shared" ca="1" si="146"/>
        <v>-1304</v>
      </c>
      <c r="AL182" s="79">
        <v>0.1</v>
      </c>
      <c r="AM182" s="79">
        <v>0.3</v>
      </c>
      <c r="AN182" s="79">
        <v>0.3</v>
      </c>
      <c r="AO182" s="79">
        <v>0.1</v>
      </c>
      <c r="AP182" s="79">
        <v>0.1</v>
      </c>
      <c r="AQ182" s="75">
        <f t="shared" si="147"/>
        <v>108.7</v>
      </c>
      <c r="AR182" s="75">
        <f t="shared" si="148"/>
        <v>326.09999999999997</v>
      </c>
      <c r="AS182" s="75">
        <f t="shared" si="149"/>
        <v>326.09999999999997</v>
      </c>
      <c r="AT182" s="75">
        <f t="shared" si="150"/>
        <v>108.7</v>
      </c>
      <c r="AU182" s="75">
        <f t="shared" si="151"/>
        <v>108.7</v>
      </c>
      <c r="AV182" s="13">
        <v>0.8</v>
      </c>
      <c r="AW182" s="13">
        <v>1.2</v>
      </c>
      <c r="AX182" s="13">
        <v>1.3</v>
      </c>
      <c r="AY182" s="13">
        <v>1</v>
      </c>
      <c r="AZ182" s="13">
        <v>0.7</v>
      </c>
      <c r="BA182" s="105">
        <f t="shared" si="152"/>
        <v>9.2600000000000016</v>
      </c>
      <c r="BB182" s="13">
        <f t="shared" si="153"/>
        <v>41.67</v>
      </c>
      <c r="BC182" s="13">
        <f t="shared" si="154"/>
        <v>45.142500000000005</v>
      </c>
      <c r="BD182" s="13">
        <f t="shared" si="155"/>
        <v>11.575000000000001</v>
      </c>
      <c r="BE182" s="13">
        <f t="shared" si="156"/>
        <v>8.1025000000000009</v>
      </c>
      <c r="BF182" s="88">
        <f t="shared" si="157"/>
        <v>11.738660907127429</v>
      </c>
      <c r="BG182" s="88">
        <f t="shared" si="158"/>
        <v>7.8257739380849518</v>
      </c>
      <c r="BH182" s="88">
        <f t="shared" si="159"/>
        <v>7.2237913274630321</v>
      </c>
      <c r="BI182" s="88">
        <f t="shared" si="160"/>
        <v>9.3909287257019436</v>
      </c>
      <c r="BJ182" s="88">
        <f t="shared" si="161"/>
        <v>13.41561246528849</v>
      </c>
      <c r="BK182" s="105">
        <f t="shared" si="162"/>
        <v>8.5188592456301754E-2</v>
      </c>
      <c r="BL182" s="105">
        <f t="shared" si="163"/>
        <v>0.12778288868445264</v>
      </c>
      <c r="BM182" s="105">
        <f t="shared" si="164"/>
        <v>0.13843146274149037</v>
      </c>
      <c r="BN182" s="105">
        <f t="shared" si="165"/>
        <v>0.10648574057037719</v>
      </c>
      <c r="BO182" s="105">
        <f t="shared" si="166"/>
        <v>7.4540018399264038E-2</v>
      </c>
      <c r="BP182" s="105">
        <f t="shared" si="167"/>
        <v>0.53242870285188604</v>
      </c>
      <c r="BQ182" s="79">
        <f t="shared" si="168"/>
        <v>0.15999999999999998</v>
      </c>
      <c r="BR182" s="79">
        <f t="shared" si="169"/>
        <v>0.24</v>
      </c>
      <c r="BS182" s="79">
        <f t="shared" si="170"/>
        <v>0.26</v>
      </c>
      <c r="BT182" s="79">
        <f t="shared" si="171"/>
        <v>0.19999999999999996</v>
      </c>
      <c r="BU182" s="79">
        <f t="shared" si="172"/>
        <v>0.13999999999999999</v>
      </c>
      <c r="BV182" s="90" t="str">
        <f t="array" aca="1" ref="BV182" ca="1">_xlfn.TEXTJOIN(" ",TRUE,
_xlfn.TEXTJOIN(":",TRUE,ROUND(BK182:BO182/MIN(IF(BK182:BO182&gt;0,BK182:BO182)),0)),
"|",
ROUND(SUM(BW182:CA182),0))</f>
        <v>1:2:2:1:1 | -1304</v>
      </c>
      <c r="BW182" s="106">
        <f t="shared" ca="1" si="173"/>
        <v>-208.63999999999996</v>
      </c>
      <c r="BX182" s="106">
        <f t="shared" ca="1" si="119"/>
        <v>-312.95999999999998</v>
      </c>
      <c r="BY182" s="106">
        <f t="shared" ca="1" si="120"/>
        <v>-339.04</v>
      </c>
      <c r="BZ182" s="106">
        <f t="shared" ca="1" si="121"/>
        <v>-260.79999999999995</v>
      </c>
      <c r="CA182" s="106">
        <f t="shared" ca="1" si="174"/>
        <v>-182.55999999999997</v>
      </c>
    </row>
    <row r="183" spans="1:79" x14ac:dyDescent="0.35">
      <c r="A183" s="25" t="s">
        <v>197</v>
      </c>
      <c r="B183" s="10" t="s">
        <v>330</v>
      </c>
      <c r="C183" s="10" t="s">
        <v>342</v>
      </c>
      <c r="D183" s="10" t="s">
        <v>346</v>
      </c>
      <c r="E183" s="11">
        <v>45885</v>
      </c>
      <c r="F183" s="17">
        <v>45892</v>
      </c>
      <c r="G183" s="14">
        <f t="shared" ca="1" si="122"/>
        <v>207</v>
      </c>
      <c r="H183" s="17">
        <v>299</v>
      </c>
      <c r="I183" s="17">
        <v>180</v>
      </c>
      <c r="J183" s="75">
        <f t="shared" si="123"/>
        <v>1210</v>
      </c>
      <c r="K183" s="17">
        <v>1550</v>
      </c>
      <c r="L183" s="85">
        <v>340</v>
      </c>
      <c r="M183" s="86">
        <f t="shared" ca="1" si="124"/>
        <v>1.642512077294686</v>
      </c>
      <c r="N183" s="86">
        <f t="shared" si="125"/>
        <v>0.80451009251471861</v>
      </c>
      <c r="O183" s="86">
        <f t="shared" si="126"/>
        <v>1.0365853658536586</v>
      </c>
      <c r="P183" s="87">
        <f t="shared" si="127"/>
        <v>85</v>
      </c>
      <c r="Q183" s="104">
        <f t="shared" si="128"/>
        <v>14.235294117647058</v>
      </c>
      <c r="R183" s="88">
        <f t="shared" si="129"/>
        <v>39.799331103678931</v>
      </c>
      <c r="S183" s="88">
        <f t="shared" si="130"/>
        <v>21.935483870967744</v>
      </c>
      <c r="T183" s="13">
        <f t="shared" si="131"/>
        <v>3</v>
      </c>
      <c r="U183" s="13">
        <f t="shared" si="132"/>
        <v>1</v>
      </c>
      <c r="V183" s="13">
        <f t="shared" si="133"/>
        <v>1</v>
      </c>
      <c r="W183" s="13">
        <f t="shared" ca="1" si="134"/>
        <v>3</v>
      </c>
      <c r="X183" s="13">
        <f t="shared" ca="1" si="135"/>
        <v>8</v>
      </c>
      <c r="Y183" s="81" t="str">
        <f t="shared" ca="1" si="136"/>
        <v>MONITOR</v>
      </c>
      <c r="Z183" s="13">
        <v>14</v>
      </c>
      <c r="AA183" s="75">
        <v>46059</v>
      </c>
      <c r="AB183" s="75">
        <f t="shared" si="137"/>
        <v>45920</v>
      </c>
      <c r="AC183" s="88">
        <f t="shared" si="138"/>
        <v>19.857142857142858</v>
      </c>
      <c r="AD183" s="89" t="str">
        <f t="shared" ca="1" si="139"/>
        <v>STABLE</v>
      </c>
      <c r="AE183" s="89" t="str">
        <f t="shared" si="140"/>
        <v>FAST SELLING</v>
      </c>
      <c r="AF183" s="89" t="str">
        <f t="shared" si="141"/>
        <v>AT RISK</v>
      </c>
      <c r="AG183" s="89" t="str">
        <f t="shared" si="142"/>
        <v>FEASIBLE</v>
      </c>
      <c r="AH183" s="81" t="str">
        <f t="shared" ca="1" si="143"/>
        <v>MONITOR</v>
      </c>
      <c r="AI183" s="75">
        <f t="shared" ca="1" si="144"/>
        <v>0</v>
      </c>
      <c r="AJ183" s="75">
        <f t="shared" ca="1" si="145"/>
        <v>-1210</v>
      </c>
      <c r="AK183" s="13">
        <f t="shared" ca="1" si="146"/>
        <v>-1452</v>
      </c>
      <c r="AL183" s="79">
        <v>0.1</v>
      </c>
      <c r="AM183" s="79">
        <v>0.3</v>
      </c>
      <c r="AN183" s="79">
        <v>0.3</v>
      </c>
      <c r="AO183" s="79">
        <v>0.1</v>
      </c>
      <c r="AP183" s="79">
        <v>0.1</v>
      </c>
      <c r="AQ183" s="75">
        <f t="shared" si="147"/>
        <v>121</v>
      </c>
      <c r="AR183" s="75">
        <f t="shared" si="148"/>
        <v>363</v>
      </c>
      <c r="AS183" s="75">
        <f t="shared" si="149"/>
        <v>363</v>
      </c>
      <c r="AT183" s="75">
        <f t="shared" si="150"/>
        <v>121</v>
      </c>
      <c r="AU183" s="75">
        <f t="shared" si="151"/>
        <v>121</v>
      </c>
      <c r="AV183" s="13">
        <v>0.8</v>
      </c>
      <c r="AW183" s="13">
        <v>1.2</v>
      </c>
      <c r="AX183" s="13">
        <v>1.3</v>
      </c>
      <c r="AY183" s="13">
        <v>1</v>
      </c>
      <c r="AZ183" s="13">
        <v>0.7</v>
      </c>
      <c r="BA183" s="105">
        <f t="shared" si="152"/>
        <v>6.8000000000000007</v>
      </c>
      <c r="BB183" s="13">
        <f t="shared" si="153"/>
        <v>30.599999999999998</v>
      </c>
      <c r="BC183" s="13">
        <f t="shared" si="154"/>
        <v>33.15</v>
      </c>
      <c r="BD183" s="13">
        <f t="shared" si="155"/>
        <v>8.5</v>
      </c>
      <c r="BE183" s="13">
        <f t="shared" si="156"/>
        <v>5.9499999999999993</v>
      </c>
      <c r="BF183" s="88">
        <f t="shared" si="157"/>
        <v>17.794117647058822</v>
      </c>
      <c r="BG183" s="88">
        <f t="shared" si="158"/>
        <v>11.862745098039216</v>
      </c>
      <c r="BH183" s="88">
        <f t="shared" si="159"/>
        <v>10.950226244343892</v>
      </c>
      <c r="BI183" s="88">
        <f t="shared" si="160"/>
        <v>14.235294117647058</v>
      </c>
      <c r="BJ183" s="88">
        <f t="shared" si="161"/>
        <v>20.336134453781515</v>
      </c>
      <c r="BK183" s="105">
        <f t="shared" si="162"/>
        <v>5.6198347107438019E-2</v>
      </c>
      <c r="BL183" s="105">
        <f t="shared" si="163"/>
        <v>8.4297520661157019E-2</v>
      </c>
      <c r="BM183" s="105">
        <f t="shared" si="164"/>
        <v>9.1322314049586781E-2</v>
      </c>
      <c r="BN183" s="105">
        <f t="shared" si="165"/>
        <v>7.0247933884297523E-2</v>
      </c>
      <c r="BO183" s="105">
        <f t="shared" si="166"/>
        <v>4.9173553719008258E-2</v>
      </c>
      <c r="BP183" s="105">
        <f t="shared" si="167"/>
        <v>0.3512396694214876</v>
      </c>
      <c r="BQ183" s="79">
        <f t="shared" si="168"/>
        <v>0.16</v>
      </c>
      <c r="BR183" s="79">
        <f t="shared" si="169"/>
        <v>0.24</v>
      </c>
      <c r="BS183" s="79">
        <f t="shared" si="170"/>
        <v>0.26</v>
      </c>
      <c r="BT183" s="79">
        <f t="shared" si="171"/>
        <v>0.2</v>
      </c>
      <c r="BU183" s="79">
        <f t="shared" si="172"/>
        <v>0.13999999999999999</v>
      </c>
      <c r="BV183" s="90" t="str">
        <f t="array" aca="1" ref="BV183" ca="1">_xlfn.TEXTJOIN(" ",TRUE,
_xlfn.TEXTJOIN(":",TRUE,ROUND(BK183:BO183/MIN(IF(BK183:BO183&gt;0,BK183:BO183)),0)),
"|",
ROUND(SUM(BW183:CA183),0))</f>
        <v>1:2:2:1:1 | -1452</v>
      </c>
      <c r="BW183" s="106">
        <f t="shared" ca="1" si="173"/>
        <v>-232.32</v>
      </c>
      <c r="BX183" s="106">
        <f t="shared" ca="1" si="119"/>
        <v>-348.47999999999996</v>
      </c>
      <c r="BY183" s="106">
        <f t="shared" ca="1" si="120"/>
        <v>-377.52000000000004</v>
      </c>
      <c r="BZ183" s="106">
        <f t="shared" ca="1" si="121"/>
        <v>-290.40000000000003</v>
      </c>
      <c r="CA183" s="106">
        <f t="shared" ca="1" si="174"/>
        <v>-203.27999999999997</v>
      </c>
    </row>
    <row r="184" spans="1:79" x14ac:dyDescent="0.35">
      <c r="A184" s="25" t="s">
        <v>198</v>
      </c>
      <c r="B184" s="10" t="s">
        <v>330</v>
      </c>
      <c r="C184" s="10" t="s">
        <v>342</v>
      </c>
      <c r="D184" s="10" t="s">
        <v>346</v>
      </c>
      <c r="E184" s="11">
        <v>45920</v>
      </c>
      <c r="F184" s="17">
        <v>45892</v>
      </c>
      <c r="G184" s="14">
        <f t="shared" ca="1" si="122"/>
        <v>207</v>
      </c>
      <c r="H184" s="17">
        <v>299</v>
      </c>
      <c r="I184" s="17">
        <v>180</v>
      </c>
      <c r="J184" s="75">
        <f t="shared" si="123"/>
        <v>1132</v>
      </c>
      <c r="K184" s="17">
        <v>1550</v>
      </c>
      <c r="L184" s="85">
        <v>418</v>
      </c>
      <c r="M184" s="86">
        <f t="shared" ca="1" si="124"/>
        <v>2.0193236714975846</v>
      </c>
      <c r="N184" s="86">
        <f t="shared" si="125"/>
        <v>0.80451009251471861</v>
      </c>
      <c r="O184" s="86">
        <f t="shared" si="126"/>
        <v>1.274390243902439</v>
      </c>
      <c r="P184" s="87">
        <f t="shared" si="127"/>
        <v>104.5</v>
      </c>
      <c r="Q184" s="104">
        <f t="shared" si="128"/>
        <v>10.832535885167465</v>
      </c>
      <c r="R184" s="88">
        <f t="shared" si="129"/>
        <v>39.799331103678931</v>
      </c>
      <c r="S184" s="88">
        <f t="shared" si="130"/>
        <v>26.967741935483868</v>
      </c>
      <c r="T184" s="13">
        <f t="shared" si="131"/>
        <v>3</v>
      </c>
      <c r="U184" s="13">
        <f t="shared" si="132"/>
        <v>1</v>
      </c>
      <c r="V184" s="13">
        <f t="shared" si="133"/>
        <v>1</v>
      </c>
      <c r="W184" s="13">
        <f t="shared" ca="1" si="134"/>
        <v>3</v>
      </c>
      <c r="X184" s="13">
        <f t="shared" ca="1" si="135"/>
        <v>8</v>
      </c>
      <c r="Y184" s="81" t="str">
        <f t="shared" ca="1" si="136"/>
        <v>MONITOR</v>
      </c>
      <c r="Z184" s="13">
        <v>14</v>
      </c>
      <c r="AA184" s="75">
        <v>46059</v>
      </c>
      <c r="AB184" s="75">
        <f t="shared" si="137"/>
        <v>45920</v>
      </c>
      <c r="AC184" s="88">
        <f t="shared" si="138"/>
        <v>19.857142857142858</v>
      </c>
      <c r="AD184" s="89" t="str">
        <f t="shared" ca="1" si="139"/>
        <v>STABLE</v>
      </c>
      <c r="AE184" s="89" t="str">
        <f t="shared" si="140"/>
        <v>FAST SELLING</v>
      </c>
      <c r="AF184" s="89" t="str">
        <f t="shared" si="141"/>
        <v>AT RISK</v>
      </c>
      <c r="AG184" s="89" t="str">
        <f t="shared" si="142"/>
        <v>FEASIBLE</v>
      </c>
      <c r="AH184" s="81" t="str">
        <f t="shared" ca="1" si="143"/>
        <v>MONITOR</v>
      </c>
      <c r="AI184" s="75">
        <f t="shared" ca="1" si="144"/>
        <v>0</v>
      </c>
      <c r="AJ184" s="75">
        <f t="shared" ca="1" si="145"/>
        <v>-1132</v>
      </c>
      <c r="AK184" s="13">
        <f t="shared" ca="1" si="146"/>
        <v>-1358</v>
      </c>
      <c r="AL184" s="79">
        <v>0.1</v>
      </c>
      <c r="AM184" s="79">
        <v>0.3</v>
      </c>
      <c r="AN184" s="79">
        <v>0.3</v>
      </c>
      <c r="AO184" s="79">
        <v>0.1</v>
      </c>
      <c r="AP184" s="79">
        <v>0.1</v>
      </c>
      <c r="AQ184" s="75">
        <f t="shared" si="147"/>
        <v>113.2</v>
      </c>
      <c r="AR184" s="75">
        <f t="shared" si="148"/>
        <v>339.59999999999997</v>
      </c>
      <c r="AS184" s="75">
        <f t="shared" si="149"/>
        <v>339.59999999999997</v>
      </c>
      <c r="AT184" s="75">
        <f t="shared" si="150"/>
        <v>113.2</v>
      </c>
      <c r="AU184" s="75">
        <f t="shared" si="151"/>
        <v>113.2</v>
      </c>
      <c r="AV184" s="13">
        <v>0.8</v>
      </c>
      <c r="AW184" s="13">
        <v>1.2</v>
      </c>
      <c r="AX184" s="13">
        <v>1.3</v>
      </c>
      <c r="AY184" s="13">
        <v>1</v>
      </c>
      <c r="AZ184" s="13">
        <v>0.7</v>
      </c>
      <c r="BA184" s="105">
        <f t="shared" si="152"/>
        <v>8.3600000000000012</v>
      </c>
      <c r="BB184" s="13">
        <f t="shared" si="153"/>
        <v>37.619999999999997</v>
      </c>
      <c r="BC184" s="13">
        <f t="shared" si="154"/>
        <v>40.754999999999995</v>
      </c>
      <c r="BD184" s="13">
        <f t="shared" si="155"/>
        <v>10.450000000000001</v>
      </c>
      <c r="BE184" s="13">
        <f t="shared" si="156"/>
        <v>7.3150000000000004</v>
      </c>
      <c r="BF184" s="88">
        <f t="shared" si="157"/>
        <v>13.540669856459328</v>
      </c>
      <c r="BG184" s="88">
        <f t="shared" si="158"/>
        <v>9.0271132376395524</v>
      </c>
      <c r="BH184" s="88">
        <f t="shared" si="159"/>
        <v>8.3327199116672794</v>
      </c>
      <c r="BI184" s="88">
        <f t="shared" si="160"/>
        <v>10.832535885167463</v>
      </c>
      <c r="BJ184" s="88">
        <f t="shared" si="161"/>
        <v>15.475051264524948</v>
      </c>
      <c r="BK184" s="105">
        <f t="shared" si="162"/>
        <v>7.3851590106007087E-2</v>
      </c>
      <c r="BL184" s="105">
        <f t="shared" si="163"/>
        <v>0.11077738515901062</v>
      </c>
      <c r="BM184" s="105">
        <f t="shared" si="164"/>
        <v>0.1200088339222615</v>
      </c>
      <c r="BN184" s="105">
        <f t="shared" si="165"/>
        <v>9.2314487632508838E-2</v>
      </c>
      <c r="BO184" s="105">
        <f t="shared" si="166"/>
        <v>6.462014134275619E-2</v>
      </c>
      <c r="BP184" s="105">
        <f t="shared" si="167"/>
        <v>0.46157243816254423</v>
      </c>
      <c r="BQ184" s="79">
        <f t="shared" si="168"/>
        <v>0.16000000000000003</v>
      </c>
      <c r="BR184" s="79">
        <f t="shared" si="169"/>
        <v>0.24</v>
      </c>
      <c r="BS184" s="79">
        <f t="shared" si="170"/>
        <v>0.26</v>
      </c>
      <c r="BT184" s="79">
        <f t="shared" si="171"/>
        <v>0.19999999999999998</v>
      </c>
      <c r="BU184" s="79">
        <f t="shared" si="172"/>
        <v>0.13999999999999999</v>
      </c>
      <c r="BV184" s="90" t="str">
        <f t="array" aca="1" ref="BV184" ca="1">_xlfn.TEXTJOIN(" ",TRUE,
_xlfn.TEXTJOIN(":",TRUE,ROUND(BK184:BO184/MIN(IF(BK184:BO184&gt;0,BK184:BO184)),0)),
"|",
ROUND(SUM(BW184:CA184),0))</f>
        <v>1:2:2:1:1 | -1358</v>
      </c>
      <c r="BW184" s="106">
        <f t="shared" ca="1" si="173"/>
        <v>-217.28000000000003</v>
      </c>
      <c r="BX184" s="106">
        <f t="shared" ca="1" si="119"/>
        <v>-325.92</v>
      </c>
      <c r="BY184" s="106">
        <f t="shared" ca="1" si="120"/>
        <v>-353.08</v>
      </c>
      <c r="BZ184" s="106">
        <f t="shared" ca="1" si="121"/>
        <v>-271.59999999999997</v>
      </c>
      <c r="CA184" s="106">
        <f t="shared" ca="1" si="174"/>
        <v>-190.11999999999998</v>
      </c>
    </row>
    <row r="185" spans="1:79" x14ac:dyDescent="0.35">
      <c r="A185" s="25" t="s">
        <v>199</v>
      </c>
      <c r="B185" s="10" t="s">
        <v>330</v>
      </c>
      <c r="C185" s="10" t="s">
        <v>342</v>
      </c>
      <c r="D185" s="10" t="s">
        <v>346</v>
      </c>
      <c r="E185" s="11">
        <v>45920</v>
      </c>
      <c r="F185" s="17">
        <v>45892</v>
      </c>
      <c r="G185" s="14">
        <f t="shared" ca="1" si="122"/>
        <v>207</v>
      </c>
      <c r="H185" s="17">
        <v>299</v>
      </c>
      <c r="I185" s="17">
        <v>180</v>
      </c>
      <c r="J185" s="75">
        <f t="shared" si="123"/>
        <v>1071</v>
      </c>
      <c r="K185" s="17">
        <v>1550</v>
      </c>
      <c r="L185" s="85">
        <v>479</v>
      </c>
      <c r="M185" s="86">
        <f t="shared" ca="1" si="124"/>
        <v>2.3140096618357489</v>
      </c>
      <c r="N185" s="86">
        <f t="shared" si="125"/>
        <v>0.80451009251471861</v>
      </c>
      <c r="O185" s="86">
        <f t="shared" si="126"/>
        <v>1.4603658536585367</v>
      </c>
      <c r="P185" s="87">
        <f t="shared" si="127"/>
        <v>119.75</v>
      </c>
      <c r="Q185" s="104">
        <f t="shared" si="128"/>
        <v>8.9436325678496864</v>
      </c>
      <c r="R185" s="88">
        <f t="shared" si="129"/>
        <v>39.799331103678931</v>
      </c>
      <c r="S185" s="88">
        <f t="shared" si="130"/>
        <v>30.903225806451612</v>
      </c>
      <c r="T185" s="13">
        <f t="shared" si="131"/>
        <v>3</v>
      </c>
      <c r="U185" s="13">
        <f t="shared" si="132"/>
        <v>1</v>
      </c>
      <c r="V185" s="13">
        <f t="shared" si="133"/>
        <v>1</v>
      </c>
      <c r="W185" s="13">
        <f t="shared" ca="1" si="134"/>
        <v>3</v>
      </c>
      <c r="X185" s="13">
        <f t="shared" ca="1" si="135"/>
        <v>8</v>
      </c>
      <c r="Y185" s="81" t="str">
        <f t="shared" ca="1" si="136"/>
        <v>MONITOR</v>
      </c>
      <c r="Z185" s="13">
        <v>14</v>
      </c>
      <c r="AA185" s="75">
        <v>46059</v>
      </c>
      <c r="AB185" s="75">
        <f t="shared" si="137"/>
        <v>45920</v>
      </c>
      <c r="AC185" s="88">
        <f t="shared" si="138"/>
        <v>19.857142857142858</v>
      </c>
      <c r="AD185" s="89" t="str">
        <f t="shared" ca="1" si="139"/>
        <v>STABLE</v>
      </c>
      <c r="AE185" s="89" t="str">
        <f t="shared" si="140"/>
        <v>FAST SELLING</v>
      </c>
      <c r="AF185" s="89" t="str">
        <f t="shared" si="141"/>
        <v>AT RISK</v>
      </c>
      <c r="AG185" s="89" t="str">
        <f t="shared" si="142"/>
        <v>FEASIBLE</v>
      </c>
      <c r="AH185" s="81" t="str">
        <f t="shared" ca="1" si="143"/>
        <v>MONITOR</v>
      </c>
      <c r="AI185" s="75">
        <f t="shared" ca="1" si="144"/>
        <v>0</v>
      </c>
      <c r="AJ185" s="75">
        <f t="shared" ca="1" si="145"/>
        <v>-1071</v>
      </c>
      <c r="AK185" s="13">
        <f t="shared" ca="1" si="146"/>
        <v>-1285</v>
      </c>
      <c r="AL185" s="79">
        <v>0.1</v>
      </c>
      <c r="AM185" s="79">
        <v>0.3</v>
      </c>
      <c r="AN185" s="79">
        <v>0.3</v>
      </c>
      <c r="AO185" s="79">
        <v>0.1</v>
      </c>
      <c r="AP185" s="79">
        <v>0.1</v>
      </c>
      <c r="AQ185" s="75">
        <f t="shared" si="147"/>
        <v>107.10000000000001</v>
      </c>
      <c r="AR185" s="75">
        <f t="shared" ref="AR185:AR194" si="175">J185*AM185</f>
        <v>321.3</v>
      </c>
      <c r="AS185" s="75">
        <f t="shared" si="149"/>
        <v>321.3</v>
      </c>
      <c r="AT185" s="75">
        <f t="shared" si="150"/>
        <v>107.10000000000001</v>
      </c>
      <c r="AU185" s="75">
        <f t="shared" si="151"/>
        <v>107.10000000000001</v>
      </c>
      <c r="AV185" s="13">
        <v>0.8</v>
      </c>
      <c r="AW185" s="13">
        <v>1.2</v>
      </c>
      <c r="AX185" s="13">
        <v>1.3</v>
      </c>
      <c r="AY185" s="13">
        <v>1</v>
      </c>
      <c r="AZ185" s="13">
        <v>0.7</v>
      </c>
      <c r="BA185" s="105">
        <f t="shared" si="152"/>
        <v>9.5800000000000018</v>
      </c>
      <c r="BB185" s="13">
        <f t="shared" si="153"/>
        <v>43.109999999999992</v>
      </c>
      <c r="BC185" s="13">
        <f t="shared" si="154"/>
        <v>46.702500000000001</v>
      </c>
      <c r="BD185" s="13">
        <f t="shared" si="155"/>
        <v>11.975000000000001</v>
      </c>
      <c r="BE185" s="13">
        <f t="shared" si="156"/>
        <v>8.3825000000000003</v>
      </c>
      <c r="BF185" s="88">
        <f t="shared" si="157"/>
        <v>11.179540709812107</v>
      </c>
      <c r="BG185" s="88">
        <f t="shared" si="158"/>
        <v>7.4530271398747407</v>
      </c>
      <c r="BH185" s="88">
        <f t="shared" si="159"/>
        <v>6.879717359884375</v>
      </c>
      <c r="BI185" s="88">
        <f t="shared" si="160"/>
        <v>8.9436325678496864</v>
      </c>
      <c r="BJ185" s="88">
        <f t="shared" si="161"/>
        <v>12.776617954070982</v>
      </c>
      <c r="BK185" s="105">
        <f t="shared" si="162"/>
        <v>8.9449112978524759E-2</v>
      </c>
      <c r="BL185" s="105">
        <f t="shared" si="163"/>
        <v>0.13417366946778708</v>
      </c>
      <c r="BM185" s="105">
        <f t="shared" si="164"/>
        <v>0.14535480859010269</v>
      </c>
      <c r="BN185" s="105">
        <f t="shared" si="165"/>
        <v>0.11181139122315593</v>
      </c>
      <c r="BO185" s="105">
        <f t="shared" si="166"/>
        <v>7.826797385620915E-2</v>
      </c>
      <c r="BP185" s="105">
        <f t="shared" si="167"/>
        <v>0.55905695611577966</v>
      </c>
      <c r="BQ185" s="79">
        <f t="shared" si="168"/>
        <v>0.16000000000000003</v>
      </c>
      <c r="BR185" s="79">
        <f t="shared" si="169"/>
        <v>0.23999999999999994</v>
      </c>
      <c r="BS185" s="79">
        <f t="shared" si="170"/>
        <v>0.25999999999999995</v>
      </c>
      <c r="BT185" s="79">
        <f t="shared" si="171"/>
        <v>0.2</v>
      </c>
      <c r="BU185" s="79">
        <f t="shared" si="172"/>
        <v>0.13999999999999999</v>
      </c>
      <c r="BV185" s="90" t="str">
        <f t="array" aca="1" ref="BV185" ca="1">_xlfn.TEXTJOIN(" ",TRUE,
_xlfn.TEXTJOIN(":",TRUE,ROUND(BK185:BO185/MIN(IF(BK185:BO185&gt;0,BK185:BO185)),0)),
"|",
ROUND(SUM(BW185:CA185),0))</f>
        <v>1:2:2:1:1 | -1285</v>
      </c>
      <c r="BW185" s="106">
        <f t="shared" ca="1" si="173"/>
        <v>-205.60000000000005</v>
      </c>
      <c r="BX185" s="106">
        <f t="shared" ca="1" si="119"/>
        <v>-308.39999999999992</v>
      </c>
      <c r="BY185" s="106">
        <f t="shared" ca="1" si="120"/>
        <v>-334.09999999999997</v>
      </c>
      <c r="BZ185" s="106">
        <f t="shared" ca="1" si="121"/>
        <v>-257</v>
      </c>
      <c r="CA185" s="106">
        <f t="shared" ca="1" si="174"/>
        <v>-179.89999999999998</v>
      </c>
    </row>
    <row r="186" spans="1:79" x14ac:dyDescent="0.35">
      <c r="A186" s="25" t="s">
        <v>200</v>
      </c>
      <c r="B186" s="10" t="s">
        <v>330</v>
      </c>
      <c r="C186" s="10" t="s">
        <v>342</v>
      </c>
      <c r="D186" s="10" t="s">
        <v>346</v>
      </c>
      <c r="E186" s="11">
        <v>45885</v>
      </c>
      <c r="F186" s="17">
        <v>45892</v>
      </c>
      <c r="G186" s="14">
        <f t="shared" ca="1" si="122"/>
        <v>207</v>
      </c>
      <c r="H186" s="17">
        <v>299</v>
      </c>
      <c r="I186" s="17">
        <v>180</v>
      </c>
      <c r="J186" s="75">
        <f t="shared" si="123"/>
        <v>1206</v>
      </c>
      <c r="K186" s="17">
        <v>1550</v>
      </c>
      <c r="L186" s="85">
        <v>344</v>
      </c>
      <c r="M186" s="86">
        <f t="shared" ca="1" si="124"/>
        <v>1.6618357487922706</v>
      </c>
      <c r="N186" s="86">
        <f t="shared" si="125"/>
        <v>0.80451009251471861</v>
      </c>
      <c r="O186" s="86">
        <f t="shared" si="126"/>
        <v>1.0487804878048781</v>
      </c>
      <c r="P186" s="87">
        <f t="shared" si="127"/>
        <v>86</v>
      </c>
      <c r="Q186" s="104">
        <f t="shared" si="128"/>
        <v>14.023255813953488</v>
      </c>
      <c r="R186" s="88">
        <f t="shared" si="129"/>
        <v>39.799331103678931</v>
      </c>
      <c r="S186" s="88">
        <f t="shared" si="130"/>
        <v>22.193548387096772</v>
      </c>
      <c r="T186" s="13">
        <f t="shared" si="131"/>
        <v>3</v>
      </c>
      <c r="U186" s="13">
        <f t="shared" si="132"/>
        <v>1</v>
      </c>
      <c r="V186" s="13">
        <f t="shared" si="133"/>
        <v>1</v>
      </c>
      <c r="W186" s="13">
        <f t="shared" ca="1" si="134"/>
        <v>3</v>
      </c>
      <c r="X186" s="13">
        <f t="shared" ca="1" si="135"/>
        <v>8</v>
      </c>
      <c r="Y186" s="81" t="str">
        <f t="shared" ca="1" si="136"/>
        <v>MONITOR</v>
      </c>
      <c r="Z186" s="13">
        <v>14</v>
      </c>
      <c r="AA186" s="75">
        <v>46059</v>
      </c>
      <c r="AB186" s="75">
        <f t="shared" si="137"/>
        <v>45920</v>
      </c>
      <c r="AC186" s="88">
        <f t="shared" si="138"/>
        <v>19.857142857142858</v>
      </c>
      <c r="AD186" s="89" t="str">
        <f t="shared" ca="1" si="139"/>
        <v>STABLE</v>
      </c>
      <c r="AE186" s="89" t="str">
        <f t="shared" si="140"/>
        <v>FAST SELLING</v>
      </c>
      <c r="AF186" s="89" t="str">
        <f t="shared" si="141"/>
        <v>AT RISK</v>
      </c>
      <c r="AG186" s="89" t="str">
        <f t="shared" si="142"/>
        <v>FEASIBLE</v>
      </c>
      <c r="AH186" s="81" t="str">
        <f t="shared" ca="1" si="143"/>
        <v>MONITOR</v>
      </c>
      <c r="AI186" s="75">
        <f t="shared" ca="1" si="144"/>
        <v>0</v>
      </c>
      <c r="AJ186" s="75">
        <f t="shared" ca="1" si="145"/>
        <v>-1206</v>
      </c>
      <c r="AK186" s="13">
        <f t="shared" ca="1" si="146"/>
        <v>-1447</v>
      </c>
      <c r="AL186" s="79">
        <v>0.1</v>
      </c>
      <c r="AM186" s="79">
        <v>0.3</v>
      </c>
      <c r="AN186" s="79">
        <v>0.3</v>
      </c>
      <c r="AO186" s="79">
        <v>0.1</v>
      </c>
      <c r="AP186" s="79">
        <v>0.1</v>
      </c>
      <c r="AQ186" s="75">
        <f t="shared" si="147"/>
        <v>120.60000000000001</v>
      </c>
      <c r="AR186" s="75">
        <f t="shared" si="175"/>
        <v>361.8</v>
      </c>
      <c r="AS186" s="75">
        <f t="shared" si="149"/>
        <v>361.8</v>
      </c>
      <c r="AT186" s="75">
        <f t="shared" si="150"/>
        <v>120.60000000000001</v>
      </c>
      <c r="AU186" s="75">
        <f t="shared" si="151"/>
        <v>120.60000000000001</v>
      </c>
      <c r="AV186" s="13">
        <v>0.8</v>
      </c>
      <c r="AW186" s="13">
        <v>1.2</v>
      </c>
      <c r="AX186" s="13">
        <v>1.3</v>
      </c>
      <c r="AY186" s="13">
        <v>1</v>
      </c>
      <c r="AZ186" s="13">
        <v>0.7</v>
      </c>
      <c r="BA186" s="105">
        <f t="shared" si="152"/>
        <v>6.88</v>
      </c>
      <c r="BB186" s="13">
        <f t="shared" si="153"/>
        <v>30.96</v>
      </c>
      <c r="BC186" s="13">
        <f t="shared" si="154"/>
        <v>33.54</v>
      </c>
      <c r="BD186" s="13">
        <f t="shared" si="155"/>
        <v>8.6</v>
      </c>
      <c r="BE186" s="13">
        <f t="shared" si="156"/>
        <v>6.02</v>
      </c>
      <c r="BF186" s="88">
        <f t="shared" si="157"/>
        <v>17.529069767441861</v>
      </c>
      <c r="BG186" s="88">
        <f t="shared" si="158"/>
        <v>11.686046511627907</v>
      </c>
      <c r="BH186" s="88">
        <f t="shared" si="159"/>
        <v>10.787119856887299</v>
      </c>
      <c r="BI186" s="88">
        <f t="shared" si="160"/>
        <v>14.02325581395349</v>
      </c>
      <c r="BJ186" s="88">
        <f t="shared" si="161"/>
        <v>20.033222591362129</v>
      </c>
      <c r="BK186" s="105">
        <f t="shared" si="162"/>
        <v>5.704809286898839E-2</v>
      </c>
      <c r="BL186" s="105">
        <f t="shared" si="163"/>
        <v>8.5572139303482578E-2</v>
      </c>
      <c r="BM186" s="105">
        <f t="shared" si="164"/>
        <v>9.2703150912106125E-2</v>
      </c>
      <c r="BN186" s="105">
        <f t="shared" si="165"/>
        <v>7.1310116086235484E-2</v>
      </c>
      <c r="BO186" s="105">
        <f t="shared" si="166"/>
        <v>4.9917081260364836E-2</v>
      </c>
      <c r="BP186" s="105">
        <f t="shared" si="167"/>
        <v>0.35655058043117738</v>
      </c>
      <c r="BQ186" s="79">
        <f t="shared" si="168"/>
        <v>0.16000000000000003</v>
      </c>
      <c r="BR186" s="79">
        <f t="shared" si="169"/>
        <v>0.24000000000000002</v>
      </c>
      <c r="BS186" s="79">
        <f t="shared" si="170"/>
        <v>0.26</v>
      </c>
      <c r="BT186" s="79">
        <f t="shared" si="171"/>
        <v>0.2</v>
      </c>
      <c r="BU186" s="79">
        <f t="shared" si="172"/>
        <v>0.14000000000000001</v>
      </c>
      <c r="BV186" s="90" t="str">
        <f t="array" aca="1" ref="BV186" ca="1">_xlfn.TEXTJOIN(" ",TRUE,
_xlfn.TEXTJOIN(":",TRUE,ROUND(BK186:BO186/MIN(IF(BK186:BO186&gt;0,BK186:BO186)),0)),
"|",
ROUND(SUM(BW186:CA186),0))</f>
        <v>1:2:2:1:1 | -1447</v>
      </c>
      <c r="BW186" s="106">
        <f t="shared" ca="1" si="173"/>
        <v>-231.52000000000004</v>
      </c>
      <c r="BX186" s="106">
        <f t="shared" ca="1" si="119"/>
        <v>-347.28000000000003</v>
      </c>
      <c r="BY186" s="106">
        <f t="shared" ca="1" si="120"/>
        <v>-376.22</v>
      </c>
      <c r="BZ186" s="106">
        <f t="shared" ca="1" si="121"/>
        <v>-289.40000000000003</v>
      </c>
      <c r="CA186" s="106">
        <f t="shared" ca="1" si="174"/>
        <v>-202.58</v>
      </c>
    </row>
    <row r="187" spans="1:79" x14ac:dyDescent="0.35">
      <c r="A187" s="25" t="s">
        <v>201</v>
      </c>
      <c r="B187" s="10" t="s">
        <v>330</v>
      </c>
      <c r="C187" s="10" t="s">
        <v>342</v>
      </c>
      <c r="D187" s="10" t="s">
        <v>346</v>
      </c>
      <c r="E187" s="11">
        <v>45885</v>
      </c>
      <c r="F187" s="17">
        <v>45892</v>
      </c>
      <c r="G187" s="14">
        <f t="shared" ca="1" si="122"/>
        <v>207</v>
      </c>
      <c r="H187" s="17">
        <v>299</v>
      </c>
      <c r="I187" s="17">
        <v>180</v>
      </c>
      <c r="J187" s="75">
        <f t="shared" si="123"/>
        <v>1392</v>
      </c>
      <c r="K187" s="17">
        <v>1550</v>
      </c>
      <c r="L187" s="85">
        <v>158</v>
      </c>
      <c r="M187" s="86">
        <f t="shared" ca="1" si="124"/>
        <v>0.76328502415458932</v>
      </c>
      <c r="N187" s="86">
        <f t="shared" si="125"/>
        <v>0.80451009251471861</v>
      </c>
      <c r="O187" s="86">
        <f t="shared" si="126"/>
        <v>0.48170731707317072</v>
      </c>
      <c r="P187" s="87">
        <f t="shared" si="127"/>
        <v>39.5</v>
      </c>
      <c r="Q187" s="104">
        <f t="shared" si="128"/>
        <v>35.240506329113927</v>
      </c>
      <c r="R187" s="88">
        <f t="shared" si="129"/>
        <v>39.799331103678931</v>
      </c>
      <c r="S187" s="88">
        <f t="shared" si="130"/>
        <v>10.193548387096774</v>
      </c>
      <c r="T187" s="13">
        <f t="shared" si="131"/>
        <v>1</v>
      </c>
      <c r="U187" s="13">
        <f t="shared" si="132"/>
        <v>1</v>
      </c>
      <c r="V187" s="13">
        <f t="shared" si="133"/>
        <v>1</v>
      </c>
      <c r="W187" s="13">
        <f t="shared" ca="1" si="134"/>
        <v>3</v>
      </c>
      <c r="X187" s="13">
        <f t="shared" ca="1" si="135"/>
        <v>6</v>
      </c>
      <c r="Y187" s="81" t="str">
        <f t="shared" ca="1" si="136"/>
        <v>MONITOR</v>
      </c>
      <c r="Z187" s="13">
        <v>14</v>
      </c>
      <c r="AA187" s="75">
        <v>46059</v>
      </c>
      <c r="AB187" s="75">
        <f t="shared" si="137"/>
        <v>45920</v>
      </c>
      <c r="AC187" s="88">
        <f t="shared" si="138"/>
        <v>19.857142857142858</v>
      </c>
      <c r="AD187" s="89" t="str">
        <f t="shared" ca="1" si="139"/>
        <v>STABLE</v>
      </c>
      <c r="AE187" s="89" t="str">
        <f t="shared" si="140"/>
        <v>SLOW SELLING</v>
      </c>
      <c r="AF187" s="89" t="str">
        <f t="shared" si="141"/>
        <v>AT RISK</v>
      </c>
      <c r="AG187" s="89" t="str">
        <f t="shared" si="142"/>
        <v>FEASIBLE</v>
      </c>
      <c r="AH187" s="81" t="str">
        <f t="shared" ca="1" si="143"/>
        <v>MONITOR</v>
      </c>
      <c r="AI187" s="75">
        <f t="shared" ca="1" si="144"/>
        <v>0</v>
      </c>
      <c r="AJ187" s="75">
        <f t="shared" ca="1" si="145"/>
        <v>-1392</v>
      </c>
      <c r="AK187" s="13">
        <f t="shared" ca="1" si="146"/>
        <v>-1670</v>
      </c>
      <c r="AL187" s="79">
        <v>0.1</v>
      </c>
      <c r="AM187" s="79">
        <v>0.3</v>
      </c>
      <c r="AN187" s="79">
        <v>0.3</v>
      </c>
      <c r="AO187" s="79">
        <v>0.1</v>
      </c>
      <c r="AP187" s="79">
        <v>0.1</v>
      </c>
      <c r="AQ187" s="75">
        <f t="shared" si="147"/>
        <v>139.20000000000002</v>
      </c>
      <c r="AR187" s="75">
        <f t="shared" si="175"/>
        <v>417.59999999999997</v>
      </c>
      <c r="AS187" s="75">
        <f t="shared" si="149"/>
        <v>417.59999999999997</v>
      </c>
      <c r="AT187" s="75">
        <f t="shared" si="150"/>
        <v>139.20000000000002</v>
      </c>
      <c r="AU187" s="75">
        <f t="shared" si="151"/>
        <v>139.20000000000002</v>
      </c>
      <c r="AV187" s="13">
        <v>0.8</v>
      </c>
      <c r="AW187" s="13">
        <v>1.2</v>
      </c>
      <c r="AX187" s="13">
        <v>1.3</v>
      </c>
      <c r="AY187" s="13">
        <v>1</v>
      </c>
      <c r="AZ187" s="13">
        <v>0.7</v>
      </c>
      <c r="BA187" s="105">
        <f t="shared" si="152"/>
        <v>3.16</v>
      </c>
      <c r="BB187" s="13">
        <f t="shared" si="153"/>
        <v>14.219999999999999</v>
      </c>
      <c r="BC187" s="13">
        <f t="shared" si="154"/>
        <v>15.404999999999999</v>
      </c>
      <c r="BD187" s="13">
        <f t="shared" si="155"/>
        <v>3.95</v>
      </c>
      <c r="BE187" s="13">
        <f t="shared" si="156"/>
        <v>2.7650000000000001</v>
      </c>
      <c r="BF187" s="88">
        <f t="shared" si="157"/>
        <v>44.050632911392405</v>
      </c>
      <c r="BG187" s="88">
        <f t="shared" si="158"/>
        <v>29.367088607594937</v>
      </c>
      <c r="BH187" s="88">
        <f t="shared" si="159"/>
        <v>27.108081791626095</v>
      </c>
      <c r="BI187" s="88">
        <f t="shared" si="160"/>
        <v>35.240506329113927</v>
      </c>
      <c r="BJ187" s="88">
        <f t="shared" si="161"/>
        <v>50.343580470162756</v>
      </c>
      <c r="BK187" s="105">
        <f t="shared" si="162"/>
        <v>2.2701149425287358E-2</v>
      </c>
      <c r="BL187" s="105">
        <f t="shared" si="163"/>
        <v>3.4051724137931033E-2</v>
      </c>
      <c r="BM187" s="105">
        <f t="shared" si="164"/>
        <v>3.6889367816091957E-2</v>
      </c>
      <c r="BN187" s="105">
        <f t="shared" si="165"/>
        <v>2.8376436781609192E-2</v>
      </c>
      <c r="BO187" s="105">
        <f t="shared" si="166"/>
        <v>1.9863505747126434E-2</v>
      </c>
      <c r="BP187" s="105">
        <f t="shared" si="167"/>
        <v>0.14188218390804597</v>
      </c>
      <c r="BQ187" s="79">
        <f t="shared" si="168"/>
        <v>0.16000000000000003</v>
      </c>
      <c r="BR187" s="79">
        <f t="shared" si="169"/>
        <v>0.24000000000000002</v>
      </c>
      <c r="BS187" s="79">
        <f t="shared" si="170"/>
        <v>0.26000000000000006</v>
      </c>
      <c r="BT187" s="79">
        <f t="shared" si="171"/>
        <v>0.19999999999999998</v>
      </c>
      <c r="BU187" s="79">
        <f t="shared" si="172"/>
        <v>0.13999999999999999</v>
      </c>
      <c r="BV187" s="90" t="str">
        <f t="array" aca="1" ref="BV187" ca="1">_xlfn.TEXTJOIN(" ",TRUE,
_xlfn.TEXTJOIN(":",TRUE,ROUND(BK187:BO187/MIN(IF(BK187:BO187&gt;0,BK187:BO187)),0)),
"|",
ROUND(SUM(BW187:CA187),0))</f>
        <v>1:2:2:1:1 | -1670</v>
      </c>
      <c r="BW187" s="106">
        <f t="shared" ca="1" si="173"/>
        <v>-267.20000000000005</v>
      </c>
      <c r="BX187" s="106">
        <f t="shared" ca="1" si="119"/>
        <v>-400.8</v>
      </c>
      <c r="BY187" s="106">
        <f t="shared" ca="1" si="120"/>
        <v>-434.2000000000001</v>
      </c>
      <c r="BZ187" s="106">
        <f t="shared" ca="1" si="121"/>
        <v>-334</v>
      </c>
      <c r="CA187" s="106">
        <f t="shared" ca="1" si="174"/>
        <v>-233.79999999999998</v>
      </c>
    </row>
    <row r="188" spans="1:79" x14ac:dyDescent="0.35">
      <c r="A188" s="25" t="s">
        <v>202</v>
      </c>
      <c r="B188" s="10" t="s">
        <v>330</v>
      </c>
      <c r="C188" s="10" t="s">
        <v>342</v>
      </c>
      <c r="D188" s="10" t="s">
        <v>346</v>
      </c>
      <c r="E188" s="11">
        <v>45885</v>
      </c>
      <c r="F188" s="17">
        <v>45892</v>
      </c>
      <c r="G188" s="14">
        <f t="shared" ca="1" si="122"/>
        <v>207</v>
      </c>
      <c r="H188" s="17">
        <v>299</v>
      </c>
      <c r="I188" s="17">
        <v>180</v>
      </c>
      <c r="J188" s="75">
        <f t="shared" si="123"/>
        <v>1222</v>
      </c>
      <c r="K188" s="17">
        <v>1550</v>
      </c>
      <c r="L188" s="85">
        <v>328</v>
      </c>
      <c r="M188" s="86">
        <f t="shared" ca="1" si="124"/>
        <v>1.5845410628019323</v>
      </c>
      <c r="N188" s="86">
        <f t="shared" si="125"/>
        <v>0.80451009251471861</v>
      </c>
      <c r="O188" s="86">
        <f t="shared" si="126"/>
        <v>1</v>
      </c>
      <c r="P188" s="87">
        <f t="shared" si="127"/>
        <v>82</v>
      </c>
      <c r="Q188" s="104">
        <f t="shared" si="128"/>
        <v>14.902439024390244</v>
      </c>
      <c r="R188" s="88">
        <f t="shared" si="129"/>
        <v>39.799331103678931</v>
      </c>
      <c r="S188" s="88">
        <f t="shared" si="130"/>
        <v>21.161290322580644</v>
      </c>
      <c r="T188" s="13">
        <f t="shared" si="131"/>
        <v>3</v>
      </c>
      <c r="U188" s="13">
        <f t="shared" si="132"/>
        <v>1</v>
      </c>
      <c r="V188" s="13">
        <f t="shared" si="133"/>
        <v>1</v>
      </c>
      <c r="W188" s="13">
        <f t="shared" ca="1" si="134"/>
        <v>3</v>
      </c>
      <c r="X188" s="13">
        <f t="shared" ca="1" si="135"/>
        <v>8</v>
      </c>
      <c r="Y188" s="81" t="str">
        <f t="shared" ca="1" si="136"/>
        <v>MONITOR</v>
      </c>
      <c r="Z188" s="13">
        <v>14</v>
      </c>
      <c r="AA188" s="75">
        <v>46059</v>
      </c>
      <c r="AB188" s="75">
        <f t="shared" si="137"/>
        <v>45920</v>
      </c>
      <c r="AC188" s="88">
        <f t="shared" si="138"/>
        <v>19.857142857142858</v>
      </c>
      <c r="AD188" s="89" t="str">
        <f t="shared" ca="1" si="139"/>
        <v>STABLE</v>
      </c>
      <c r="AE188" s="89" t="str">
        <f t="shared" si="140"/>
        <v>FAST SELLING</v>
      </c>
      <c r="AF188" s="89" t="str">
        <f t="shared" si="141"/>
        <v>AT RISK</v>
      </c>
      <c r="AG188" s="89" t="str">
        <f t="shared" si="142"/>
        <v>FEASIBLE</v>
      </c>
      <c r="AH188" s="81" t="str">
        <f t="shared" ca="1" si="143"/>
        <v>MONITOR</v>
      </c>
      <c r="AI188" s="75">
        <f t="shared" ca="1" si="144"/>
        <v>0</v>
      </c>
      <c r="AJ188" s="75">
        <f t="shared" ca="1" si="145"/>
        <v>-1222</v>
      </c>
      <c r="AK188" s="13">
        <f t="shared" ca="1" si="146"/>
        <v>-1466</v>
      </c>
      <c r="AL188" s="79">
        <v>0.1</v>
      </c>
      <c r="AM188" s="79">
        <v>0.3</v>
      </c>
      <c r="AN188" s="79">
        <v>0.3</v>
      </c>
      <c r="AO188" s="79">
        <v>0.1</v>
      </c>
      <c r="AP188" s="79">
        <v>0.1</v>
      </c>
      <c r="AQ188" s="75">
        <f t="shared" si="147"/>
        <v>122.2</v>
      </c>
      <c r="AR188" s="75">
        <f t="shared" si="175"/>
        <v>366.59999999999997</v>
      </c>
      <c r="AS188" s="75">
        <f t="shared" si="149"/>
        <v>366.59999999999997</v>
      </c>
      <c r="AT188" s="75">
        <f t="shared" si="150"/>
        <v>122.2</v>
      </c>
      <c r="AU188" s="75">
        <f t="shared" si="151"/>
        <v>122.2</v>
      </c>
      <c r="AV188" s="13">
        <v>0.8</v>
      </c>
      <c r="AW188" s="13">
        <v>1.2</v>
      </c>
      <c r="AX188" s="13">
        <v>1.3</v>
      </c>
      <c r="AY188" s="13">
        <v>1</v>
      </c>
      <c r="AZ188" s="13">
        <v>0.7</v>
      </c>
      <c r="BA188" s="105">
        <f t="shared" si="152"/>
        <v>6.5600000000000014</v>
      </c>
      <c r="BB188" s="13">
        <f t="shared" si="153"/>
        <v>29.519999999999996</v>
      </c>
      <c r="BC188" s="13">
        <f t="shared" si="154"/>
        <v>31.979999999999997</v>
      </c>
      <c r="BD188" s="13">
        <f t="shared" si="155"/>
        <v>8.2000000000000011</v>
      </c>
      <c r="BE188" s="13">
        <f t="shared" si="156"/>
        <v>5.74</v>
      </c>
      <c r="BF188" s="88">
        <f t="shared" si="157"/>
        <v>18.628048780487802</v>
      </c>
      <c r="BG188" s="88">
        <f t="shared" si="158"/>
        <v>12.418699186991871</v>
      </c>
      <c r="BH188" s="88">
        <f t="shared" si="159"/>
        <v>11.463414634146341</v>
      </c>
      <c r="BI188" s="88">
        <f t="shared" si="160"/>
        <v>14.902439024390242</v>
      </c>
      <c r="BJ188" s="88">
        <f t="shared" si="161"/>
        <v>21.289198606271778</v>
      </c>
      <c r="BK188" s="105">
        <f t="shared" si="162"/>
        <v>5.3682487725040924E-2</v>
      </c>
      <c r="BL188" s="105">
        <f t="shared" si="163"/>
        <v>8.0523731587561362E-2</v>
      </c>
      <c r="BM188" s="105">
        <f t="shared" si="164"/>
        <v>8.723404255319149E-2</v>
      </c>
      <c r="BN188" s="105">
        <f t="shared" si="165"/>
        <v>6.710310965630116E-2</v>
      </c>
      <c r="BO188" s="105">
        <f t="shared" si="166"/>
        <v>4.6972176759410796E-2</v>
      </c>
      <c r="BP188" s="105">
        <f t="shared" si="167"/>
        <v>0.33551554828150576</v>
      </c>
      <c r="BQ188" s="79">
        <f t="shared" si="168"/>
        <v>0.16</v>
      </c>
      <c r="BR188" s="79">
        <f t="shared" si="169"/>
        <v>0.23999999999999994</v>
      </c>
      <c r="BS188" s="79">
        <f t="shared" si="170"/>
        <v>0.25999999999999995</v>
      </c>
      <c r="BT188" s="79">
        <f t="shared" si="171"/>
        <v>0.2</v>
      </c>
      <c r="BU188" s="79">
        <f t="shared" si="172"/>
        <v>0.13999999999999996</v>
      </c>
      <c r="BV188" s="90" t="str">
        <f t="array" aca="1" ref="BV188" ca="1">_xlfn.TEXTJOIN(" ",TRUE,
_xlfn.TEXTJOIN(":",TRUE,ROUND(BK188:BO188/MIN(IF(BK188:BO188&gt;0,BK188:BO188)),0)),
"|",
ROUND(SUM(BW188:CA188),0))</f>
        <v>1:2:2:1:1 | -1466</v>
      </c>
      <c r="BW188" s="106">
        <f t="shared" ca="1" si="173"/>
        <v>-234.56</v>
      </c>
      <c r="BX188" s="106">
        <f t="shared" ca="1" si="119"/>
        <v>-351.83999999999992</v>
      </c>
      <c r="BY188" s="106">
        <f t="shared" ca="1" si="120"/>
        <v>-381.15999999999991</v>
      </c>
      <c r="BZ188" s="106">
        <f t="shared" ca="1" si="121"/>
        <v>-293.2</v>
      </c>
      <c r="CA188" s="106">
        <f t="shared" ca="1" si="174"/>
        <v>-205.23999999999995</v>
      </c>
    </row>
    <row r="189" spans="1:79" x14ac:dyDescent="0.35">
      <c r="A189" s="25" t="s">
        <v>203</v>
      </c>
      <c r="B189" s="10" t="s">
        <v>330</v>
      </c>
      <c r="C189" s="10" t="s">
        <v>342</v>
      </c>
      <c r="D189" s="10" t="s">
        <v>346</v>
      </c>
      <c r="E189" s="11">
        <v>45885</v>
      </c>
      <c r="F189" s="17">
        <v>45892</v>
      </c>
      <c r="G189" s="14">
        <f t="shared" ca="1" si="122"/>
        <v>207</v>
      </c>
      <c r="H189" s="17">
        <v>299</v>
      </c>
      <c r="I189" s="17">
        <v>180</v>
      </c>
      <c r="J189" s="75">
        <f t="shared" si="123"/>
        <v>1173</v>
      </c>
      <c r="K189" s="17">
        <v>1550</v>
      </c>
      <c r="L189" s="85">
        <v>377</v>
      </c>
      <c r="M189" s="86">
        <f t="shared" ca="1" si="124"/>
        <v>1.8212560386473431</v>
      </c>
      <c r="N189" s="86">
        <f t="shared" si="125"/>
        <v>0.80451009251471861</v>
      </c>
      <c r="O189" s="86">
        <f t="shared" si="126"/>
        <v>1.149390243902439</v>
      </c>
      <c r="P189" s="87">
        <f t="shared" si="127"/>
        <v>94.25</v>
      </c>
      <c r="Q189" s="104">
        <f t="shared" si="128"/>
        <v>12.445623342175066</v>
      </c>
      <c r="R189" s="88">
        <f t="shared" si="129"/>
        <v>39.799331103678931</v>
      </c>
      <c r="S189" s="88">
        <f t="shared" si="130"/>
        <v>24.322580645161292</v>
      </c>
      <c r="T189" s="13">
        <f t="shared" si="131"/>
        <v>3</v>
      </c>
      <c r="U189" s="13">
        <f t="shared" si="132"/>
        <v>1</v>
      </c>
      <c r="V189" s="13">
        <f t="shared" si="133"/>
        <v>1</v>
      </c>
      <c r="W189" s="13">
        <f t="shared" ca="1" si="134"/>
        <v>3</v>
      </c>
      <c r="X189" s="13">
        <f t="shared" ca="1" si="135"/>
        <v>8</v>
      </c>
      <c r="Y189" s="81" t="str">
        <f t="shared" ca="1" si="136"/>
        <v>MONITOR</v>
      </c>
      <c r="Z189" s="13">
        <v>14</v>
      </c>
      <c r="AA189" s="75">
        <v>46059</v>
      </c>
      <c r="AB189" s="75">
        <f t="shared" si="137"/>
        <v>45920</v>
      </c>
      <c r="AC189" s="88">
        <f t="shared" si="138"/>
        <v>19.857142857142858</v>
      </c>
      <c r="AD189" s="89" t="str">
        <f t="shared" ca="1" si="139"/>
        <v>STABLE</v>
      </c>
      <c r="AE189" s="89" t="str">
        <f t="shared" si="140"/>
        <v>FAST SELLING</v>
      </c>
      <c r="AF189" s="89" t="str">
        <f t="shared" si="141"/>
        <v>AT RISK</v>
      </c>
      <c r="AG189" s="89" t="str">
        <f t="shared" si="142"/>
        <v>FEASIBLE</v>
      </c>
      <c r="AH189" s="81" t="str">
        <f t="shared" ca="1" si="143"/>
        <v>MONITOR</v>
      </c>
      <c r="AI189" s="75">
        <f t="shared" ca="1" si="144"/>
        <v>0</v>
      </c>
      <c r="AJ189" s="75">
        <f t="shared" ca="1" si="145"/>
        <v>-1173</v>
      </c>
      <c r="AK189" s="13">
        <f t="shared" ca="1" si="146"/>
        <v>-1408</v>
      </c>
      <c r="AL189" s="79">
        <v>0.1</v>
      </c>
      <c r="AM189" s="79">
        <v>0.3</v>
      </c>
      <c r="AN189" s="79">
        <v>0.3</v>
      </c>
      <c r="AO189" s="79">
        <v>0.1</v>
      </c>
      <c r="AP189" s="79">
        <v>0.1</v>
      </c>
      <c r="AQ189" s="75">
        <f t="shared" si="147"/>
        <v>117.30000000000001</v>
      </c>
      <c r="AR189" s="75">
        <f t="shared" si="175"/>
        <v>351.9</v>
      </c>
      <c r="AS189" s="75">
        <f t="shared" si="149"/>
        <v>351.9</v>
      </c>
      <c r="AT189" s="75">
        <f t="shared" si="150"/>
        <v>117.30000000000001</v>
      </c>
      <c r="AU189" s="75">
        <f t="shared" si="151"/>
        <v>117.30000000000001</v>
      </c>
      <c r="AV189" s="13">
        <v>0.8</v>
      </c>
      <c r="AW189" s="13">
        <v>1.2</v>
      </c>
      <c r="AX189" s="13">
        <v>1.3</v>
      </c>
      <c r="AY189" s="13">
        <v>1</v>
      </c>
      <c r="AZ189" s="13">
        <v>0.7</v>
      </c>
      <c r="BA189" s="105">
        <f t="shared" si="152"/>
        <v>7.5400000000000009</v>
      </c>
      <c r="BB189" s="13">
        <f t="shared" si="153"/>
        <v>33.93</v>
      </c>
      <c r="BC189" s="13">
        <f t="shared" si="154"/>
        <v>36.7575</v>
      </c>
      <c r="BD189" s="13">
        <f t="shared" si="155"/>
        <v>9.4250000000000007</v>
      </c>
      <c r="BE189" s="13">
        <f t="shared" si="156"/>
        <v>6.5975000000000001</v>
      </c>
      <c r="BF189" s="88">
        <f t="shared" si="157"/>
        <v>15.557029177718832</v>
      </c>
      <c r="BG189" s="88">
        <f t="shared" si="158"/>
        <v>10.371352785145888</v>
      </c>
      <c r="BH189" s="88">
        <f t="shared" si="159"/>
        <v>9.573556417057743</v>
      </c>
      <c r="BI189" s="88">
        <f t="shared" si="160"/>
        <v>12.445623342175066</v>
      </c>
      <c r="BJ189" s="88">
        <f t="shared" si="161"/>
        <v>17.779461917392954</v>
      </c>
      <c r="BK189" s="105">
        <f t="shared" si="162"/>
        <v>6.4279624893435638E-2</v>
      </c>
      <c r="BL189" s="105">
        <f t="shared" si="163"/>
        <v>9.6419437340153458E-2</v>
      </c>
      <c r="BM189" s="105">
        <f t="shared" si="164"/>
        <v>0.10445439045183291</v>
      </c>
      <c r="BN189" s="105">
        <f t="shared" si="165"/>
        <v>8.0349531116794548E-2</v>
      </c>
      <c r="BO189" s="105">
        <f t="shared" si="166"/>
        <v>5.6244671781756177E-2</v>
      </c>
      <c r="BP189" s="105">
        <f t="shared" si="167"/>
        <v>0.40174765558397274</v>
      </c>
      <c r="BQ189" s="79">
        <f t="shared" si="168"/>
        <v>0.16</v>
      </c>
      <c r="BR189" s="79">
        <f t="shared" si="169"/>
        <v>0.24</v>
      </c>
      <c r="BS189" s="79">
        <f t="shared" si="170"/>
        <v>0.26</v>
      </c>
      <c r="BT189" s="79">
        <f t="shared" si="171"/>
        <v>0.2</v>
      </c>
      <c r="BU189" s="79">
        <f t="shared" si="172"/>
        <v>0.13999999999999999</v>
      </c>
      <c r="BV189" s="90" t="str">
        <f t="array" aca="1" ref="BV189" ca="1">_xlfn.TEXTJOIN(" ",TRUE,
_xlfn.TEXTJOIN(":",TRUE,ROUND(BK189:BO189/MIN(IF(BK189:BO189&gt;0,BK189:BO189)),0)),
"|",
ROUND(SUM(BW189:CA189),0))</f>
        <v>1:2:2:1:1 | -1408</v>
      </c>
      <c r="BW189" s="106">
        <f t="shared" ca="1" si="173"/>
        <v>-225.28</v>
      </c>
      <c r="BX189" s="106">
        <f t="shared" ca="1" si="119"/>
        <v>-337.91999999999996</v>
      </c>
      <c r="BY189" s="106">
        <f t="shared" ca="1" si="120"/>
        <v>-366.08000000000004</v>
      </c>
      <c r="BZ189" s="106">
        <f t="shared" ca="1" si="121"/>
        <v>-281.60000000000002</v>
      </c>
      <c r="CA189" s="106">
        <f t="shared" ca="1" si="174"/>
        <v>-197.11999999999998</v>
      </c>
    </row>
    <row r="190" spans="1:79" x14ac:dyDescent="0.35">
      <c r="A190" s="25" t="s">
        <v>204</v>
      </c>
      <c r="B190" s="10" t="s">
        <v>330</v>
      </c>
      <c r="C190" s="10" t="s">
        <v>342</v>
      </c>
      <c r="D190" s="10" t="s">
        <v>346</v>
      </c>
      <c r="E190" s="11">
        <v>45885</v>
      </c>
      <c r="F190" s="17">
        <v>45892</v>
      </c>
      <c r="G190" s="14">
        <f t="shared" ca="1" si="122"/>
        <v>207</v>
      </c>
      <c r="H190" s="17">
        <v>299</v>
      </c>
      <c r="I190" s="17">
        <v>180</v>
      </c>
      <c r="J190" s="75">
        <f t="shared" si="123"/>
        <v>1147</v>
      </c>
      <c r="K190" s="17">
        <v>1550</v>
      </c>
      <c r="L190" s="85">
        <v>403</v>
      </c>
      <c r="M190" s="86">
        <f t="shared" ca="1" si="124"/>
        <v>1.9468599033816425</v>
      </c>
      <c r="N190" s="86">
        <f t="shared" si="125"/>
        <v>0.80451009251471861</v>
      </c>
      <c r="O190" s="86">
        <f t="shared" si="126"/>
        <v>1.2286585365853659</v>
      </c>
      <c r="P190" s="87">
        <f t="shared" si="127"/>
        <v>100.75000000000001</v>
      </c>
      <c r="Q190" s="104">
        <f t="shared" si="128"/>
        <v>11.384615384615383</v>
      </c>
      <c r="R190" s="88">
        <f t="shared" si="129"/>
        <v>39.799331103678931</v>
      </c>
      <c r="S190" s="88">
        <f t="shared" si="130"/>
        <v>26</v>
      </c>
      <c r="T190" s="13">
        <f t="shared" si="131"/>
        <v>3</v>
      </c>
      <c r="U190" s="13">
        <f t="shared" si="132"/>
        <v>1</v>
      </c>
      <c r="V190" s="13">
        <f t="shared" si="133"/>
        <v>1</v>
      </c>
      <c r="W190" s="13">
        <f t="shared" ca="1" si="134"/>
        <v>3</v>
      </c>
      <c r="X190" s="13">
        <f t="shared" ca="1" si="135"/>
        <v>8</v>
      </c>
      <c r="Y190" s="81" t="str">
        <f t="shared" ca="1" si="136"/>
        <v>MONITOR</v>
      </c>
      <c r="Z190" s="13">
        <v>14</v>
      </c>
      <c r="AA190" s="75">
        <v>46059</v>
      </c>
      <c r="AB190" s="75">
        <f t="shared" si="137"/>
        <v>45920</v>
      </c>
      <c r="AC190" s="88">
        <f t="shared" si="138"/>
        <v>19.857142857142858</v>
      </c>
      <c r="AD190" s="89" t="str">
        <f t="shared" ca="1" si="139"/>
        <v>STABLE</v>
      </c>
      <c r="AE190" s="89" t="str">
        <f t="shared" si="140"/>
        <v>FAST SELLING</v>
      </c>
      <c r="AF190" s="89" t="str">
        <f t="shared" si="141"/>
        <v>AT RISK</v>
      </c>
      <c r="AG190" s="89" t="str">
        <f t="shared" si="142"/>
        <v>FEASIBLE</v>
      </c>
      <c r="AH190" s="81" t="str">
        <f t="shared" ca="1" si="143"/>
        <v>MONITOR</v>
      </c>
      <c r="AI190" s="75">
        <f t="shared" ca="1" si="144"/>
        <v>0</v>
      </c>
      <c r="AJ190" s="75">
        <f t="shared" ca="1" si="145"/>
        <v>-1147</v>
      </c>
      <c r="AK190" s="13">
        <f t="shared" ca="1" si="146"/>
        <v>-1376</v>
      </c>
      <c r="AL190" s="79">
        <v>0.1</v>
      </c>
      <c r="AM190" s="79">
        <v>0.3</v>
      </c>
      <c r="AN190" s="79">
        <v>0.3</v>
      </c>
      <c r="AO190" s="79">
        <v>0.1</v>
      </c>
      <c r="AP190" s="79">
        <v>0.1</v>
      </c>
      <c r="AQ190" s="75">
        <f t="shared" si="147"/>
        <v>114.7</v>
      </c>
      <c r="AR190" s="75">
        <f t="shared" si="175"/>
        <v>344.09999999999997</v>
      </c>
      <c r="AS190" s="75">
        <f t="shared" si="149"/>
        <v>344.09999999999997</v>
      </c>
      <c r="AT190" s="75">
        <f t="shared" si="150"/>
        <v>114.7</v>
      </c>
      <c r="AU190" s="75">
        <f t="shared" si="151"/>
        <v>114.7</v>
      </c>
      <c r="AV190" s="13">
        <v>0.8</v>
      </c>
      <c r="AW190" s="13">
        <v>1.2</v>
      </c>
      <c r="AX190" s="13">
        <v>1.3</v>
      </c>
      <c r="AY190" s="13">
        <v>1</v>
      </c>
      <c r="AZ190" s="13">
        <v>0.7</v>
      </c>
      <c r="BA190" s="105">
        <f t="shared" si="152"/>
        <v>8.0600000000000023</v>
      </c>
      <c r="BB190" s="13">
        <f t="shared" si="153"/>
        <v>36.270000000000003</v>
      </c>
      <c r="BC190" s="13">
        <f t="shared" si="154"/>
        <v>39.292500000000004</v>
      </c>
      <c r="BD190" s="13">
        <f t="shared" si="155"/>
        <v>10.075000000000003</v>
      </c>
      <c r="BE190" s="13">
        <f t="shared" si="156"/>
        <v>7.0525000000000011</v>
      </c>
      <c r="BF190" s="88">
        <f t="shared" si="157"/>
        <v>14.230769230769226</v>
      </c>
      <c r="BG190" s="88">
        <f t="shared" si="158"/>
        <v>9.4871794871794854</v>
      </c>
      <c r="BH190" s="88">
        <f t="shared" si="159"/>
        <v>8.7573964497041406</v>
      </c>
      <c r="BI190" s="88">
        <f t="shared" si="160"/>
        <v>11.384615384615381</v>
      </c>
      <c r="BJ190" s="88">
        <f t="shared" si="161"/>
        <v>16.263736263736263</v>
      </c>
      <c r="BK190" s="105">
        <f t="shared" si="162"/>
        <v>7.0270270270270288E-2</v>
      </c>
      <c r="BL190" s="105">
        <f t="shared" si="163"/>
        <v>0.10540540540540543</v>
      </c>
      <c r="BM190" s="105">
        <f t="shared" si="164"/>
        <v>0.1141891891891892</v>
      </c>
      <c r="BN190" s="105">
        <f t="shared" si="165"/>
        <v>8.7837837837837857E-2</v>
      </c>
      <c r="BO190" s="105">
        <f t="shared" si="166"/>
        <v>6.148648648648649E-2</v>
      </c>
      <c r="BP190" s="105">
        <f t="shared" si="167"/>
        <v>0.43918918918918926</v>
      </c>
      <c r="BQ190" s="79">
        <f t="shared" si="168"/>
        <v>0.16</v>
      </c>
      <c r="BR190" s="79">
        <f t="shared" si="169"/>
        <v>0.24000000000000002</v>
      </c>
      <c r="BS190" s="79">
        <f t="shared" si="170"/>
        <v>0.26</v>
      </c>
      <c r="BT190" s="79">
        <f t="shared" si="171"/>
        <v>0.2</v>
      </c>
      <c r="BU190" s="79">
        <f t="shared" si="172"/>
        <v>0.13999999999999999</v>
      </c>
      <c r="BV190" s="90" t="str">
        <f t="array" aca="1" ref="BV190" ca="1">_xlfn.TEXTJOIN(" ",TRUE,
_xlfn.TEXTJOIN(":",TRUE,ROUND(BK190:BO190/MIN(IF(BK190:BO190&gt;0,BK190:BO190)),0)),
"|",
ROUND(SUM(BW190:CA190),0))</f>
        <v>1:2:2:1:1 | -1376</v>
      </c>
      <c r="BW190" s="106">
        <f t="shared" ca="1" si="173"/>
        <v>-220.16</v>
      </c>
      <c r="BX190" s="106">
        <f t="shared" ca="1" si="119"/>
        <v>-330.24</v>
      </c>
      <c r="BY190" s="106">
        <f t="shared" ca="1" si="120"/>
        <v>-357.76</v>
      </c>
      <c r="BZ190" s="106">
        <f t="shared" ca="1" si="121"/>
        <v>-275.2</v>
      </c>
      <c r="CA190" s="106">
        <f t="shared" ca="1" si="174"/>
        <v>-192.64</v>
      </c>
    </row>
    <row r="191" spans="1:79" x14ac:dyDescent="0.35">
      <c r="A191" s="25" t="s">
        <v>205</v>
      </c>
      <c r="B191" s="10" t="s">
        <v>330</v>
      </c>
      <c r="C191" s="10" t="s">
        <v>342</v>
      </c>
      <c r="D191" s="10" t="s">
        <v>346</v>
      </c>
      <c r="E191" s="11">
        <v>45885</v>
      </c>
      <c r="F191" s="17">
        <v>45892</v>
      </c>
      <c r="G191" s="14">
        <f t="shared" ca="1" si="122"/>
        <v>207</v>
      </c>
      <c r="H191" s="17">
        <v>299</v>
      </c>
      <c r="I191" s="17">
        <v>180</v>
      </c>
      <c r="J191" s="75">
        <f t="shared" si="123"/>
        <v>1059</v>
      </c>
      <c r="K191" s="17">
        <v>1550</v>
      </c>
      <c r="L191" s="85">
        <v>491</v>
      </c>
      <c r="M191" s="86">
        <f t="shared" ca="1" si="124"/>
        <v>2.3719806763285023</v>
      </c>
      <c r="N191" s="86">
        <f t="shared" si="125"/>
        <v>0.80451009251471861</v>
      </c>
      <c r="O191" s="86">
        <f t="shared" si="126"/>
        <v>1.4969512195121952</v>
      </c>
      <c r="P191" s="87">
        <f t="shared" si="127"/>
        <v>122.75000000000001</v>
      </c>
      <c r="Q191" s="104">
        <f t="shared" si="128"/>
        <v>8.6272912423625243</v>
      </c>
      <c r="R191" s="88">
        <f t="shared" si="129"/>
        <v>39.799331103678931</v>
      </c>
      <c r="S191" s="88">
        <f t="shared" si="130"/>
        <v>31.677419354838708</v>
      </c>
      <c r="T191" s="13">
        <f t="shared" si="131"/>
        <v>3</v>
      </c>
      <c r="U191" s="13">
        <f t="shared" si="132"/>
        <v>1</v>
      </c>
      <c r="V191" s="13">
        <f t="shared" si="133"/>
        <v>1</v>
      </c>
      <c r="W191" s="13">
        <f t="shared" ca="1" si="134"/>
        <v>3</v>
      </c>
      <c r="X191" s="13">
        <f t="shared" ca="1" si="135"/>
        <v>8</v>
      </c>
      <c r="Y191" s="81" t="str">
        <f t="shared" ca="1" si="136"/>
        <v>MONITOR</v>
      </c>
      <c r="Z191" s="13">
        <v>14</v>
      </c>
      <c r="AA191" s="75">
        <v>46059</v>
      </c>
      <c r="AB191" s="75">
        <f t="shared" si="137"/>
        <v>45920</v>
      </c>
      <c r="AC191" s="88">
        <f t="shared" si="138"/>
        <v>19.857142857142858</v>
      </c>
      <c r="AD191" s="89" t="str">
        <f t="shared" ca="1" si="139"/>
        <v>STABLE</v>
      </c>
      <c r="AE191" s="89" t="str">
        <f t="shared" si="140"/>
        <v>FAST SELLING</v>
      </c>
      <c r="AF191" s="89" t="str">
        <f t="shared" si="141"/>
        <v>AT RISK</v>
      </c>
      <c r="AG191" s="89" t="str">
        <f t="shared" si="142"/>
        <v>FEASIBLE</v>
      </c>
      <c r="AH191" s="81" t="str">
        <f t="shared" ca="1" si="143"/>
        <v>MONITOR</v>
      </c>
      <c r="AI191" s="75">
        <f t="shared" ca="1" si="144"/>
        <v>0</v>
      </c>
      <c r="AJ191" s="75">
        <f t="shared" ca="1" si="145"/>
        <v>-1059</v>
      </c>
      <c r="AK191" s="13">
        <f t="shared" ca="1" si="146"/>
        <v>-1271</v>
      </c>
      <c r="AL191" s="79">
        <v>0.1</v>
      </c>
      <c r="AM191" s="79">
        <v>0.3</v>
      </c>
      <c r="AN191" s="79">
        <v>0.3</v>
      </c>
      <c r="AO191" s="79">
        <v>0.1</v>
      </c>
      <c r="AP191" s="79">
        <v>0.1</v>
      </c>
      <c r="AQ191" s="75">
        <f t="shared" si="147"/>
        <v>105.9</v>
      </c>
      <c r="AR191" s="75">
        <f t="shared" si="175"/>
        <v>317.7</v>
      </c>
      <c r="AS191" s="75">
        <f t="shared" si="149"/>
        <v>317.7</v>
      </c>
      <c r="AT191" s="75">
        <f t="shared" si="150"/>
        <v>105.9</v>
      </c>
      <c r="AU191" s="75">
        <f t="shared" si="151"/>
        <v>105.9</v>
      </c>
      <c r="AV191" s="13">
        <v>0.8</v>
      </c>
      <c r="AW191" s="13">
        <v>1.2</v>
      </c>
      <c r="AX191" s="13">
        <v>1.3</v>
      </c>
      <c r="AY191" s="13">
        <v>1</v>
      </c>
      <c r="AZ191" s="13">
        <v>0.7</v>
      </c>
      <c r="BA191" s="105">
        <f t="shared" si="152"/>
        <v>9.8200000000000021</v>
      </c>
      <c r="BB191" s="13">
        <f t="shared" si="153"/>
        <v>44.190000000000005</v>
      </c>
      <c r="BC191" s="13">
        <f t="shared" si="154"/>
        <v>47.872500000000002</v>
      </c>
      <c r="BD191" s="13">
        <f t="shared" si="155"/>
        <v>12.275000000000002</v>
      </c>
      <c r="BE191" s="13">
        <f t="shared" si="156"/>
        <v>8.5925000000000011</v>
      </c>
      <c r="BF191" s="88">
        <f t="shared" si="157"/>
        <v>10.784114052953155</v>
      </c>
      <c r="BG191" s="88">
        <f t="shared" si="158"/>
        <v>7.1894093686354372</v>
      </c>
      <c r="BH191" s="88">
        <f t="shared" si="159"/>
        <v>6.6363778787404035</v>
      </c>
      <c r="BI191" s="88">
        <f t="shared" si="160"/>
        <v>8.6272912423625243</v>
      </c>
      <c r="BJ191" s="88">
        <f t="shared" si="161"/>
        <v>12.324701774803607</v>
      </c>
      <c r="BK191" s="105">
        <f t="shared" si="162"/>
        <v>9.2728989612842316E-2</v>
      </c>
      <c r="BL191" s="105">
        <f t="shared" si="163"/>
        <v>0.13909348441926347</v>
      </c>
      <c r="BM191" s="105">
        <f t="shared" si="164"/>
        <v>0.15068460812086876</v>
      </c>
      <c r="BN191" s="105">
        <f t="shared" si="165"/>
        <v>0.1159112370160529</v>
      </c>
      <c r="BO191" s="105">
        <f t="shared" si="166"/>
        <v>8.113786591123702E-2</v>
      </c>
      <c r="BP191" s="105">
        <f t="shared" si="167"/>
        <v>0.57955618508026452</v>
      </c>
      <c r="BQ191" s="79">
        <f t="shared" si="168"/>
        <v>0.15999999999999998</v>
      </c>
      <c r="BR191" s="79">
        <f t="shared" si="169"/>
        <v>0.24</v>
      </c>
      <c r="BS191" s="79">
        <f t="shared" si="170"/>
        <v>0.25999999999999995</v>
      </c>
      <c r="BT191" s="79">
        <f t="shared" si="171"/>
        <v>0.19999999999999998</v>
      </c>
      <c r="BU191" s="79">
        <f t="shared" si="172"/>
        <v>0.13999999999999999</v>
      </c>
      <c r="BV191" s="90" t="str">
        <f t="array" aca="1" ref="BV191" ca="1">_xlfn.TEXTJOIN(" ",TRUE,
_xlfn.TEXTJOIN(":",TRUE,ROUND(BK191:BO191/MIN(IF(BK191:BO191&gt;0,BK191:BO191)),0)),
"|",
ROUND(SUM(BW191:CA191),0))</f>
        <v>1:2:2:1:1 | -1271</v>
      </c>
      <c r="BW191" s="106">
        <f t="shared" ca="1" si="173"/>
        <v>-203.35999999999996</v>
      </c>
      <c r="BX191" s="106">
        <f t="shared" ca="1" si="119"/>
        <v>-305.03999999999996</v>
      </c>
      <c r="BY191" s="106">
        <f t="shared" ca="1" si="120"/>
        <v>-330.45999999999992</v>
      </c>
      <c r="BZ191" s="106">
        <f t="shared" ca="1" si="121"/>
        <v>-254.2</v>
      </c>
      <c r="CA191" s="106">
        <f t="shared" ca="1" si="174"/>
        <v>-177.93999999999997</v>
      </c>
    </row>
    <row r="192" spans="1:79" x14ac:dyDescent="0.35">
      <c r="A192" s="25" t="s">
        <v>206</v>
      </c>
      <c r="B192" s="10" t="s">
        <v>330</v>
      </c>
      <c r="C192" s="10" t="s">
        <v>342</v>
      </c>
      <c r="D192" s="10" t="s">
        <v>346</v>
      </c>
      <c r="E192" s="11">
        <v>45885</v>
      </c>
      <c r="F192" s="17">
        <v>45892</v>
      </c>
      <c r="G192" s="14">
        <f t="shared" ca="1" si="122"/>
        <v>207</v>
      </c>
      <c r="H192" s="17">
        <v>299</v>
      </c>
      <c r="I192" s="17">
        <v>180</v>
      </c>
      <c r="J192" s="75">
        <f t="shared" si="123"/>
        <v>910</v>
      </c>
      <c r="K192" s="17">
        <v>1550</v>
      </c>
      <c r="L192" s="85">
        <v>640</v>
      </c>
      <c r="M192" s="86">
        <f t="shared" ca="1" si="124"/>
        <v>3.0917874396135265</v>
      </c>
      <c r="N192" s="86">
        <f t="shared" si="125"/>
        <v>0.80451009251471861</v>
      </c>
      <c r="O192" s="86">
        <f t="shared" si="126"/>
        <v>1.9512195121951219</v>
      </c>
      <c r="P192" s="87">
        <f t="shared" si="127"/>
        <v>160</v>
      </c>
      <c r="Q192" s="104">
        <f t="shared" si="128"/>
        <v>5.6875</v>
      </c>
      <c r="R192" s="88">
        <f t="shared" si="129"/>
        <v>39.799331103678931</v>
      </c>
      <c r="S192" s="88">
        <f t="shared" si="130"/>
        <v>41.29032258064516</v>
      </c>
      <c r="T192" s="13">
        <f t="shared" si="131"/>
        <v>3</v>
      </c>
      <c r="U192" s="13">
        <f t="shared" si="132"/>
        <v>2</v>
      </c>
      <c r="V192" s="13">
        <f t="shared" si="133"/>
        <v>1</v>
      </c>
      <c r="W192" s="13">
        <f t="shared" ca="1" si="134"/>
        <v>3</v>
      </c>
      <c r="X192" s="13">
        <f t="shared" ca="1" si="135"/>
        <v>9</v>
      </c>
      <c r="Y192" s="81" t="str">
        <f t="shared" ca="1" si="136"/>
        <v>RE-BUY</v>
      </c>
      <c r="Z192" s="13">
        <v>14</v>
      </c>
      <c r="AA192" s="75">
        <v>46059</v>
      </c>
      <c r="AB192" s="75">
        <f t="shared" si="137"/>
        <v>45920</v>
      </c>
      <c r="AC192" s="88">
        <f t="shared" si="138"/>
        <v>19.857142857142858</v>
      </c>
      <c r="AD192" s="89" t="str">
        <f t="shared" ca="1" si="139"/>
        <v>STABLE</v>
      </c>
      <c r="AE192" s="89" t="str">
        <f t="shared" si="140"/>
        <v>FAST SELLING</v>
      </c>
      <c r="AF192" s="89" t="str">
        <f t="shared" si="141"/>
        <v>AT RISK</v>
      </c>
      <c r="AG192" s="89" t="str">
        <f t="shared" si="142"/>
        <v>FEASIBLE</v>
      </c>
      <c r="AH192" s="81" t="str">
        <f t="shared" ca="1" si="143"/>
        <v>IMMEDIATE REBUY</v>
      </c>
      <c r="AI192" s="75">
        <f t="shared" ca="1" si="144"/>
        <v>1906.2857142857142</v>
      </c>
      <c r="AJ192" s="75">
        <f t="shared" ca="1" si="145"/>
        <v>996.28571428571422</v>
      </c>
      <c r="AK192" s="13">
        <f t="shared" ca="1" si="146"/>
        <v>1196</v>
      </c>
      <c r="AL192" s="79">
        <v>0.1</v>
      </c>
      <c r="AM192" s="79">
        <v>0.3</v>
      </c>
      <c r="AN192" s="79">
        <v>0.3</v>
      </c>
      <c r="AO192" s="79">
        <v>0.1</v>
      </c>
      <c r="AP192" s="79">
        <v>0.1</v>
      </c>
      <c r="AQ192" s="75">
        <f t="shared" si="147"/>
        <v>91</v>
      </c>
      <c r="AR192" s="75">
        <f t="shared" si="175"/>
        <v>273</v>
      </c>
      <c r="AS192" s="75">
        <f t="shared" si="149"/>
        <v>273</v>
      </c>
      <c r="AT192" s="75">
        <f t="shared" si="150"/>
        <v>91</v>
      </c>
      <c r="AU192" s="75">
        <f t="shared" si="151"/>
        <v>91</v>
      </c>
      <c r="AV192" s="13">
        <v>0.8</v>
      </c>
      <c r="AW192" s="13">
        <v>1.2</v>
      </c>
      <c r="AX192" s="13">
        <v>1.3</v>
      </c>
      <c r="AY192" s="13">
        <v>1</v>
      </c>
      <c r="AZ192" s="13">
        <v>0.7</v>
      </c>
      <c r="BA192" s="105">
        <f t="shared" si="152"/>
        <v>12.8</v>
      </c>
      <c r="BB192" s="13">
        <f t="shared" si="153"/>
        <v>57.599999999999994</v>
      </c>
      <c r="BC192" s="13">
        <f t="shared" si="154"/>
        <v>62.400000000000006</v>
      </c>
      <c r="BD192" s="13">
        <f t="shared" si="155"/>
        <v>16</v>
      </c>
      <c r="BE192" s="13">
        <f t="shared" si="156"/>
        <v>11.2</v>
      </c>
      <c r="BF192" s="88">
        <f t="shared" si="157"/>
        <v>7.109375</v>
      </c>
      <c r="BG192" s="88">
        <f t="shared" si="158"/>
        <v>4.7395833333333339</v>
      </c>
      <c r="BH192" s="88">
        <f t="shared" si="159"/>
        <v>4.375</v>
      </c>
      <c r="BI192" s="88">
        <f t="shared" si="160"/>
        <v>5.6875</v>
      </c>
      <c r="BJ192" s="88">
        <f t="shared" si="161"/>
        <v>8.125</v>
      </c>
      <c r="BK192" s="105">
        <f t="shared" si="162"/>
        <v>0.14065934065934066</v>
      </c>
      <c r="BL192" s="105">
        <f t="shared" si="163"/>
        <v>0.21098901098901096</v>
      </c>
      <c r="BM192" s="105">
        <f t="shared" si="164"/>
        <v>0.22857142857142856</v>
      </c>
      <c r="BN192" s="105">
        <f t="shared" si="165"/>
        <v>0.17582417582417584</v>
      </c>
      <c r="BO192" s="105">
        <f t="shared" si="166"/>
        <v>0.12307692307692308</v>
      </c>
      <c r="BP192" s="105">
        <f t="shared" si="167"/>
        <v>0.87912087912087911</v>
      </c>
      <c r="BQ192" s="79">
        <f t="shared" si="168"/>
        <v>0.16</v>
      </c>
      <c r="BR192" s="79">
        <f t="shared" si="169"/>
        <v>0.23999999999999996</v>
      </c>
      <c r="BS192" s="79">
        <f t="shared" si="170"/>
        <v>0.26</v>
      </c>
      <c r="BT192" s="79">
        <f t="shared" si="171"/>
        <v>0.2</v>
      </c>
      <c r="BU192" s="79">
        <f t="shared" si="172"/>
        <v>0.14000000000000001</v>
      </c>
      <c r="BV192" s="90" t="str">
        <f t="array" aca="1" ref="BV192" ca="1">_xlfn.TEXTJOIN(" ",TRUE,
_xlfn.TEXTJOIN(":",TRUE,ROUND(BK192:BO192/MIN(IF(BK192:BO192&gt;0,BK192:BO192)),0)),
"|",
ROUND(SUM(BW192:CA192),0))</f>
        <v>1:2:2:1:1 | 1196</v>
      </c>
      <c r="BW192" s="106">
        <f t="shared" ca="1" si="173"/>
        <v>191.36</v>
      </c>
      <c r="BX192" s="106">
        <f t="shared" ca="1" si="119"/>
        <v>287.03999999999996</v>
      </c>
      <c r="BY192" s="106">
        <f t="shared" ca="1" si="120"/>
        <v>310.96000000000004</v>
      </c>
      <c r="BZ192" s="106">
        <f t="shared" ca="1" si="121"/>
        <v>239.20000000000002</v>
      </c>
      <c r="CA192" s="106">
        <f t="shared" ca="1" si="174"/>
        <v>167.44000000000003</v>
      </c>
    </row>
    <row r="193" spans="1:79" x14ac:dyDescent="0.35">
      <c r="A193" s="25" t="s">
        <v>207</v>
      </c>
      <c r="B193" s="10" t="s">
        <v>330</v>
      </c>
      <c r="C193" s="10" t="s">
        <v>342</v>
      </c>
      <c r="D193" s="10" t="s">
        <v>346</v>
      </c>
      <c r="E193" s="11">
        <v>45885</v>
      </c>
      <c r="F193" s="17">
        <v>45892</v>
      </c>
      <c r="G193" s="14">
        <f t="shared" ca="1" si="122"/>
        <v>207</v>
      </c>
      <c r="H193" s="17">
        <v>299</v>
      </c>
      <c r="I193" s="17">
        <v>180</v>
      </c>
      <c r="J193" s="75">
        <f t="shared" si="123"/>
        <v>1120</v>
      </c>
      <c r="K193" s="17">
        <v>1550</v>
      </c>
      <c r="L193" s="85">
        <v>430</v>
      </c>
      <c r="M193" s="86">
        <f t="shared" ca="1" si="124"/>
        <v>2.0772946859903381</v>
      </c>
      <c r="N193" s="86">
        <f t="shared" si="125"/>
        <v>0.80451009251471861</v>
      </c>
      <c r="O193" s="86">
        <f t="shared" si="126"/>
        <v>1.3109756097560976</v>
      </c>
      <c r="P193" s="87">
        <f t="shared" si="127"/>
        <v>107.5</v>
      </c>
      <c r="Q193" s="104">
        <f t="shared" si="128"/>
        <v>10.418604651162791</v>
      </c>
      <c r="R193" s="88">
        <f t="shared" si="129"/>
        <v>39.799331103678931</v>
      </c>
      <c r="S193" s="88">
        <f t="shared" si="130"/>
        <v>27.741935483870968</v>
      </c>
      <c r="T193" s="13">
        <f t="shared" si="131"/>
        <v>3</v>
      </c>
      <c r="U193" s="13">
        <f t="shared" si="132"/>
        <v>1</v>
      </c>
      <c r="V193" s="13">
        <f t="shared" si="133"/>
        <v>1</v>
      </c>
      <c r="W193" s="13">
        <f t="shared" ca="1" si="134"/>
        <v>3</v>
      </c>
      <c r="X193" s="13">
        <f t="shared" ca="1" si="135"/>
        <v>8</v>
      </c>
      <c r="Y193" s="81" t="str">
        <f t="shared" ca="1" si="136"/>
        <v>MONITOR</v>
      </c>
      <c r="Z193" s="13">
        <v>14</v>
      </c>
      <c r="AA193" s="75">
        <v>46059</v>
      </c>
      <c r="AB193" s="75">
        <f t="shared" si="137"/>
        <v>45920</v>
      </c>
      <c r="AC193" s="88">
        <f t="shared" si="138"/>
        <v>19.857142857142858</v>
      </c>
      <c r="AD193" s="89" t="str">
        <f t="shared" ca="1" si="139"/>
        <v>STABLE</v>
      </c>
      <c r="AE193" s="89" t="str">
        <f t="shared" si="140"/>
        <v>FAST SELLING</v>
      </c>
      <c r="AF193" s="89" t="str">
        <f t="shared" si="141"/>
        <v>AT RISK</v>
      </c>
      <c r="AG193" s="89" t="str">
        <f t="shared" si="142"/>
        <v>FEASIBLE</v>
      </c>
      <c r="AH193" s="81" t="str">
        <f t="shared" ca="1" si="143"/>
        <v>MONITOR</v>
      </c>
      <c r="AI193" s="75">
        <f t="shared" ca="1" si="144"/>
        <v>0</v>
      </c>
      <c r="AJ193" s="75">
        <f t="shared" ca="1" si="145"/>
        <v>-1120</v>
      </c>
      <c r="AK193" s="13">
        <f t="shared" ca="1" si="146"/>
        <v>-1344</v>
      </c>
      <c r="AL193" s="79">
        <v>0.1</v>
      </c>
      <c r="AM193" s="79">
        <v>0.3</v>
      </c>
      <c r="AN193" s="79">
        <v>0.3</v>
      </c>
      <c r="AO193" s="79">
        <v>0.1</v>
      </c>
      <c r="AP193" s="79">
        <v>0.1</v>
      </c>
      <c r="AQ193" s="75">
        <f t="shared" si="147"/>
        <v>112</v>
      </c>
      <c r="AR193" s="75">
        <f t="shared" si="175"/>
        <v>336</v>
      </c>
      <c r="AS193" s="75">
        <f t="shared" si="149"/>
        <v>336</v>
      </c>
      <c r="AT193" s="75">
        <f t="shared" si="150"/>
        <v>112</v>
      </c>
      <c r="AU193" s="75">
        <f t="shared" si="151"/>
        <v>112</v>
      </c>
      <c r="AV193" s="13">
        <v>0.8</v>
      </c>
      <c r="AW193" s="13">
        <v>1.2</v>
      </c>
      <c r="AX193" s="13">
        <v>1.3</v>
      </c>
      <c r="AY193" s="13">
        <v>1</v>
      </c>
      <c r="AZ193" s="13">
        <v>0.7</v>
      </c>
      <c r="BA193" s="105">
        <f t="shared" si="152"/>
        <v>8.6</v>
      </c>
      <c r="BB193" s="13">
        <f t="shared" si="153"/>
        <v>38.699999999999996</v>
      </c>
      <c r="BC193" s="13">
        <f t="shared" si="154"/>
        <v>41.925000000000004</v>
      </c>
      <c r="BD193" s="13">
        <f t="shared" si="155"/>
        <v>10.75</v>
      </c>
      <c r="BE193" s="13">
        <f t="shared" si="156"/>
        <v>7.5249999999999995</v>
      </c>
      <c r="BF193" s="88">
        <f t="shared" si="157"/>
        <v>13.023255813953488</v>
      </c>
      <c r="BG193" s="88">
        <f t="shared" si="158"/>
        <v>8.6821705426356601</v>
      </c>
      <c r="BH193" s="88">
        <f t="shared" si="159"/>
        <v>8.0143112701252228</v>
      </c>
      <c r="BI193" s="88">
        <f t="shared" si="160"/>
        <v>10.418604651162791</v>
      </c>
      <c r="BJ193" s="88">
        <f t="shared" si="161"/>
        <v>14.88372093023256</v>
      </c>
      <c r="BK193" s="105">
        <f t="shared" si="162"/>
        <v>7.678571428571429E-2</v>
      </c>
      <c r="BL193" s="105">
        <f t="shared" si="163"/>
        <v>0.11517857142857141</v>
      </c>
      <c r="BM193" s="105">
        <f t="shared" si="164"/>
        <v>0.12477678571428573</v>
      </c>
      <c r="BN193" s="105">
        <f t="shared" si="165"/>
        <v>9.5982142857142849E-2</v>
      </c>
      <c r="BO193" s="105">
        <f t="shared" si="166"/>
        <v>6.7187499999999997E-2</v>
      </c>
      <c r="BP193" s="105">
        <f t="shared" si="167"/>
        <v>0.4799107142857143</v>
      </c>
      <c r="BQ193" s="79">
        <f t="shared" si="168"/>
        <v>0.16</v>
      </c>
      <c r="BR193" s="79">
        <f t="shared" si="169"/>
        <v>0.23999999999999994</v>
      </c>
      <c r="BS193" s="79">
        <f t="shared" si="170"/>
        <v>0.26</v>
      </c>
      <c r="BT193" s="79">
        <f t="shared" si="171"/>
        <v>0.19999999999999998</v>
      </c>
      <c r="BU193" s="79">
        <f t="shared" si="172"/>
        <v>0.13999999999999999</v>
      </c>
      <c r="BV193" s="90" t="str">
        <f t="array" aca="1" ref="BV193" ca="1">_xlfn.TEXTJOIN(" ",TRUE,
_xlfn.TEXTJOIN(":",TRUE,ROUND(BK193:BO193/MIN(IF(BK193:BO193&gt;0,BK193:BO193)),0)),
"|",
ROUND(SUM(BW193:CA193),0))</f>
        <v>1:2:2:1:1 | -1344</v>
      </c>
      <c r="BW193" s="106">
        <f t="shared" ca="1" si="173"/>
        <v>-215.04</v>
      </c>
      <c r="BX193" s="106">
        <f t="shared" ca="1" si="119"/>
        <v>-322.55999999999989</v>
      </c>
      <c r="BY193" s="106">
        <f t="shared" ca="1" si="120"/>
        <v>-349.44</v>
      </c>
      <c r="BZ193" s="106">
        <f t="shared" ca="1" si="121"/>
        <v>-268.79999999999995</v>
      </c>
      <c r="CA193" s="106">
        <f t="shared" ca="1" si="174"/>
        <v>-188.15999999999997</v>
      </c>
    </row>
    <row r="194" spans="1:79" x14ac:dyDescent="0.35">
      <c r="A194" s="25" t="s">
        <v>208</v>
      </c>
      <c r="B194" s="10" t="s">
        <v>330</v>
      </c>
      <c r="C194" s="10" t="s">
        <v>342</v>
      </c>
      <c r="D194" s="10" t="s">
        <v>346</v>
      </c>
      <c r="E194" s="11">
        <v>45885</v>
      </c>
      <c r="F194" s="17">
        <v>45892</v>
      </c>
      <c r="G194" s="14">
        <f t="shared" ca="1" si="122"/>
        <v>207</v>
      </c>
      <c r="H194" s="17">
        <v>299</v>
      </c>
      <c r="I194" s="17">
        <v>180</v>
      </c>
      <c r="J194" s="75">
        <f t="shared" si="123"/>
        <v>1218</v>
      </c>
      <c r="K194" s="17">
        <v>1550</v>
      </c>
      <c r="L194" s="85">
        <v>332</v>
      </c>
      <c r="M194" s="86">
        <f t="shared" ca="1" si="124"/>
        <v>1.6038647342995169</v>
      </c>
      <c r="N194" s="86">
        <f t="shared" si="125"/>
        <v>0.80451009251471861</v>
      </c>
      <c r="O194" s="86">
        <f t="shared" si="126"/>
        <v>1.0121951219512195</v>
      </c>
      <c r="P194" s="87">
        <f t="shared" si="127"/>
        <v>83</v>
      </c>
      <c r="Q194" s="104">
        <f t="shared" si="128"/>
        <v>14.674698795180722</v>
      </c>
      <c r="R194" s="88">
        <f t="shared" si="129"/>
        <v>39.799331103678931</v>
      </c>
      <c r="S194" s="88">
        <f t="shared" si="130"/>
        <v>21.41935483870968</v>
      </c>
      <c r="T194" s="13">
        <f t="shared" si="131"/>
        <v>3</v>
      </c>
      <c r="U194" s="13">
        <f t="shared" si="132"/>
        <v>1</v>
      </c>
      <c r="V194" s="13">
        <f t="shared" si="133"/>
        <v>1</v>
      </c>
      <c r="W194" s="13">
        <f t="shared" ca="1" si="134"/>
        <v>3</v>
      </c>
      <c r="X194" s="13">
        <f t="shared" ca="1" si="135"/>
        <v>8</v>
      </c>
      <c r="Y194" s="81" t="str">
        <f t="shared" ca="1" si="136"/>
        <v>MONITOR</v>
      </c>
      <c r="Z194" s="13">
        <v>14</v>
      </c>
      <c r="AA194" s="75">
        <v>46059</v>
      </c>
      <c r="AB194" s="75">
        <f t="shared" si="137"/>
        <v>45920</v>
      </c>
      <c r="AC194" s="88">
        <f t="shared" si="138"/>
        <v>19.857142857142858</v>
      </c>
      <c r="AD194" s="89" t="str">
        <f t="shared" ca="1" si="139"/>
        <v>STABLE</v>
      </c>
      <c r="AE194" s="89" t="str">
        <f t="shared" si="140"/>
        <v>FAST SELLING</v>
      </c>
      <c r="AF194" s="89" t="str">
        <f t="shared" si="141"/>
        <v>AT RISK</v>
      </c>
      <c r="AG194" s="89" t="str">
        <f t="shared" si="142"/>
        <v>FEASIBLE</v>
      </c>
      <c r="AH194" s="81" t="str">
        <f t="shared" ca="1" si="143"/>
        <v>MONITOR</v>
      </c>
      <c r="AI194" s="75">
        <f t="shared" ca="1" si="144"/>
        <v>0</v>
      </c>
      <c r="AJ194" s="75">
        <f t="shared" ca="1" si="145"/>
        <v>-1218</v>
      </c>
      <c r="AK194" s="13">
        <f t="shared" ca="1" si="146"/>
        <v>-1462</v>
      </c>
      <c r="AL194" s="79">
        <v>0.1</v>
      </c>
      <c r="AM194" s="79">
        <v>0.3</v>
      </c>
      <c r="AN194" s="79">
        <v>0.3</v>
      </c>
      <c r="AO194" s="79">
        <v>0.1</v>
      </c>
      <c r="AP194" s="79">
        <v>0.1</v>
      </c>
      <c r="AQ194" s="75">
        <f t="shared" si="147"/>
        <v>121.80000000000001</v>
      </c>
      <c r="AR194" s="75">
        <f t="shared" si="175"/>
        <v>365.4</v>
      </c>
      <c r="AS194" s="75">
        <f t="shared" si="149"/>
        <v>365.4</v>
      </c>
      <c r="AT194" s="75">
        <f t="shared" si="150"/>
        <v>121.80000000000001</v>
      </c>
      <c r="AU194" s="75">
        <f t="shared" si="151"/>
        <v>121.80000000000001</v>
      </c>
      <c r="AV194" s="13">
        <v>0.8</v>
      </c>
      <c r="AW194" s="13">
        <v>1.2</v>
      </c>
      <c r="AX194" s="13">
        <v>1.3</v>
      </c>
      <c r="AY194" s="13">
        <v>1</v>
      </c>
      <c r="AZ194" s="13">
        <v>0.7</v>
      </c>
      <c r="BA194" s="105">
        <f t="shared" si="152"/>
        <v>6.6400000000000006</v>
      </c>
      <c r="BB194" s="13">
        <f t="shared" si="153"/>
        <v>29.879999999999995</v>
      </c>
      <c r="BC194" s="13">
        <f t="shared" si="154"/>
        <v>32.369999999999997</v>
      </c>
      <c r="BD194" s="13">
        <f t="shared" si="155"/>
        <v>8.3000000000000007</v>
      </c>
      <c r="BE194" s="13">
        <f t="shared" si="156"/>
        <v>5.8100000000000005</v>
      </c>
      <c r="BF194" s="88">
        <f t="shared" si="157"/>
        <v>18.343373493975903</v>
      </c>
      <c r="BG194" s="88">
        <f t="shared" si="158"/>
        <v>12.228915662650603</v>
      </c>
      <c r="BH194" s="88">
        <f t="shared" si="159"/>
        <v>11.288229842446711</v>
      </c>
      <c r="BI194" s="88">
        <f t="shared" si="160"/>
        <v>14.674698795180722</v>
      </c>
      <c r="BJ194" s="88">
        <f t="shared" si="161"/>
        <v>20.963855421686748</v>
      </c>
      <c r="BK194" s="105">
        <f t="shared" si="162"/>
        <v>5.4515599343185547E-2</v>
      </c>
      <c r="BL194" s="105">
        <f t="shared" si="163"/>
        <v>8.1773399014778314E-2</v>
      </c>
      <c r="BM194" s="105">
        <f t="shared" si="164"/>
        <v>8.8587848932676516E-2</v>
      </c>
      <c r="BN194" s="105">
        <f t="shared" si="165"/>
        <v>6.8144499178981938E-2</v>
      </c>
      <c r="BO194" s="105">
        <f t="shared" si="166"/>
        <v>4.7701149425287352E-2</v>
      </c>
      <c r="BP194" s="105">
        <f t="shared" si="167"/>
        <v>0.34072249589490966</v>
      </c>
      <c r="BQ194" s="79">
        <f t="shared" si="168"/>
        <v>0.16</v>
      </c>
      <c r="BR194" s="79">
        <f t="shared" si="169"/>
        <v>0.24</v>
      </c>
      <c r="BS194" s="79">
        <f t="shared" si="170"/>
        <v>0.26</v>
      </c>
      <c r="BT194" s="79">
        <f t="shared" si="171"/>
        <v>0.2</v>
      </c>
      <c r="BU194" s="79">
        <f t="shared" si="172"/>
        <v>0.13999999999999999</v>
      </c>
      <c r="BV194" s="90" t="str">
        <f t="array" aca="1" ref="BV194" ca="1">_xlfn.TEXTJOIN(" ",TRUE,
_xlfn.TEXTJOIN(":",TRUE,ROUND(BK194:BO194/MIN(IF(BK194:BO194&gt;0,BK194:BO194)),0)),
"|",
ROUND(SUM(BW194:CA194),0))</f>
        <v>1:2:2:1:1 | -1462</v>
      </c>
      <c r="BW194" s="106">
        <f t="shared" ca="1" si="173"/>
        <v>-233.92000000000002</v>
      </c>
      <c r="BX194" s="106">
        <f t="shared" ref="BX194:BX257" ca="1" si="176">AK194*BR194</f>
        <v>-350.88</v>
      </c>
      <c r="BY194" s="106">
        <f t="shared" ref="BY194:BY257" ca="1" si="177">AK194*BS194</f>
        <v>-380.12</v>
      </c>
      <c r="BZ194" s="106">
        <f t="shared" ref="BZ194:BZ257" ca="1" si="178">AK194*BT194</f>
        <v>-292.40000000000003</v>
      </c>
      <c r="CA194" s="106">
        <f t="shared" ca="1" si="174"/>
        <v>-204.67999999999998</v>
      </c>
    </row>
    <row r="195" spans="1:79" x14ac:dyDescent="0.35">
      <c r="A195" s="25" t="s">
        <v>209</v>
      </c>
      <c r="B195" s="10" t="s">
        <v>330</v>
      </c>
      <c r="C195" s="10" t="s">
        <v>342</v>
      </c>
      <c r="D195" s="10" t="s">
        <v>346</v>
      </c>
      <c r="E195" s="11">
        <v>45885</v>
      </c>
      <c r="F195" s="17">
        <v>45892</v>
      </c>
      <c r="G195" s="14">
        <f t="shared" ref="G195:G258" ca="1" si="179">TODAY()-F195</f>
        <v>207</v>
      </c>
      <c r="H195" s="17">
        <v>299</v>
      </c>
      <c r="I195" s="17">
        <v>180</v>
      </c>
      <c r="J195" s="75">
        <f t="shared" ref="J195:J258" si="180">K195-L195</f>
        <v>1079</v>
      </c>
      <c r="K195" s="17">
        <v>1550</v>
      </c>
      <c r="L195" s="85">
        <v>471</v>
      </c>
      <c r="M195" s="86">
        <f t="shared" ref="M195:M258" ca="1" si="181">L195/G195</f>
        <v>2.2753623188405796</v>
      </c>
      <c r="N195" s="86">
        <f t="shared" ref="N195:N258" si="182">AVERAGEIFS(O:O,C:C,C195)</f>
        <v>0.80451009251471861</v>
      </c>
      <c r="O195" s="86">
        <f t="shared" ref="O195:O258" si="183">L195/328</f>
        <v>1.4359756097560976</v>
      </c>
      <c r="P195" s="87">
        <f t="shared" ref="P195:P258" si="184">O195*82</f>
        <v>117.75</v>
      </c>
      <c r="Q195" s="104">
        <f t="shared" ref="Q195:Q258" si="185">J195/P195</f>
        <v>9.1634819532908711</v>
      </c>
      <c r="R195" s="88">
        <f t="shared" ref="R195:R258" si="186">(H195-I195)/H195*100</f>
        <v>39.799331103678931</v>
      </c>
      <c r="S195" s="88">
        <f t="shared" ref="S195:S258" si="187">L195/K195*100</f>
        <v>30.387096774193552</v>
      </c>
      <c r="T195" s="13">
        <f t="shared" ref="T195:T258" si="188">IF(O195&gt;=N195,3,IF(O195&gt;=0.8*N195,2,1))</f>
        <v>3</v>
      </c>
      <c r="U195" s="13">
        <f t="shared" ref="U195:U258" si="189">IF(Q195&lt;=4,3,IF(Q195&lt;=6,2,1))</f>
        <v>1</v>
      </c>
      <c r="V195" s="13">
        <f t="shared" ref="V195:V258" si="190">IF(R195&gt;=60,3,IF(R195&gt;=45,2,1))</f>
        <v>1</v>
      </c>
      <c r="W195" s="13">
        <f t="shared" ref="W195:W258" ca="1" si="191">IF(M195&lt;=10,3,IF(M195&lt;=25,2,1))</f>
        <v>3</v>
      </c>
      <c r="X195" s="13">
        <f t="shared" ref="X195:X258" ca="1" si="192">T195+U195+V195+W195</f>
        <v>8</v>
      </c>
      <c r="Y195" s="81" t="str">
        <f t="shared" ref="Y195:Y258" ca="1" si="193">IFERROR(IF(X195&gt;=9,"RE-BUY",IF(X195&gt;=6,"MONITOR","EXIT")),"EXIT")</f>
        <v>MONITOR</v>
      </c>
      <c r="Z195" s="13">
        <v>14</v>
      </c>
      <c r="AA195" s="75">
        <v>46059</v>
      </c>
      <c r="AB195" s="75">
        <f t="shared" ref="AB195:AB258" si="194">F195+28</f>
        <v>45920</v>
      </c>
      <c r="AC195" s="88">
        <f t="shared" ref="AC195:AC258" si="195">(AA195-AB195)/7</f>
        <v>19.857142857142858</v>
      </c>
      <c r="AD195" s="89" t="str">
        <f t="shared" ref="AD195:AD258" ca="1" si="196">IF(G195&gt;=21,"STABLE","TOO EARLY")</f>
        <v>STABLE</v>
      </c>
      <c r="AE195" s="89" t="str">
        <f t="shared" ref="AE195:AE258" si="197">IF(O195&gt;=N195,"FAST SELLING","SLOW SELLING")</f>
        <v>FAST SELLING</v>
      </c>
      <c r="AF195" s="89" t="str">
        <f t="shared" ref="AF195:AF258" si="198">IF(U195&lt;=Z195,"AT RISK","SAFE")</f>
        <v>AT RISK</v>
      </c>
      <c r="AG195" s="89" t="str">
        <f t="shared" ref="AG195:AG258" si="199">IF(Z195&lt;=AC195,"FEASIBLE","NOT FEASIBLE")</f>
        <v>FEASIBLE</v>
      </c>
      <c r="AH195" s="81" t="str">
        <f t="shared" ref="AH195:AH258" ca="1" si="200">IF(AND(Y195="RE-BUY",AD195="STABLE",AE195="FAST SELLING",AG195="FEASIBLE"),"IMMEDIATE REBUY","MONITOR")</f>
        <v>MONITOR</v>
      </c>
      <c r="AI195" s="75">
        <f t="shared" ref="AI195:AI258" ca="1" si="201">IF(Y195="RE-BUY",O195*82*AC195*0.6,0)</f>
        <v>0</v>
      </c>
      <c r="AJ195" s="75">
        <f t="shared" ref="AJ195:AJ258" ca="1" si="202">MAX(AI195-J195)</f>
        <v>-1079</v>
      </c>
      <c r="AK195" s="13">
        <f t="shared" ref="AK195:AK258" ca="1" si="203">ROUND(AJ195*1.2,0)</f>
        <v>-1295</v>
      </c>
      <c r="AL195" s="79">
        <v>0.1</v>
      </c>
      <c r="AM195" s="79">
        <v>0.3</v>
      </c>
      <c r="AN195" s="79">
        <v>0.3</v>
      </c>
      <c r="AO195" s="79">
        <v>0.1</v>
      </c>
      <c r="AP195" s="79">
        <v>0.1</v>
      </c>
      <c r="AQ195" s="75">
        <f t="shared" ref="AQ195:AQ258" si="204">J195*AL195</f>
        <v>107.9</v>
      </c>
      <c r="AR195" s="75">
        <f t="shared" ref="AR195:AR258" si="205">J195*AM195</f>
        <v>323.7</v>
      </c>
      <c r="AS195" s="75">
        <f t="shared" ref="AS195:AS258" si="206">J195*AN195</f>
        <v>323.7</v>
      </c>
      <c r="AT195" s="75">
        <f t="shared" ref="AT195:AT258" si="207">J195*AO195</f>
        <v>107.9</v>
      </c>
      <c r="AU195" s="75">
        <f t="shared" ref="AU195:AU258" si="208">J195*AP195</f>
        <v>107.9</v>
      </c>
      <c r="AV195" s="13">
        <v>0.8</v>
      </c>
      <c r="AW195" s="13">
        <v>1.2</v>
      </c>
      <c r="AX195" s="13">
        <v>1.3</v>
      </c>
      <c r="AY195" s="13">
        <v>1</v>
      </c>
      <c r="AZ195" s="13">
        <v>0.7</v>
      </c>
      <c r="BA195" s="105">
        <f t="shared" ref="BA195:BA258" si="209">P195*AL195*AV195</f>
        <v>9.42</v>
      </c>
      <c r="BB195" s="13">
        <f t="shared" ref="BB195:BB258" si="210">P195*AM195*AW195</f>
        <v>42.389999999999993</v>
      </c>
      <c r="BC195" s="13">
        <f t="shared" ref="BC195:BC258" si="211">P195*AN195*AX195</f>
        <v>45.922499999999999</v>
      </c>
      <c r="BD195" s="13">
        <f t="shared" ref="BD195:BD258" si="212">P195*AO195*AY195</f>
        <v>11.775</v>
      </c>
      <c r="BE195" s="13">
        <f t="shared" ref="BE195:BE258" si="213">P195*AP195*AZ195</f>
        <v>8.2424999999999997</v>
      </c>
      <c r="BF195" s="88">
        <f t="shared" ref="BF195:BF258" si="214">AQ195/BA195</f>
        <v>11.454352441613588</v>
      </c>
      <c r="BG195" s="88">
        <f t="shared" ref="BG195:BG258" si="215">AR195/BB195</f>
        <v>7.6362349610757265</v>
      </c>
      <c r="BH195" s="88">
        <f t="shared" ref="BH195:BH258" si="216">AS195/BC195</f>
        <v>7.0488322717622083</v>
      </c>
      <c r="BI195" s="88">
        <f t="shared" ref="BI195:BI258" si="217">AT195/BD195</f>
        <v>9.1634819532908711</v>
      </c>
      <c r="BJ195" s="88">
        <f t="shared" ref="BJ195:BJ258" si="218">AU195/BE195</f>
        <v>13.090688504701244</v>
      </c>
      <c r="BK195" s="105">
        <f t="shared" ref="BK195:BK258" si="219">1/BF195</f>
        <v>8.7303058387395729E-2</v>
      </c>
      <c r="BL195" s="105">
        <f t="shared" ref="BL195:BL258" si="220">1/BG195</f>
        <v>0.13095458758109357</v>
      </c>
      <c r="BM195" s="105">
        <f t="shared" ref="BM195:BM258" si="221">1/BH195</f>
        <v>0.14186746987951807</v>
      </c>
      <c r="BN195" s="105">
        <f t="shared" ref="BN195:BN258" si="222">1/BI195</f>
        <v>0.10912882298424466</v>
      </c>
      <c r="BO195" s="105">
        <f t="shared" ref="BO195:BO258" si="223">1/BJ195</f>
        <v>7.6390176088971265E-2</v>
      </c>
      <c r="BP195" s="105">
        <f t="shared" ref="BP195:BP258" si="224">BK195+BL195+BM195+BN195+BO195</f>
        <v>0.54564411492122322</v>
      </c>
      <c r="BQ195" s="79">
        <f t="shared" ref="BQ195:BQ258" si="225">BK195/BP195</f>
        <v>0.16000000000000003</v>
      </c>
      <c r="BR195" s="79">
        <f t="shared" ref="BR195:BR258" si="226">BL195/BP195</f>
        <v>0.24</v>
      </c>
      <c r="BS195" s="79">
        <f t="shared" ref="BS195:BS258" si="227">BM195/BP195</f>
        <v>0.26000000000000006</v>
      </c>
      <c r="BT195" s="79">
        <f t="shared" ref="BT195:BT258" si="228">BN195/BP195</f>
        <v>0.20000000000000004</v>
      </c>
      <c r="BU195" s="79">
        <f t="shared" ref="BU195:BU258" si="229">BO195/BP195</f>
        <v>0.14000000000000001</v>
      </c>
      <c r="BV195" s="90" t="str">
        <f t="array" aca="1" ref="BV195" ca="1">_xlfn.TEXTJOIN(" ",TRUE,
_xlfn.TEXTJOIN(":",TRUE,ROUND(BK195:BO195/MIN(IF(BK195:BO195&gt;0,BK195:BO195)),0)),
"|",
ROUND(SUM(BW195:CA195),0))</f>
        <v>1:2:2:1:1 | -1295</v>
      </c>
      <c r="BW195" s="106">
        <f t="shared" ca="1" si="173"/>
        <v>-207.20000000000005</v>
      </c>
      <c r="BX195" s="106">
        <f t="shared" ca="1" si="176"/>
        <v>-310.8</v>
      </c>
      <c r="BY195" s="106">
        <f t="shared" ca="1" si="177"/>
        <v>-336.7000000000001</v>
      </c>
      <c r="BZ195" s="106">
        <f t="shared" ca="1" si="178"/>
        <v>-259.00000000000006</v>
      </c>
      <c r="CA195" s="106">
        <f t="shared" ca="1" si="174"/>
        <v>-181.3</v>
      </c>
    </row>
    <row r="196" spans="1:79" x14ac:dyDescent="0.35">
      <c r="A196" s="25" t="s">
        <v>210</v>
      </c>
      <c r="B196" s="10" t="s">
        <v>319</v>
      </c>
      <c r="C196" s="10" t="s">
        <v>342</v>
      </c>
      <c r="D196" s="10" t="s">
        <v>346</v>
      </c>
      <c r="E196" s="11">
        <v>45892</v>
      </c>
      <c r="F196" s="17">
        <v>45892</v>
      </c>
      <c r="G196" s="14">
        <f t="shared" ca="1" si="179"/>
        <v>207</v>
      </c>
      <c r="H196" s="17">
        <v>499</v>
      </c>
      <c r="I196" s="17">
        <v>248</v>
      </c>
      <c r="J196" s="75">
        <f t="shared" si="180"/>
        <v>746</v>
      </c>
      <c r="K196" s="17">
        <v>900</v>
      </c>
      <c r="L196" s="85">
        <v>154</v>
      </c>
      <c r="M196" s="86">
        <f t="shared" ca="1" si="181"/>
        <v>0.7439613526570048</v>
      </c>
      <c r="N196" s="86">
        <f t="shared" si="182"/>
        <v>0.80451009251471861</v>
      </c>
      <c r="O196" s="86">
        <f t="shared" si="183"/>
        <v>0.46951219512195119</v>
      </c>
      <c r="P196" s="87">
        <f t="shared" si="184"/>
        <v>38.5</v>
      </c>
      <c r="Q196" s="104">
        <f t="shared" si="185"/>
        <v>19.376623376623378</v>
      </c>
      <c r="R196" s="88">
        <f t="shared" si="186"/>
        <v>50.300601202404806</v>
      </c>
      <c r="S196" s="88">
        <f t="shared" si="187"/>
        <v>17.111111111111111</v>
      </c>
      <c r="T196" s="13">
        <f t="shared" si="188"/>
        <v>1</v>
      </c>
      <c r="U196" s="13">
        <f t="shared" si="189"/>
        <v>1</v>
      </c>
      <c r="V196" s="13">
        <f t="shared" si="190"/>
        <v>2</v>
      </c>
      <c r="W196" s="13">
        <f t="shared" ca="1" si="191"/>
        <v>3</v>
      </c>
      <c r="X196" s="13">
        <f t="shared" ca="1" si="192"/>
        <v>7</v>
      </c>
      <c r="Y196" s="81" t="str">
        <f t="shared" ca="1" si="193"/>
        <v>MONITOR</v>
      </c>
      <c r="Z196" s="13">
        <v>14</v>
      </c>
      <c r="AA196" s="75">
        <v>46059</v>
      </c>
      <c r="AB196" s="75">
        <f t="shared" si="194"/>
        <v>45920</v>
      </c>
      <c r="AC196" s="88">
        <f t="shared" si="195"/>
        <v>19.857142857142858</v>
      </c>
      <c r="AD196" s="89" t="str">
        <f t="shared" ca="1" si="196"/>
        <v>STABLE</v>
      </c>
      <c r="AE196" s="89" t="str">
        <f t="shared" si="197"/>
        <v>SLOW SELLING</v>
      </c>
      <c r="AF196" s="89" t="str">
        <f t="shared" si="198"/>
        <v>AT RISK</v>
      </c>
      <c r="AG196" s="89" t="str">
        <f t="shared" si="199"/>
        <v>FEASIBLE</v>
      </c>
      <c r="AH196" s="81" t="str">
        <f t="shared" ca="1" si="200"/>
        <v>MONITOR</v>
      </c>
      <c r="AI196" s="75">
        <f t="shared" ca="1" si="201"/>
        <v>0</v>
      </c>
      <c r="AJ196" s="75">
        <f t="shared" ca="1" si="202"/>
        <v>-746</v>
      </c>
      <c r="AK196" s="13">
        <f t="shared" ca="1" si="203"/>
        <v>-895</v>
      </c>
      <c r="AL196" s="79">
        <v>0.1</v>
      </c>
      <c r="AM196" s="79">
        <v>0.3</v>
      </c>
      <c r="AN196" s="79">
        <v>0.3</v>
      </c>
      <c r="AO196" s="79">
        <v>0.1</v>
      </c>
      <c r="AP196" s="79">
        <v>0.1</v>
      </c>
      <c r="AQ196" s="75">
        <f t="shared" si="204"/>
        <v>74.600000000000009</v>
      </c>
      <c r="AR196" s="75">
        <f t="shared" si="205"/>
        <v>223.79999999999998</v>
      </c>
      <c r="AS196" s="75">
        <f t="shared" si="206"/>
        <v>223.79999999999998</v>
      </c>
      <c r="AT196" s="75">
        <f t="shared" si="207"/>
        <v>74.600000000000009</v>
      </c>
      <c r="AU196" s="75">
        <f t="shared" si="208"/>
        <v>74.600000000000009</v>
      </c>
      <c r="AV196" s="13">
        <v>0.8</v>
      </c>
      <c r="AW196" s="13">
        <v>1.2</v>
      </c>
      <c r="AX196" s="13">
        <v>1.3</v>
      </c>
      <c r="AY196" s="13">
        <v>1</v>
      </c>
      <c r="AZ196" s="13">
        <v>0.7</v>
      </c>
      <c r="BA196" s="105">
        <f t="shared" si="209"/>
        <v>3.08</v>
      </c>
      <c r="BB196" s="13">
        <f t="shared" si="210"/>
        <v>13.859999999999998</v>
      </c>
      <c r="BC196" s="13">
        <f t="shared" si="211"/>
        <v>15.014999999999999</v>
      </c>
      <c r="BD196" s="13">
        <f t="shared" si="212"/>
        <v>3.85</v>
      </c>
      <c r="BE196" s="13">
        <f t="shared" si="213"/>
        <v>2.6949999999999998</v>
      </c>
      <c r="BF196" s="88">
        <f t="shared" si="214"/>
        <v>24.220779220779225</v>
      </c>
      <c r="BG196" s="88">
        <f t="shared" si="215"/>
        <v>16.147186147186147</v>
      </c>
      <c r="BH196" s="88">
        <f t="shared" si="216"/>
        <v>14.905094905094906</v>
      </c>
      <c r="BI196" s="88">
        <f t="shared" si="217"/>
        <v>19.376623376623378</v>
      </c>
      <c r="BJ196" s="88">
        <f t="shared" si="218"/>
        <v>27.680890538033399</v>
      </c>
      <c r="BK196" s="105">
        <f t="shared" si="219"/>
        <v>4.1286863270777477E-2</v>
      </c>
      <c r="BL196" s="105">
        <f t="shared" si="220"/>
        <v>6.1930294906166222E-2</v>
      </c>
      <c r="BM196" s="105">
        <f t="shared" si="221"/>
        <v>6.7091152815013405E-2</v>
      </c>
      <c r="BN196" s="105">
        <f t="shared" si="222"/>
        <v>5.1608579088471843E-2</v>
      </c>
      <c r="BO196" s="105">
        <f t="shared" si="223"/>
        <v>3.6126005361930287E-2</v>
      </c>
      <c r="BP196" s="105">
        <f t="shared" si="224"/>
        <v>0.2580428954423592</v>
      </c>
      <c r="BQ196" s="79">
        <f t="shared" si="225"/>
        <v>0.16000000000000003</v>
      </c>
      <c r="BR196" s="79">
        <f t="shared" si="226"/>
        <v>0.24000000000000005</v>
      </c>
      <c r="BS196" s="79">
        <f t="shared" si="227"/>
        <v>0.26000000000000006</v>
      </c>
      <c r="BT196" s="79">
        <f t="shared" si="228"/>
        <v>0.2</v>
      </c>
      <c r="BU196" s="79">
        <f t="shared" si="229"/>
        <v>0.13999999999999999</v>
      </c>
      <c r="BV196" s="90" t="str">
        <f t="array" aca="1" ref="BV196" ca="1">_xlfn.TEXTJOIN(" ",TRUE,
_xlfn.TEXTJOIN(":",TRUE,ROUND(BK196:BO196/MIN(IF(BK196:BO196&gt;0,BK196:BO196)),0)),
"|",
ROUND(SUM(BW196:CA196),0))</f>
        <v>1:2:2:1:1 | -895</v>
      </c>
      <c r="BW196" s="106">
        <f t="shared" ca="1" si="173"/>
        <v>-143.20000000000002</v>
      </c>
      <c r="BX196" s="106">
        <f t="shared" ca="1" si="176"/>
        <v>-214.80000000000004</v>
      </c>
      <c r="BY196" s="106">
        <f t="shared" ca="1" si="177"/>
        <v>-232.70000000000005</v>
      </c>
      <c r="BZ196" s="106">
        <f t="shared" ca="1" si="178"/>
        <v>-179</v>
      </c>
      <c r="CA196" s="106">
        <f t="shared" ca="1" si="174"/>
        <v>-125.29999999999998</v>
      </c>
    </row>
    <row r="197" spans="1:79" x14ac:dyDescent="0.35">
      <c r="A197" s="25" t="s">
        <v>211</v>
      </c>
      <c r="B197" s="10" t="s">
        <v>319</v>
      </c>
      <c r="C197" s="10" t="s">
        <v>342</v>
      </c>
      <c r="D197" s="10" t="s">
        <v>346</v>
      </c>
      <c r="E197" s="11">
        <v>45892</v>
      </c>
      <c r="F197" s="17">
        <v>45892</v>
      </c>
      <c r="G197" s="14">
        <f t="shared" ca="1" si="179"/>
        <v>207</v>
      </c>
      <c r="H197" s="17">
        <v>499</v>
      </c>
      <c r="I197" s="17">
        <v>248</v>
      </c>
      <c r="J197" s="75">
        <f t="shared" si="180"/>
        <v>815</v>
      </c>
      <c r="K197" s="17">
        <v>900</v>
      </c>
      <c r="L197" s="85">
        <v>85</v>
      </c>
      <c r="M197" s="86">
        <f t="shared" ca="1" si="181"/>
        <v>0.41062801932367149</v>
      </c>
      <c r="N197" s="86">
        <f t="shared" si="182"/>
        <v>0.80451009251471861</v>
      </c>
      <c r="O197" s="86">
        <f t="shared" si="183"/>
        <v>0.25914634146341464</v>
      </c>
      <c r="P197" s="87">
        <f t="shared" si="184"/>
        <v>21.25</v>
      </c>
      <c r="Q197" s="104">
        <f t="shared" si="185"/>
        <v>38.352941176470587</v>
      </c>
      <c r="R197" s="88">
        <f t="shared" si="186"/>
        <v>50.300601202404806</v>
      </c>
      <c r="S197" s="88">
        <f t="shared" si="187"/>
        <v>9.4444444444444446</v>
      </c>
      <c r="T197" s="13">
        <f t="shared" si="188"/>
        <v>1</v>
      </c>
      <c r="U197" s="13">
        <f t="shared" si="189"/>
        <v>1</v>
      </c>
      <c r="V197" s="13">
        <f t="shared" si="190"/>
        <v>2</v>
      </c>
      <c r="W197" s="13">
        <f t="shared" ca="1" si="191"/>
        <v>3</v>
      </c>
      <c r="X197" s="13">
        <f t="shared" ca="1" si="192"/>
        <v>7</v>
      </c>
      <c r="Y197" s="81" t="str">
        <f t="shared" ca="1" si="193"/>
        <v>MONITOR</v>
      </c>
      <c r="Z197" s="13">
        <v>14</v>
      </c>
      <c r="AA197" s="75">
        <v>46059</v>
      </c>
      <c r="AB197" s="75">
        <f t="shared" si="194"/>
        <v>45920</v>
      </c>
      <c r="AC197" s="88">
        <f t="shared" si="195"/>
        <v>19.857142857142858</v>
      </c>
      <c r="AD197" s="89" t="str">
        <f t="shared" ca="1" si="196"/>
        <v>STABLE</v>
      </c>
      <c r="AE197" s="89" t="str">
        <f t="shared" si="197"/>
        <v>SLOW SELLING</v>
      </c>
      <c r="AF197" s="89" t="str">
        <f t="shared" si="198"/>
        <v>AT RISK</v>
      </c>
      <c r="AG197" s="89" t="str">
        <f t="shared" si="199"/>
        <v>FEASIBLE</v>
      </c>
      <c r="AH197" s="81" t="str">
        <f t="shared" ca="1" si="200"/>
        <v>MONITOR</v>
      </c>
      <c r="AI197" s="75">
        <f t="shared" ca="1" si="201"/>
        <v>0</v>
      </c>
      <c r="AJ197" s="75">
        <f t="shared" ca="1" si="202"/>
        <v>-815</v>
      </c>
      <c r="AK197" s="13">
        <f t="shared" ca="1" si="203"/>
        <v>-978</v>
      </c>
      <c r="AL197" s="79">
        <v>0.1</v>
      </c>
      <c r="AM197" s="79">
        <v>0.3</v>
      </c>
      <c r="AN197" s="79">
        <v>0.3</v>
      </c>
      <c r="AO197" s="79">
        <v>0.1</v>
      </c>
      <c r="AP197" s="79">
        <v>0.1</v>
      </c>
      <c r="AQ197" s="75">
        <f t="shared" si="204"/>
        <v>81.5</v>
      </c>
      <c r="AR197" s="75">
        <f t="shared" si="205"/>
        <v>244.5</v>
      </c>
      <c r="AS197" s="75">
        <f t="shared" si="206"/>
        <v>244.5</v>
      </c>
      <c r="AT197" s="75">
        <f t="shared" si="207"/>
        <v>81.5</v>
      </c>
      <c r="AU197" s="75">
        <f t="shared" si="208"/>
        <v>81.5</v>
      </c>
      <c r="AV197" s="13">
        <v>0.8</v>
      </c>
      <c r="AW197" s="13">
        <v>1.2</v>
      </c>
      <c r="AX197" s="13">
        <v>1.3</v>
      </c>
      <c r="AY197" s="13">
        <v>1</v>
      </c>
      <c r="AZ197" s="13">
        <v>0.7</v>
      </c>
      <c r="BA197" s="105">
        <f t="shared" si="209"/>
        <v>1.7000000000000002</v>
      </c>
      <c r="BB197" s="13">
        <f t="shared" si="210"/>
        <v>7.6499999999999995</v>
      </c>
      <c r="BC197" s="13">
        <f t="shared" si="211"/>
        <v>8.2874999999999996</v>
      </c>
      <c r="BD197" s="13">
        <f t="shared" si="212"/>
        <v>2.125</v>
      </c>
      <c r="BE197" s="13">
        <f t="shared" si="213"/>
        <v>1.4874999999999998</v>
      </c>
      <c r="BF197" s="88">
        <f t="shared" si="214"/>
        <v>47.941176470588232</v>
      </c>
      <c r="BG197" s="88">
        <f t="shared" si="215"/>
        <v>31.960784313725494</v>
      </c>
      <c r="BH197" s="88">
        <f t="shared" si="216"/>
        <v>29.502262443438916</v>
      </c>
      <c r="BI197" s="88">
        <f t="shared" si="217"/>
        <v>38.352941176470587</v>
      </c>
      <c r="BJ197" s="88">
        <f t="shared" si="218"/>
        <v>54.789915966386559</v>
      </c>
      <c r="BK197" s="105">
        <f t="shared" si="219"/>
        <v>2.0858895705521473E-2</v>
      </c>
      <c r="BL197" s="105">
        <f t="shared" si="220"/>
        <v>3.1288343558282208E-2</v>
      </c>
      <c r="BM197" s="105">
        <f t="shared" si="221"/>
        <v>3.3895705521472391E-2</v>
      </c>
      <c r="BN197" s="105">
        <f t="shared" si="222"/>
        <v>2.6073619631901843E-2</v>
      </c>
      <c r="BO197" s="105">
        <f t="shared" si="223"/>
        <v>1.8251533742331287E-2</v>
      </c>
      <c r="BP197" s="105">
        <f t="shared" si="224"/>
        <v>0.1303680981595092</v>
      </c>
      <c r="BQ197" s="79">
        <f t="shared" si="225"/>
        <v>0.16</v>
      </c>
      <c r="BR197" s="79">
        <f t="shared" si="226"/>
        <v>0.24</v>
      </c>
      <c r="BS197" s="79">
        <f t="shared" si="227"/>
        <v>0.26</v>
      </c>
      <c r="BT197" s="79">
        <f t="shared" si="228"/>
        <v>0.2</v>
      </c>
      <c r="BU197" s="79">
        <f t="shared" si="229"/>
        <v>0.13999999999999999</v>
      </c>
      <c r="BV197" s="90" t="str">
        <f t="array" aca="1" ref="BV197" ca="1">_xlfn.TEXTJOIN(" ",TRUE,
_xlfn.TEXTJOIN(":",TRUE,ROUND(BK197:BO197/MIN(IF(BK197:BO197&gt;0,BK197:BO197)),0)),
"|",
ROUND(SUM(BW197:CA197),0))</f>
        <v>1:2:2:1:1 | -978</v>
      </c>
      <c r="BW197" s="106">
        <f t="shared" ca="1" si="173"/>
        <v>-156.47999999999999</v>
      </c>
      <c r="BX197" s="106">
        <f t="shared" ca="1" si="176"/>
        <v>-234.72</v>
      </c>
      <c r="BY197" s="106">
        <f t="shared" ca="1" si="177"/>
        <v>-254.28</v>
      </c>
      <c r="BZ197" s="106">
        <f t="shared" ca="1" si="178"/>
        <v>-195.60000000000002</v>
      </c>
      <c r="CA197" s="106">
        <f t="shared" ca="1" si="174"/>
        <v>-136.91999999999999</v>
      </c>
    </row>
    <row r="198" spans="1:79" x14ac:dyDescent="0.35">
      <c r="A198" s="25" t="s">
        <v>212</v>
      </c>
      <c r="B198" s="10" t="s">
        <v>319</v>
      </c>
      <c r="C198" s="10" t="s">
        <v>342</v>
      </c>
      <c r="D198" s="10" t="s">
        <v>346</v>
      </c>
      <c r="E198" s="11">
        <v>45864</v>
      </c>
      <c r="F198" s="17">
        <v>45892</v>
      </c>
      <c r="G198" s="14">
        <f t="shared" ca="1" si="179"/>
        <v>207</v>
      </c>
      <c r="H198" s="17">
        <v>499</v>
      </c>
      <c r="I198" s="17">
        <v>270</v>
      </c>
      <c r="J198" s="75">
        <f t="shared" si="180"/>
        <v>892</v>
      </c>
      <c r="K198" s="17">
        <v>900</v>
      </c>
      <c r="L198" s="85">
        <v>8</v>
      </c>
      <c r="M198" s="86">
        <f t="shared" ca="1" si="181"/>
        <v>3.864734299516908E-2</v>
      </c>
      <c r="N198" s="86">
        <f t="shared" si="182"/>
        <v>0.80451009251471861</v>
      </c>
      <c r="O198" s="86">
        <f t="shared" si="183"/>
        <v>2.4390243902439025E-2</v>
      </c>
      <c r="P198" s="87">
        <f t="shared" si="184"/>
        <v>2</v>
      </c>
      <c r="Q198" s="104">
        <f t="shared" si="185"/>
        <v>446</v>
      </c>
      <c r="R198" s="88">
        <f t="shared" si="186"/>
        <v>45.891783567134269</v>
      </c>
      <c r="S198" s="88">
        <f t="shared" si="187"/>
        <v>0.88888888888888884</v>
      </c>
      <c r="T198" s="13">
        <f t="shared" si="188"/>
        <v>1</v>
      </c>
      <c r="U198" s="13">
        <f t="shared" si="189"/>
        <v>1</v>
      </c>
      <c r="V198" s="13">
        <f t="shared" si="190"/>
        <v>2</v>
      </c>
      <c r="W198" s="13">
        <f t="shared" ca="1" si="191"/>
        <v>3</v>
      </c>
      <c r="X198" s="13">
        <f t="shared" ca="1" si="192"/>
        <v>7</v>
      </c>
      <c r="Y198" s="81" t="str">
        <f t="shared" ca="1" si="193"/>
        <v>MONITOR</v>
      </c>
      <c r="Z198" s="13">
        <v>14</v>
      </c>
      <c r="AA198" s="75">
        <v>46059</v>
      </c>
      <c r="AB198" s="75">
        <f t="shared" si="194"/>
        <v>45920</v>
      </c>
      <c r="AC198" s="88">
        <f t="shared" si="195"/>
        <v>19.857142857142858</v>
      </c>
      <c r="AD198" s="89" t="str">
        <f t="shared" ca="1" si="196"/>
        <v>STABLE</v>
      </c>
      <c r="AE198" s="89" t="str">
        <f t="shared" si="197"/>
        <v>SLOW SELLING</v>
      </c>
      <c r="AF198" s="89" t="str">
        <f t="shared" si="198"/>
        <v>AT RISK</v>
      </c>
      <c r="AG198" s="89" t="str">
        <f t="shared" si="199"/>
        <v>FEASIBLE</v>
      </c>
      <c r="AH198" s="81" t="str">
        <f t="shared" ca="1" si="200"/>
        <v>MONITOR</v>
      </c>
      <c r="AI198" s="75">
        <f t="shared" ca="1" si="201"/>
        <v>0</v>
      </c>
      <c r="AJ198" s="75">
        <f t="shared" ca="1" si="202"/>
        <v>-892</v>
      </c>
      <c r="AK198" s="13">
        <f t="shared" ca="1" si="203"/>
        <v>-1070</v>
      </c>
      <c r="AL198" s="79">
        <v>0.1</v>
      </c>
      <c r="AM198" s="79">
        <v>0.3</v>
      </c>
      <c r="AN198" s="79">
        <v>0.3</v>
      </c>
      <c r="AO198" s="79">
        <v>0.1</v>
      </c>
      <c r="AP198" s="79">
        <v>0.1</v>
      </c>
      <c r="AQ198" s="75">
        <f t="shared" si="204"/>
        <v>89.2</v>
      </c>
      <c r="AR198" s="75">
        <f t="shared" si="205"/>
        <v>267.59999999999997</v>
      </c>
      <c r="AS198" s="75">
        <f t="shared" si="206"/>
        <v>267.59999999999997</v>
      </c>
      <c r="AT198" s="75">
        <f t="shared" si="207"/>
        <v>89.2</v>
      </c>
      <c r="AU198" s="75">
        <f t="shared" si="208"/>
        <v>89.2</v>
      </c>
      <c r="AV198" s="13">
        <v>0.8</v>
      </c>
      <c r="AW198" s="13">
        <v>1.2</v>
      </c>
      <c r="AX198" s="13">
        <v>1.3</v>
      </c>
      <c r="AY198" s="13">
        <v>1</v>
      </c>
      <c r="AZ198" s="13">
        <v>0.7</v>
      </c>
      <c r="BA198" s="105">
        <f t="shared" si="209"/>
        <v>0.16000000000000003</v>
      </c>
      <c r="BB198" s="13">
        <f t="shared" si="210"/>
        <v>0.72</v>
      </c>
      <c r="BC198" s="13">
        <f t="shared" si="211"/>
        <v>0.78</v>
      </c>
      <c r="BD198" s="13">
        <f t="shared" si="212"/>
        <v>0.2</v>
      </c>
      <c r="BE198" s="13">
        <f t="shared" si="213"/>
        <v>0.13999999999999999</v>
      </c>
      <c r="BF198" s="88">
        <f t="shared" si="214"/>
        <v>557.49999999999989</v>
      </c>
      <c r="BG198" s="88">
        <f t="shared" si="215"/>
        <v>371.66666666666663</v>
      </c>
      <c r="BH198" s="88">
        <f t="shared" si="216"/>
        <v>343.07692307692304</v>
      </c>
      <c r="BI198" s="88">
        <f t="shared" si="217"/>
        <v>446</v>
      </c>
      <c r="BJ198" s="88">
        <f t="shared" si="218"/>
        <v>637.14285714285722</v>
      </c>
      <c r="BK198" s="105">
        <f t="shared" si="219"/>
        <v>1.7937219730941709E-3</v>
      </c>
      <c r="BL198" s="105">
        <f t="shared" si="220"/>
        <v>2.6905829596412557E-3</v>
      </c>
      <c r="BM198" s="105">
        <f t="shared" si="221"/>
        <v>2.9147982062780273E-3</v>
      </c>
      <c r="BN198" s="105">
        <f t="shared" si="222"/>
        <v>2.242152466367713E-3</v>
      </c>
      <c r="BO198" s="105">
        <f t="shared" si="223"/>
        <v>1.5695067264573988E-3</v>
      </c>
      <c r="BP198" s="105">
        <f t="shared" si="224"/>
        <v>1.1210762331838566E-2</v>
      </c>
      <c r="BQ198" s="79">
        <f t="shared" si="225"/>
        <v>0.16000000000000003</v>
      </c>
      <c r="BR198" s="79">
        <f t="shared" si="226"/>
        <v>0.24</v>
      </c>
      <c r="BS198" s="79">
        <f t="shared" si="227"/>
        <v>0.26</v>
      </c>
      <c r="BT198" s="79">
        <f t="shared" si="228"/>
        <v>0.19999999999999998</v>
      </c>
      <c r="BU198" s="79">
        <f t="shared" si="229"/>
        <v>0.13999999999999996</v>
      </c>
      <c r="BV198" s="90" t="str">
        <f t="array" aca="1" ref="BV198" ca="1">_xlfn.TEXTJOIN(" ",TRUE,
_xlfn.TEXTJOIN(":",TRUE,ROUND(BK198:BO198/MIN(IF(BK198:BO198&gt;0,BK198:BO198)),0)),
"|",
ROUND(SUM(BW198:CA198),0))</f>
        <v>1:2:2:1:1 | -1070</v>
      </c>
      <c r="BW198" s="106">
        <f t="shared" ca="1" si="173"/>
        <v>-171.20000000000005</v>
      </c>
      <c r="BX198" s="106">
        <f t="shared" ca="1" si="176"/>
        <v>-256.8</v>
      </c>
      <c r="BY198" s="106">
        <f t="shared" ca="1" si="177"/>
        <v>-278.2</v>
      </c>
      <c r="BZ198" s="106">
        <f t="shared" ca="1" si="178"/>
        <v>-213.99999999999997</v>
      </c>
      <c r="CA198" s="106">
        <f t="shared" ca="1" si="174"/>
        <v>-149.79999999999995</v>
      </c>
    </row>
    <row r="199" spans="1:79" x14ac:dyDescent="0.35">
      <c r="A199" s="25" t="s">
        <v>213</v>
      </c>
      <c r="B199" s="10" t="s">
        <v>319</v>
      </c>
      <c r="C199" s="10" t="s">
        <v>342</v>
      </c>
      <c r="D199" s="10" t="s">
        <v>346</v>
      </c>
      <c r="E199" s="11">
        <v>45864</v>
      </c>
      <c r="F199" s="17">
        <v>45892</v>
      </c>
      <c r="G199" s="14">
        <f t="shared" ca="1" si="179"/>
        <v>207</v>
      </c>
      <c r="H199" s="17">
        <v>499</v>
      </c>
      <c r="I199" s="17">
        <v>245</v>
      </c>
      <c r="J199" s="75">
        <f t="shared" si="180"/>
        <v>382</v>
      </c>
      <c r="K199" s="17">
        <v>750</v>
      </c>
      <c r="L199" s="85">
        <v>368</v>
      </c>
      <c r="M199" s="86">
        <f t="shared" ca="1" si="181"/>
        <v>1.7777777777777777</v>
      </c>
      <c r="N199" s="86">
        <f t="shared" si="182"/>
        <v>0.80451009251471861</v>
      </c>
      <c r="O199" s="86">
        <f t="shared" si="183"/>
        <v>1.1219512195121952</v>
      </c>
      <c r="P199" s="87">
        <f t="shared" si="184"/>
        <v>92.000000000000014</v>
      </c>
      <c r="Q199" s="104">
        <f t="shared" si="185"/>
        <v>4.1521739130434776</v>
      </c>
      <c r="R199" s="88">
        <f t="shared" si="186"/>
        <v>50.901803607214426</v>
      </c>
      <c r="S199" s="88">
        <f t="shared" si="187"/>
        <v>49.066666666666663</v>
      </c>
      <c r="T199" s="13">
        <f t="shared" si="188"/>
        <v>3</v>
      </c>
      <c r="U199" s="13">
        <f t="shared" si="189"/>
        <v>2</v>
      </c>
      <c r="V199" s="13">
        <f t="shared" si="190"/>
        <v>2</v>
      </c>
      <c r="W199" s="13">
        <f t="shared" ca="1" si="191"/>
        <v>3</v>
      </c>
      <c r="X199" s="13">
        <f t="shared" ca="1" si="192"/>
        <v>10</v>
      </c>
      <c r="Y199" s="81" t="str">
        <f t="shared" ca="1" si="193"/>
        <v>RE-BUY</v>
      </c>
      <c r="Z199" s="13">
        <v>14</v>
      </c>
      <c r="AA199" s="75">
        <v>46059</v>
      </c>
      <c r="AB199" s="75">
        <f t="shared" si="194"/>
        <v>45920</v>
      </c>
      <c r="AC199" s="88">
        <f t="shared" si="195"/>
        <v>19.857142857142858</v>
      </c>
      <c r="AD199" s="89" t="str">
        <f t="shared" ca="1" si="196"/>
        <v>STABLE</v>
      </c>
      <c r="AE199" s="89" t="str">
        <f t="shared" si="197"/>
        <v>FAST SELLING</v>
      </c>
      <c r="AF199" s="89" t="str">
        <f t="shared" si="198"/>
        <v>AT RISK</v>
      </c>
      <c r="AG199" s="89" t="str">
        <f t="shared" si="199"/>
        <v>FEASIBLE</v>
      </c>
      <c r="AH199" s="81" t="str">
        <f t="shared" ca="1" si="200"/>
        <v>IMMEDIATE REBUY</v>
      </c>
      <c r="AI199" s="75">
        <f t="shared" ca="1" si="201"/>
        <v>1096.1142857142859</v>
      </c>
      <c r="AJ199" s="75">
        <f t="shared" ca="1" si="202"/>
        <v>714.11428571428587</v>
      </c>
      <c r="AK199" s="13">
        <f t="shared" ca="1" si="203"/>
        <v>857</v>
      </c>
      <c r="AL199" s="79">
        <v>0.1</v>
      </c>
      <c r="AM199" s="79">
        <v>0.3</v>
      </c>
      <c r="AN199" s="79">
        <v>0.3</v>
      </c>
      <c r="AO199" s="79">
        <v>0.1</v>
      </c>
      <c r="AP199" s="79">
        <v>0.1</v>
      </c>
      <c r="AQ199" s="75">
        <f t="shared" si="204"/>
        <v>38.200000000000003</v>
      </c>
      <c r="AR199" s="75">
        <f t="shared" si="205"/>
        <v>114.6</v>
      </c>
      <c r="AS199" s="75">
        <f t="shared" si="206"/>
        <v>114.6</v>
      </c>
      <c r="AT199" s="75">
        <f t="shared" si="207"/>
        <v>38.200000000000003</v>
      </c>
      <c r="AU199" s="75">
        <f t="shared" si="208"/>
        <v>38.200000000000003</v>
      </c>
      <c r="AV199" s="13">
        <v>0.8</v>
      </c>
      <c r="AW199" s="13">
        <v>1.2</v>
      </c>
      <c r="AX199" s="13">
        <v>1.3</v>
      </c>
      <c r="AY199" s="13">
        <v>1</v>
      </c>
      <c r="AZ199" s="13">
        <v>0.7</v>
      </c>
      <c r="BA199" s="105">
        <f t="shared" si="209"/>
        <v>7.3600000000000012</v>
      </c>
      <c r="BB199" s="13">
        <f t="shared" si="210"/>
        <v>33.120000000000005</v>
      </c>
      <c r="BC199" s="13">
        <f t="shared" si="211"/>
        <v>35.88000000000001</v>
      </c>
      <c r="BD199" s="13">
        <f t="shared" si="212"/>
        <v>9.2000000000000011</v>
      </c>
      <c r="BE199" s="13">
        <f t="shared" si="213"/>
        <v>6.44</v>
      </c>
      <c r="BF199" s="88">
        <f t="shared" si="214"/>
        <v>5.1902173913043477</v>
      </c>
      <c r="BG199" s="88">
        <f t="shared" si="215"/>
        <v>3.460144927536231</v>
      </c>
      <c r="BH199" s="88">
        <f t="shared" si="216"/>
        <v>3.1939799331103669</v>
      </c>
      <c r="BI199" s="88">
        <f t="shared" si="217"/>
        <v>4.1521739130434785</v>
      </c>
      <c r="BJ199" s="88">
        <f t="shared" si="218"/>
        <v>5.9316770186335406</v>
      </c>
      <c r="BK199" s="105">
        <f t="shared" si="219"/>
        <v>0.19267015706806284</v>
      </c>
      <c r="BL199" s="105">
        <f t="shared" si="220"/>
        <v>0.28900523560209429</v>
      </c>
      <c r="BM199" s="105">
        <f t="shared" si="221"/>
        <v>0.31308900523560218</v>
      </c>
      <c r="BN199" s="105">
        <f t="shared" si="222"/>
        <v>0.24083769633507851</v>
      </c>
      <c r="BO199" s="105">
        <f t="shared" si="223"/>
        <v>0.16858638743455498</v>
      </c>
      <c r="BP199" s="105">
        <f t="shared" si="224"/>
        <v>1.2041884816753927</v>
      </c>
      <c r="BQ199" s="79">
        <f t="shared" si="225"/>
        <v>0.16</v>
      </c>
      <c r="BR199" s="79">
        <f t="shared" si="226"/>
        <v>0.24000000000000002</v>
      </c>
      <c r="BS199" s="79">
        <f t="shared" si="227"/>
        <v>0.26000000000000006</v>
      </c>
      <c r="BT199" s="79">
        <f t="shared" si="228"/>
        <v>0.19999999999999998</v>
      </c>
      <c r="BU199" s="79">
        <f t="shared" si="229"/>
        <v>0.13999999999999999</v>
      </c>
      <c r="BV199" s="90" t="str">
        <f t="array" aca="1" ref="BV199" ca="1">_xlfn.TEXTJOIN(" ",TRUE,
_xlfn.TEXTJOIN(":",TRUE,ROUND(BK199:BO199/MIN(IF(BK199:BO199&gt;0,BK199:BO199)),0)),
"|",
ROUND(SUM(BW199:CA199),0))</f>
        <v>1:2:2:1:1 | 857</v>
      </c>
      <c r="BW199" s="106">
        <f t="shared" ca="1" si="173"/>
        <v>137.12</v>
      </c>
      <c r="BX199" s="106">
        <f t="shared" ca="1" si="176"/>
        <v>205.68</v>
      </c>
      <c r="BY199" s="106">
        <f t="shared" ca="1" si="177"/>
        <v>222.82000000000005</v>
      </c>
      <c r="BZ199" s="106">
        <f t="shared" ca="1" si="178"/>
        <v>171.39999999999998</v>
      </c>
      <c r="CA199" s="106">
        <f t="shared" ca="1" si="174"/>
        <v>119.97999999999999</v>
      </c>
    </row>
    <row r="200" spans="1:79" x14ac:dyDescent="0.35">
      <c r="A200" s="25" t="s">
        <v>214</v>
      </c>
      <c r="B200" s="10" t="s">
        <v>319</v>
      </c>
      <c r="C200" s="10" t="s">
        <v>342</v>
      </c>
      <c r="D200" s="10" t="s">
        <v>346</v>
      </c>
      <c r="E200" s="11">
        <v>45864</v>
      </c>
      <c r="F200" s="17">
        <v>45892</v>
      </c>
      <c r="G200" s="14">
        <f t="shared" ca="1" si="179"/>
        <v>207</v>
      </c>
      <c r="H200" s="17">
        <v>499</v>
      </c>
      <c r="I200" s="17">
        <v>245</v>
      </c>
      <c r="J200" s="75">
        <f t="shared" si="180"/>
        <v>820</v>
      </c>
      <c r="K200" s="17">
        <v>900</v>
      </c>
      <c r="L200" s="85">
        <v>80</v>
      </c>
      <c r="M200" s="86">
        <f t="shared" ca="1" si="181"/>
        <v>0.38647342995169082</v>
      </c>
      <c r="N200" s="86">
        <f t="shared" si="182"/>
        <v>0.80451009251471861</v>
      </c>
      <c r="O200" s="86">
        <f t="shared" si="183"/>
        <v>0.24390243902439024</v>
      </c>
      <c r="P200" s="87">
        <f t="shared" si="184"/>
        <v>20</v>
      </c>
      <c r="Q200" s="104">
        <f t="shared" si="185"/>
        <v>41</v>
      </c>
      <c r="R200" s="88">
        <f t="shared" si="186"/>
        <v>50.901803607214426</v>
      </c>
      <c r="S200" s="88">
        <f t="shared" si="187"/>
        <v>8.8888888888888893</v>
      </c>
      <c r="T200" s="13">
        <f t="shared" si="188"/>
        <v>1</v>
      </c>
      <c r="U200" s="13">
        <f t="shared" si="189"/>
        <v>1</v>
      </c>
      <c r="V200" s="13">
        <f t="shared" si="190"/>
        <v>2</v>
      </c>
      <c r="W200" s="13">
        <f t="shared" ca="1" si="191"/>
        <v>3</v>
      </c>
      <c r="X200" s="13">
        <f t="shared" ca="1" si="192"/>
        <v>7</v>
      </c>
      <c r="Y200" s="81" t="str">
        <f t="shared" ca="1" si="193"/>
        <v>MONITOR</v>
      </c>
      <c r="Z200" s="13">
        <v>14</v>
      </c>
      <c r="AA200" s="75">
        <v>46059</v>
      </c>
      <c r="AB200" s="75">
        <f t="shared" si="194"/>
        <v>45920</v>
      </c>
      <c r="AC200" s="88">
        <f t="shared" si="195"/>
        <v>19.857142857142858</v>
      </c>
      <c r="AD200" s="89" t="str">
        <f t="shared" ca="1" si="196"/>
        <v>STABLE</v>
      </c>
      <c r="AE200" s="89" t="str">
        <f t="shared" si="197"/>
        <v>SLOW SELLING</v>
      </c>
      <c r="AF200" s="89" t="str">
        <f t="shared" si="198"/>
        <v>AT RISK</v>
      </c>
      <c r="AG200" s="89" t="str">
        <f t="shared" si="199"/>
        <v>FEASIBLE</v>
      </c>
      <c r="AH200" s="81" t="str">
        <f t="shared" ca="1" si="200"/>
        <v>MONITOR</v>
      </c>
      <c r="AI200" s="75">
        <f t="shared" ca="1" si="201"/>
        <v>0</v>
      </c>
      <c r="AJ200" s="75">
        <f t="shared" ca="1" si="202"/>
        <v>-820</v>
      </c>
      <c r="AK200" s="13">
        <f t="shared" ca="1" si="203"/>
        <v>-984</v>
      </c>
      <c r="AL200" s="79">
        <v>0.1</v>
      </c>
      <c r="AM200" s="79">
        <v>0.3</v>
      </c>
      <c r="AN200" s="79">
        <v>0.3</v>
      </c>
      <c r="AO200" s="79">
        <v>0.1</v>
      </c>
      <c r="AP200" s="79">
        <v>0.1</v>
      </c>
      <c r="AQ200" s="75">
        <f t="shared" si="204"/>
        <v>82</v>
      </c>
      <c r="AR200" s="75">
        <f t="shared" si="205"/>
        <v>246</v>
      </c>
      <c r="AS200" s="75">
        <f t="shared" si="206"/>
        <v>246</v>
      </c>
      <c r="AT200" s="75">
        <f t="shared" si="207"/>
        <v>82</v>
      </c>
      <c r="AU200" s="75">
        <f t="shared" si="208"/>
        <v>82</v>
      </c>
      <c r="AV200" s="13">
        <v>0.8</v>
      </c>
      <c r="AW200" s="13">
        <v>1.2</v>
      </c>
      <c r="AX200" s="13">
        <v>1.3</v>
      </c>
      <c r="AY200" s="13">
        <v>1</v>
      </c>
      <c r="AZ200" s="13">
        <v>0.7</v>
      </c>
      <c r="BA200" s="105">
        <f t="shared" si="209"/>
        <v>1.6</v>
      </c>
      <c r="BB200" s="13">
        <f t="shared" si="210"/>
        <v>7.1999999999999993</v>
      </c>
      <c r="BC200" s="13">
        <f t="shared" si="211"/>
        <v>7.8000000000000007</v>
      </c>
      <c r="BD200" s="13">
        <f t="shared" si="212"/>
        <v>2</v>
      </c>
      <c r="BE200" s="13">
        <f t="shared" si="213"/>
        <v>1.4</v>
      </c>
      <c r="BF200" s="88">
        <f t="shared" si="214"/>
        <v>51.25</v>
      </c>
      <c r="BG200" s="88">
        <f t="shared" si="215"/>
        <v>34.166666666666671</v>
      </c>
      <c r="BH200" s="88">
        <f t="shared" si="216"/>
        <v>31.538461538461537</v>
      </c>
      <c r="BI200" s="88">
        <f t="shared" si="217"/>
        <v>41</v>
      </c>
      <c r="BJ200" s="88">
        <f t="shared" si="218"/>
        <v>58.571428571428577</v>
      </c>
      <c r="BK200" s="105">
        <f t="shared" si="219"/>
        <v>1.9512195121951219E-2</v>
      </c>
      <c r="BL200" s="105">
        <f t="shared" si="220"/>
        <v>2.9268292682926824E-2</v>
      </c>
      <c r="BM200" s="105">
        <f t="shared" si="221"/>
        <v>3.1707317073170732E-2</v>
      </c>
      <c r="BN200" s="105">
        <f t="shared" si="222"/>
        <v>2.4390243902439025E-2</v>
      </c>
      <c r="BO200" s="105">
        <f t="shared" si="223"/>
        <v>1.7073170731707315E-2</v>
      </c>
      <c r="BP200" s="105">
        <f t="shared" si="224"/>
        <v>0.12195121951219511</v>
      </c>
      <c r="BQ200" s="79">
        <f t="shared" si="225"/>
        <v>0.16000000000000003</v>
      </c>
      <c r="BR200" s="79">
        <f t="shared" si="226"/>
        <v>0.24</v>
      </c>
      <c r="BS200" s="79">
        <f t="shared" si="227"/>
        <v>0.26000000000000006</v>
      </c>
      <c r="BT200" s="79">
        <f t="shared" si="228"/>
        <v>0.20000000000000004</v>
      </c>
      <c r="BU200" s="79">
        <f t="shared" si="229"/>
        <v>0.14000000000000001</v>
      </c>
      <c r="BV200" s="90" t="str">
        <f t="array" aca="1" ref="BV200" ca="1">_xlfn.TEXTJOIN(" ",TRUE,
_xlfn.TEXTJOIN(":",TRUE,ROUND(BK200:BO200/MIN(IF(BK200:BO200&gt;0,BK200:BO200)),0)),
"|",
ROUND(SUM(BW200:CA200),0))</f>
        <v>1:2:2:1:1 | -984</v>
      </c>
      <c r="BW200" s="106">
        <f t="shared" ca="1" si="173"/>
        <v>-157.44000000000003</v>
      </c>
      <c r="BX200" s="106">
        <f t="shared" ca="1" si="176"/>
        <v>-236.16</v>
      </c>
      <c r="BY200" s="106">
        <f t="shared" ca="1" si="177"/>
        <v>-255.84000000000006</v>
      </c>
      <c r="BZ200" s="106">
        <f t="shared" ca="1" si="178"/>
        <v>-196.80000000000004</v>
      </c>
      <c r="CA200" s="106">
        <f t="shared" ca="1" si="174"/>
        <v>-137.76000000000002</v>
      </c>
    </row>
    <row r="201" spans="1:79" x14ac:dyDescent="0.35">
      <c r="A201" s="25" t="s">
        <v>215</v>
      </c>
      <c r="B201" s="10" t="s">
        <v>319</v>
      </c>
      <c r="C201" s="10" t="s">
        <v>342</v>
      </c>
      <c r="D201" s="10" t="s">
        <v>346</v>
      </c>
      <c r="E201" s="11">
        <v>45864</v>
      </c>
      <c r="F201" s="17">
        <v>45892</v>
      </c>
      <c r="G201" s="14">
        <f t="shared" ca="1" si="179"/>
        <v>207</v>
      </c>
      <c r="H201" s="17">
        <v>499</v>
      </c>
      <c r="I201" s="17">
        <v>235</v>
      </c>
      <c r="J201" s="75">
        <f t="shared" si="180"/>
        <v>876</v>
      </c>
      <c r="K201" s="17">
        <v>900</v>
      </c>
      <c r="L201" s="85">
        <v>24</v>
      </c>
      <c r="M201" s="86">
        <f t="shared" ca="1" si="181"/>
        <v>0.11594202898550725</v>
      </c>
      <c r="N201" s="86">
        <f t="shared" si="182"/>
        <v>0.80451009251471861</v>
      </c>
      <c r="O201" s="86">
        <f t="shared" si="183"/>
        <v>7.3170731707317069E-2</v>
      </c>
      <c r="P201" s="87">
        <f t="shared" si="184"/>
        <v>6</v>
      </c>
      <c r="Q201" s="104">
        <f t="shared" si="185"/>
        <v>146</v>
      </c>
      <c r="R201" s="88">
        <f t="shared" si="186"/>
        <v>52.905811623246493</v>
      </c>
      <c r="S201" s="88">
        <f t="shared" si="187"/>
        <v>2.666666666666667</v>
      </c>
      <c r="T201" s="13">
        <f t="shared" si="188"/>
        <v>1</v>
      </c>
      <c r="U201" s="13">
        <f t="shared" si="189"/>
        <v>1</v>
      </c>
      <c r="V201" s="13">
        <f t="shared" si="190"/>
        <v>2</v>
      </c>
      <c r="W201" s="13">
        <f t="shared" ca="1" si="191"/>
        <v>3</v>
      </c>
      <c r="X201" s="13">
        <f t="shared" ca="1" si="192"/>
        <v>7</v>
      </c>
      <c r="Y201" s="81" t="str">
        <f t="shared" ca="1" si="193"/>
        <v>MONITOR</v>
      </c>
      <c r="Z201" s="13">
        <v>14</v>
      </c>
      <c r="AA201" s="75">
        <v>46059</v>
      </c>
      <c r="AB201" s="75">
        <f t="shared" si="194"/>
        <v>45920</v>
      </c>
      <c r="AC201" s="88">
        <f t="shared" si="195"/>
        <v>19.857142857142858</v>
      </c>
      <c r="AD201" s="89" t="str">
        <f t="shared" ca="1" si="196"/>
        <v>STABLE</v>
      </c>
      <c r="AE201" s="89" t="str">
        <f t="shared" si="197"/>
        <v>SLOW SELLING</v>
      </c>
      <c r="AF201" s="89" t="str">
        <f t="shared" si="198"/>
        <v>AT RISK</v>
      </c>
      <c r="AG201" s="89" t="str">
        <f t="shared" si="199"/>
        <v>FEASIBLE</v>
      </c>
      <c r="AH201" s="81" t="str">
        <f t="shared" ca="1" si="200"/>
        <v>MONITOR</v>
      </c>
      <c r="AI201" s="75">
        <f t="shared" ca="1" si="201"/>
        <v>0</v>
      </c>
      <c r="AJ201" s="75">
        <f t="shared" ca="1" si="202"/>
        <v>-876</v>
      </c>
      <c r="AK201" s="13">
        <f t="shared" ca="1" si="203"/>
        <v>-1051</v>
      </c>
      <c r="AL201" s="79">
        <v>0.1</v>
      </c>
      <c r="AM201" s="79">
        <v>0.3</v>
      </c>
      <c r="AN201" s="79">
        <v>0.3</v>
      </c>
      <c r="AO201" s="79">
        <v>0.1</v>
      </c>
      <c r="AP201" s="79">
        <v>0.1</v>
      </c>
      <c r="AQ201" s="75">
        <f t="shared" si="204"/>
        <v>87.600000000000009</v>
      </c>
      <c r="AR201" s="75">
        <f t="shared" si="205"/>
        <v>262.8</v>
      </c>
      <c r="AS201" s="75">
        <f t="shared" si="206"/>
        <v>262.8</v>
      </c>
      <c r="AT201" s="75">
        <f t="shared" si="207"/>
        <v>87.600000000000009</v>
      </c>
      <c r="AU201" s="75">
        <f t="shared" si="208"/>
        <v>87.600000000000009</v>
      </c>
      <c r="AV201" s="13">
        <v>0.8</v>
      </c>
      <c r="AW201" s="13">
        <v>1.2</v>
      </c>
      <c r="AX201" s="13">
        <v>1.3</v>
      </c>
      <c r="AY201" s="13">
        <v>1</v>
      </c>
      <c r="AZ201" s="13">
        <v>0.7</v>
      </c>
      <c r="BA201" s="105">
        <f t="shared" si="209"/>
        <v>0.48000000000000009</v>
      </c>
      <c r="BB201" s="13">
        <f t="shared" si="210"/>
        <v>2.1599999999999997</v>
      </c>
      <c r="BC201" s="13">
        <f t="shared" si="211"/>
        <v>2.34</v>
      </c>
      <c r="BD201" s="13">
        <f t="shared" si="212"/>
        <v>0.60000000000000009</v>
      </c>
      <c r="BE201" s="13">
        <f t="shared" si="213"/>
        <v>0.42000000000000004</v>
      </c>
      <c r="BF201" s="88">
        <f t="shared" si="214"/>
        <v>182.49999999999997</v>
      </c>
      <c r="BG201" s="88">
        <f t="shared" si="215"/>
        <v>121.66666666666669</v>
      </c>
      <c r="BH201" s="88">
        <f t="shared" si="216"/>
        <v>112.30769230769232</v>
      </c>
      <c r="BI201" s="88">
        <f t="shared" si="217"/>
        <v>146</v>
      </c>
      <c r="BJ201" s="88">
        <f t="shared" si="218"/>
        <v>208.57142857142858</v>
      </c>
      <c r="BK201" s="105">
        <f t="shared" si="219"/>
        <v>5.4794520547945215E-3</v>
      </c>
      <c r="BL201" s="105">
        <f t="shared" si="220"/>
        <v>8.21917808219178E-3</v>
      </c>
      <c r="BM201" s="105">
        <f t="shared" si="221"/>
        <v>8.904109589041094E-3</v>
      </c>
      <c r="BN201" s="105">
        <f t="shared" si="222"/>
        <v>6.8493150684931503E-3</v>
      </c>
      <c r="BO201" s="105">
        <f t="shared" si="223"/>
        <v>4.7945205479452049E-3</v>
      </c>
      <c r="BP201" s="105">
        <f t="shared" si="224"/>
        <v>3.4246575342465752E-2</v>
      </c>
      <c r="BQ201" s="79">
        <f t="shared" si="225"/>
        <v>0.16000000000000003</v>
      </c>
      <c r="BR201" s="79">
        <f t="shared" si="226"/>
        <v>0.24</v>
      </c>
      <c r="BS201" s="79">
        <f t="shared" si="227"/>
        <v>0.25999999999999995</v>
      </c>
      <c r="BT201" s="79">
        <f t="shared" si="228"/>
        <v>0.2</v>
      </c>
      <c r="BU201" s="79">
        <f t="shared" si="229"/>
        <v>0.13999999999999999</v>
      </c>
      <c r="BV201" s="90" t="str">
        <f t="array" aca="1" ref="BV201" ca="1">_xlfn.TEXTJOIN(" ",TRUE,
_xlfn.TEXTJOIN(":",TRUE,ROUND(BK201:BO201/MIN(IF(BK201:BO201&gt;0,BK201:BO201)),0)),
"|",
ROUND(SUM(BW201:CA201),0))</f>
        <v>1:2:2:1:1 | -1051</v>
      </c>
      <c r="BW201" s="106">
        <f t="shared" ca="1" si="173"/>
        <v>-168.16000000000003</v>
      </c>
      <c r="BX201" s="106">
        <f t="shared" ca="1" si="176"/>
        <v>-252.23999999999998</v>
      </c>
      <c r="BY201" s="106">
        <f t="shared" ca="1" si="177"/>
        <v>-273.25999999999993</v>
      </c>
      <c r="BZ201" s="106">
        <f t="shared" ca="1" si="178"/>
        <v>-210.20000000000002</v>
      </c>
      <c r="CA201" s="106">
        <f t="shared" ca="1" si="174"/>
        <v>-147.13999999999999</v>
      </c>
    </row>
    <row r="202" spans="1:79" x14ac:dyDescent="0.35">
      <c r="A202" s="25" t="s">
        <v>216</v>
      </c>
      <c r="B202" s="10" t="s">
        <v>319</v>
      </c>
      <c r="C202" s="10" t="s">
        <v>342</v>
      </c>
      <c r="D202" s="10" t="s">
        <v>346</v>
      </c>
      <c r="E202" s="11">
        <v>45864</v>
      </c>
      <c r="F202" s="17">
        <v>45892</v>
      </c>
      <c r="G202" s="14">
        <f t="shared" ca="1" si="179"/>
        <v>207</v>
      </c>
      <c r="H202" s="17">
        <v>499</v>
      </c>
      <c r="I202" s="17">
        <v>239</v>
      </c>
      <c r="J202" s="75">
        <f t="shared" si="180"/>
        <v>660</v>
      </c>
      <c r="K202" s="17">
        <v>900</v>
      </c>
      <c r="L202" s="85">
        <v>240</v>
      </c>
      <c r="M202" s="86">
        <f t="shared" ca="1" si="181"/>
        <v>1.1594202898550725</v>
      </c>
      <c r="N202" s="86">
        <f t="shared" si="182"/>
        <v>0.80451009251471861</v>
      </c>
      <c r="O202" s="86">
        <f t="shared" si="183"/>
        <v>0.73170731707317072</v>
      </c>
      <c r="P202" s="87">
        <f t="shared" si="184"/>
        <v>60</v>
      </c>
      <c r="Q202" s="104">
        <f t="shared" si="185"/>
        <v>11</v>
      </c>
      <c r="R202" s="88">
        <f t="shared" si="186"/>
        <v>52.104208416833664</v>
      </c>
      <c r="S202" s="88">
        <f t="shared" si="187"/>
        <v>26.666666666666668</v>
      </c>
      <c r="T202" s="13">
        <f t="shared" si="188"/>
        <v>2</v>
      </c>
      <c r="U202" s="13">
        <f t="shared" si="189"/>
        <v>1</v>
      </c>
      <c r="V202" s="13">
        <f t="shared" si="190"/>
        <v>2</v>
      </c>
      <c r="W202" s="13">
        <f t="shared" ca="1" si="191"/>
        <v>3</v>
      </c>
      <c r="X202" s="13">
        <f t="shared" ca="1" si="192"/>
        <v>8</v>
      </c>
      <c r="Y202" s="81" t="str">
        <f t="shared" ca="1" si="193"/>
        <v>MONITOR</v>
      </c>
      <c r="Z202" s="13">
        <v>14</v>
      </c>
      <c r="AA202" s="75">
        <v>46059</v>
      </c>
      <c r="AB202" s="75">
        <f t="shared" si="194"/>
        <v>45920</v>
      </c>
      <c r="AC202" s="88">
        <f t="shared" si="195"/>
        <v>19.857142857142858</v>
      </c>
      <c r="AD202" s="89" t="str">
        <f t="shared" ca="1" si="196"/>
        <v>STABLE</v>
      </c>
      <c r="AE202" s="89" t="str">
        <f t="shared" si="197"/>
        <v>SLOW SELLING</v>
      </c>
      <c r="AF202" s="89" t="str">
        <f t="shared" si="198"/>
        <v>AT RISK</v>
      </c>
      <c r="AG202" s="89" t="str">
        <f t="shared" si="199"/>
        <v>FEASIBLE</v>
      </c>
      <c r="AH202" s="81" t="str">
        <f t="shared" ca="1" si="200"/>
        <v>MONITOR</v>
      </c>
      <c r="AI202" s="75">
        <f t="shared" ca="1" si="201"/>
        <v>0</v>
      </c>
      <c r="AJ202" s="75">
        <f t="shared" ca="1" si="202"/>
        <v>-660</v>
      </c>
      <c r="AK202" s="13">
        <f t="shared" ca="1" si="203"/>
        <v>-792</v>
      </c>
      <c r="AL202" s="79">
        <v>0.1</v>
      </c>
      <c r="AM202" s="79">
        <v>0.3</v>
      </c>
      <c r="AN202" s="79">
        <v>0.3</v>
      </c>
      <c r="AO202" s="79">
        <v>0.1</v>
      </c>
      <c r="AP202" s="79">
        <v>0.1</v>
      </c>
      <c r="AQ202" s="75">
        <f t="shared" si="204"/>
        <v>66</v>
      </c>
      <c r="AR202" s="75">
        <f t="shared" si="205"/>
        <v>198</v>
      </c>
      <c r="AS202" s="75">
        <f t="shared" si="206"/>
        <v>198</v>
      </c>
      <c r="AT202" s="75">
        <f t="shared" si="207"/>
        <v>66</v>
      </c>
      <c r="AU202" s="75">
        <f t="shared" si="208"/>
        <v>66</v>
      </c>
      <c r="AV202" s="13">
        <v>0.8</v>
      </c>
      <c r="AW202" s="13">
        <v>1.2</v>
      </c>
      <c r="AX202" s="13">
        <v>1.3</v>
      </c>
      <c r="AY202" s="13">
        <v>1</v>
      </c>
      <c r="AZ202" s="13">
        <v>0.7</v>
      </c>
      <c r="BA202" s="105">
        <f t="shared" si="209"/>
        <v>4.8000000000000007</v>
      </c>
      <c r="BB202" s="13">
        <f t="shared" si="210"/>
        <v>21.599999999999998</v>
      </c>
      <c r="BC202" s="13">
        <f t="shared" si="211"/>
        <v>23.400000000000002</v>
      </c>
      <c r="BD202" s="13">
        <f t="shared" si="212"/>
        <v>6</v>
      </c>
      <c r="BE202" s="13">
        <f t="shared" si="213"/>
        <v>4.1999999999999993</v>
      </c>
      <c r="BF202" s="88">
        <f t="shared" si="214"/>
        <v>13.749999999999998</v>
      </c>
      <c r="BG202" s="88">
        <f t="shared" si="215"/>
        <v>9.1666666666666679</v>
      </c>
      <c r="BH202" s="88">
        <f t="shared" si="216"/>
        <v>8.4615384615384599</v>
      </c>
      <c r="BI202" s="88">
        <f t="shared" si="217"/>
        <v>11</v>
      </c>
      <c r="BJ202" s="88">
        <f t="shared" si="218"/>
        <v>15.714285714285717</v>
      </c>
      <c r="BK202" s="105">
        <f t="shared" si="219"/>
        <v>7.2727272727272738E-2</v>
      </c>
      <c r="BL202" s="105">
        <f t="shared" si="220"/>
        <v>0.10909090909090907</v>
      </c>
      <c r="BM202" s="105">
        <f t="shared" si="221"/>
        <v>0.11818181818181821</v>
      </c>
      <c r="BN202" s="105">
        <f t="shared" si="222"/>
        <v>9.0909090909090912E-2</v>
      </c>
      <c r="BO202" s="105">
        <f t="shared" si="223"/>
        <v>6.363636363636363E-2</v>
      </c>
      <c r="BP202" s="105">
        <f t="shared" si="224"/>
        <v>0.45454545454545459</v>
      </c>
      <c r="BQ202" s="79">
        <f t="shared" si="225"/>
        <v>0.16</v>
      </c>
      <c r="BR202" s="79">
        <f t="shared" si="226"/>
        <v>0.23999999999999994</v>
      </c>
      <c r="BS202" s="79">
        <f t="shared" si="227"/>
        <v>0.26</v>
      </c>
      <c r="BT202" s="79">
        <f t="shared" si="228"/>
        <v>0.19999999999999998</v>
      </c>
      <c r="BU202" s="79">
        <f t="shared" si="229"/>
        <v>0.13999999999999999</v>
      </c>
      <c r="BV202" s="90" t="str">
        <f t="array" aca="1" ref="BV202" ca="1">_xlfn.TEXTJOIN(" ",TRUE,
_xlfn.TEXTJOIN(":",TRUE,ROUND(BK202:BO202/MIN(IF(BK202:BO202&gt;0,BK202:BO202)),0)),
"|",
ROUND(SUM(BW202:CA202),0))</f>
        <v>1:2:2:1:1 | -792</v>
      </c>
      <c r="BW202" s="106">
        <f t="shared" ca="1" si="173"/>
        <v>-126.72</v>
      </c>
      <c r="BX202" s="106">
        <f t="shared" ca="1" si="176"/>
        <v>-190.07999999999996</v>
      </c>
      <c r="BY202" s="106">
        <f t="shared" ca="1" si="177"/>
        <v>-205.92000000000002</v>
      </c>
      <c r="BZ202" s="106">
        <f t="shared" ca="1" si="178"/>
        <v>-158.39999999999998</v>
      </c>
      <c r="CA202" s="106">
        <f t="shared" ca="1" si="174"/>
        <v>-110.88</v>
      </c>
    </row>
    <row r="203" spans="1:79" x14ac:dyDescent="0.35">
      <c r="A203" s="25" t="s">
        <v>217</v>
      </c>
      <c r="B203" s="10" t="s">
        <v>319</v>
      </c>
      <c r="C203" s="10" t="s">
        <v>342</v>
      </c>
      <c r="D203" s="10" t="s">
        <v>346</v>
      </c>
      <c r="E203" s="11">
        <v>45864</v>
      </c>
      <c r="F203" s="17">
        <v>45892</v>
      </c>
      <c r="G203" s="14">
        <f t="shared" ca="1" si="179"/>
        <v>207</v>
      </c>
      <c r="H203" s="17">
        <v>499</v>
      </c>
      <c r="I203" s="17">
        <v>235</v>
      </c>
      <c r="J203" s="75">
        <f t="shared" si="180"/>
        <v>823</v>
      </c>
      <c r="K203" s="17">
        <v>900</v>
      </c>
      <c r="L203" s="85">
        <v>77</v>
      </c>
      <c r="M203" s="86">
        <f t="shared" ca="1" si="181"/>
        <v>0.3719806763285024</v>
      </c>
      <c r="N203" s="86">
        <f t="shared" si="182"/>
        <v>0.80451009251471861</v>
      </c>
      <c r="O203" s="86">
        <f t="shared" si="183"/>
        <v>0.2347560975609756</v>
      </c>
      <c r="P203" s="87">
        <f t="shared" si="184"/>
        <v>19.25</v>
      </c>
      <c r="Q203" s="104">
        <f t="shared" si="185"/>
        <v>42.753246753246756</v>
      </c>
      <c r="R203" s="88">
        <f t="shared" si="186"/>
        <v>52.905811623246493</v>
      </c>
      <c r="S203" s="88">
        <f t="shared" si="187"/>
        <v>8.5555555555555554</v>
      </c>
      <c r="T203" s="13">
        <f t="shared" si="188"/>
        <v>1</v>
      </c>
      <c r="U203" s="13">
        <f t="shared" si="189"/>
        <v>1</v>
      </c>
      <c r="V203" s="13">
        <f t="shared" si="190"/>
        <v>2</v>
      </c>
      <c r="W203" s="13">
        <f t="shared" ca="1" si="191"/>
        <v>3</v>
      </c>
      <c r="X203" s="13">
        <f t="shared" ca="1" si="192"/>
        <v>7</v>
      </c>
      <c r="Y203" s="81" t="str">
        <f t="shared" ca="1" si="193"/>
        <v>MONITOR</v>
      </c>
      <c r="Z203" s="13">
        <v>14</v>
      </c>
      <c r="AA203" s="75">
        <v>46059</v>
      </c>
      <c r="AB203" s="75">
        <f t="shared" si="194"/>
        <v>45920</v>
      </c>
      <c r="AC203" s="88">
        <f t="shared" si="195"/>
        <v>19.857142857142858</v>
      </c>
      <c r="AD203" s="89" t="str">
        <f t="shared" ca="1" si="196"/>
        <v>STABLE</v>
      </c>
      <c r="AE203" s="89" t="str">
        <f t="shared" si="197"/>
        <v>SLOW SELLING</v>
      </c>
      <c r="AF203" s="89" t="str">
        <f t="shared" si="198"/>
        <v>AT RISK</v>
      </c>
      <c r="AG203" s="89" t="str">
        <f t="shared" si="199"/>
        <v>FEASIBLE</v>
      </c>
      <c r="AH203" s="81" t="str">
        <f t="shared" ca="1" si="200"/>
        <v>MONITOR</v>
      </c>
      <c r="AI203" s="75">
        <f t="shared" ca="1" si="201"/>
        <v>0</v>
      </c>
      <c r="AJ203" s="75">
        <f t="shared" ca="1" si="202"/>
        <v>-823</v>
      </c>
      <c r="AK203" s="13">
        <f t="shared" ca="1" si="203"/>
        <v>-988</v>
      </c>
      <c r="AL203" s="79">
        <v>0.1</v>
      </c>
      <c r="AM203" s="79">
        <v>0.3</v>
      </c>
      <c r="AN203" s="79">
        <v>0.3</v>
      </c>
      <c r="AO203" s="79">
        <v>0.1</v>
      </c>
      <c r="AP203" s="79">
        <v>0.1</v>
      </c>
      <c r="AQ203" s="75">
        <f t="shared" si="204"/>
        <v>82.300000000000011</v>
      </c>
      <c r="AR203" s="75">
        <f t="shared" si="205"/>
        <v>246.89999999999998</v>
      </c>
      <c r="AS203" s="75">
        <f t="shared" si="206"/>
        <v>246.89999999999998</v>
      </c>
      <c r="AT203" s="75">
        <f t="shared" si="207"/>
        <v>82.300000000000011</v>
      </c>
      <c r="AU203" s="75">
        <f t="shared" si="208"/>
        <v>82.300000000000011</v>
      </c>
      <c r="AV203" s="13">
        <v>0.8</v>
      </c>
      <c r="AW203" s="13">
        <v>1.2</v>
      </c>
      <c r="AX203" s="13">
        <v>1.3</v>
      </c>
      <c r="AY203" s="13">
        <v>1</v>
      </c>
      <c r="AZ203" s="13">
        <v>0.7</v>
      </c>
      <c r="BA203" s="105">
        <f t="shared" si="209"/>
        <v>1.54</v>
      </c>
      <c r="BB203" s="13">
        <f t="shared" si="210"/>
        <v>6.9299999999999988</v>
      </c>
      <c r="BC203" s="13">
        <f t="shared" si="211"/>
        <v>7.5074999999999994</v>
      </c>
      <c r="BD203" s="13">
        <f t="shared" si="212"/>
        <v>1.925</v>
      </c>
      <c r="BE203" s="13">
        <f t="shared" si="213"/>
        <v>1.3474999999999999</v>
      </c>
      <c r="BF203" s="88">
        <f t="shared" si="214"/>
        <v>53.441558441558449</v>
      </c>
      <c r="BG203" s="88">
        <f t="shared" si="215"/>
        <v>35.62770562770563</v>
      </c>
      <c r="BH203" s="88">
        <f t="shared" si="216"/>
        <v>32.887112887112885</v>
      </c>
      <c r="BI203" s="88">
        <f t="shared" si="217"/>
        <v>42.753246753246756</v>
      </c>
      <c r="BJ203" s="88">
        <f t="shared" si="218"/>
        <v>61.076066790352513</v>
      </c>
      <c r="BK203" s="105">
        <f t="shared" si="219"/>
        <v>1.8712029161603885E-2</v>
      </c>
      <c r="BL203" s="105">
        <f t="shared" si="220"/>
        <v>2.8068043742405829E-2</v>
      </c>
      <c r="BM203" s="105">
        <f t="shared" si="221"/>
        <v>3.0407047387606322E-2</v>
      </c>
      <c r="BN203" s="105">
        <f t="shared" si="222"/>
        <v>2.339003645200486E-2</v>
      </c>
      <c r="BO203" s="105">
        <f t="shared" si="223"/>
        <v>1.6373025516403399E-2</v>
      </c>
      <c r="BP203" s="105">
        <f t="shared" si="224"/>
        <v>0.11695018226002429</v>
      </c>
      <c r="BQ203" s="79">
        <f t="shared" si="225"/>
        <v>0.15999999999999998</v>
      </c>
      <c r="BR203" s="79">
        <f t="shared" si="226"/>
        <v>0.24</v>
      </c>
      <c r="BS203" s="79">
        <f t="shared" si="227"/>
        <v>0.26000000000000006</v>
      </c>
      <c r="BT203" s="79">
        <f t="shared" si="228"/>
        <v>0.2</v>
      </c>
      <c r="BU203" s="79">
        <f t="shared" si="229"/>
        <v>0.13999999999999999</v>
      </c>
      <c r="BV203" s="90" t="str">
        <f t="array" aca="1" ref="BV203" ca="1">_xlfn.TEXTJOIN(" ",TRUE,
_xlfn.TEXTJOIN(":",TRUE,ROUND(BK203:BO203/MIN(IF(BK203:BO203&gt;0,BK203:BO203)),0)),
"|",
ROUND(SUM(BW203:CA203),0))</f>
        <v>1:2:2:1:1 | -988</v>
      </c>
      <c r="BW203" s="106">
        <f t="shared" ca="1" si="173"/>
        <v>-158.07999999999998</v>
      </c>
      <c r="BX203" s="106">
        <f t="shared" ca="1" si="176"/>
        <v>-237.12</v>
      </c>
      <c r="BY203" s="106">
        <f t="shared" ca="1" si="177"/>
        <v>-256.88000000000005</v>
      </c>
      <c r="BZ203" s="106">
        <f t="shared" ca="1" si="178"/>
        <v>-197.60000000000002</v>
      </c>
      <c r="CA203" s="106">
        <f t="shared" ca="1" si="174"/>
        <v>-138.32</v>
      </c>
    </row>
    <row r="204" spans="1:79" x14ac:dyDescent="0.35">
      <c r="A204" s="25" t="s">
        <v>218</v>
      </c>
      <c r="B204" s="10" t="s">
        <v>330</v>
      </c>
      <c r="C204" s="10" t="s">
        <v>342</v>
      </c>
      <c r="D204" s="10" t="s">
        <v>346</v>
      </c>
      <c r="E204" s="11">
        <v>45920</v>
      </c>
      <c r="F204" s="17">
        <v>45892</v>
      </c>
      <c r="G204" s="14">
        <f t="shared" ca="1" si="179"/>
        <v>207</v>
      </c>
      <c r="H204" s="17">
        <v>499</v>
      </c>
      <c r="I204" s="17">
        <v>240</v>
      </c>
      <c r="J204" s="75">
        <f t="shared" si="180"/>
        <v>891</v>
      </c>
      <c r="K204" s="17">
        <v>900</v>
      </c>
      <c r="L204" s="85">
        <v>9</v>
      </c>
      <c r="M204" s="86">
        <f t="shared" ca="1" si="181"/>
        <v>4.3478260869565216E-2</v>
      </c>
      <c r="N204" s="86">
        <f t="shared" si="182"/>
        <v>0.80451009251471861</v>
      </c>
      <c r="O204" s="86">
        <f t="shared" si="183"/>
        <v>2.7439024390243903E-2</v>
      </c>
      <c r="P204" s="87">
        <f t="shared" si="184"/>
        <v>2.25</v>
      </c>
      <c r="Q204" s="104">
        <f t="shared" si="185"/>
        <v>396</v>
      </c>
      <c r="R204" s="88">
        <f t="shared" si="186"/>
        <v>51.903807615230455</v>
      </c>
      <c r="S204" s="88">
        <f t="shared" si="187"/>
        <v>1</v>
      </c>
      <c r="T204" s="13">
        <f t="shared" si="188"/>
        <v>1</v>
      </c>
      <c r="U204" s="13">
        <f t="shared" si="189"/>
        <v>1</v>
      </c>
      <c r="V204" s="13">
        <f t="shared" si="190"/>
        <v>2</v>
      </c>
      <c r="W204" s="13">
        <f t="shared" ca="1" si="191"/>
        <v>3</v>
      </c>
      <c r="X204" s="13">
        <f t="shared" ca="1" si="192"/>
        <v>7</v>
      </c>
      <c r="Y204" s="81" t="str">
        <f t="shared" ca="1" si="193"/>
        <v>MONITOR</v>
      </c>
      <c r="Z204" s="13">
        <v>14</v>
      </c>
      <c r="AA204" s="75">
        <v>46059</v>
      </c>
      <c r="AB204" s="75">
        <f t="shared" si="194"/>
        <v>45920</v>
      </c>
      <c r="AC204" s="88">
        <f t="shared" si="195"/>
        <v>19.857142857142858</v>
      </c>
      <c r="AD204" s="89" t="str">
        <f t="shared" ca="1" si="196"/>
        <v>STABLE</v>
      </c>
      <c r="AE204" s="89" t="str">
        <f t="shared" si="197"/>
        <v>SLOW SELLING</v>
      </c>
      <c r="AF204" s="89" t="str">
        <f t="shared" si="198"/>
        <v>AT RISK</v>
      </c>
      <c r="AG204" s="89" t="str">
        <f t="shared" si="199"/>
        <v>FEASIBLE</v>
      </c>
      <c r="AH204" s="81" t="str">
        <f t="shared" ca="1" si="200"/>
        <v>MONITOR</v>
      </c>
      <c r="AI204" s="75">
        <f t="shared" ca="1" si="201"/>
        <v>0</v>
      </c>
      <c r="AJ204" s="75">
        <f t="shared" ca="1" si="202"/>
        <v>-891</v>
      </c>
      <c r="AK204" s="13">
        <f t="shared" ca="1" si="203"/>
        <v>-1069</v>
      </c>
      <c r="AL204" s="79">
        <v>0.1</v>
      </c>
      <c r="AM204" s="79">
        <v>0.3</v>
      </c>
      <c r="AN204" s="79">
        <v>0.3</v>
      </c>
      <c r="AO204" s="79">
        <v>0.1</v>
      </c>
      <c r="AP204" s="79">
        <v>0.1</v>
      </c>
      <c r="AQ204" s="75">
        <f t="shared" si="204"/>
        <v>89.100000000000009</v>
      </c>
      <c r="AR204" s="75">
        <f t="shared" si="205"/>
        <v>267.3</v>
      </c>
      <c r="AS204" s="75">
        <f t="shared" si="206"/>
        <v>267.3</v>
      </c>
      <c r="AT204" s="75">
        <f t="shared" si="207"/>
        <v>89.100000000000009</v>
      </c>
      <c r="AU204" s="75">
        <f t="shared" si="208"/>
        <v>89.100000000000009</v>
      </c>
      <c r="AV204" s="13">
        <v>0.8</v>
      </c>
      <c r="AW204" s="13">
        <v>1.2</v>
      </c>
      <c r="AX204" s="13">
        <v>1.3</v>
      </c>
      <c r="AY204" s="13">
        <v>1</v>
      </c>
      <c r="AZ204" s="13">
        <v>0.7</v>
      </c>
      <c r="BA204" s="105">
        <f t="shared" si="209"/>
        <v>0.18000000000000002</v>
      </c>
      <c r="BB204" s="13">
        <f t="shared" si="210"/>
        <v>0.80999999999999994</v>
      </c>
      <c r="BC204" s="13">
        <f t="shared" si="211"/>
        <v>0.87749999999999995</v>
      </c>
      <c r="BD204" s="13">
        <f t="shared" si="212"/>
        <v>0.22500000000000001</v>
      </c>
      <c r="BE204" s="13">
        <f t="shared" si="213"/>
        <v>0.1575</v>
      </c>
      <c r="BF204" s="88">
        <f t="shared" si="214"/>
        <v>495</v>
      </c>
      <c r="BG204" s="88">
        <f t="shared" si="215"/>
        <v>330.00000000000006</v>
      </c>
      <c r="BH204" s="88">
        <f t="shared" si="216"/>
        <v>304.61538461538464</v>
      </c>
      <c r="BI204" s="88">
        <f t="shared" si="217"/>
        <v>396</v>
      </c>
      <c r="BJ204" s="88">
        <f t="shared" si="218"/>
        <v>565.71428571428578</v>
      </c>
      <c r="BK204" s="105">
        <f t="shared" si="219"/>
        <v>2.0202020202020202E-3</v>
      </c>
      <c r="BL204" s="105">
        <f t="shared" si="220"/>
        <v>3.0303030303030299E-3</v>
      </c>
      <c r="BM204" s="105">
        <f t="shared" si="221"/>
        <v>3.2828282828282827E-3</v>
      </c>
      <c r="BN204" s="105">
        <f t="shared" si="222"/>
        <v>2.5252525252525255E-3</v>
      </c>
      <c r="BO204" s="105">
        <f t="shared" si="223"/>
        <v>1.7676767676767676E-3</v>
      </c>
      <c r="BP204" s="105">
        <f t="shared" si="224"/>
        <v>1.2626262626262626E-2</v>
      </c>
      <c r="BQ204" s="79">
        <f t="shared" si="225"/>
        <v>0.16</v>
      </c>
      <c r="BR204" s="79">
        <f t="shared" si="226"/>
        <v>0.23999999999999996</v>
      </c>
      <c r="BS204" s="79">
        <f t="shared" si="227"/>
        <v>0.26</v>
      </c>
      <c r="BT204" s="79">
        <f t="shared" si="228"/>
        <v>0.2</v>
      </c>
      <c r="BU204" s="79">
        <f t="shared" si="229"/>
        <v>0.13999999999999999</v>
      </c>
      <c r="BV204" s="90" t="str">
        <f t="array" aca="1" ref="BV204" ca="1">_xlfn.TEXTJOIN(" ",TRUE,
_xlfn.TEXTJOIN(":",TRUE,ROUND(BK204:BO204/MIN(IF(BK204:BO204&gt;0,BK204:BO204)),0)),
"|",
ROUND(SUM(BW204:CA204),0))</f>
        <v>1:2:2:1:1 | -1069</v>
      </c>
      <c r="BW204" s="106">
        <f t="shared" ca="1" si="173"/>
        <v>-171.04</v>
      </c>
      <c r="BX204" s="106">
        <f t="shared" ca="1" si="176"/>
        <v>-256.55999999999995</v>
      </c>
      <c r="BY204" s="106">
        <f t="shared" ca="1" si="177"/>
        <v>-277.94</v>
      </c>
      <c r="BZ204" s="106">
        <f t="shared" ca="1" si="178"/>
        <v>-213.8</v>
      </c>
      <c r="CA204" s="106">
        <f t="shared" ca="1" si="174"/>
        <v>-149.66</v>
      </c>
    </row>
    <row r="205" spans="1:79" x14ac:dyDescent="0.35">
      <c r="A205" s="25" t="s">
        <v>219</v>
      </c>
      <c r="B205" s="10" t="s">
        <v>332</v>
      </c>
      <c r="C205" s="10" t="s">
        <v>342</v>
      </c>
      <c r="D205" s="10" t="s">
        <v>346</v>
      </c>
      <c r="E205" s="11">
        <v>45892</v>
      </c>
      <c r="F205" s="17">
        <v>45892</v>
      </c>
      <c r="G205" s="14">
        <f t="shared" ca="1" si="179"/>
        <v>207</v>
      </c>
      <c r="H205" s="17">
        <v>399</v>
      </c>
      <c r="I205" s="17">
        <v>225</v>
      </c>
      <c r="J205" s="75">
        <f t="shared" si="180"/>
        <v>703</v>
      </c>
      <c r="K205" s="17">
        <v>1100</v>
      </c>
      <c r="L205" s="85">
        <v>397</v>
      </c>
      <c r="M205" s="86">
        <f t="shared" ca="1" si="181"/>
        <v>1.9178743961352658</v>
      </c>
      <c r="N205" s="86">
        <f t="shared" si="182"/>
        <v>0.80451009251471861</v>
      </c>
      <c r="O205" s="86">
        <f t="shared" si="183"/>
        <v>1.2103658536585367</v>
      </c>
      <c r="P205" s="87">
        <f t="shared" si="184"/>
        <v>99.25</v>
      </c>
      <c r="Q205" s="104">
        <f t="shared" si="185"/>
        <v>7.0831234256926949</v>
      </c>
      <c r="R205" s="88">
        <f t="shared" si="186"/>
        <v>43.609022556390975</v>
      </c>
      <c r="S205" s="88">
        <f t="shared" si="187"/>
        <v>36.090909090909093</v>
      </c>
      <c r="T205" s="13">
        <f t="shared" si="188"/>
        <v>3</v>
      </c>
      <c r="U205" s="13">
        <f t="shared" si="189"/>
        <v>1</v>
      </c>
      <c r="V205" s="13">
        <f t="shared" si="190"/>
        <v>1</v>
      </c>
      <c r="W205" s="13">
        <f t="shared" ca="1" si="191"/>
        <v>3</v>
      </c>
      <c r="X205" s="13">
        <f t="shared" ca="1" si="192"/>
        <v>8</v>
      </c>
      <c r="Y205" s="81" t="str">
        <f t="shared" ca="1" si="193"/>
        <v>MONITOR</v>
      </c>
      <c r="Z205" s="13">
        <v>14</v>
      </c>
      <c r="AA205" s="75">
        <v>46059</v>
      </c>
      <c r="AB205" s="75">
        <f t="shared" si="194"/>
        <v>45920</v>
      </c>
      <c r="AC205" s="88">
        <f t="shared" si="195"/>
        <v>19.857142857142858</v>
      </c>
      <c r="AD205" s="89" t="str">
        <f t="shared" ca="1" si="196"/>
        <v>STABLE</v>
      </c>
      <c r="AE205" s="89" t="str">
        <f t="shared" si="197"/>
        <v>FAST SELLING</v>
      </c>
      <c r="AF205" s="89" t="str">
        <f t="shared" si="198"/>
        <v>AT RISK</v>
      </c>
      <c r="AG205" s="89" t="str">
        <f t="shared" si="199"/>
        <v>FEASIBLE</v>
      </c>
      <c r="AH205" s="81" t="str">
        <f t="shared" ca="1" si="200"/>
        <v>MONITOR</v>
      </c>
      <c r="AI205" s="75">
        <f t="shared" ca="1" si="201"/>
        <v>0</v>
      </c>
      <c r="AJ205" s="75">
        <f t="shared" ca="1" si="202"/>
        <v>-703</v>
      </c>
      <c r="AK205" s="13">
        <f t="shared" ca="1" si="203"/>
        <v>-844</v>
      </c>
      <c r="AL205" s="79">
        <v>0.1</v>
      </c>
      <c r="AM205" s="79">
        <v>0.3</v>
      </c>
      <c r="AN205" s="79">
        <v>0.3</v>
      </c>
      <c r="AO205" s="79">
        <v>0.1</v>
      </c>
      <c r="AP205" s="79">
        <v>0.1</v>
      </c>
      <c r="AQ205" s="75">
        <f t="shared" si="204"/>
        <v>70.3</v>
      </c>
      <c r="AR205" s="75">
        <f t="shared" si="205"/>
        <v>210.9</v>
      </c>
      <c r="AS205" s="75">
        <f t="shared" si="206"/>
        <v>210.9</v>
      </c>
      <c r="AT205" s="75">
        <f t="shared" si="207"/>
        <v>70.3</v>
      </c>
      <c r="AU205" s="75">
        <f t="shared" si="208"/>
        <v>70.3</v>
      </c>
      <c r="AV205" s="13">
        <v>0.8</v>
      </c>
      <c r="AW205" s="13">
        <v>1.2</v>
      </c>
      <c r="AX205" s="13">
        <v>1.3</v>
      </c>
      <c r="AY205" s="13">
        <v>1</v>
      </c>
      <c r="AZ205" s="13">
        <v>0.7</v>
      </c>
      <c r="BA205" s="105">
        <f t="shared" si="209"/>
        <v>7.9400000000000013</v>
      </c>
      <c r="BB205" s="13">
        <f t="shared" si="210"/>
        <v>35.729999999999997</v>
      </c>
      <c r="BC205" s="13">
        <f t="shared" si="211"/>
        <v>38.707499999999996</v>
      </c>
      <c r="BD205" s="13">
        <f t="shared" si="212"/>
        <v>9.9250000000000007</v>
      </c>
      <c r="BE205" s="13">
        <f t="shared" si="213"/>
        <v>6.9474999999999998</v>
      </c>
      <c r="BF205" s="88">
        <f t="shared" si="214"/>
        <v>8.8539042821158667</v>
      </c>
      <c r="BG205" s="88">
        <f t="shared" si="215"/>
        <v>5.9026028547439138</v>
      </c>
      <c r="BH205" s="88">
        <f t="shared" si="216"/>
        <v>5.4485564813020737</v>
      </c>
      <c r="BI205" s="88">
        <f t="shared" si="217"/>
        <v>7.083123425692694</v>
      </c>
      <c r="BJ205" s="88">
        <f t="shared" si="218"/>
        <v>10.118747750989565</v>
      </c>
      <c r="BK205" s="105">
        <f t="shared" si="219"/>
        <v>0.11294452347083929</v>
      </c>
      <c r="BL205" s="105">
        <f t="shared" si="220"/>
        <v>0.16941678520625886</v>
      </c>
      <c r="BM205" s="105">
        <f t="shared" si="221"/>
        <v>0.18353485064011379</v>
      </c>
      <c r="BN205" s="105">
        <f t="shared" si="222"/>
        <v>0.14118065433854909</v>
      </c>
      <c r="BO205" s="105">
        <f t="shared" si="223"/>
        <v>9.8826458036984352E-2</v>
      </c>
      <c r="BP205" s="105">
        <f t="shared" si="224"/>
        <v>0.70590327169274536</v>
      </c>
      <c r="BQ205" s="79">
        <f t="shared" si="225"/>
        <v>0.16000000000000003</v>
      </c>
      <c r="BR205" s="79">
        <f t="shared" si="226"/>
        <v>0.23999999999999996</v>
      </c>
      <c r="BS205" s="79">
        <f t="shared" si="227"/>
        <v>0.26</v>
      </c>
      <c r="BT205" s="79">
        <f t="shared" si="228"/>
        <v>0.20000000000000004</v>
      </c>
      <c r="BU205" s="79">
        <f t="shared" si="229"/>
        <v>0.14000000000000001</v>
      </c>
      <c r="BV205" s="90" t="str">
        <f t="array" aca="1" ref="BV205" ca="1">_xlfn.TEXTJOIN(" ",TRUE,
_xlfn.TEXTJOIN(":",TRUE,ROUND(BK205:BO205/MIN(IF(BK205:BO205&gt;0,BK205:BO205)),0)),
"|",
ROUND(SUM(BW205:CA205),0))</f>
        <v>1:2:2:1:1 | -844</v>
      </c>
      <c r="BW205" s="106">
        <f t="shared" ref="BW205:BW268" ca="1" si="230">AK205*BQ205</f>
        <v>-135.04000000000002</v>
      </c>
      <c r="BX205" s="106">
        <f t="shared" ca="1" si="176"/>
        <v>-202.55999999999997</v>
      </c>
      <c r="BY205" s="106">
        <f t="shared" ca="1" si="177"/>
        <v>-219.44</v>
      </c>
      <c r="BZ205" s="106">
        <f t="shared" ca="1" si="178"/>
        <v>-168.80000000000004</v>
      </c>
      <c r="CA205" s="106">
        <f t="shared" ca="1" si="174"/>
        <v>-118.16000000000001</v>
      </c>
    </row>
    <row r="206" spans="1:79" x14ac:dyDescent="0.35">
      <c r="A206" s="25" t="s">
        <v>220</v>
      </c>
      <c r="B206" s="10" t="s">
        <v>332</v>
      </c>
      <c r="C206" s="10" t="s">
        <v>342</v>
      </c>
      <c r="D206" s="10" t="s">
        <v>346</v>
      </c>
      <c r="E206" s="11">
        <v>45892</v>
      </c>
      <c r="F206" s="17">
        <v>45892</v>
      </c>
      <c r="G206" s="14">
        <f t="shared" ca="1" si="179"/>
        <v>207</v>
      </c>
      <c r="H206" s="17">
        <v>399</v>
      </c>
      <c r="I206" s="17">
        <v>225</v>
      </c>
      <c r="J206" s="75">
        <f t="shared" si="180"/>
        <v>867</v>
      </c>
      <c r="K206" s="17">
        <v>1100</v>
      </c>
      <c r="L206" s="85">
        <v>233</v>
      </c>
      <c r="M206" s="86">
        <f t="shared" ca="1" si="181"/>
        <v>1.1256038647342994</v>
      </c>
      <c r="N206" s="86">
        <f t="shared" si="182"/>
        <v>0.80451009251471861</v>
      </c>
      <c r="O206" s="86">
        <f t="shared" si="183"/>
        <v>0.71036585365853655</v>
      </c>
      <c r="P206" s="87">
        <f t="shared" si="184"/>
        <v>58.25</v>
      </c>
      <c r="Q206" s="104">
        <f t="shared" si="185"/>
        <v>14.884120171673819</v>
      </c>
      <c r="R206" s="88">
        <f t="shared" si="186"/>
        <v>43.609022556390975</v>
      </c>
      <c r="S206" s="88">
        <f t="shared" si="187"/>
        <v>21.181818181818183</v>
      </c>
      <c r="T206" s="13">
        <f t="shared" si="188"/>
        <v>2</v>
      </c>
      <c r="U206" s="13">
        <f t="shared" si="189"/>
        <v>1</v>
      </c>
      <c r="V206" s="13">
        <f t="shared" si="190"/>
        <v>1</v>
      </c>
      <c r="W206" s="13">
        <f t="shared" ca="1" si="191"/>
        <v>3</v>
      </c>
      <c r="X206" s="13">
        <f t="shared" ca="1" si="192"/>
        <v>7</v>
      </c>
      <c r="Y206" s="81" t="str">
        <f t="shared" ca="1" si="193"/>
        <v>MONITOR</v>
      </c>
      <c r="Z206" s="13">
        <v>14</v>
      </c>
      <c r="AA206" s="75">
        <v>46059</v>
      </c>
      <c r="AB206" s="75">
        <f t="shared" si="194"/>
        <v>45920</v>
      </c>
      <c r="AC206" s="88">
        <f t="shared" si="195"/>
        <v>19.857142857142858</v>
      </c>
      <c r="AD206" s="89" t="str">
        <f t="shared" ca="1" si="196"/>
        <v>STABLE</v>
      </c>
      <c r="AE206" s="89" t="str">
        <f t="shared" si="197"/>
        <v>SLOW SELLING</v>
      </c>
      <c r="AF206" s="89" t="str">
        <f t="shared" si="198"/>
        <v>AT RISK</v>
      </c>
      <c r="AG206" s="89" t="str">
        <f t="shared" si="199"/>
        <v>FEASIBLE</v>
      </c>
      <c r="AH206" s="81" t="str">
        <f t="shared" ca="1" si="200"/>
        <v>MONITOR</v>
      </c>
      <c r="AI206" s="75">
        <f t="shared" ca="1" si="201"/>
        <v>0</v>
      </c>
      <c r="AJ206" s="75">
        <f t="shared" ca="1" si="202"/>
        <v>-867</v>
      </c>
      <c r="AK206" s="13">
        <f t="shared" ca="1" si="203"/>
        <v>-1040</v>
      </c>
      <c r="AL206" s="79">
        <v>0.1</v>
      </c>
      <c r="AM206" s="79">
        <v>0.3</v>
      </c>
      <c r="AN206" s="79">
        <v>0.3</v>
      </c>
      <c r="AO206" s="79">
        <v>0.1</v>
      </c>
      <c r="AP206" s="79">
        <v>0.1</v>
      </c>
      <c r="AQ206" s="75">
        <f t="shared" si="204"/>
        <v>86.7</v>
      </c>
      <c r="AR206" s="75">
        <f t="shared" si="205"/>
        <v>260.09999999999997</v>
      </c>
      <c r="AS206" s="75">
        <f t="shared" si="206"/>
        <v>260.09999999999997</v>
      </c>
      <c r="AT206" s="75">
        <f t="shared" si="207"/>
        <v>86.7</v>
      </c>
      <c r="AU206" s="75">
        <f t="shared" si="208"/>
        <v>86.7</v>
      </c>
      <c r="AV206" s="13">
        <v>0.8</v>
      </c>
      <c r="AW206" s="13">
        <v>1.2</v>
      </c>
      <c r="AX206" s="13">
        <v>1.3</v>
      </c>
      <c r="AY206" s="13">
        <v>1</v>
      </c>
      <c r="AZ206" s="13">
        <v>0.7</v>
      </c>
      <c r="BA206" s="105">
        <f t="shared" si="209"/>
        <v>4.66</v>
      </c>
      <c r="BB206" s="13">
        <f t="shared" si="210"/>
        <v>20.969999999999995</v>
      </c>
      <c r="BC206" s="13">
        <f t="shared" si="211"/>
        <v>22.717499999999998</v>
      </c>
      <c r="BD206" s="13">
        <f t="shared" si="212"/>
        <v>5.8250000000000002</v>
      </c>
      <c r="BE206" s="13">
        <f t="shared" si="213"/>
        <v>4.0774999999999997</v>
      </c>
      <c r="BF206" s="88">
        <f t="shared" si="214"/>
        <v>18.605150214592275</v>
      </c>
      <c r="BG206" s="88">
        <f t="shared" si="215"/>
        <v>12.40343347639485</v>
      </c>
      <c r="BH206" s="88">
        <f t="shared" si="216"/>
        <v>11.449323208979861</v>
      </c>
      <c r="BI206" s="88">
        <f t="shared" si="217"/>
        <v>14.884120171673819</v>
      </c>
      <c r="BJ206" s="88">
        <f t="shared" si="218"/>
        <v>21.263028816676886</v>
      </c>
      <c r="BK206" s="105">
        <f t="shared" si="219"/>
        <v>5.3748558246828143E-2</v>
      </c>
      <c r="BL206" s="105">
        <f t="shared" si="220"/>
        <v>8.0622837370242215E-2</v>
      </c>
      <c r="BM206" s="105">
        <f t="shared" si="221"/>
        <v>8.7341407151095743E-2</v>
      </c>
      <c r="BN206" s="105">
        <f t="shared" si="222"/>
        <v>6.7185697808535186E-2</v>
      </c>
      <c r="BO206" s="105">
        <f t="shared" si="223"/>
        <v>4.7029988465974622E-2</v>
      </c>
      <c r="BP206" s="105">
        <f t="shared" si="224"/>
        <v>0.33592848904267586</v>
      </c>
      <c r="BQ206" s="79">
        <f t="shared" si="225"/>
        <v>0.16</v>
      </c>
      <c r="BR206" s="79">
        <f t="shared" si="226"/>
        <v>0.24000000000000002</v>
      </c>
      <c r="BS206" s="79">
        <f t="shared" si="227"/>
        <v>0.26000000000000006</v>
      </c>
      <c r="BT206" s="79">
        <f t="shared" si="228"/>
        <v>0.20000000000000004</v>
      </c>
      <c r="BU206" s="79">
        <f t="shared" si="229"/>
        <v>0.14000000000000001</v>
      </c>
      <c r="BV206" s="90" t="str">
        <f t="array" aca="1" ref="BV206" ca="1">_xlfn.TEXTJOIN(" ",TRUE,
_xlfn.TEXTJOIN(":",TRUE,ROUND(BK206:BO206/MIN(IF(BK206:BO206&gt;0,BK206:BO206)),0)),
"|",
ROUND(SUM(BW206:CA206),0))</f>
        <v>1:2:2:1:1 | -1040</v>
      </c>
      <c r="BW206" s="106">
        <f t="shared" ca="1" si="230"/>
        <v>-166.4</v>
      </c>
      <c r="BX206" s="106">
        <f t="shared" ca="1" si="176"/>
        <v>-249.60000000000002</v>
      </c>
      <c r="BY206" s="106">
        <f t="shared" ca="1" si="177"/>
        <v>-270.40000000000009</v>
      </c>
      <c r="BZ206" s="106">
        <f t="shared" ca="1" si="178"/>
        <v>-208.00000000000003</v>
      </c>
      <c r="CA206" s="106">
        <f t="shared" ca="1" si="174"/>
        <v>-145.60000000000002</v>
      </c>
    </row>
    <row r="207" spans="1:79" x14ac:dyDescent="0.35">
      <c r="A207" s="25" t="s">
        <v>221</v>
      </c>
      <c r="B207" s="10" t="s">
        <v>332</v>
      </c>
      <c r="C207" s="10" t="s">
        <v>342</v>
      </c>
      <c r="D207" s="10" t="s">
        <v>346</v>
      </c>
      <c r="E207" s="11">
        <v>45892</v>
      </c>
      <c r="F207" s="17">
        <v>45892</v>
      </c>
      <c r="G207" s="14">
        <f t="shared" ca="1" si="179"/>
        <v>207</v>
      </c>
      <c r="H207" s="17">
        <v>399</v>
      </c>
      <c r="I207" s="17">
        <v>225</v>
      </c>
      <c r="J207" s="75">
        <f t="shared" si="180"/>
        <v>939</v>
      </c>
      <c r="K207" s="17">
        <v>1100</v>
      </c>
      <c r="L207" s="85">
        <v>161</v>
      </c>
      <c r="M207" s="86">
        <f t="shared" ca="1" si="181"/>
        <v>0.77777777777777779</v>
      </c>
      <c r="N207" s="86">
        <f t="shared" si="182"/>
        <v>0.80451009251471861</v>
      </c>
      <c r="O207" s="86">
        <f t="shared" si="183"/>
        <v>0.49085365853658536</v>
      </c>
      <c r="P207" s="87">
        <f t="shared" si="184"/>
        <v>40.25</v>
      </c>
      <c r="Q207" s="104">
        <f t="shared" si="185"/>
        <v>23.329192546583851</v>
      </c>
      <c r="R207" s="88">
        <f t="shared" si="186"/>
        <v>43.609022556390975</v>
      </c>
      <c r="S207" s="88">
        <f t="shared" si="187"/>
        <v>14.636363636363637</v>
      </c>
      <c r="T207" s="13">
        <f t="shared" si="188"/>
        <v>1</v>
      </c>
      <c r="U207" s="13">
        <f t="shared" si="189"/>
        <v>1</v>
      </c>
      <c r="V207" s="13">
        <f t="shared" si="190"/>
        <v>1</v>
      </c>
      <c r="W207" s="13">
        <f t="shared" ca="1" si="191"/>
        <v>3</v>
      </c>
      <c r="X207" s="13">
        <f t="shared" ca="1" si="192"/>
        <v>6</v>
      </c>
      <c r="Y207" s="81" t="str">
        <f t="shared" ca="1" si="193"/>
        <v>MONITOR</v>
      </c>
      <c r="Z207" s="13">
        <v>14</v>
      </c>
      <c r="AA207" s="75">
        <v>46059</v>
      </c>
      <c r="AB207" s="75">
        <f t="shared" si="194"/>
        <v>45920</v>
      </c>
      <c r="AC207" s="88">
        <f t="shared" si="195"/>
        <v>19.857142857142858</v>
      </c>
      <c r="AD207" s="89" t="str">
        <f t="shared" ca="1" si="196"/>
        <v>STABLE</v>
      </c>
      <c r="AE207" s="89" t="str">
        <f t="shared" si="197"/>
        <v>SLOW SELLING</v>
      </c>
      <c r="AF207" s="89" t="str">
        <f t="shared" si="198"/>
        <v>AT RISK</v>
      </c>
      <c r="AG207" s="89" t="str">
        <f t="shared" si="199"/>
        <v>FEASIBLE</v>
      </c>
      <c r="AH207" s="81" t="str">
        <f t="shared" ca="1" si="200"/>
        <v>MONITOR</v>
      </c>
      <c r="AI207" s="75">
        <f t="shared" ca="1" si="201"/>
        <v>0</v>
      </c>
      <c r="AJ207" s="75">
        <f t="shared" ca="1" si="202"/>
        <v>-939</v>
      </c>
      <c r="AK207" s="13">
        <f t="shared" ca="1" si="203"/>
        <v>-1127</v>
      </c>
      <c r="AL207" s="79">
        <v>0.1</v>
      </c>
      <c r="AM207" s="79">
        <v>0.3</v>
      </c>
      <c r="AN207" s="79">
        <v>0.3</v>
      </c>
      <c r="AO207" s="79">
        <v>0.1</v>
      </c>
      <c r="AP207" s="79">
        <v>0.1</v>
      </c>
      <c r="AQ207" s="75">
        <f t="shared" si="204"/>
        <v>93.9</v>
      </c>
      <c r="AR207" s="75">
        <f t="shared" si="205"/>
        <v>281.7</v>
      </c>
      <c r="AS207" s="75">
        <f t="shared" si="206"/>
        <v>281.7</v>
      </c>
      <c r="AT207" s="75">
        <f t="shared" si="207"/>
        <v>93.9</v>
      </c>
      <c r="AU207" s="75">
        <f t="shared" si="208"/>
        <v>93.9</v>
      </c>
      <c r="AV207" s="13">
        <v>0.8</v>
      </c>
      <c r="AW207" s="13">
        <v>1.2</v>
      </c>
      <c r="AX207" s="13">
        <v>1.3</v>
      </c>
      <c r="AY207" s="13">
        <v>1</v>
      </c>
      <c r="AZ207" s="13">
        <v>0.7</v>
      </c>
      <c r="BA207" s="105">
        <f t="shared" si="209"/>
        <v>3.2200000000000006</v>
      </c>
      <c r="BB207" s="13">
        <f t="shared" si="210"/>
        <v>14.489999999999998</v>
      </c>
      <c r="BC207" s="13">
        <f t="shared" si="211"/>
        <v>15.6975</v>
      </c>
      <c r="BD207" s="13">
        <f t="shared" si="212"/>
        <v>4.0250000000000004</v>
      </c>
      <c r="BE207" s="13">
        <f t="shared" si="213"/>
        <v>2.8174999999999999</v>
      </c>
      <c r="BF207" s="88">
        <f t="shared" si="214"/>
        <v>29.161490683229811</v>
      </c>
      <c r="BG207" s="88">
        <f t="shared" si="215"/>
        <v>19.440993788819878</v>
      </c>
      <c r="BH207" s="88">
        <f t="shared" si="216"/>
        <v>17.945532728141423</v>
      </c>
      <c r="BI207" s="88">
        <f t="shared" si="217"/>
        <v>23.329192546583851</v>
      </c>
      <c r="BJ207" s="88">
        <f t="shared" si="218"/>
        <v>33.327417923691222</v>
      </c>
      <c r="BK207" s="105">
        <f t="shared" si="219"/>
        <v>3.4291799787007457E-2</v>
      </c>
      <c r="BL207" s="105">
        <f t="shared" si="220"/>
        <v>5.1437699680511179E-2</v>
      </c>
      <c r="BM207" s="105">
        <f t="shared" si="221"/>
        <v>5.5724174653887119E-2</v>
      </c>
      <c r="BN207" s="105">
        <f t="shared" si="222"/>
        <v>4.2864749733759318E-2</v>
      </c>
      <c r="BO207" s="105">
        <f t="shared" si="223"/>
        <v>3.0005324813631516E-2</v>
      </c>
      <c r="BP207" s="105">
        <f t="shared" si="224"/>
        <v>0.21432374866879658</v>
      </c>
      <c r="BQ207" s="79">
        <f t="shared" si="225"/>
        <v>0.16000000000000003</v>
      </c>
      <c r="BR207" s="79">
        <f t="shared" si="226"/>
        <v>0.24</v>
      </c>
      <c r="BS207" s="79">
        <f t="shared" si="227"/>
        <v>0.26000000000000006</v>
      </c>
      <c r="BT207" s="79">
        <f t="shared" si="228"/>
        <v>0.2</v>
      </c>
      <c r="BU207" s="79">
        <f t="shared" si="229"/>
        <v>0.13999999999999999</v>
      </c>
      <c r="BV207" s="90" t="str">
        <f t="array" aca="1" ref="BV207" ca="1">_xlfn.TEXTJOIN(" ",TRUE,
_xlfn.TEXTJOIN(":",TRUE,ROUND(BK207:BO207/MIN(IF(BK207:BO207&gt;0,BK207:BO207)),0)),
"|",
ROUND(SUM(BW207:CA207),0))</f>
        <v>1:2:2:1:1 | -1127</v>
      </c>
      <c r="BW207" s="106">
        <f t="shared" ca="1" si="230"/>
        <v>-180.32000000000002</v>
      </c>
      <c r="BX207" s="106">
        <f t="shared" ca="1" si="176"/>
        <v>-270.48</v>
      </c>
      <c r="BY207" s="106">
        <f t="shared" ca="1" si="177"/>
        <v>-293.0200000000001</v>
      </c>
      <c r="BZ207" s="106">
        <f t="shared" ca="1" si="178"/>
        <v>-225.4</v>
      </c>
      <c r="CA207" s="106">
        <f t="shared" ca="1" si="174"/>
        <v>-157.77999999999997</v>
      </c>
    </row>
    <row r="208" spans="1:79" x14ac:dyDescent="0.35">
      <c r="A208" s="25" t="s">
        <v>222</v>
      </c>
      <c r="B208" s="10" t="s">
        <v>332</v>
      </c>
      <c r="C208" s="10" t="s">
        <v>342</v>
      </c>
      <c r="D208" s="10" t="s">
        <v>346</v>
      </c>
      <c r="E208" s="11">
        <v>45892</v>
      </c>
      <c r="F208" s="17">
        <v>45892</v>
      </c>
      <c r="G208" s="14">
        <f t="shared" ca="1" si="179"/>
        <v>207</v>
      </c>
      <c r="H208" s="17">
        <v>399</v>
      </c>
      <c r="I208" s="17">
        <v>225</v>
      </c>
      <c r="J208" s="75">
        <f t="shared" si="180"/>
        <v>938</v>
      </c>
      <c r="K208" s="17">
        <v>1100</v>
      </c>
      <c r="L208" s="85">
        <v>162</v>
      </c>
      <c r="M208" s="86">
        <f t="shared" ca="1" si="181"/>
        <v>0.78260869565217395</v>
      </c>
      <c r="N208" s="86">
        <f t="shared" si="182"/>
        <v>0.80451009251471861</v>
      </c>
      <c r="O208" s="86">
        <f t="shared" si="183"/>
        <v>0.49390243902439024</v>
      </c>
      <c r="P208" s="87">
        <f t="shared" si="184"/>
        <v>40.5</v>
      </c>
      <c r="Q208" s="104">
        <f t="shared" si="185"/>
        <v>23.160493827160494</v>
      </c>
      <c r="R208" s="88">
        <f t="shared" si="186"/>
        <v>43.609022556390975</v>
      </c>
      <c r="S208" s="88">
        <f t="shared" si="187"/>
        <v>14.727272727272728</v>
      </c>
      <c r="T208" s="13">
        <f t="shared" si="188"/>
        <v>1</v>
      </c>
      <c r="U208" s="13">
        <f t="shared" si="189"/>
        <v>1</v>
      </c>
      <c r="V208" s="13">
        <f t="shared" si="190"/>
        <v>1</v>
      </c>
      <c r="W208" s="13">
        <f t="shared" ca="1" si="191"/>
        <v>3</v>
      </c>
      <c r="X208" s="13">
        <f t="shared" ca="1" si="192"/>
        <v>6</v>
      </c>
      <c r="Y208" s="81" t="str">
        <f t="shared" ca="1" si="193"/>
        <v>MONITOR</v>
      </c>
      <c r="Z208" s="13">
        <v>14</v>
      </c>
      <c r="AA208" s="75">
        <v>46059</v>
      </c>
      <c r="AB208" s="75">
        <f t="shared" si="194"/>
        <v>45920</v>
      </c>
      <c r="AC208" s="88">
        <f t="shared" si="195"/>
        <v>19.857142857142858</v>
      </c>
      <c r="AD208" s="89" t="str">
        <f t="shared" ca="1" si="196"/>
        <v>STABLE</v>
      </c>
      <c r="AE208" s="89" t="str">
        <f t="shared" si="197"/>
        <v>SLOW SELLING</v>
      </c>
      <c r="AF208" s="89" t="str">
        <f t="shared" si="198"/>
        <v>AT RISK</v>
      </c>
      <c r="AG208" s="89" t="str">
        <f t="shared" si="199"/>
        <v>FEASIBLE</v>
      </c>
      <c r="AH208" s="81" t="str">
        <f t="shared" ca="1" si="200"/>
        <v>MONITOR</v>
      </c>
      <c r="AI208" s="75">
        <f t="shared" ca="1" si="201"/>
        <v>0</v>
      </c>
      <c r="AJ208" s="75">
        <f t="shared" ca="1" si="202"/>
        <v>-938</v>
      </c>
      <c r="AK208" s="13">
        <f t="shared" ca="1" si="203"/>
        <v>-1126</v>
      </c>
      <c r="AL208" s="79">
        <v>0.1</v>
      </c>
      <c r="AM208" s="79">
        <v>0.3</v>
      </c>
      <c r="AN208" s="79">
        <v>0.3</v>
      </c>
      <c r="AO208" s="79">
        <v>0.1</v>
      </c>
      <c r="AP208" s="79">
        <v>0.1</v>
      </c>
      <c r="AQ208" s="75">
        <f t="shared" si="204"/>
        <v>93.800000000000011</v>
      </c>
      <c r="AR208" s="75">
        <f t="shared" si="205"/>
        <v>281.39999999999998</v>
      </c>
      <c r="AS208" s="75">
        <f t="shared" si="206"/>
        <v>281.39999999999998</v>
      </c>
      <c r="AT208" s="75">
        <f t="shared" si="207"/>
        <v>93.800000000000011</v>
      </c>
      <c r="AU208" s="75">
        <f t="shared" si="208"/>
        <v>93.800000000000011</v>
      </c>
      <c r="AV208" s="13">
        <v>0.8</v>
      </c>
      <c r="AW208" s="13">
        <v>1.2</v>
      </c>
      <c r="AX208" s="13">
        <v>1.3</v>
      </c>
      <c r="AY208" s="13">
        <v>1</v>
      </c>
      <c r="AZ208" s="13">
        <v>0.7</v>
      </c>
      <c r="BA208" s="105">
        <f t="shared" si="209"/>
        <v>3.24</v>
      </c>
      <c r="BB208" s="13">
        <f t="shared" si="210"/>
        <v>14.58</v>
      </c>
      <c r="BC208" s="13">
        <f t="shared" si="211"/>
        <v>15.795000000000002</v>
      </c>
      <c r="BD208" s="13">
        <f t="shared" si="212"/>
        <v>4.05</v>
      </c>
      <c r="BE208" s="13">
        <f t="shared" si="213"/>
        <v>2.8349999999999995</v>
      </c>
      <c r="BF208" s="88">
        <f t="shared" si="214"/>
        <v>28.950617283950621</v>
      </c>
      <c r="BG208" s="88">
        <f t="shared" si="215"/>
        <v>19.300411522633745</v>
      </c>
      <c r="BH208" s="88">
        <f t="shared" si="216"/>
        <v>17.815764482431145</v>
      </c>
      <c r="BI208" s="88">
        <f t="shared" si="217"/>
        <v>23.160493827160497</v>
      </c>
      <c r="BJ208" s="88">
        <f t="shared" si="218"/>
        <v>33.086419753086432</v>
      </c>
      <c r="BK208" s="105">
        <f t="shared" si="219"/>
        <v>3.454157782515991E-2</v>
      </c>
      <c r="BL208" s="105">
        <f t="shared" si="220"/>
        <v>5.1812366737739875E-2</v>
      </c>
      <c r="BM208" s="105">
        <f t="shared" si="221"/>
        <v>5.6130063965884873E-2</v>
      </c>
      <c r="BN208" s="105">
        <f t="shared" si="222"/>
        <v>4.3176972281449885E-2</v>
      </c>
      <c r="BO208" s="105">
        <f t="shared" si="223"/>
        <v>3.0223880597014915E-2</v>
      </c>
      <c r="BP208" s="105">
        <f t="shared" si="224"/>
        <v>0.21588486140724944</v>
      </c>
      <c r="BQ208" s="79">
        <f t="shared" si="225"/>
        <v>0.16</v>
      </c>
      <c r="BR208" s="79">
        <f t="shared" si="226"/>
        <v>0.24000000000000005</v>
      </c>
      <c r="BS208" s="79">
        <f t="shared" si="227"/>
        <v>0.26000000000000006</v>
      </c>
      <c r="BT208" s="79">
        <f t="shared" si="228"/>
        <v>0.19999999999999998</v>
      </c>
      <c r="BU208" s="79">
        <f t="shared" si="229"/>
        <v>0.13999999999999996</v>
      </c>
      <c r="BV208" s="90" t="str">
        <f t="array" aca="1" ref="BV208" ca="1">_xlfn.TEXTJOIN(" ",TRUE,
_xlfn.TEXTJOIN(":",TRUE,ROUND(BK208:BO208/MIN(IF(BK208:BO208&gt;0,BK208:BO208)),0)),
"|",
ROUND(SUM(BW208:CA208),0))</f>
        <v>1:2:2:1:1 | -1126</v>
      </c>
      <c r="BW208" s="106">
        <f t="shared" ca="1" si="230"/>
        <v>-180.16</v>
      </c>
      <c r="BX208" s="106">
        <f t="shared" ca="1" si="176"/>
        <v>-270.24000000000007</v>
      </c>
      <c r="BY208" s="106">
        <f t="shared" ca="1" si="177"/>
        <v>-292.76000000000005</v>
      </c>
      <c r="BZ208" s="106">
        <f t="shared" ca="1" si="178"/>
        <v>-225.2</v>
      </c>
      <c r="CA208" s="106">
        <f t="shared" ca="1" si="174"/>
        <v>-157.63999999999996</v>
      </c>
    </row>
    <row r="209" spans="1:79" x14ac:dyDescent="0.35">
      <c r="A209" s="25" t="s">
        <v>223</v>
      </c>
      <c r="B209" s="10" t="s">
        <v>316</v>
      </c>
      <c r="C209" s="10" t="s">
        <v>345</v>
      </c>
      <c r="D209" s="10" t="s">
        <v>346</v>
      </c>
      <c r="E209" s="11">
        <v>45864</v>
      </c>
      <c r="F209" s="17">
        <v>45892</v>
      </c>
      <c r="G209" s="14">
        <f t="shared" ca="1" si="179"/>
        <v>207</v>
      </c>
      <c r="H209" s="17">
        <v>799</v>
      </c>
      <c r="I209" s="17">
        <v>380</v>
      </c>
      <c r="J209" s="75">
        <f t="shared" si="180"/>
        <v>848</v>
      </c>
      <c r="K209" s="17">
        <v>1000</v>
      </c>
      <c r="L209" s="85">
        <v>152</v>
      </c>
      <c r="M209" s="86">
        <f t="shared" ca="1" si="181"/>
        <v>0.7342995169082126</v>
      </c>
      <c r="N209" s="86">
        <f t="shared" si="182"/>
        <v>0.73224085365853642</v>
      </c>
      <c r="O209" s="86">
        <f t="shared" si="183"/>
        <v>0.46341463414634149</v>
      </c>
      <c r="P209" s="87">
        <f t="shared" si="184"/>
        <v>38</v>
      </c>
      <c r="Q209" s="104">
        <f t="shared" si="185"/>
        <v>22.315789473684209</v>
      </c>
      <c r="R209" s="88">
        <f t="shared" si="186"/>
        <v>52.440550688360453</v>
      </c>
      <c r="S209" s="88">
        <f t="shared" si="187"/>
        <v>15.2</v>
      </c>
      <c r="T209" s="13">
        <f t="shared" si="188"/>
        <v>1</v>
      </c>
      <c r="U209" s="13">
        <f t="shared" si="189"/>
        <v>1</v>
      </c>
      <c r="V209" s="13">
        <f t="shared" si="190"/>
        <v>2</v>
      </c>
      <c r="W209" s="13">
        <f t="shared" ca="1" si="191"/>
        <v>3</v>
      </c>
      <c r="X209" s="13">
        <f t="shared" ca="1" si="192"/>
        <v>7</v>
      </c>
      <c r="Y209" s="81" t="str">
        <f t="shared" ca="1" si="193"/>
        <v>MONITOR</v>
      </c>
      <c r="Z209" s="13">
        <v>14</v>
      </c>
      <c r="AA209" s="75">
        <v>46059</v>
      </c>
      <c r="AB209" s="75">
        <f t="shared" si="194"/>
        <v>45920</v>
      </c>
      <c r="AC209" s="88">
        <f t="shared" si="195"/>
        <v>19.857142857142858</v>
      </c>
      <c r="AD209" s="89" t="str">
        <f t="shared" ca="1" si="196"/>
        <v>STABLE</v>
      </c>
      <c r="AE209" s="89" t="str">
        <f t="shared" si="197"/>
        <v>SLOW SELLING</v>
      </c>
      <c r="AF209" s="89" t="str">
        <f t="shared" si="198"/>
        <v>AT RISK</v>
      </c>
      <c r="AG209" s="89" t="str">
        <f t="shared" si="199"/>
        <v>FEASIBLE</v>
      </c>
      <c r="AH209" s="81" t="str">
        <f t="shared" ca="1" si="200"/>
        <v>MONITOR</v>
      </c>
      <c r="AI209" s="75">
        <f t="shared" ca="1" si="201"/>
        <v>0</v>
      </c>
      <c r="AJ209" s="75">
        <f t="shared" ca="1" si="202"/>
        <v>-848</v>
      </c>
      <c r="AK209" s="13">
        <f t="shared" ca="1" si="203"/>
        <v>-1018</v>
      </c>
      <c r="AL209" s="79">
        <v>0.1</v>
      </c>
      <c r="AM209" s="79">
        <v>0.3</v>
      </c>
      <c r="AN209" s="79">
        <v>0.3</v>
      </c>
      <c r="AO209" s="79">
        <v>0.1</v>
      </c>
      <c r="AP209" s="79">
        <v>0.1</v>
      </c>
      <c r="AQ209" s="75">
        <f t="shared" si="204"/>
        <v>84.800000000000011</v>
      </c>
      <c r="AR209" s="75">
        <f t="shared" si="205"/>
        <v>254.39999999999998</v>
      </c>
      <c r="AS209" s="75">
        <f t="shared" si="206"/>
        <v>254.39999999999998</v>
      </c>
      <c r="AT209" s="75">
        <f t="shared" si="207"/>
        <v>84.800000000000011</v>
      </c>
      <c r="AU209" s="75">
        <f t="shared" si="208"/>
        <v>84.800000000000011</v>
      </c>
      <c r="AV209" s="13">
        <v>0.8</v>
      </c>
      <c r="AW209" s="13">
        <v>1.2</v>
      </c>
      <c r="AX209" s="13">
        <v>1.3</v>
      </c>
      <c r="AY209" s="13">
        <v>1</v>
      </c>
      <c r="AZ209" s="13">
        <v>0.7</v>
      </c>
      <c r="BA209" s="105">
        <f t="shared" si="209"/>
        <v>3.0400000000000005</v>
      </c>
      <c r="BB209" s="13">
        <f t="shared" si="210"/>
        <v>13.68</v>
      </c>
      <c r="BC209" s="13">
        <f t="shared" si="211"/>
        <v>14.82</v>
      </c>
      <c r="BD209" s="13">
        <f t="shared" si="212"/>
        <v>3.8000000000000003</v>
      </c>
      <c r="BE209" s="13">
        <f t="shared" si="213"/>
        <v>2.66</v>
      </c>
      <c r="BF209" s="88">
        <f t="shared" si="214"/>
        <v>27.894736842105264</v>
      </c>
      <c r="BG209" s="88">
        <f t="shared" si="215"/>
        <v>18.596491228070175</v>
      </c>
      <c r="BH209" s="88">
        <f t="shared" si="216"/>
        <v>17.165991902834005</v>
      </c>
      <c r="BI209" s="88">
        <f t="shared" si="217"/>
        <v>22.315789473684212</v>
      </c>
      <c r="BJ209" s="88">
        <f t="shared" si="218"/>
        <v>31.879699248120303</v>
      </c>
      <c r="BK209" s="105">
        <f t="shared" si="219"/>
        <v>3.5849056603773584E-2</v>
      </c>
      <c r="BL209" s="105">
        <f t="shared" si="220"/>
        <v>5.3773584905660379E-2</v>
      </c>
      <c r="BM209" s="105">
        <f t="shared" si="221"/>
        <v>5.8254716981132083E-2</v>
      </c>
      <c r="BN209" s="105">
        <f t="shared" si="222"/>
        <v>4.4811320754716978E-2</v>
      </c>
      <c r="BO209" s="105">
        <f t="shared" si="223"/>
        <v>3.1367924528301887E-2</v>
      </c>
      <c r="BP209" s="105">
        <f t="shared" si="224"/>
        <v>0.22405660377358491</v>
      </c>
      <c r="BQ209" s="79">
        <f t="shared" si="225"/>
        <v>0.16</v>
      </c>
      <c r="BR209" s="79">
        <f t="shared" si="226"/>
        <v>0.24</v>
      </c>
      <c r="BS209" s="79">
        <f t="shared" si="227"/>
        <v>0.26</v>
      </c>
      <c r="BT209" s="79">
        <f t="shared" si="228"/>
        <v>0.19999999999999998</v>
      </c>
      <c r="BU209" s="79">
        <f t="shared" si="229"/>
        <v>0.13999999999999999</v>
      </c>
      <c r="BV209" s="90" t="str">
        <f t="array" aca="1" ref="BV209" ca="1">_xlfn.TEXTJOIN(" ",TRUE,
_xlfn.TEXTJOIN(":",TRUE,ROUND(BK209:BO209/MIN(IF(BK209:BO209&gt;0,BK209:BO209)),0)),
"|",
ROUND(SUM(BW209:CA209),0))</f>
        <v>1:2:2:1:1 | -1018</v>
      </c>
      <c r="BW209" s="106">
        <f t="shared" ca="1" si="230"/>
        <v>-162.88</v>
      </c>
      <c r="BX209" s="106">
        <f t="shared" ca="1" si="176"/>
        <v>-244.32</v>
      </c>
      <c r="BY209" s="106">
        <f t="shared" ca="1" si="177"/>
        <v>-264.68</v>
      </c>
      <c r="BZ209" s="106">
        <f t="shared" ca="1" si="178"/>
        <v>-203.6</v>
      </c>
      <c r="CA209" s="106">
        <f t="shared" ca="1" si="174"/>
        <v>-142.51999999999998</v>
      </c>
    </row>
    <row r="210" spans="1:79" x14ac:dyDescent="0.35">
      <c r="A210" s="25" t="s">
        <v>224</v>
      </c>
      <c r="B210" s="10" t="s">
        <v>316</v>
      </c>
      <c r="C210" s="10" t="s">
        <v>345</v>
      </c>
      <c r="D210" s="10" t="s">
        <v>346</v>
      </c>
      <c r="E210" s="11">
        <v>45864</v>
      </c>
      <c r="F210" s="17">
        <v>45892</v>
      </c>
      <c r="G210" s="14">
        <f t="shared" ca="1" si="179"/>
        <v>207</v>
      </c>
      <c r="H210" s="17">
        <v>799</v>
      </c>
      <c r="I210" s="17">
        <v>380</v>
      </c>
      <c r="J210" s="75">
        <f t="shared" si="180"/>
        <v>812</v>
      </c>
      <c r="K210" s="17">
        <v>1000</v>
      </c>
      <c r="L210" s="85">
        <v>188</v>
      </c>
      <c r="M210" s="86">
        <f t="shared" ca="1" si="181"/>
        <v>0.90821256038647347</v>
      </c>
      <c r="N210" s="86">
        <f t="shared" si="182"/>
        <v>0.73224085365853642</v>
      </c>
      <c r="O210" s="86">
        <f t="shared" si="183"/>
        <v>0.57317073170731703</v>
      </c>
      <c r="P210" s="87">
        <f t="shared" si="184"/>
        <v>46.999999999999993</v>
      </c>
      <c r="Q210" s="104">
        <f t="shared" si="185"/>
        <v>17.276595744680854</v>
      </c>
      <c r="R210" s="88">
        <f t="shared" si="186"/>
        <v>52.440550688360453</v>
      </c>
      <c r="S210" s="88">
        <f t="shared" si="187"/>
        <v>18.8</v>
      </c>
      <c r="T210" s="13">
        <f t="shared" si="188"/>
        <v>1</v>
      </c>
      <c r="U210" s="13">
        <f t="shared" si="189"/>
        <v>1</v>
      </c>
      <c r="V210" s="13">
        <f t="shared" si="190"/>
        <v>2</v>
      </c>
      <c r="W210" s="13">
        <f t="shared" ca="1" si="191"/>
        <v>3</v>
      </c>
      <c r="X210" s="13">
        <f t="shared" ca="1" si="192"/>
        <v>7</v>
      </c>
      <c r="Y210" s="81" t="str">
        <f t="shared" ca="1" si="193"/>
        <v>MONITOR</v>
      </c>
      <c r="Z210" s="13">
        <v>14</v>
      </c>
      <c r="AA210" s="75">
        <v>46059</v>
      </c>
      <c r="AB210" s="75">
        <f t="shared" si="194"/>
        <v>45920</v>
      </c>
      <c r="AC210" s="88">
        <f t="shared" si="195"/>
        <v>19.857142857142858</v>
      </c>
      <c r="AD210" s="89" t="str">
        <f t="shared" ca="1" si="196"/>
        <v>STABLE</v>
      </c>
      <c r="AE210" s="89" t="str">
        <f t="shared" si="197"/>
        <v>SLOW SELLING</v>
      </c>
      <c r="AF210" s="89" t="str">
        <f t="shared" si="198"/>
        <v>AT RISK</v>
      </c>
      <c r="AG210" s="89" t="str">
        <f t="shared" si="199"/>
        <v>FEASIBLE</v>
      </c>
      <c r="AH210" s="81" t="str">
        <f t="shared" ca="1" si="200"/>
        <v>MONITOR</v>
      </c>
      <c r="AI210" s="75">
        <f t="shared" ca="1" si="201"/>
        <v>0</v>
      </c>
      <c r="AJ210" s="75">
        <f t="shared" ca="1" si="202"/>
        <v>-812</v>
      </c>
      <c r="AK210" s="13">
        <f t="shared" ca="1" si="203"/>
        <v>-974</v>
      </c>
      <c r="AL210" s="79">
        <v>0.1</v>
      </c>
      <c r="AM210" s="79">
        <v>0.3</v>
      </c>
      <c r="AN210" s="79">
        <v>0.3</v>
      </c>
      <c r="AO210" s="79">
        <v>0.1</v>
      </c>
      <c r="AP210" s="79">
        <v>0.1</v>
      </c>
      <c r="AQ210" s="75">
        <f t="shared" si="204"/>
        <v>81.2</v>
      </c>
      <c r="AR210" s="75">
        <f t="shared" si="205"/>
        <v>243.6</v>
      </c>
      <c r="AS210" s="75">
        <f t="shared" si="206"/>
        <v>243.6</v>
      </c>
      <c r="AT210" s="75">
        <f t="shared" si="207"/>
        <v>81.2</v>
      </c>
      <c r="AU210" s="75">
        <f t="shared" si="208"/>
        <v>81.2</v>
      </c>
      <c r="AV210" s="13">
        <v>0.8</v>
      </c>
      <c r="AW210" s="13">
        <v>1.2</v>
      </c>
      <c r="AX210" s="13">
        <v>1.3</v>
      </c>
      <c r="AY210" s="13">
        <v>1</v>
      </c>
      <c r="AZ210" s="13">
        <v>0.7</v>
      </c>
      <c r="BA210" s="105">
        <f t="shared" si="209"/>
        <v>3.76</v>
      </c>
      <c r="BB210" s="13">
        <f t="shared" si="210"/>
        <v>16.919999999999998</v>
      </c>
      <c r="BC210" s="13">
        <f t="shared" si="211"/>
        <v>18.329999999999998</v>
      </c>
      <c r="BD210" s="13">
        <f t="shared" si="212"/>
        <v>4.6999999999999993</v>
      </c>
      <c r="BE210" s="13">
        <f t="shared" si="213"/>
        <v>3.2899999999999991</v>
      </c>
      <c r="BF210" s="88">
        <f t="shared" si="214"/>
        <v>21.595744680851066</v>
      </c>
      <c r="BG210" s="88">
        <f t="shared" si="215"/>
        <v>14.397163120567377</v>
      </c>
      <c r="BH210" s="88">
        <f t="shared" si="216"/>
        <v>13.289689034369886</v>
      </c>
      <c r="BI210" s="88">
        <f t="shared" si="217"/>
        <v>17.276595744680854</v>
      </c>
      <c r="BJ210" s="88">
        <f t="shared" si="218"/>
        <v>24.680851063829795</v>
      </c>
      <c r="BK210" s="105">
        <f t="shared" si="219"/>
        <v>4.6305418719211816E-2</v>
      </c>
      <c r="BL210" s="105">
        <f t="shared" si="220"/>
        <v>6.9458128078817724E-2</v>
      </c>
      <c r="BM210" s="105">
        <f t="shared" si="221"/>
        <v>7.5246305418719212E-2</v>
      </c>
      <c r="BN210" s="105">
        <f t="shared" si="222"/>
        <v>5.788177339901477E-2</v>
      </c>
      <c r="BO210" s="105">
        <f t="shared" si="223"/>
        <v>4.0517241379310329E-2</v>
      </c>
      <c r="BP210" s="105">
        <f t="shared" si="224"/>
        <v>0.28940886699507384</v>
      </c>
      <c r="BQ210" s="79">
        <f t="shared" si="225"/>
        <v>0.16</v>
      </c>
      <c r="BR210" s="79">
        <f t="shared" si="226"/>
        <v>0.24000000000000002</v>
      </c>
      <c r="BS210" s="79">
        <f t="shared" si="227"/>
        <v>0.26000000000000006</v>
      </c>
      <c r="BT210" s="79">
        <f t="shared" si="228"/>
        <v>0.2</v>
      </c>
      <c r="BU210" s="79">
        <f t="shared" si="229"/>
        <v>0.13999999999999996</v>
      </c>
      <c r="BV210" s="90" t="str">
        <f t="array" aca="1" ref="BV210" ca="1">_xlfn.TEXTJOIN(" ",TRUE,
_xlfn.TEXTJOIN(":",TRUE,ROUND(BK210:BO210/MIN(IF(BK210:BO210&gt;0,BK210:BO210)),0)),
"|",
ROUND(SUM(BW210:CA210),0))</f>
        <v>1:2:2:1:1 | -974</v>
      </c>
      <c r="BW210" s="106">
        <f t="shared" ca="1" si="230"/>
        <v>-155.84</v>
      </c>
      <c r="BX210" s="106">
        <f t="shared" ca="1" si="176"/>
        <v>-233.76000000000002</v>
      </c>
      <c r="BY210" s="106">
        <f t="shared" ca="1" si="177"/>
        <v>-253.24000000000007</v>
      </c>
      <c r="BZ210" s="106">
        <f t="shared" ca="1" si="178"/>
        <v>-194.8</v>
      </c>
      <c r="CA210" s="106">
        <f t="shared" ca="1" si="174"/>
        <v>-136.35999999999996</v>
      </c>
    </row>
    <row r="211" spans="1:79" x14ac:dyDescent="0.35">
      <c r="A211" s="25" t="s">
        <v>225</v>
      </c>
      <c r="B211" s="10" t="s">
        <v>316</v>
      </c>
      <c r="C211" s="10" t="s">
        <v>345</v>
      </c>
      <c r="D211" s="10" t="s">
        <v>346</v>
      </c>
      <c r="E211" s="11">
        <v>45920</v>
      </c>
      <c r="F211" s="17">
        <v>45892</v>
      </c>
      <c r="G211" s="14">
        <f t="shared" ca="1" si="179"/>
        <v>207</v>
      </c>
      <c r="H211" s="17">
        <v>799</v>
      </c>
      <c r="I211" s="17">
        <v>380</v>
      </c>
      <c r="J211" s="75">
        <f t="shared" si="180"/>
        <v>850</v>
      </c>
      <c r="K211" s="17">
        <v>1000</v>
      </c>
      <c r="L211" s="85">
        <v>150</v>
      </c>
      <c r="M211" s="86">
        <f t="shared" ca="1" si="181"/>
        <v>0.72463768115942029</v>
      </c>
      <c r="N211" s="86">
        <f t="shared" si="182"/>
        <v>0.73224085365853642</v>
      </c>
      <c r="O211" s="86">
        <f t="shared" si="183"/>
        <v>0.45731707317073172</v>
      </c>
      <c r="P211" s="87">
        <f t="shared" si="184"/>
        <v>37.5</v>
      </c>
      <c r="Q211" s="104">
        <f t="shared" si="185"/>
        <v>22.666666666666668</v>
      </c>
      <c r="R211" s="88">
        <f t="shared" si="186"/>
        <v>52.440550688360453</v>
      </c>
      <c r="S211" s="88">
        <f t="shared" si="187"/>
        <v>15</v>
      </c>
      <c r="T211" s="13">
        <f t="shared" si="188"/>
        <v>1</v>
      </c>
      <c r="U211" s="13">
        <f t="shared" si="189"/>
        <v>1</v>
      </c>
      <c r="V211" s="13">
        <f t="shared" si="190"/>
        <v>2</v>
      </c>
      <c r="W211" s="13">
        <f t="shared" ca="1" si="191"/>
        <v>3</v>
      </c>
      <c r="X211" s="13">
        <f t="shared" ca="1" si="192"/>
        <v>7</v>
      </c>
      <c r="Y211" s="81" t="str">
        <f t="shared" ca="1" si="193"/>
        <v>MONITOR</v>
      </c>
      <c r="Z211" s="13">
        <v>14</v>
      </c>
      <c r="AA211" s="75">
        <v>46059</v>
      </c>
      <c r="AB211" s="75">
        <f t="shared" si="194"/>
        <v>45920</v>
      </c>
      <c r="AC211" s="88">
        <f t="shared" si="195"/>
        <v>19.857142857142858</v>
      </c>
      <c r="AD211" s="89" t="str">
        <f t="shared" ca="1" si="196"/>
        <v>STABLE</v>
      </c>
      <c r="AE211" s="89" t="str">
        <f t="shared" si="197"/>
        <v>SLOW SELLING</v>
      </c>
      <c r="AF211" s="89" t="str">
        <f t="shared" si="198"/>
        <v>AT RISK</v>
      </c>
      <c r="AG211" s="89" t="str">
        <f t="shared" si="199"/>
        <v>FEASIBLE</v>
      </c>
      <c r="AH211" s="81" t="str">
        <f t="shared" ca="1" si="200"/>
        <v>MONITOR</v>
      </c>
      <c r="AI211" s="75">
        <f t="shared" ca="1" si="201"/>
        <v>0</v>
      </c>
      <c r="AJ211" s="75">
        <f t="shared" ca="1" si="202"/>
        <v>-850</v>
      </c>
      <c r="AK211" s="13">
        <f t="shared" ca="1" si="203"/>
        <v>-1020</v>
      </c>
      <c r="AL211" s="79">
        <v>0.1</v>
      </c>
      <c r="AM211" s="79">
        <v>0.3</v>
      </c>
      <c r="AN211" s="79">
        <v>0.3</v>
      </c>
      <c r="AO211" s="79">
        <v>0.1</v>
      </c>
      <c r="AP211" s="79">
        <v>0.1</v>
      </c>
      <c r="AQ211" s="75">
        <f t="shared" si="204"/>
        <v>85</v>
      </c>
      <c r="AR211" s="75">
        <f t="shared" si="205"/>
        <v>255</v>
      </c>
      <c r="AS211" s="75">
        <f t="shared" si="206"/>
        <v>255</v>
      </c>
      <c r="AT211" s="75">
        <f t="shared" si="207"/>
        <v>85</v>
      </c>
      <c r="AU211" s="75">
        <f t="shared" si="208"/>
        <v>85</v>
      </c>
      <c r="AV211" s="13">
        <v>0.8</v>
      </c>
      <c r="AW211" s="13">
        <v>1.2</v>
      </c>
      <c r="AX211" s="13">
        <v>1.3</v>
      </c>
      <c r="AY211" s="13">
        <v>1</v>
      </c>
      <c r="AZ211" s="13">
        <v>0.7</v>
      </c>
      <c r="BA211" s="105">
        <f t="shared" si="209"/>
        <v>3</v>
      </c>
      <c r="BB211" s="13">
        <f t="shared" si="210"/>
        <v>13.5</v>
      </c>
      <c r="BC211" s="13">
        <f t="shared" si="211"/>
        <v>14.625</v>
      </c>
      <c r="BD211" s="13">
        <f t="shared" si="212"/>
        <v>3.75</v>
      </c>
      <c r="BE211" s="13">
        <f t="shared" si="213"/>
        <v>2.625</v>
      </c>
      <c r="BF211" s="88">
        <f t="shared" si="214"/>
        <v>28.333333333333332</v>
      </c>
      <c r="BG211" s="88">
        <f t="shared" si="215"/>
        <v>18.888888888888889</v>
      </c>
      <c r="BH211" s="88">
        <f t="shared" si="216"/>
        <v>17.435897435897434</v>
      </c>
      <c r="BI211" s="88">
        <f t="shared" si="217"/>
        <v>22.666666666666668</v>
      </c>
      <c r="BJ211" s="88">
        <f t="shared" si="218"/>
        <v>32.38095238095238</v>
      </c>
      <c r="BK211" s="105">
        <f t="shared" si="219"/>
        <v>3.5294117647058823E-2</v>
      </c>
      <c r="BL211" s="105">
        <f t="shared" si="220"/>
        <v>5.2941176470588235E-2</v>
      </c>
      <c r="BM211" s="105">
        <f t="shared" si="221"/>
        <v>5.7352941176470593E-2</v>
      </c>
      <c r="BN211" s="105">
        <f t="shared" si="222"/>
        <v>4.4117647058823525E-2</v>
      </c>
      <c r="BO211" s="105">
        <f t="shared" si="223"/>
        <v>3.0882352941176472E-2</v>
      </c>
      <c r="BP211" s="105">
        <f t="shared" si="224"/>
        <v>0.22058823529411764</v>
      </c>
      <c r="BQ211" s="79">
        <f t="shared" si="225"/>
        <v>0.16</v>
      </c>
      <c r="BR211" s="79">
        <f t="shared" si="226"/>
        <v>0.24</v>
      </c>
      <c r="BS211" s="79">
        <f t="shared" si="227"/>
        <v>0.26</v>
      </c>
      <c r="BT211" s="79">
        <f t="shared" si="228"/>
        <v>0.19999999999999998</v>
      </c>
      <c r="BU211" s="79">
        <f t="shared" si="229"/>
        <v>0.14000000000000001</v>
      </c>
      <c r="BV211" s="90" t="str">
        <f t="array" aca="1" ref="BV211" ca="1">_xlfn.TEXTJOIN(" ",TRUE,
_xlfn.TEXTJOIN(":",TRUE,ROUND(BK211:BO211/MIN(IF(BK211:BO211&gt;0,BK211:BO211)),0)),
"|",
ROUND(SUM(BW211:CA211),0))</f>
        <v>1:2:2:1:1 | -1020</v>
      </c>
      <c r="BW211" s="106">
        <f t="shared" ca="1" si="230"/>
        <v>-163.20000000000002</v>
      </c>
      <c r="BX211" s="106">
        <f t="shared" ca="1" si="176"/>
        <v>-244.79999999999998</v>
      </c>
      <c r="BY211" s="106">
        <f t="shared" ca="1" si="177"/>
        <v>-265.2</v>
      </c>
      <c r="BZ211" s="106">
        <f t="shared" ca="1" si="178"/>
        <v>-203.99999999999997</v>
      </c>
      <c r="CA211" s="106">
        <f t="shared" ca="1" si="174"/>
        <v>-142.80000000000001</v>
      </c>
    </row>
    <row r="212" spans="1:79" x14ac:dyDescent="0.35">
      <c r="A212" s="25" t="s">
        <v>226</v>
      </c>
      <c r="B212" s="10" t="s">
        <v>316</v>
      </c>
      <c r="C212" s="10" t="s">
        <v>345</v>
      </c>
      <c r="D212" s="10" t="s">
        <v>346</v>
      </c>
      <c r="E212" s="11">
        <v>45920</v>
      </c>
      <c r="F212" s="17">
        <v>45892</v>
      </c>
      <c r="G212" s="14">
        <f t="shared" ca="1" si="179"/>
        <v>207</v>
      </c>
      <c r="H212" s="17">
        <v>799</v>
      </c>
      <c r="I212" s="17">
        <v>380</v>
      </c>
      <c r="J212" s="75">
        <f t="shared" si="180"/>
        <v>538</v>
      </c>
      <c r="K212" s="17">
        <v>1000</v>
      </c>
      <c r="L212" s="85">
        <v>462</v>
      </c>
      <c r="M212" s="86">
        <f t="shared" ca="1" si="181"/>
        <v>2.2318840579710146</v>
      </c>
      <c r="N212" s="86">
        <f t="shared" si="182"/>
        <v>0.73224085365853642</v>
      </c>
      <c r="O212" s="86">
        <f t="shared" si="183"/>
        <v>1.4085365853658536</v>
      </c>
      <c r="P212" s="87">
        <f t="shared" si="184"/>
        <v>115.5</v>
      </c>
      <c r="Q212" s="104">
        <f t="shared" si="185"/>
        <v>4.6580086580086579</v>
      </c>
      <c r="R212" s="88">
        <f t="shared" si="186"/>
        <v>52.440550688360453</v>
      </c>
      <c r="S212" s="88">
        <f t="shared" si="187"/>
        <v>46.2</v>
      </c>
      <c r="T212" s="13">
        <f t="shared" si="188"/>
        <v>3</v>
      </c>
      <c r="U212" s="13">
        <f t="shared" si="189"/>
        <v>2</v>
      </c>
      <c r="V212" s="13">
        <f t="shared" si="190"/>
        <v>2</v>
      </c>
      <c r="W212" s="13">
        <f t="shared" ca="1" si="191"/>
        <v>3</v>
      </c>
      <c r="X212" s="13">
        <f t="shared" ca="1" si="192"/>
        <v>10</v>
      </c>
      <c r="Y212" s="81" t="str">
        <f t="shared" ca="1" si="193"/>
        <v>RE-BUY</v>
      </c>
      <c r="Z212" s="13">
        <v>14</v>
      </c>
      <c r="AA212" s="75">
        <v>46059</v>
      </c>
      <c r="AB212" s="75">
        <f t="shared" si="194"/>
        <v>45920</v>
      </c>
      <c r="AC212" s="88">
        <f t="shared" si="195"/>
        <v>19.857142857142858</v>
      </c>
      <c r="AD212" s="89" t="str">
        <f t="shared" ca="1" si="196"/>
        <v>STABLE</v>
      </c>
      <c r="AE212" s="89" t="str">
        <f t="shared" si="197"/>
        <v>FAST SELLING</v>
      </c>
      <c r="AF212" s="89" t="str">
        <f t="shared" si="198"/>
        <v>AT RISK</v>
      </c>
      <c r="AG212" s="89" t="str">
        <f t="shared" si="199"/>
        <v>FEASIBLE</v>
      </c>
      <c r="AH212" s="81" t="str">
        <f t="shared" ca="1" si="200"/>
        <v>IMMEDIATE REBUY</v>
      </c>
      <c r="AI212" s="75">
        <f t="shared" ca="1" si="201"/>
        <v>1376.1</v>
      </c>
      <c r="AJ212" s="75">
        <f t="shared" ca="1" si="202"/>
        <v>838.09999999999991</v>
      </c>
      <c r="AK212" s="13">
        <f t="shared" ca="1" si="203"/>
        <v>1006</v>
      </c>
      <c r="AL212" s="79">
        <v>0.1</v>
      </c>
      <c r="AM212" s="79">
        <v>0.3</v>
      </c>
      <c r="AN212" s="79">
        <v>0.3</v>
      </c>
      <c r="AO212" s="79">
        <v>0.1</v>
      </c>
      <c r="AP212" s="79">
        <v>0.1</v>
      </c>
      <c r="AQ212" s="75">
        <f t="shared" si="204"/>
        <v>53.800000000000004</v>
      </c>
      <c r="AR212" s="75">
        <f t="shared" si="205"/>
        <v>161.4</v>
      </c>
      <c r="AS212" s="75">
        <f t="shared" si="206"/>
        <v>161.4</v>
      </c>
      <c r="AT212" s="75">
        <f t="shared" si="207"/>
        <v>53.800000000000004</v>
      </c>
      <c r="AU212" s="75">
        <f t="shared" si="208"/>
        <v>53.800000000000004</v>
      </c>
      <c r="AV212" s="13">
        <v>0.8</v>
      </c>
      <c r="AW212" s="13">
        <v>1.2</v>
      </c>
      <c r="AX212" s="13">
        <v>1.3</v>
      </c>
      <c r="AY212" s="13">
        <v>1</v>
      </c>
      <c r="AZ212" s="13">
        <v>0.7</v>
      </c>
      <c r="BA212" s="105">
        <f t="shared" si="209"/>
        <v>9.24</v>
      </c>
      <c r="BB212" s="13">
        <f t="shared" si="210"/>
        <v>41.58</v>
      </c>
      <c r="BC212" s="13">
        <f t="shared" si="211"/>
        <v>45.045000000000002</v>
      </c>
      <c r="BD212" s="13">
        <f t="shared" si="212"/>
        <v>11.55</v>
      </c>
      <c r="BE212" s="13">
        <f t="shared" si="213"/>
        <v>8.0850000000000009</v>
      </c>
      <c r="BF212" s="88">
        <f t="shared" si="214"/>
        <v>5.8225108225108224</v>
      </c>
      <c r="BG212" s="88">
        <f t="shared" si="215"/>
        <v>3.8816738816738821</v>
      </c>
      <c r="BH212" s="88">
        <f t="shared" si="216"/>
        <v>3.583083583083583</v>
      </c>
      <c r="BI212" s="88">
        <f t="shared" si="217"/>
        <v>4.6580086580086579</v>
      </c>
      <c r="BJ212" s="88">
        <f t="shared" si="218"/>
        <v>6.6542980828695111</v>
      </c>
      <c r="BK212" s="105">
        <f t="shared" si="219"/>
        <v>0.17174721189591077</v>
      </c>
      <c r="BL212" s="105">
        <f t="shared" si="220"/>
        <v>0.25762081784386615</v>
      </c>
      <c r="BM212" s="105">
        <f t="shared" si="221"/>
        <v>0.27908921933085501</v>
      </c>
      <c r="BN212" s="105">
        <f t="shared" si="222"/>
        <v>0.21468401486988847</v>
      </c>
      <c r="BO212" s="105">
        <f t="shared" si="223"/>
        <v>0.15027881040892194</v>
      </c>
      <c r="BP212" s="105">
        <f t="shared" si="224"/>
        <v>1.0734200743494424</v>
      </c>
      <c r="BQ212" s="79">
        <f t="shared" si="225"/>
        <v>0.15999999999999998</v>
      </c>
      <c r="BR212" s="79">
        <f t="shared" si="226"/>
        <v>0.23999999999999996</v>
      </c>
      <c r="BS212" s="79">
        <f t="shared" si="227"/>
        <v>0.26</v>
      </c>
      <c r="BT212" s="79">
        <f t="shared" si="228"/>
        <v>0.19999999999999998</v>
      </c>
      <c r="BU212" s="79">
        <f t="shared" si="229"/>
        <v>0.13999999999999999</v>
      </c>
      <c r="BV212" s="90" t="str">
        <f t="array" aca="1" ref="BV212" ca="1">_xlfn.TEXTJOIN(" ",TRUE,
_xlfn.TEXTJOIN(":",TRUE,ROUND(BK212:BO212/MIN(IF(BK212:BO212&gt;0,BK212:BO212)),0)),
"|",
ROUND(SUM(BW212:CA212),0))</f>
        <v>1:2:2:1:1 | 1006</v>
      </c>
      <c r="BW212" s="106">
        <f t="shared" ca="1" si="230"/>
        <v>160.95999999999998</v>
      </c>
      <c r="BX212" s="106">
        <f t="shared" ca="1" si="176"/>
        <v>241.43999999999997</v>
      </c>
      <c r="BY212" s="106">
        <f t="shared" ca="1" si="177"/>
        <v>261.56</v>
      </c>
      <c r="BZ212" s="106">
        <f t="shared" ca="1" si="178"/>
        <v>201.2</v>
      </c>
      <c r="CA212" s="106">
        <f t="shared" ca="1" si="174"/>
        <v>140.83999999999997</v>
      </c>
    </row>
    <row r="213" spans="1:79" x14ac:dyDescent="0.35">
      <c r="A213" s="25" t="s">
        <v>227</v>
      </c>
      <c r="B213" s="10" t="s">
        <v>316</v>
      </c>
      <c r="C213" s="10" t="s">
        <v>345</v>
      </c>
      <c r="D213" s="10" t="s">
        <v>346</v>
      </c>
      <c r="E213" s="11">
        <v>45878</v>
      </c>
      <c r="F213" s="17">
        <v>45892</v>
      </c>
      <c r="G213" s="14">
        <f t="shared" ca="1" si="179"/>
        <v>207</v>
      </c>
      <c r="H213" s="17">
        <v>699</v>
      </c>
      <c r="I213" s="17">
        <v>380</v>
      </c>
      <c r="J213" s="75">
        <f t="shared" si="180"/>
        <v>677</v>
      </c>
      <c r="K213" s="17">
        <v>1000</v>
      </c>
      <c r="L213" s="85">
        <v>323</v>
      </c>
      <c r="M213" s="86">
        <f t="shared" ca="1" si="181"/>
        <v>1.5603864734299517</v>
      </c>
      <c r="N213" s="86">
        <f t="shared" si="182"/>
        <v>0.73224085365853642</v>
      </c>
      <c r="O213" s="86">
        <f t="shared" si="183"/>
        <v>0.9847560975609756</v>
      </c>
      <c r="P213" s="87">
        <f t="shared" si="184"/>
        <v>80.75</v>
      </c>
      <c r="Q213" s="104">
        <f t="shared" si="185"/>
        <v>8.3839009287925705</v>
      </c>
      <c r="R213" s="88">
        <f t="shared" si="186"/>
        <v>45.636623748211733</v>
      </c>
      <c r="S213" s="88">
        <f t="shared" si="187"/>
        <v>32.300000000000004</v>
      </c>
      <c r="T213" s="13">
        <f t="shared" si="188"/>
        <v>3</v>
      </c>
      <c r="U213" s="13">
        <f t="shared" si="189"/>
        <v>1</v>
      </c>
      <c r="V213" s="13">
        <f t="shared" si="190"/>
        <v>2</v>
      </c>
      <c r="W213" s="13">
        <f t="shared" ca="1" si="191"/>
        <v>3</v>
      </c>
      <c r="X213" s="13">
        <f t="shared" ca="1" si="192"/>
        <v>9</v>
      </c>
      <c r="Y213" s="81" t="str">
        <f t="shared" ca="1" si="193"/>
        <v>RE-BUY</v>
      </c>
      <c r="Z213" s="13">
        <v>14</v>
      </c>
      <c r="AA213" s="75">
        <v>46059</v>
      </c>
      <c r="AB213" s="75">
        <f t="shared" si="194"/>
        <v>45920</v>
      </c>
      <c r="AC213" s="88">
        <f t="shared" si="195"/>
        <v>19.857142857142858</v>
      </c>
      <c r="AD213" s="89" t="str">
        <f t="shared" ca="1" si="196"/>
        <v>STABLE</v>
      </c>
      <c r="AE213" s="89" t="str">
        <f t="shared" si="197"/>
        <v>FAST SELLING</v>
      </c>
      <c r="AF213" s="89" t="str">
        <f t="shared" si="198"/>
        <v>AT RISK</v>
      </c>
      <c r="AG213" s="89" t="str">
        <f t="shared" si="199"/>
        <v>FEASIBLE</v>
      </c>
      <c r="AH213" s="81" t="str">
        <f t="shared" ca="1" si="200"/>
        <v>IMMEDIATE REBUY</v>
      </c>
      <c r="AI213" s="75">
        <f t="shared" ca="1" si="201"/>
        <v>962.07857142857142</v>
      </c>
      <c r="AJ213" s="75">
        <f t="shared" ca="1" si="202"/>
        <v>285.07857142857142</v>
      </c>
      <c r="AK213" s="13">
        <f t="shared" ca="1" si="203"/>
        <v>342</v>
      </c>
      <c r="AL213" s="79">
        <v>0.1</v>
      </c>
      <c r="AM213" s="79">
        <v>0.3</v>
      </c>
      <c r="AN213" s="79">
        <v>0.3</v>
      </c>
      <c r="AO213" s="79">
        <v>0.1</v>
      </c>
      <c r="AP213" s="79">
        <v>0.1</v>
      </c>
      <c r="AQ213" s="75">
        <f t="shared" si="204"/>
        <v>67.7</v>
      </c>
      <c r="AR213" s="75">
        <f t="shared" si="205"/>
        <v>203.1</v>
      </c>
      <c r="AS213" s="75">
        <f t="shared" si="206"/>
        <v>203.1</v>
      </c>
      <c r="AT213" s="75">
        <f t="shared" si="207"/>
        <v>67.7</v>
      </c>
      <c r="AU213" s="75">
        <f t="shared" si="208"/>
        <v>67.7</v>
      </c>
      <c r="AV213" s="13">
        <v>0.8</v>
      </c>
      <c r="AW213" s="13">
        <v>1.2</v>
      </c>
      <c r="AX213" s="13">
        <v>1.3</v>
      </c>
      <c r="AY213" s="13">
        <v>1</v>
      </c>
      <c r="AZ213" s="13">
        <v>0.7</v>
      </c>
      <c r="BA213" s="105">
        <f t="shared" si="209"/>
        <v>6.4600000000000009</v>
      </c>
      <c r="BB213" s="13">
        <f t="shared" si="210"/>
        <v>29.069999999999997</v>
      </c>
      <c r="BC213" s="13">
        <f t="shared" si="211"/>
        <v>31.4925</v>
      </c>
      <c r="BD213" s="13">
        <f t="shared" si="212"/>
        <v>8.0750000000000011</v>
      </c>
      <c r="BE213" s="13">
        <f t="shared" si="213"/>
        <v>5.6525000000000007</v>
      </c>
      <c r="BF213" s="88">
        <f t="shared" si="214"/>
        <v>10.479876160990711</v>
      </c>
      <c r="BG213" s="88">
        <f t="shared" si="215"/>
        <v>6.9865841073271424</v>
      </c>
      <c r="BH213" s="88">
        <f t="shared" si="216"/>
        <v>6.449154560609669</v>
      </c>
      <c r="BI213" s="88">
        <f t="shared" si="217"/>
        <v>8.3839009287925688</v>
      </c>
      <c r="BJ213" s="88">
        <f t="shared" si="218"/>
        <v>11.977001326846526</v>
      </c>
      <c r="BK213" s="105">
        <f t="shared" si="219"/>
        <v>9.5420974889217136E-2</v>
      </c>
      <c r="BL213" s="105">
        <f t="shared" si="220"/>
        <v>0.14313146233382568</v>
      </c>
      <c r="BM213" s="105">
        <f t="shared" si="221"/>
        <v>0.15505908419497785</v>
      </c>
      <c r="BN213" s="105">
        <f t="shared" si="222"/>
        <v>0.11927621861152143</v>
      </c>
      <c r="BO213" s="105">
        <f t="shared" si="223"/>
        <v>8.3493353028065001E-2</v>
      </c>
      <c r="BP213" s="105">
        <f t="shared" si="224"/>
        <v>0.59638109305760723</v>
      </c>
      <c r="BQ213" s="79">
        <f t="shared" si="225"/>
        <v>0.15999999999999998</v>
      </c>
      <c r="BR213" s="79">
        <f t="shared" si="226"/>
        <v>0.23999999999999991</v>
      </c>
      <c r="BS213" s="79">
        <f t="shared" si="227"/>
        <v>0.25999999999999995</v>
      </c>
      <c r="BT213" s="79">
        <f t="shared" si="228"/>
        <v>0.19999999999999998</v>
      </c>
      <c r="BU213" s="79">
        <f t="shared" si="229"/>
        <v>0.13999999999999999</v>
      </c>
      <c r="BV213" s="90" t="str">
        <f t="array" aca="1" ref="BV213" ca="1">_xlfn.TEXTJOIN(" ",TRUE,
_xlfn.TEXTJOIN(":",TRUE,ROUND(BK213:BO213/MIN(IF(BK213:BO213&gt;0,BK213:BO213)),0)),
"|",
ROUND(SUM(BW213:CA213),0))</f>
        <v>1:2:2:1:1 | 342</v>
      </c>
      <c r="BW213" s="106">
        <f t="shared" ca="1" si="230"/>
        <v>54.719999999999992</v>
      </c>
      <c r="BX213" s="106">
        <f t="shared" ca="1" si="176"/>
        <v>82.07999999999997</v>
      </c>
      <c r="BY213" s="106">
        <f t="shared" ca="1" si="177"/>
        <v>88.919999999999987</v>
      </c>
      <c r="BZ213" s="106">
        <f t="shared" ca="1" si="178"/>
        <v>68.399999999999991</v>
      </c>
      <c r="CA213" s="106">
        <f t="shared" ref="CA213:CA276" ca="1" si="231">AK213*BU213</f>
        <v>47.879999999999995</v>
      </c>
    </row>
    <row r="214" spans="1:79" x14ac:dyDescent="0.35">
      <c r="A214" s="25" t="s">
        <v>228</v>
      </c>
      <c r="B214" s="10" t="s">
        <v>316</v>
      </c>
      <c r="C214" s="10" t="s">
        <v>345</v>
      </c>
      <c r="D214" s="10" t="s">
        <v>346</v>
      </c>
      <c r="E214" s="11">
        <v>45878</v>
      </c>
      <c r="F214" s="17">
        <v>45892</v>
      </c>
      <c r="G214" s="14">
        <f t="shared" ca="1" si="179"/>
        <v>207</v>
      </c>
      <c r="H214" s="17">
        <v>699</v>
      </c>
      <c r="I214" s="17">
        <v>380</v>
      </c>
      <c r="J214" s="75">
        <f t="shared" si="180"/>
        <v>708</v>
      </c>
      <c r="K214" s="17">
        <v>1000</v>
      </c>
      <c r="L214" s="85">
        <v>292</v>
      </c>
      <c r="M214" s="86">
        <f t="shared" ca="1" si="181"/>
        <v>1.4106280193236715</v>
      </c>
      <c r="N214" s="86">
        <f t="shared" si="182"/>
        <v>0.73224085365853642</v>
      </c>
      <c r="O214" s="86">
        <f t="shared" si="183"/>
        <v>0.8902439024390244</v>
      </c>
      <c r="P214" s="87">
        <f t="shared" si="184"/>
        <v>73</v>
      </c>
      <c r="Q214" s="104">
        <f t="shared" si="185"/>
        <v>9.6986301369863011</v>
      </c>
      <c r="R214" s="88">
        <f t="shared" si="186"/>
        <v>45.636623748211733</v>
      </c>
      <c r="S214" s="88">
        <f t="shared" si="187"/>
        <v>29.2</v>
      </c>
      <c r="T214" s="13">
        <f t="shared" si="188"/>
        <v>3</v>
      </c>
      <c r="U214" s="13">
        <f t="shared" si="189"/>
        <v>1</v>
      </c>
      <c r="V214" s="13">
        <f t="shared" si="190"/>
        <v>2</v>
      </c>
      <c r="W214" s="13">
        <f t="shared" ca="1" si="191"/>
        <v>3</v>
      </c>
      <c r="X214" s="13">
        <f t="shared" ca="1" si="192"/>
        <v>9</v>
      </c>
      <c r="Y214" s="81" t="str">
        <f t="shared" ca="1" si="193"/>
        <v>RE-BUY</v>
      </c>
      <c r="Z214" s="13">
        <v>14</v>
      </c>
      <c r="AA214" s="75">
        <v>46059</v>
      </c>
      <c r="AB214" s="75">
        <f t="shared" si="194"/>
        <v>45920</v>
      </c>
      <c r="AC214" s="88">
        <f t="shared" si="195"/>
        <v>19.857142857142858</v>
      </c>
      <c r="AD214" s="89" t="str">
        <f t="shared" ca="1" si="196"/>
        <v>STABLE</v>
      </c>
      <c r="AE214" s="89" t="str">
        <f t="shared" si="197"/>
        <v>FAST SELLING</v>
      </c>
      <c r="AF214" s="89" t="str">
        <f t="shared" si="198"/>
        <v>AT RISK</v>
      </c>
      <c r="AG214" s="89" t="str">
        <f t="shared" si="199"/>
        <v>FEASIBLE</v>
      </c>
      <c r="AH214" s="81" t="str">
        <f t="shared" ca="1" si="200"/>
        <v>IMMEDIATE REBUY</v>
      </c>
      <c r="AI214" s="75">
        <f t="shared" ca="1" si="201"/>
        <v>869.74285714285713</v>
      </c>
      <c r="AJ214" s="75">
        <f t="shared" ca="1" si="202"/>
        <v>161.74285714285713</v>
      </c>
      <c r="AK214" s="13">
        <f t="shared" ca="1" si="203"/>
        <v>194</v>
      </c>
      <c r="AL214" s="79">
        <v>0.1</v>
      </c>
      <c r="AM214" s="79">
        <v>0.3</v>
      </c>
      <c r="AN214" s="79">
        <v>0.3</v>
      </c>
      <c r="AO214" s="79">
        <v>0.1</v>
      </c>
      <c r="AP214" s="79">
        <v>0.1</v>
      </c>
      <c r="AQ214" s="75">
        <f t="shared" si="204"/>
        <v>70.8</v>
      </c>
      <c r="AR214" s="75">
        <f t="shared" si="205"/>
        <v>212.4</v>
      </c>
      <c r="AS214" s="75">
        <f t="shared" si="206"/>
        <v>212.4</v>
      </c>
      <c r="AT214" s="75">
        <f t="shared" si="207"/>
        <v>70.8</v>
      </c>
      <c r="AU214" s="75">
        <f t="shared" si="208"/>
        <v>70.8</v>
      </c>
      <c r="AV214" s="13">
        <v>0.8</v>
      </c>
      <c r="AW214" s="13">
        <v>1.2</v>
      </c>
      <c r="AX214" s="13">
        <v>1.3</v>
      </c>
      <c r="AY214" s="13">
        <v>1</v>
      </c>
      <c r="AZ214" s="13">
        <v>0.7</v>
      </c>
      <c r="BA214" s="105">
        <f t="shared" si="209"/>
        <v>5.8400000000000007</v>
      </c>
      <c r="BB214" s="13">
        <f t="shared" si="210"/>
        <v>26.279999999999998</v>
      </c>
      <c r="BC214" s="13">
        <f t="shared" si="211"/>
        <v>28.47</v>
      </c>
      <c r="BD214" s="13">
        <f t="shared" si="212"/>
        <v>7.3000000000000007</v>
      </c>
      <c r="BE214" s="13">
        <f t="shared" si="213"/>
        <v>5.1100000000000003</v>
      </c>
      <c r="BF214" s="88">
        <f t="shared" si="214"/>
        <v>12.123287671232875</v>
      </c>
      <c r="BG214" s="88">
        <f t="shared" si="215"/>
        <v>8.082191780821919</v>
      </c>
      <c r="BH214" s="88">
        <f t="shared" si="216"/>
        <v>7.4604847207586937</v>
      </c>
      <c r="BI214" s="88">
        <f t="shared" si="217"/>
        <v>9.6986301369862993</v>
      </c>
      <c r="BJ214" s="88">
        <f t="shared" si="218"/>
        <v>13.855185909980429</v>
      </c>
      <c r="BK214" s="105">
        <f t="shared" si="219"/>
        <v>8.2485875706214698E-2</v>
      </c>
      <c r="BL214" s="105">
        <f t="shared" si="220"/>
        <v>0.12372881355932201</v>
      </c>
      <c r="BM214" s="105">
        <f t="shared" si="221"/>
        <v>0.13403954802259888</v>
      </c>
      <c r="BN214" s="105">
        <f t="shared" si="222"/>
        <v>0.10310734463276838</v>
      </c>
      <c r="BO214" s="105">
        <f t="shared" si="223"/>
        <v>7.2175141242937862E-2</v>
      </c>
      <c r="BP214" s="105">
        <f t="shared" si="224"/>
        <v>0.5155367231638418</v>
      </c>
      <c r="BQ214" s="79">
        <f t="shared" si="225"/>
        <v>0.16000000000000003</v>
      </c>
      <c r="BR214" s="79">
        <f t="shared" si="226"/>
        <v>0.23999999999999996</v>
      </c>
      <c r="BS214" s="79">
        <f t="shared" si="227"/>
        <v>0.26</v>
      </c>
      <c r="BT214" s="79">
        <f t="shared" si="228"/>
        <v>0.20000000000000004</v>
      </c>
      <c r="BU214" s="79">
        <f t="shared" si="229"/>
        <v>0.14000000000000001</v>
      </c>
      <c r="BV214" s="90" t="str">
        <f t="array" aca="1" ref="BV214" ca="1">_xlfn.TEXTJOIN(" ",TRUE,
_xlfn.TEXTJOIN(":",TRUE,ROUND(BK214:BO214/MIN(IF(BK214:BO214&gt;0,BK214:BO214)),0)),
"|",
ROUND(SUM(BW214:CA214),0))</f>
        <v>1:2:2:1:1 | 194</v>
      </c>
      <c r="BW214" s="106">
        <f t="shared" ca="1" si="230"/>
        <v>31.040000000000006</v>
      </c>
      <c r="BX214" s="106">
        <f t="shared" ca="1" si="176"/>
        <v>46.559999999999995</v>
      </c>
      <c r="BY214" s="106">
        <f t="shared" ca="1" si="177"/>
        <v>50.440000000000005</v>
      </c>
      <c r="BZ214" s="106">
        <f t="shared" ca="1" si="178"/>
        <v>38.800000000000004</v>
      </c>
      <c r="CA214" s="106">
        <f t="shared" ca="1" si="231"/>
        <v>27.160000000000004</v>
      </c>
    </row>
    <row r="215" spans="1:79" x14ac:dyDescent="0.35">
      <c r="A215" s="25" t="s">
        <v>229</v>
      </c>
      <c r="B215" s="10" t="s">
        <v>327</v>
      </c>
      <c r="C215" s="10" t="s">
        <v>345</v>
      </c>
      <c r="D215" s="10" t="s">
        <v>346</v>
      </c>
      <c r="E215" s="11">
        <v>45864</v>
      </c>
      <c r="F215" s="17">
        <v>45892</v>
      </c>
      <c r="G215" s="14">
        <f t="shared" ca="1" si="179"/>
        <v>207</v>
      </c>
      <c r="H215" s="17">
        <v>799</v>
      </c>
      <c r="I215" s="17">
        <v>400</v>
      </c>
      <c r="J215" s="75">
        <f t="shared" si="180"/>
        <v>833</v>
      </c>
      <c r="K215" s="17">
        <v>1050</v>
      </c>
      <c r="L215" s="85">
        <v>217</v>
      </c>
      <c r="M215" s="86">
        <f t="shared" ca="1" si="181"/>
        <v>1.0483091787439613</v>
      </c>
      <c r="N215" s="86">
        <f t="shared" si="182"/>
        <v>0.73224085365853642</v>
      </c>
      <c r="O215" s="86">
        <f t="shared" si="183"/>
        <v>0.66158536585365857</v>
      </c>
      <c r="P215" s="87">
        <f t="shared" si="184"/>
        <v>54.25</v>
      </c>
      <c r="Q215" s="104">
        <f t="shared" si="185"/>
        <v>15.35483870967742</v>
      </c>
      <c r="R215" s="88">
        <f t="shared" si="186"/>
        <v>49.937421777221523</v>
      </c>
      <c r="S215" s="88">
        <f t="shared" si="187"/>
        <v>20.666666666666668</v>
      </c>
      <c r="T215" s="13">
        <f t="shared" si="188"/>
        <v>2</v>
      </c>
      <c r="U215" s="13">
        <f t="shared" si="189"/>
        <v>1</v>
      </c>
      <c r="V215" s="13">
        <f t="shared" si="190"/>
        <v>2</v>
      </c>
      <c r="W215" s="13">
        <f t="shared" ca="1" si="191"/>
        <v>3</v>
      </c>
      <c r="X215" s="13">
        <f t="shared" ca="1" si="192"/>
        <v>8</v>
      </c>
      <c r="Y215" s="81" t="str">
        <f t="shared" ca="1" si="193"/>
        <v>MONITOR</v>
      </c>
      <c r="Z215" s="13">
        <v>14</v>
      </c>
      <c r="AA215" s="75">
        <v>46059</v>
      </c>
      <c r="AB215" s="75">
        <f t="shared" si="194"/>
        <v>45920</v>
      </c>
      <c r="AC215" s="88">
        <f t="shared" si="195"/>
        <v>19.857142857142858</v>
      </c>
      <c r="AD215" s="89" t="str">
        <f t="shared" ca="1" si="196"/>
        <v>STABLE</v>
      </c>
      <c r="AE215" s="89" t="str">
        <f t="shared" si="197"/>
        <v>SLOW SELLING</v>
      </c>
      <c r="AF215" s="89" t="str">
        <f t="shared" si="198"/>
        <v>AT RISK</v>
      </c>
      <c r="AG215" s="89" t="str">
        <f t="shared" si="199"/>
        <v>FEASIBLE</v>
      </c>
      <c r="AH215" s="81" t="str">
        <f t="shared" ca="1" si="200"/>
        <v>MONITOR</v>
      </c>
      <c r="AI215" s="75">
        <f t="shared" ca="1" si="201"/>
        <v>0</v>
      </c>
      <c r="AJ215" s="75">
        <f t="shared" ca="1" si="202"/>
        <v>-833</v>
      </c>
      <c r="AK215" s="13">
        <f t="shared" ca="1" si="203"/>
        <v>-1000</v>
      </c>
      <c r="AL215" s="79">
        <v>0.1</v>
      </c>
      <c r="AM215" s="79">
        <v>0.3</v>
      </c>
      <c r="AN215" s="79">
        <v>0.3</v>
      </c>
      <c r="AO215" s="79">
        <v>0.1</v>
      </c>
      <c r="AP215" s="79">
        <v>0.1</v>
      </c>
      <c r="AQ215" s="75">
        <f t="shared" si="204"/>
        <v>83.300000000000011</v>
      </c>
      <c r="AR215" s="75">
        <f t="shared" si="205"/>
        <v>249.89999999999998</v>
      </c>
      <c r="AS215" s="75">
        <f t="shared" si="206"/>
        <v>249.89999999999998</v>
      </c>
      <c r="AT215" s="75">
        <f t="shared" si="207"/>
        <v>83.300000000000011</v>
      </c>
      <c r="AU215" s="75">
        <f t="shared" si="208"/>
        <v>83.300000000000011</v>
      </c>
      <c r="AV215" s="13">
        <v>0.8</v>
      </c>
      <c r="AW215" s="13">
        <v>1.2</v>
      </c>
      <c r="AX215" s="13">
        <v>1.3</v>
      </c>
      <c r="AY215" s="13">
        <v>1</v>
      </c>
      <c r="AZ215" s="13">
        <v>0.7</v>
      </c>
      <c r="BA215" s="105">
        <f t="shared" si="209"/>
        <v>4.3400000000000007</v>
      </c>
      <c r="BB215" s="13">
        <f t="shared" si="210"/>
        <v>19.529999999999998</v>
      </c>
      <c r="BC215" s="13">
        <f t="shared" si="211"/>
        <v>21.157499999999999</v>
      </c>
      <c r="BD215" s="13">
        <f t="shared" si="212"/>
        <v>5.4250000000000007</v>
      </c>
      <c r="BE215" s="13">
        <f t="shared" si="213"/>
        <v>3.7975000000000003</v>
      </c>
      <c r="BF215" s="88">
        <f t="shared" si="214"/>
        <v>19.193548387096772</v>
      </c>
      <c r="BG215" s="88">
        <f t="shared" si="215"/>
        <v>12.795698924731184</v>
      </c>
      <c r="BH215" s="88">
        <f t="shared" si="216"/>
        <v>11.811414392059554</v>
      </c>
      <c r="BI215" s="88">
        <f t="shared" si="217"/>
        <v>15.35483870967742</v>
      </c>
      <c r="BJ215" s="88">
        <f t="shared" si="218"/>
        <v>21.935483870967744</v>
      </c>
      <c r="BK215" s="105">
        <f t="shared" si="219"/>
        <v>5.2100840336134456E-2</v>
      </c>
      <c r="BL215" s="105">
        <f t="shared" si="220"/>
        <v>7.8151260504201681E-2</v>
      </c>
      <c r="BM215" s="105">
        <f t="shared" si="221"/>
        <v>8.4663865546218478E-2</v>
      </c>
      <c r="BN215" s="105">
        <f t="shared" si="222"/>
        <v>6.5126050420168058E-2</v>
      </c>
      <c r="BO215" s="105">
        <f t="shared" si="223"/>
        <v>4.5588235294117645E-2</v>
      </c>
      <c r="BP215" s="105">
        <f t="shared" si="224"/>
        <v>0.32563025210084034</v>
      </c>
      <c r="BQ215" s="79">
        <f t="shared" si="225"/>
        <v>0.16</v>
      </c>
      <c r="BR215" s="79">
        <f t="shared" si="226"/>
        <v>0.24</v>
      </c>
      <c r="BS215" s="79">
        <f t="shared" si="227"/>
        <v>0.25999999999999995</v>
      </c>
      <c r="BT215" s="79">
        <f t="shared" si="228"/>
        <v>0.19999999999999996</v>
      </c>
      <c r="BU215" s="79">
        <f t="shared" si="229"/>
        <v>0.13999999999999999</v>
      </c>
      <c r="BV215" s="90" t="str">
        <f t="array" aca="1" ref="BV215" ca="1">_xlfn.TEXTJOIN(" ",TRUE,
_xlfn.TEXTJOIN(":",TRUE,ROUND(BK215:BO215/MIN(IF(BK215:BO215&gt;0,BK215:BO215)),0)),
"|",
ROUND(SUM(BW215:CA215),0))</f>
        <v>1:2:2:1:1 | -1000</v>
      </c>
      <c r="BW215" s="106">
        <f t="shared" ca="1" si="230"/>
        <v>-160</v>
      </c>
      <c r="BX215" s="106">
        <f t="shared" ca="1" si="176"/>
        <v>-240</v>
      </c>
      <c r="BY215" s="106">
        <f t="shared" ca="1" si="177"/>
        <v>-259.99999999999994</v>
      </c>
      <c r="BZ215" s="106">
        <f t="shared" ca="1" si="178"/>
        <v>-199.99999999999994</v>
      </c>
      <c r="CA215" s="106">
        <f t="shared" ca="1" si="231"/>
        <v>-139.99999999999997</v>
      </c>
    </row>
    <row r="216" spans="1:79" x14ac:dyDescent="0.35">
      <c r="A216" s="25" t="s">
        <v>230</v>
      </c>
      <c r="B216" s="15" t="s">
        <v>329</v>
      </c>
      <c r="C216" s="10" t="s">
        <v>345</v>
      </c>
      <c r="D216" s="10" t="s">
        <v>346</v>
      </c>
      <c r="E216" s="11">
        <v>45871</v>
      </c>
      <c r="F216" s="17">
        <v>45892</v>
      </c>
      <c r="G216" s="14">
        <f t="shared" ca="1" si="179"/>
        <v>207</v>
      </c>
      <c r="H216" s="17">
        <v>599</v>
      </c>
      <c r="I216" s="17">
        <v>315</v>
      </c>
      <c r="J216" s="75">
        <f t="shared" si="180"/>
        <v>1178</v>
      </c>
      <c r="K216" s="17">
        <v>1450</v>
      </c>
      <c r="L216" s="85">
        <v>272</v>
      </c>
      <c r="M216" s="86">
        <f t="shared" ca="1" si="181"/>
        <v>1.3140096618357489</v>
      </c>
      <c r="N216" s="86">
        <f t="shared" si="182"/>
        <v>0.73224085365853642</v>
      </c>
      <c r="O216" s="86">
        <f t="shared" si="183"/>
        <v>0.82926829268292679</v>
      </c>
      <c r="P216" s="87">
        <f t="shared" si="184"/>
        <v>68</v>
      </c>
      <c r="Q216" s="104">
        <f t="shared" si="185"/>
        <v>17.323529411764707</v>
      </c>
      <c r="R216" s="88">
        <f t="shared" si="186"/>
        <v>47.412353923205345</v>
      </c>
      <c r="S216" s="88">
        <f t="shared" si="187"/>
        <v>18.758620689655174</v>
      </c>
      <c r="T216" s="13">
        <f t="shared" si="188"/>
        <v>3</v>
      </c>
      <c r="U216" s="13">
        <f t="shared" si="189"/>
        <v>1</v>
      </c>
      <c r="V216" s="13">
        <f t="shared" si="190"/>
        <v>2</v>
      </c>
      <c r="W216" s="13">
        <f t="shared" ca="1" si="191"/>
        <v>3</v>
      </c>
      <c r="X216" s="13">
        <f t="shared" ca="1" si="192"/>
        <v>9</v>
      </c>
      <c r="Y216" s="81" t="str">
        <f t="shared" ca="1" si="193"/>
        <v>RE-BUY</v>
      </c>
      <c r="Z216" s="13">
        <v>14</v>
      </c>
      <c r="AA216" s="75">
        <v>46059</v>
      </c>
      <c r="AB216" s="75">
        <f t="shared" si="194"/>
        <v>45920</v>
      </c>
      <c r="AC216" s="88">
        <f t="shared" si="195"/>
        <v>19.857142857142858</v>
      </c>
      <c r="AD216" s="89" t="str">
        <f t="shared" ca="1" si="196"/>
        <v>STABLE</v>
      </c>
      <c r="AE216" s="89" t="str">
        <f t="shared" si="197"/>
        <v>FAST SELLING</v>
      </c>
      <c r="AF216" s="89" t="str">
        <f t="shared" si="198"/>
        <v>AT RISK</v>
      </c>
      <c r="AG216" s="89" t="str">
        <f t="shared" si="199"/>
        <v>FEASIBLE</v>
      </c>
      <c r="AH216" s="81" t="str">
        <f t="shared" ca="1" si="200"/>
        <v>IMMEDIATE REBUY</v>
      </c>
      <c r="AI216" s="75">
        <f t="shared" ca="1" si="201"/>
        <v>810.17142857142846</v>
      </c>
      <c r="AJ216" s="75">
        <f t="shared" ca="1" si="202"/>
        <v>-367.82857142857154</v>
      </c>
      <c r="AK216" s="13">
        <f t="shared" ca="1" si="203"/>
        <v>-441</v>
      </c>
      <c r="AL216" s="79">
        <v>0.1</v>
      </c>
      <c r="AM216" s="79">
        <v>0.3</v>
      </c>
      <c r="AN216" s="79">
        <v>0.3</v>
      </c>
      <c r="AO216" s="79">
        <v>0.1</v>
      </c>
      <c r="AP216" s="79">
        <v>0.1</v>
      </c>
      <c r="AQ216" s="75">
        <f t="shared" si="204"/>
        <v>117.80000000000001</v>
      </c>
      <c r="AR216" s="75">
        <f t="shared" si="205"/>
        <v>353.4</v>
      </c>
      <c r="AS216" s="75">
        <f t="shared" si="206"/>
        <v>353.4</v>
      </c>
      <c r="AT216" s="75">
        <f t="shared" si="207"/>
        <v>117.80000000000001</v>
      </c>
      <c r="AU216" s="75">
        <f t="shared" si="208"/>
        <v>117.80000000000001</v>
      </c>
      <c r="AV216" s="13">
        <v>0.8</v>
      </c>
      <c r="AW216" s="13">
        <v>1.2</v>
      </c>
      <c r="AX216" s="13">
        <v>1.3</v>
      </c>
      <c r="AY216" s="13">
        <v>1</v>
      </c>
      <c r="AZ216" s="13">
        <v>0.7</v>
      </c>
      <c r="BA216" s="105">
        <f t="shared" si="209"/>
        <v>5.4400000000000013</v>
      </c>
      <c r="BB216" s="13">
        <f t="shared" si="210"/>
        <v>24.479999999999997</v>
      </c>
      <c r="BC216" s="13">
        <f t="shared" si="211"/>
        <v>26.52</v>
      </c>
      <c r="BD216" s="13">
        <f t="shared" si="212"/>
        <v>6.8000000000000007</v>
      </c>
      <c r="BE216" s="13">
        <f t="shared" si="213"/>
        <v>4.76</v>
      </c>
      <c r="BF216" s="88">
        <f t="shared" si="214"/>
        <v>21.65441176470588</v>
      </c>
      <c r="BG216" s="88">
        <f t="shared" si="215"/>
        <v>14.436274509803923</v>
      </c>
      <c r="BH216" s="88">
        <f t="shared" si="216"/>
        <v>13.325791855203619</v>
      </c>
      <c r="BI216" s="88">
        <f t="shared" si="217"/>
        <v>17.323529411764707</v>
      </c>
      <c r="BJ216" s="88">
        <f t="shared" si="218"/>
        <v>24.74789915966387</v>
      </c>
      <c r="BK216" s="105">
        <f t="shared" si="219"/>
        <v>4.6179966044142616E-2</v>
      </c>
      <c r="BL216" s="105">
        <f t="shared" si="220"/>
        <v>6.9269949066213921E-2</v>
      </c>
      <c r="BM216" s="105">
        <f t="shared" si="221"/>
        <v>7.5042444821731752E-2</v>
      </c>
      <c r="BN216" s="105">
        <f t="shared" si="222"/>
        <v>5.7724957555178265E-2</v>
      </c>
      <c r="BO216" s="105">
        <f t="shared" si="223"/>
        <v>4.0407470288624778E-2</v>
      </c>
      <c r="BP216" s="105">
        <f t="shared" si="224"/>
        <v>0.28862478777589134</v>
      </c>
      <c r="BQ216" s="79">
        <f t="shared" si="225"/>
        <v>0.16</v>
      </c>
      <c r="BR216" s="79">
        <f t="shared" si="226"/>
        <v>0.24</v>
      </c>
      <c r="BS216" s="79">
        <f t="shared" si="227"/>
        <v>0.26</v>
      </c>
      <c r="BT216" s="79">
        <f t="shared" si="228"/>
        <v>0.19999999999999998</v>
      </c>
      <c r="BU216" s="79">
        <f t="shared" si="229"/>
        <v>0.13999999999999996</v>
      </c>
      <c r="BV216" s="90" t="str">
        <f t="array" aca="1" ref="BV216" ca="1">_xlfn.TEXTJOIN(" ",TRUE,
_xlfn.TEXTJOIN(":",TRUE,ROUND(BK216:BO216/MIN(IF(BK216:BO216&gt;0,BK216:BO216)),0)),
"|",
ROUND(SUM(BW216:CA216),0))</f>
        <v>1:2:2:1:1 | -441</v>
      </c>
      <c r="BW216" s="106">
        <f t="shared" ca="1" si="230"/>
        <v>-70.56</v>
      </c>
      <c r="BX216" s="106">
        <f t="shared" ca="1" si="176"/>
        <v>-105.83999999999999</v>
      </c>
      <c r="BY216" s="106">
        <f t="shared" ca="1" si="177"/>
        <v>-114.66000000000001</v>
      </c>
      <c r="BZ216" s="106">
        <f t="shared" ca="1" si="178"/>
        <v>-88.199999999999989</v>
      </c>
      <c r="CA216" s="106">
        <f t="shared" ca="1" si="231"/>
        <v>-61.739999999999981</v>
      </c>
    </row>
    <row r="217" spans="1:79" x14ac:dyDescent="0.35">
      <c r="A217" s="25" t="s">
        <v>231</v>
      </c>
      <c r="B217" s="10" t="s">
        <v>316</v>
      </c>
      <c r="C217" s="10" t="s">
        <v>345</v>
      </c>
      <c r="D217" s="10" t="s">
        <v>346</v>
      </c>
      <c r="E217" s="11">
        <v>45871</v>
      </c>
      <c r="F217" s="17">
        <v>45892</v>
      </c>
      <c r="G217" s="14">
        <f t="shared" ca="1" si="179"/>
        <v>207</v>
      </c>
      <c r="H217" s="17">
        <v>799</v>
      </c>
      <c r="I217" s="17">
        <v>400</v>
      </c>
      <c r="J217" s="75">
        <f t="shared" si="180"/>
        <v>1357</v>
      </c>
      <c r="K217" s="17">
        <v>1450</v>
      </c>
      <c r="L217" s="85">
        <v>93</v>
      </c>
      <c r="M217" s="86">
        <f t="shared" ca="1" si="181"/>
        <v>0.44927536231884058</v>
      </c>
      <c r="N217" s="86">
        <f t="shared" si="182"/>
        <v>0.73224085365853642</v>
      </c>
      <c r="O217" s="86">
        <f t="shared" si="183"/>
        <v>0.28353658536585363</v>
      </c>
      <c r="P217" s="87">
        <f t="shared" si="184"/>
        <v>23.249999999999996</v>
      </c>
      <c r="Q217" s="104">
        <f t="shared" si="185"/>
        <v>58.365591397849471</v>
      </c>
      <c r="R217" s="88">
        <f t="shared" si="186"/>
        <v>49.937421777221523</v>
      </c>
      <c r="S217" s="88">
        <f t="shared" si="187"/>
        <v>6.4137931034482758</v>
      </c>
      <c r="T217" s="13">
        <f t="shared" si="188"/>
        <v>1</v>
      </c>
      <c r="U217" s="13">
        <f t="shared" si="189"/>
        <v>1</v>
      </c>
      <c r="V217" s="13">
        <f t="shared" si="190"/>
        <v>2</v>
      </c>
      <c r="W217" s="13">
        <f t="shared" ca="1" si="191"/>
        <v>3</v>
      </c>
      <c r="X217" s="13">
        <f t="shared" ca="1" si="192"/>
        <v>7</v>
      </c>
      <c r="Y217" s="81" t="str">
        <f t="shared" ca="1" si="193"/>
        <v>MONITOR</v>
      </c>
      <c r="Z217" s="13">
        <v>14</v>
      </c>
      <c r="AA217" s="75">
        <v>46059</v>
      </c>
      <c r="AB217" s="75">
        <f t="shared" si="194"/>
        <v>45920</v>
      </c>
      <c r="AC217" s="88">
        <f t="shared" si="195"/>
        <v>19.857142857142858</v>
      </c>
      <c r="AD217" s="89" t="str">
        <f t="shared" ca="1" si="196"/>
        <v>STABLE</v>
      </c>
      <c r="AE217" s="89" t="str">
        <f t="shared" si="197"/>
        <v>SLOW SELLING</v>
      </c>
      <c r="AF217" s="89" t="str">
        <f t="shared" si="198"/>
        <v>AT RISK</v>
      </c>
      <c r="AG217" s="89" t="str">
        <f t="shared" si="199"/>
        <v>FEASIBLE</v>
      </c>
      <c r="AH217" s="81" t="str">
        <f t="shared" ca="1" si="200"/>
        <v>MONITOR</v>
      </c>
      <c r="AI217" s="75">
        <f t="shared" ca="1" si="201"/>
        <v>0</v>
      </c>
      <c r="AJ217" s="75">
        <f t="shared" ca="1" si="202"/>
        <v>-1357</v>
      </c>
      <c r="AK217" s="13">
        <f t="shared" ca="1" si="203"/>
        <v>-1628</v>
      </c>
      <c r="AL217" s="79">
        <v>0.1</v>
      </c>
      <c r="AM217" s="79">
        <v>0.3</v>
      </c>
      <c r="AN217" s="79">
        <v>0.3</v>
      </c>
      <c r="AO217" s="79">
        <v>0.1</v>
      </c>
      <c r="AP217" s="79">
        <v>0.1</v>
      </c>
      <c r="AQ217" s="75">
        <f t="shared" si="204"/>
        <v>135.70000000000002</v>
      </c>
      <c r="AR217" s="75">
        <f t="shared" si="205"/>
        <v>407.09999999999997</v>
      </c>
      <c r="AS217" s="75">
        <f t="shared" si="206"/>
        <v>407.09999999999997</v>
      </c>
      <c r="AT217" s="75">
        <f t="shared" si="207"/>
        <v>135.70000000000002</v>
      </c>
      <c r="AU217" s="75">
        <f t="shared" si="208"/>
        <v>135.70000000000002</v>
      </c>
      <c r="AV217" s="13">
        <v>0.8</v>
      </c>
      <c r="AW217" s="13">
        <v>1.2</v>
      </c>
      <c r="AX217" s="13">
        <v>1.3</v>
      </c>
      <c r="AY217" s="13">
        <v>1</v>
      </c>
      <c r="AZ217" s="13">
        <v>0.7</v>
      </c>
      <c r="BA217" s="105">
        <f t="shared" si="209"/>
        <v>1.8599999999999999</v>
      </c>
      <c r="BB217" s="13">
        <f t="shared" si="210"/>
        <v>8.3699999999999974</v>
      </c>
      <c r="BC217" s="13">
        <f t="shared" si="211"/>
        <v>9.067499999999999</v>
      </c>
      <c r="BD217" s="13">
        <f t="shared" si="212"/>
        <v>2.3249999999999997</v>
      </c>
      <c r="BE217" s="13">
        <f t="shared" si="213"/>
        <v>1.6274999999999997</v>
      </c>
      <c r="BF217" s="88">
        <f t="shared" si="214"/>
        <v>72.956989247311839</v>
      </c>
      <c r="BG217" s="88">
        <f t="shared" si="215"/>
        <v>48.637992831541233</v>
      </c>
      <c r="BH217" s="88">
        <f t="shared" si="216"/>
        <v>44.89660876757651</v>
      </c>
      <c r="BI217" s="88">
        <f t="shared" si="217"/>
        <v>58.365591397849478</v>
      </c>
      <c r="BJ217" s="88">
        <f t="shared" si="218"/>
        <v>83.379416282642111</v>
      </c>
      <c r="BK217" s="105">
        <f t="shared" si="219"/>
        <v>1.3706705969049372E-2</v>
      </c>
      <c r="BL217" s="105">
        <f t="shared" si="220"/>
        <v>2.0560058953574056E-2</v>
      </c>
      <c r="BM217" s="105">
        <f t="shared" si="221"/>
        <v>2.2273397199705232E-2</v>
      </c>
      <c r="BN217" s="105">
        <f t="shared" si="222"/>
        <v>1.7133382461311714E-2</v>
      </c>
      <c r="BO217" s="105">
        <f t="shared" si="223"/>
        <v>1.1993367722918199E-2</v>
      </c>
      <c r="BP217" s="105">
        <f t="shared" si="224"/>
        <v>8.5666912306558568E-2</v>
      </c>
      <c r="BQ217" s="79">
        <f t="shared" si="225"/>
        <v>0.16</v>
      </c>
      <c r="BR217" s="79">
        <f t="shared" si="226"/>
        <v>0.24</v>
      </c>
      <c r="BS217" s="79">
        <f t="shared" si="227"/>
        <v>0.26000000000000006</v>
      </c>
      <c r="BT217" s="79">
        <f t="shared" si="228"/>
        <v>0.2</v>
      </c>
      <c r="BU217" s="79">
        <f t="shared" si="229"/>
        <v>0.13999999999999999</v>
      </c>
      <c r="BV217" s="90" t="str">
        <f t="array" aca="1" ref="BV217" ca="1">_xlfn.TEXTJOIN(" ",TRUE,
_xlfn.TEXTJOIN(":",TRUE,ROUND(BK217:BO217/MIN(IF(BK217:BO217&gt;0,BK217:BO217)),0)),
"|",
ROUND(SUM(BW217:CA217),0))</f>
        <v>1:2:2:1:1 | -1628</v>
      </c>
      <c r="BW217" s="106">
        <f t="shared" ca="1" si="230"/>
        <v>-260.48</v>
      </c>
      <c r="BX217" s="106">
        <f t="shared" ca="1" si="176"/>
        <v>-390.71999999999997</v>
      </c>
      <c r="BY217" s="106">
        <f t="shared" ca="1" si="177"/>
        <v>-423.28000000000009</v>
      </c>
      <c r="BZ217" s="106">
        <f t="shared" ca="1" si="178"/>
        <v>-325.60000000000002</v>
      </c>
      <c r="CA217" s="106">
        <f t="shared" ca="1" si="231"/>
        <v>-227.92</v>
      </c>
    </row>
    <row r="218" spans="1:79" x14ac:dyDescent="0.35">
      <c r="A218" s="25" t="s">
        <v>232</v>
      </c>
      <c r="B218" s="10" t="s">
        <v>327</v>
      </c>
      <c r="C218" s="10" t="s">
        <v>345</v>
      </c>
      <c r="D218" s="10" t="s">
        <v>346</v>
      </c>
      <c r="E218" s="11">
        <v>45864</v>
      </c>
      <c r="F218" s="17">
        <v>45892</v>
      </c>
      <c r="G218" s="14">
        <f t="shared" ca="1" si="179"/>
        <v>207</v>
      </c>
      <c r="H218" s="17">
        <v>799</v>
      </c>
      <c r="I218" s="17">
        <v>400</v>
      </c>
      <c r="J218" s="75">
        <f t="shared" si="180"/>
        <v>608</v>
      </c>
      <c r="K218" s="17">
        <v>750</v>
      </c>
      <c r="L218" s="85">
        <v>142</v>
      </c>
      <c r="M218" s="86">
        <f t="shared" ca="1" si="181"/>
        <v>0.68599033816425126</v>
      </c>
      <c r="N218" s="86">
        <f t="shared" si="182"/>
        <v>0.73224085365853642</v>
      </c>
      <c r="O218" s="86">
        <f t="shared" si="183"/>
        <v>0.43292682926829268</v>
      </c>
      <c r="P218" s="87">
        <f t="shared" si="184"/>
        <v>35.5</v>
      </c>
      <c r="Q218" s="104">
        <f t="shared" si="185"/>
        <v>17.12676056338028</v>
      </c>
      <c r="R218" s="88">
        <f t="shared" si="186"/>
        <v>49.937421777221523</v>
      </c>
      <c r="S218" s="88">
        <f t="shared" si="187"/>
        <v>18.933333333333334</v>
      </c>
      <c r="T218" s="13">
        <f t="shared" si="188"/>
        <v>1</v>
      </c>
      <c r="U218" s="13">
        <f t="shared" si="189"/>
        <v>1</v>
      </c>
      <c r="V218" s="13">
        <f t="shared" si="190"/>
        <v>2</v>
      </c>
      <c r="W218" s="13">
        <f t="shared" ca="1" si="191"/>
        <v>3</v>
      </c>
      <c r="X218" s="13">
        <f t="shared" ca="1" si="192"/>
        <v>7</v>
      </c>
      <c r="Y218" s="81" t="str">
        <f t="shared" ca="1" si="193"/>
        <v>MONITOR</v>
      </c>
      <c r="Z218" s="13">
        <v>14</v>
      </c>
      <c r="AA218" s="75">
        <v>46059</v>
      </c>
      <c r="AB218" s="75">
        <f t="shared" si="194"/>
        <v>45920</v>
      </c>
      <c r="AC218" s="88">
        <f t="shared" si="195"/>
        <v>19.857142857142858</v>
      </c>
      <c r="AD218" s="89" t="str">
        <f t="shared" ca="1" si="196"/>
        <v>STABLE</v>
      </c>
      <c r="AE218" s="89" t="str">
        <f t="shared" si="197"/>
        <v>SLOW SELLING</v>
      </c>
      <c r="AF218" s="89" t="str">
        <f t="shared" si="198"/>
        <v>AT RISK</v>
      </c>
      <c r="AG218" s="89" t="str">
        <f t="shared" si="199"/>
        <v>FEASIBLE</v>
      </c>
      <c r="AH218" s="81" t="str">
        <f t="shared" ca="1" si="200"/>
        <v>MONITOR</v>
      </c>
      <c r="AI218" s="75">
        <f t="shared" ca="1" si="201"/>
        <v>0</v>
      </c>
      <c r="AJ218" s="75">
        <f t="shared" ca="1" si="202"/>
        <v>-608</v>
      </c>
      <c r="AK218" s="13">
        <f t="shared" ca="1" si="203"/>
        <v>-730</v>
      </c>
      <c r="AL218" s="79">
        <v>0.1</v>
      </c>
      <c r="AM218" s="79">
        <v>0.3</v>
      </c>
      <c r="AN218" s="79">
        <v>0.3</v>
      </c>
      <c r="AO218" s="79">
        <v>0.1</v>
      </c>
      <c r="AP218" s="79">
        <v>0.1</v>
      </c>
      <c r="AQ218" s="75">
        <f t="shared" si="204"/>
        <v>60.800000000000004</v>
      </c>
      <c r="AR218" s="75">
        <f t="shared" si="205"/>
        <v>182.4</v>
      </c>
      <c r="AS218" s="75">
        <f t="shared" si="206"/>
        <v>182.4</v>
      </c>
      <c r="AT218" s="75">
        <f t="shared" si="207"/>
        <v>60.800000000000004</v>
      </c>
      <c r="AU218" s="75">
        <f t="shared" si="208"/>
        <v>60.800000000000004</v>
      </c>
      <c r="AV218" s="13">
        <v>0.8</v>
      </c>
      <c r="AW218" s="13">
        <v>1.2</v>
      </c>
      <c r="AX218" s="13">
        <v>1.3</v>
      </c>
      <c r="AY218" s="13">
        <v>1</v>
      </c>
      <c r="AZ218" s="13">
        <v>0.7</v>
      </c>
      <c r="BA218" s="105">
        <f t="shared" si="209"/>
        <v>2.8400000000000003</v>
      </c>
      <c r="BB218" s="13">
        <f t="shared" si="210"/>
        <v>12.78</v>
      </c>
      <c r="BC218" s="13">
        <f t="shared" si="211"/>
        <v>13.845000000000001</v>
      </c>
      <c r="BD218" s="13">
        <f t="shared" si="212"/>
        <v>3.5500000000000003</v>
      </c>
      <c r="BE218" s="13">
        <f t="shared" si="213"/>
        <v>2.4849999999999999</v>
      </c>
      <c r="BF218" s="88">
        <f t="shared" si="214"/>
        <v>21.408450704225352</v>
      </c>
      <c r="BG218" s="88">
        <f t="shared" si="215"/>
        <v>14.27230046948357</v>
      </c>
      <c r="BH218" s="88">
        <f t="shared" si="216"/>
        <v>13.174431202600216</v>
      </c>
      <c r="BI218" s="88">
        <f t="shared" si="217"/>
        <v>17.12676056338028</v>
      </c>
      <c r="BJ218" s="88">
        <f t="shared" si="218"/>
        <v>24.466800804828978</v>
      </c>
      <c r="BK218" s="105">
        <f t="shared" si="219"/>
        <v>4.6710526315789473E-2</v>
      </c>
      <c r="BL218" s="105">
        <f t="shared" si="220"/>
        <v>7.0065789473684206E-2</v>
      </c>
      <c r="BM218" s="105">
        <f t="shared" si="221"/>
        <v>7.5904605263157898E-2</v>
      </c>
      <c r="BN218" s="105">
        <f t="shared" si="222"/>
        <v>5.838815789473685E-2</v>
      </c>
      <c r="BO218" s="105">
        <f t="shared" si="223"/>
        <v>4.0871710526315781E-2</v>
      </c>
      <c r="BP218" s="105">
        <f t="shared" si="224"/>
        <v>0.29194078947368418</v>
      </c>
      <c r="BQ218" s="79">
        <f t="shared" si="225"/>
        <v>0.16</v>
      </c>
      <c r="BR218" s="79">
        <f t="shared" si="226"/>
        <v>0.24000000000000002</v>
      </c>
      <c r="BS218" s="79">
        <f t="shared" si="227"/>
        <v>0.26000000000000006</v>
      </c>
      <c r="BT218" s="79">
        <f t="shared" si="228"/>
        <v>0.20000000000000004</v>
      </c>
      <c r="BU218" s="79">
        <f t="shared" si="229"/>
        <v>0.13999999999999999</v>
      </c>
      <c r="BV218" s="90" t="str">
        <f t="array" aca="1" ref="BV218" ca="1">_xlfn.TEXTJOIN(" ",TRUE,
_xlfn.TEXTJOIN(":",TRUE,ROUND(BK218:BO218/MIN(IF(BK218:BO218&gt;0,BK218:BO218)),0)),
"|",
ROUND(SUM(BW218:CA218),0))</f>
        <v>1:2:2:1:1 | -730</v>
      </c>
      <c r="BW218" s="106">
        <f t="shared" ca="1" si="230"/>
        <v>-116.8</v>
      </c>
      <c r="BX218" s="106">
        <f t="shared" ca="1" si="176"/>
        <v>-175.20000000000002</v>
      </c>
      <c r="BY218" s="106">
        <f t="shared" ca="1" si="177"/>
        <v>-189.80000000000004</v>
      </c>
      <c r="BZ218" s="106">
        <f t="shared" ca="1" si="178"/>
        <v>-146.00000000000003</v>
      </c>
      <c r="CA218" s="106">
        <f t="shared" ca="1" si="231"/>
        <v>-102.19999999999999</v>
      </c>
    </row>
    <row r="219" spans="1:79" x14ac:dyDescent="0.35">
      <c r="A219" s="25" t="s">
        <v>233</v>
      </c>
      <c r="B219" s="10" t="s">
        <v>327</v>
      </c>
      <c r="C219" s="10" t="s">
        <v>345</v>
      </c>
      <c r="D219" s="10" t="s">
        <v>346</v>
      </c>
      <c r="E219" s="11">
        <v>45892</v>
      </c>
      <c r="F219" s="17">
        <v>45892</v>
      </c>
      <c r="G219" s="14">
        <f t="shared" ca="1" si="179"/>
        <v>207</v>
      </c>
      <c r="H219" s="17">
        <v>799</v>
      </c>
      <c r="I219" s="17">
        <v>400</v>
      </c>
      <c r="J219" s="75">
        <f t="shared" si="180"/>
        <v>632</v>
      </c>
      <c r="K219" s="17">
        <v>750</v>
      </c>
      <c r="L219" s="85">
        <v>118</v>
      </c>
      <c r="M219" s="86">
        <f t="shared" ca="1" si="181"/>
        <v>0.57004830917874394</v>
      </c>
      <c r="N219" s="86">
        <f t="shared" si="182"/>
        <v>0.73224085365853642</v>
      </c>
      <c r="O219" s="86">
        <f t="shared" si="183"/>
        <v>0.3597560975609756</v>
      </c>
      <c r="P219" s="87">
        <f t="shared" si="184"/>
        <v>29.5</v>
      </c>
      <c r="Q219" s="104">
        <f t="shared" si="185"/>
        <v>21.423728813559322</v>
      </c>
      <c r="R219" s="88">
        <f t="shared" si="186"/>
        <v>49.937421777221523</v>
      </c>
      <c r="S219" s="88">
        <f t="shared" si="187"/>
        <v>15.733333333333333</v>
      </c>
      <c r="T219" s="13">
        <f t="shared" si="188"/>
        <v>1</v>
      </c>
      <c r="U219" s="13">
        <f t="shared" si="189"/>
        <v>1</v>
      </c>
      <c r="V219" s="13">
        <f t="shared" si="190"/>
        <v>2</v>
      </c>
      <c r="W219" s="13">
        <f t="shared" ca="1" si="191"/>
        <v>3</v>
      </c>
      <c r="X219" s="13">
        <f t="shared" ca="1" si="192"/>
        <v>7</v>
      </c>
      <c r="Y219" s="81" t="str">
        <f t="shared" ca="1" si="193"/>
        <v>MONITOR</v>
      </c>
      <c r="Z219" s="13">
        <v>14</v>
      </c>
      <c r="AA219" s="75">
        <v>46059</v>
      </c>
      <c r="AB219" s="75">
        <f t="shared" si="194"/>
        <v>45920</v>
      </c>
      <c r="AC219" s="88">
        <f t="shared" si="195"/>
        <v>19.857142857142858</v>
      </c>
      <c r="AD219" s="89" t="str">
        <f t="shared" ca="1" si="196"/>
        <v>STABLE</v>
      </c>
      <c r="AE219" s="89" t="str">
        <f t="shared" si="197"/>
        <v>SLOW SELLING</v>
      </c>
      <c r="AF219" s="89" t="str">
        <f t="shared" si="198"/>
        <v>AT RISK</v>
      </c>
      <c r="AG219" s="89" t="str">
        <f t="shared" si="199"/>
        <v>FEASIBLE</v>
      </c>
      <c r="AH219" s="81" t="str">
        <f t="shared" ca="1" si="200"/>
        <v>MONITOR</v>
      </c>
      <c r="AI219" s="75">
        <f t="shared" ca="1" si="201"/>
        <v>0</v>
      </c>
      <c r="AJ219" s="75">
        <f t="shared" ca="1" si="202"/>
        <v>-632</v>
      </c>
      <c r="AK219" s="13">
        <f t="shared" ca="1" si="203"/>
        <v>-758</v>
      </c>
      <c r="AL219" s="79">
        <v>0.1</v>
      </c>
      <c r="AM219" s="79">
        <v>0.3</v>
      </c>
      <c r="AN219" s="79">
        <v>0.3</v>
      </c>
      <c r="AO219" s="79">
        <v>0.1</v>
      </c>
      <c r="AP219" s="79">
        <v>0.1</v>
      </c>
      <c r="AQ219" s="75">
        <f t="shared" si="204"/>
        <v>63.2</v>
      </c>
      <c r="AR219" s="75">
        <f t="shared" si="205"/>
        <v>189.6</v>
      </c>
      <c r="AS219" s="75">
        <f t="shared" si="206"/>
        <v>189.6</v>
      </c>
      <c r="AT219" s="75">
        <f t="shared" si="207"/>
        <v>63.2</v>
      </c>
      <c r="AU219" s="75">
        <f t="shared" si="208"/>
        <v>63.2</v>
      </c>
      <c r="AV219" s="13">
        <v>0.8</v>
      </c>
      <c r="AW219" s="13">
        <v>1.2</v>
      </c>
      <c r="AX219" s="13">
        <v>1.3</v>
      </c>
      <c r="AY219" s="13">
        <v>1</v>
      </c>
      <c r="AZ219" s="13">
        <v>0.7</v>
      </c>
      <c r="BA219" s="105">
        <f t="shared" si="209"/>
        <v>2.3600000000000003</v>
      </c>
      <c r="BB219" s="13">
        <f t="shared" si="210"/>
        <v>10.62</v>
      </c>
      <c r="BC219" s="13">
        <f t="shared" si="211"/>
        <v>11.505000000000001</v>
      </c>
      <c r="BD219" s="13">
        <f t="shared" si="212"/>
        <v>2.95</v>
      </c>
      <c r="BE219" s="13">
        <f t="shared" si="213"/>
        <v>2.0649999999999999</v>
      </c>
      <c r="BF219" s="88">
        <f t="shared" si="214"/>
        <v>26.779661016949149</v>
      </c>
      <c r="BG219" s="88">
        <f t="shared" si="215"/>
        <v>17.853107344632768</v>
      </c>
      <c r="BH219" s="88">
        <f t="shared" si="216"/>
        <v>16.479791395045631</v>
      </c>
      <c r="BI219" s="88">
        <f t="shared" si="217"/>
        <v>21.423728813559322</v>
      </c>
      <c r="BJ219" s="88">
        <f t="shared" si="218"/>
        <v>30.60532687651332</v>
      </c>
      <c r="BK219" s="105">
        <f t="shared" si="219"/>
        <v>3.7341772151898739E-2</v>
      </c>
      <c r="BL219" s="105">
        <f t="shared" si="220"/>
        <v>5.6012658227848101E-2</v>
      </c>
      <c r="BM219" s="105">
        <f t="shared" si="221"/>
        <v>6.0680379746835447E-2</v>
      </c>
      <c r="BN219" s="105">
        <f t="shared" si="222"/>
        <v>4.6677215189873417E-2</v>
      </c>
      <c r="BO219" s="105">
        <f t="shared" si="223"/>
        <v>3.2674050632911386E-2</v>
      </c>
      <c r="BP219" s="105">
        <f t="shared" si="224"/>
        <v>0.23338607594936706</v>
      </c>
      <c r="BQ219" s="79">
        <f t="shared" si="225"/>
        <v>0.16000000000000003</v>
      </c>
      <c r="BR219" s="79">
        <f t="shared" si="226"/>
        <v>0.24000000000000005</v>
      </c>
      <c r="BS219" s="79">
        <f t="shared" si="227"/>
        <v>0.26000000000000006</v>
      </c>
      <c r="BT219" s="79">
        <f t="shared" si="228"/>
        <v>0.2</v>
      </c>
      <c r="BU219" s="79">
        <f t="shared" si="229"/>
        <v>0.13999999999999999</v>
      </c>
      <c r="BV219" s="90" t="str">
        <f t="array" aca="1" ref="BV219" ca="1">_xlfn.TEXTJOIN(" ",TRUE,
_xlfn.TEXTJOIN(":",TRUE,ROUND(BK219:BO219/MIN(IF(BK219:BO219&gt;0,BK219:BO219)),0)),
"|",
ROUND(SUM(BW219:CA219),0))</f>
        <v>1:2:2:1:1 | -758</v>
      </c>
      <c r="BW219" s="106">
        <f t="shared" ca="1" si="230"/>
        <v>-121.28000000000003</v>
      </c>
      <c r="BX219" s="106">
        <f t="shared" ca="1" si="176"/>
        <v>-181.92000000000004</v>
      </c>
      <c r="BY219" s="106">
        <f t="shared" ca="1" si="177"/>
        <v>-197.08000000000004</v>
      </c>
      <c r="BZ219" s="106">
        <f t="shared" ca="1" si="178"/>
        <v>-151.6</v>
      </c>
      <c r="CA219" s="106">
        <f t="shared" ca="1" si="231"/>
        <v>-106.11999999999999</v>
      </c>
    </row>
    <row r="220" spans="1:79" x14ac:dyDescent="0.35">
      <c r="A220" s="25" t="s">
        <v>234</v>
      </c>
      <c r="B220" s="10" t="s">
        <v>327</v>
      </c>
      <c r="C220" s="10" t="s">
        <v>345</v>
      </c>
      <c r="D220" s="10" t="s">
        <v>346</v>
      </c>
      <c r="E220" s="11">
        <v>45920</v>
      </c>
      <c r="F220" s="17">
        <v>45892</v>
      </c>
      <c r="G220" s="14">
        <f t="shared" ca="1" si="179"/>
        <v>207</v>
      </c>
      <c r="H220" s="17">
        <v>799</v>
      </c>
      <c r="I220" s="17">
        <v>400</v>
      </c>
      <c r="J220" s="75">
        <f t="shared" si="180"/>
        <v>791</v>
      </c>
      <c r="K220" s="17">
        <v>1050</v>
      </c>
      <c r="L220" s="85">
        <v>259</v>
      </c>
      <c r="M220" s="86">
        <f t="shared" ca="1" si="181"/>
        <v>1.251207729468599</v>
      </c>
      <c r="N220" s="86">
        <f t="shared" si="182"/>
        <v>0.73224085365853642</v>
      </c>
      <c r="O220" s="86">
        <f t="shared" si="183"/>
        <v>0.78963414634146345</v>
      </c>
      <c r="P220" s="87">
        <f t="shared" si="184"/>
        <v>64.75</v>
      </c>
      <c r="Q220" s="104">
        <f t="shared" si="185"/>
        <v>12.216216216216216</v>
      </c>
      <c r="R220" s="88">
        <f t="shared" si="186"/>
        <v>49.937421777221523</v>
      </c>
      <c r="S220" s="88">
        <f t="shared" si="187"/>
        <v>24.666666666666668</v>
      </c>
      <c r="T220" s="13">
        <f t="shared" si="188"/>
        <v>3</v>
      </c>
      <c r="U220" s="13">
        <f t="shared" si="189"/>
        <v>1</v>
      </c>
      <c r="V220" s="13">
        <f t="shared" si="190"/>
        <v>2</v>
      </c>
      <c r="W220" s="13">
        <f t="shared" ca="1" si="191"/>
        <v>3</v>
      </c>
      <c r="X220" s="13">
        <f t="shared" ca="1" si="192"/>
        <v>9</v>
      </c>
      <c r="Y220" s="81" t="str">
        <f t="shared" ca="1" si="193"/>
        <v>RE-BUY</v>
      </c>
      <c r="Z220" s="13">
        <v>14</v>
      </c>
      <c r="AA220" s="75">
        <v>46059</v>
      </c>
      <c r="AB220" s="75">
        <f t="shared" si="194"/>
        <v>45920</v>
      </c>
      <c r="AC220" s="88">
        <f t="shared" si="195"/>
        <v>19.857142857142858</v>
      </c>
      <c r="AD220" s="89" t="str">
        <f t="shared" ca="1" si="196"/>
        <v>STABLE</v>
      </c>
      <c r="AE220" s="89" t="str">
        <f t="shared" si="197"/>
        <v>FAST SELLING</v>
      </c>
      <c r="AF220" s="89" t="str">
        <f t="shared" si="198"/>
        <v>AT RISK</v>
      </c>
      <c r="AG220" s="89" t="str">
        <f t="shared" si="199"/>
        <v>FEASIBLE</v>
      </c>
      <c r="AH220" s="81" t="str">
        <f t="shared" ca="1" si="200"/>
        <v>IMMEDIATE REBUY</v>
      </c>
      <c r="AI220" s="75">
        <f t="shared" ca="1" si="201"/>
        <v>771.44999999999993</v>
      </c>
      <c r="AJ220" s="75">
        <f t="shared" ca="1" si="202"/>
        <v>-19.550000000000068</v>
      </c>
      <c r="AK220" s="13">
        <f t="shared" ca="1" si="203"/>
        <v>-23</v>
      </c>
      <c r="AL220" s="79">
        <v>0.1</v>
      </c>
      <c r="AM220" s="79">
        <v>0.3</v>
      </c>
      <c r="AN220" s="79">
        <v>0.3</v>
      </c>
      <c r="AO220" s="79">
        <v>0.1</v>
      </c>
      <c r="AP220" s="79">
        <v>0.1</v>
      </c>
      <c r="AQ220" s="75">
        <f t="shared" si="204"/>
        <v>79.100000000000009</v>
      </c>
      <c r="AR220" s="75">
        <f t="shared" si="205"/>
        <v>237.29999999999998</v>
      </c>
      <c r="AS220" s="75">
        <f t="shared" si="206"/>
        <v>237.29999999999998</v>
      </c>
      <c r="AT220" s="75">
        <f t="shared" si="207"/>
        <v>79.100000000000009</v>
      </c>
      <c r="AU220" s="75">
        <f t="shared" si="208"/>
        <v>79.100000000000009</v>
      </c>
      <c r="AV220" s="13">
        <v>0.8</v>
      </c>
      <c r="AW220" s="13">
        <v>1.2</v>
      </c>
      <c r="AX220" s="13">
        <v>1.3</v>
      </c>
      <c r="AY220" s="13">
        <v>1</v>
      </c>
      <c r="AZ220" s="13">
        <v>0.7</v>
      </c>
      <c r="BA220" s="105">
        <f t="shared" si="209"/>
        <v>5.1800000000000006</v>
      </c>
      <c r="BB220" s="13">
        <f t="shared" si="210"/>
        <v>23.31</v>
      </c>
      <c r="BC220" s="13">
        <f t="shared" si="211"/>
        <v>25.252500000000001</v>
      </c>
      <c r="BD220" s="13">
        <f t="shared" si="212"/>
        <v>6.4750000000000005</v>
      </c>
      <c r="BE220" s="13">
        <f t="shared" si="213"/>
        <v>4.5324999999999998</v>
      </c>
      <c r="BF220" s="88">
        <f t="shared" si="214"/>
        <v>15.27027027027027</v>
      </c>
      <c r="BG220" s="88">
        <f t="shared" si="215"/>
        <v>10.18018018018018</v>
      </c>
      <c r="BH220" s="88">
        <f t="shared" si="216"/>
        <v>9.3970893970893954</v>
      </c>
      <c r="BI220" s="88">
        <f t="shared" si="217"/>
        <v>12.216216216216216</v>
      </c>
      <c r="BJ220" s="88">
        <f t="shared" si="218"/>
        <v>17.451737451737454</v>
      </c>
      <c r="BK220" s="105">
        <f t="shared" si="219"/>
        <v>6.5486725663716813E-2</v>
      </c>
      <c r="BL220" s="105">
        <f t="shared" si="220"/>
        <v>9.8230088495575227E-2</v>
      </c>
      <c r="BM220" s="105">
        <f t="shared" si="221"/>
        <v>0.10641592920353984</v>
      </c>
      <c r="BN220" s="105">
        <f t="shared" si="222"/>
        <v>8.185840707964602E-2</v>
      </c>
      <c r="BO220" s="105">
        <f t="shared" si="223"/>
        <v>5.7300884955752203E-2</v>
      </c>
      <c r="BP220" s="105">
        <f t="shared" si="224"/>
        <v>0.40929203539823011</v>
      </c>
      <c r="BQ220" s="79">
        <f t="shared" si="225"/>
        <v>0.15999999999999998</v>
      </c>
      <c r="BR220" s="79">
        <f t="shared" si="226"/>
        <v>0.24</v>
      </c>
      <c r="BS220" s="79">
        <f t="shared" si="227"/>
        <v>0.26</v>
      </c>
      <c r="BT220" s="79">
        <f t="shared" si="228"/>
        <v>0.19999999999999998</v>
      </c>
      <c r="BU220" s="79">
        <f t="shared" si="229"/>
        <v>0.13999999999999996</v>
      </c>
      <c r="BV220" s="90" t="str">
        <f t="array" aca="1" ref="BV220" ca="1">_xlfn.TEXTJOIN(" ",TRUE,
_xlfn.TEXTJOIN(":",TRUE,ROUND(BK220:BO220/MIN(IF(BK220:BO220&gt;0,BK220:BO220)),0)),
"|",
ROUND(SUM(BW220:CA220),0))</f>
        <v>1:2:2:1:1 | -23</v>
      </c>
      <c r="BW220" s="106">
        <f t="shared" ca="1" si="230"/>
        <v>-3.6799999999999993</v>
      </c>
      <c r="BX220" s="106">
        <f t="shared" ca="1" si="176"/>
        <v>-5.52</v>
      </c>
      <c r="BY220" s="106">
        <f t="shared" ca="1" si="177"/>
        <v>-5.98</v>
      </c>
      <c r="BZ220" s="106">
        <f t="shared" ca="1" si="178"/>
        <v>-4.5999999999999996</v>
      </c>
      <c r="CA220" s="106">
        <f t="shared" ca="1" si="231"/>
        <v>-3.2199999999999989</v>
      </c>
    </row>
    <row r="221" spans="1:79" x14ac:dyDescent="0.35">
      <c r="A221" s="25" t="s">
        <v>235</v>
      </c>
      <c r="B221" s="10" t="s">
        <v>327</v>
      </c>
      <c r="C221" s="10" t="s">
        <v>345</v>
      </c>
      <c r="D221" s="10" t="s">
        <v>346</v>
      </c>
      <c r="E221" s="11">
        <v>45920</v>
      </c>
      <c r="F221" s="17">
        <v>45892</v>
      </c>
      <c r="G221" s="14">
        <f t="shared" ca="1" si="179"/>
        <v>207</v>
      </c>
      <c r="H221" s="17">
        <v>799</v>
      </c>
      <c r="I221" s="17">
        <v>400</v>
      </c>
      <c r="J221" s="75">
        <f t="shared" si="180"/>
        <v>816</v>
      </c>
      <c r="K221" s="17">
        <v>1050</v>
      </c>
      <c r="L221" s="85">
        <v>234</v>
      </c>
      <c r="M221" s="86">
        <f t="shared" ca="1" si="181"/>
        <v>1.1304347826086956</v>
      </c>
      <c r="N221" s="86">
        <f t="shared" si="182"/>
        <v>0.73224085365853642</v>
      </c>
      <c r="O221" s="86">
        <f t="shared" si="183"/>
        <v>0.71341463414634143</v>
      </c>
      <c r="P221" s="87">
        <f t="shared" si="184"/>
        <v>58.5</v>
      </c>
      <c r="Q221" s="104">
        <f t="shared" si="185"/>
        <v>13.948717948717949</v>
      </c>
      <c r="R221" s="88">
        <f t="shared" si="186"/>
        <v>49.937421777221523</v>
      </c>
      <c r="S221" s="88">
        <f t="shared" si="187"/>
        <v>22.285714285714285</v>
      </c>
      <c r="T221" s="13">
        <f t="shared" si="188"/>
        <v>2</v>
      </c>
      <c r="U221" s="13">
        <f t="shared" si="189"/>
        <v>1</v>
      </c>
      <c r="V221" s="13">
        <f t="shared" si="190"/>
        <v>2</v>
      </c>
      <c r="W221" s="13">
        <f t="shared" ca="1" si="191"/>
        <v>3</v>
      </c>
      <c r="X221" s="13">
        <f t="shared" ca="1" si="192"/>
        <v>8</v>
      </c>
      <c r="Y221" s="81" t="str">
        <f t="shared" ca="1" si="193"/>
        <v>MONITOR</v>
      </c>
      <c r="Z221" s="13">
        <v>14</v>
      </c>
      <c r="AA221" s="75">
        <v>46059</v>
      </c>
      <c r="AB221" s="75">
        <f t="shared" si="194"/>
        <v>45920</v>
      </c>
      <c r="AC221" s="88">
        <f t="shared" si="195"/>
        <v>19.857142857142858</v>
      </c>
      <c r="AD221" s="89" t="str">
        <f t="shared" ca="1" si="196"/>
        <v>STABLE</v>
      </c>
      <c r="AE221" s="89" t="str">
        <f t="shared" si="197"/>
        <v>SLOW SELLING</v>
      </c>
      <c r="AF221" s="89" t="str">
        <f t="shared" si="198"/>
        <v>AT RISK</v>
      </c>
      <c r="AG221" s="89" t="str">
        <f t="shared" si="199"/>
        <v>FEASIBLE</v>
      </c>
      <c r="AH221" s="81" t="str">
        <f t="shared" ca="1" si="200"/>
        <v>MONITOR</v>
      </c>
      <c r="AI221" s="75">
        <f t="shared" ca="1" si="201"/>
        <v>0</v>
      </c>
      <c r="AJ221" s="75">
        <f t="shared" ca="1" si="202"/>
        <v>-816</v>
      </c>
      <c r="AK221" s="13">
        <f t="shared" ca="1" si="203"/>
        <v>-979</v>
      </c>
      <c r="AL221" s="79">
        <v>0.1</v>
      </c>
      <c r="AM221" s="79">
        <v>0.3</v>
      </c>
      <c r="AN221" s="79">
        <v>0.3</v>
      </c>
      <c r="AO221" s="79">
        <v>0.1</v>
      </c>
      <c r="AP221" s="79">
        <v>0.1</v>
      </c>
      <c r="AQ221" s="75">
        <f t="shared" si="204"/>
        <v>81.600000000000009</v>
      </c>
      <c r="AR221" s="75">
        <f t="shared" si="205"/>
        <v>244.79999999999998</v>
      </c>
      <c r="AS221" s="75">
        <f t="shared" si="206"/>
        <v>244.79999999999998</v>
      </c>
      <c r="AT221" s="75">
        <f t="shared" si="207"/>
        <v>81.600000000000009</v>
      </c>
      <c r="AU221" s="75">
        <f t="shared" si="208"/>
        <v>81.600000000000009</v>
      </c>
      <c r="AV221" s="13">
        <v>0.8</v>
      </c>
      <c r="AW221" s="13">
        <v>1.2</v>
      </c>
      <c r="AX221" s="13">
        <v>1.3</v>
      </c>
      <c r="AY221" s="13">
        <v>1</v>
      </c>
      <c r="AZ221" s="13">
        <v>0.7</v>
      </c>
      <c r="BA221" s="105">
        <f t="shared" si="209"/>
        <v>4.6800000000000006</v>
      </c>
      <c r="BB221" s="13">
        <f t="shared" si="210"/>
        <v>21.06</v>
      </c>
      <c r="BC221" s="13">
        <f t="shared" si="211"/>
        <v>22.815000000000001</v>
      </c>
      <c r="BD221" s="13">
        <f t="shared" si="212"/>
        <v>5.8500000000000005</v>
      </c>
      <c r="BE221" s="13">
        <f t="shared" si="213"/>
        <v>4.0949999999999998</v>
      </c>
      <c r="BF221" s="88">
        <f t="shared" si="214"/>
        <v>17.435897435897434</v>
      </c>
      <c r="BG221" s="88">
        <f t="shared" si="215"/>
        <v>11.623931623931623</v>
      </c>
      <c r="BH221" s="88">
        <f t="shared" si="216"/>
        <v>10.729783037475343</v>
      </c>
      <c r="BI221" s="88">
        <f t="shared" si="217"/>
        <v>13.948717948717949</v>
      </c>
      <c r="BJ221" s="88">
        <f t="shared" si="218"/>
        <v>19.926739926739931</v>
      </c>
      <c r="BK221" s="105">
        <f t="shared" si="219"/>
        <v>5.7352941176470593E-2</v>
      </c>
      <c r="BL221" s="105">
        <f t="shared" si="220"/>
        <v>8.6029411764705882E-2</v>
      </c>
      <c r="BM221" s="105">
        <f t="shared" si="221"/>
        <v>9.3198529411764722E-2</v>
      </c>
      <c r="BN221" s="105">
        <f t="shared" si="222"/>
        <v>7.169117647058823E-2</v>
      </c>
      <c r="BO221" s="105">
        <f t="shared" si="223"/>
        <v>5.0183823529411753E-2</v>
      </c>
      <c r="BP221" s="105">
        <f t="shared" si="224"/>
        <v>0.35845588235294112</v>
      </c>
      <c r="BQ221" s="79">
        <f t="shared" si="225"/>
        <v>0.16000000000000003</v>
      </c>
      <c r="BR221" s="79">
        <f t="shared" si="226"/>
        <v>0.24000000000000005</v>
      </c>
      <c r="BS221" s="79">
        <f t="shared" si="227"/>
        <v>0.26000000000000006</v>
      </c>
      <c r="BT221" s="79">
        <f t="shared" si="228"/>
        <v>0.2</v>
      </c>
      <c r="BU221" s="79">
        <f t="shared" si="229"/>
        <v>0.13999999999999999</v>
      </c>
      <c r="BV221" s="90" t="str">
        <f t="array" aca="1" ref="BV221" ca="1">_xlfn.TEXTJOIN(" ",TRUE,
_xlfn.TEXTJOIN(":",TRUE,ROUND(BK221:BO221/MIN(IF(BK221:BO221&gt;0,BK221:BO221)),0)),
"|",
ROUND(SUM(BW221:CA221),0))</f>
        <v>1:2:2:1:1 | -979</v>
      </c>
      <c r="BW221" s="106">
        <f t="shared" ca="1" si="230"/>
        <v>-156.64000000000004</v>
      </c>
      <c r="BX221" s="106">
        <f t="shared" ca="1" si="176"/>
        <v>-234.96000000000004</v>
      </c>
      <c r="BY221" s="106">
        <f t="shared" ca="1" si="177"/>
        <v>-254.54000000000005</v>
      </c>
      <c r="BZ221" s="106">
        <f t="shared" ca="1" si="178"/>
        <v>-195.8</v>
      </c>
      <c r="CA221" s="106">
        <f t="shared" ca="1" si="231"/>
        <v>-137.05999999999997</v>
      </c>
    </row>
    <row r="222" spans="1:79" x14ac:dyDescent="0.35">
      <c r="A222" s="25" t="s">
        <v>236</v>
      </c>
      <c r="B222" s="10" t="s">
        <v>327</v>
      </c>
      <c r="C222" s="10" t="s">
        <v>345</v>
      </c>
      <c r="D222" s="10" t="s">
        <v>346</v>
      </c>
      <c r="E222" s="11">
        <v>45920</v>
      </c>
      <c r="F222" s="17">
        <v>45892</v>
      </c>
      <c r="G222" s="14">
        <f t="shared" ca="1" si="179"/>
        <v>207</v>
      </c>
      <c r="H222" s="17">
        <v>799</v>
      </c>
      <c r="I222" s="17">
        <v>400</v>
      </c>
      <c r="J222" s="75">
        <f t="shared" si="180"/>
        <v>687</v>
      </c>
      <c r="K222" s="17">
        <v>1050</v>
      </c>
      <c r="L222" s="85">
        <v>363</v>
      </c>
      <c r="M222" s="86">
        <f t="shared" ca="1" si="181"/>
        <v>1.7536231884057971</v>
      </c>
      <c r="N222" s="86">
        <f t="shared" si="182"/>
        <v>0.73224085365853642</v>
      </c>
      <c r="O222" s="86">
        <f t="shared" si="183"/>
        <v>1.1067073170731707</v>
      </c>
      <c r="P222" s="87">
        <f t="shared" si="184"/>
        <v>90.75</v>
      </c>
      <c r="Q222" s="104">
        <f t="shared" si="185"/>
        <v>7.5702479338842972</v>
      </c>
      <c r="R222" s="88">
        <f t="shared" si="186"/>
        <v>49.937421777221523</v>
      </c>
      <c r="S222" s="88">
        <f t="shared" si="187"/>
        <v>34.571428571428569</v>
      </c>
      <c r="T222" s="13">
        <f t="shared" si="188"/>
        <v>3</v>
      </c>
      <c r="U222" s="13">
        <f t="shared" si="189"/>
        <v>1</v>
      </c>
      <c r="V222" s="13">
        <f t="shared" si="190"/>
        <v>2</v>
      </c>
      <c r="W222" s="13">
        <f t="shared" ca="1" si="191"/>
        <v>3</v>
      </c>
      <c r="X222" s="13">
        <f t="shared" ca="1" si="192"/>
        <v>9</v>
      </c>
      <c r="Y222" s="81" t="str">
        <f t="shared" ca="1" si="193"/>
        <v>RE-BUY</v>
      </c>
      <c r="Z222" s="13">
        <v>14</v>
      </c>
      <c r="AA222" s="75">
        <v>46059</v>
      </c>
      <c r="AB222" s="75">
        <f t="shared" si="194"/>
        <v>45920</v>
      </c>
      <c r="AC222" s="88">
        <f t="shared" si="195"/>
        <v>19.857142857142858</v>
      </c>
      <c r="AD222" s="89" t="str">
        <f t="shared" ca="1" si="196"/>
        <v>STABLE</v>
      </c>
      <c r="AE222" s="89" t="str">
        <f t="shared" si="197"/>
        <v>FAST SELLING</v>
      </c>
      <c r="AF222" s="89" t="str">
        <f t="shared" si="198"/>
        <v>AT RISK</v>
      </c>
      <c r="AG222" s="89" t="str">
        <f t="shared" si="199"/>
        <v>FEASIBLE</v>
      </c>
      <c r="AH222" s="81" t="str">
        <f t="shared" ca="1" si="200"/>
        <v>IMMEDIATE REBUY</v>
      </c>
      <c r="AI222" s="75">
        <f t="shared" ca="1" si="201"/>
        <v>1081.2214285714285</v>
      </c>
      <c r="AJ222" s="75">
        <f t="shared" ca="1" si="202"/>
        <v>394.22142857142853</v>
      </c>
      <c r="AK222" s="13">
        <f t="shared" ca="1" si="203"/>
        <v>473</v>
      </c>
      <c r="AL222" s="79">
        <v>0.1</v>
      </c>
      <c r="AM222" s="79">
        <v>0.3</v>
      </c>
      <c r="AN222" s="79">
        <v>0.3</v>
      </c>
      <c r="AO222" s="79">
        <v>0.1</v>
      </c>
      <c r="AP222" s="79">
        <v>0.1</v>
      </c>
      <c r="AQ222" s="75">
        <f t="shared" si="204"/>
        <v>68.7</v>
      </c>
      <c r="AR222" s="75">
        <f t="shared" si="205"/>
        <v>206.1</v>
      </c>
      <c r="AS222" s="75">
        <f t="shared" si="206"/>
        <v>206.1</v>
      </c>
      <c r="AT222" s="75">
        <f t="shared" si="207"/>
        <v>68.7</v>
      </c>
      <c r="AU222" s="75">
        <f t="shared" si="208"/>
        <v>68.7</v>
      </c>
      <c r="AV222" s="13">
        <v>0.8</v>
      </c>
      <c r="AW222" s="13">
        <v>1.2</v>
      </c>
      <c r="AX222" s="13">
        <v>1.3</v>
      </c>
      <c r="AY222" s="13">
        <v>1</v>
      </c>
      <c r="AZ222" s="13">
        <v>0.7</v>
      </c>
      <c r="BA222" s="105">
        <f t="shared" si="209"/>
        <v>7.2600000000000016</v>
      </c>
      <c r="BB222" s="13">
        <f t="shared" si="210"/>
        <v>32.669999999999995</v>
      </c>
      <c r="BC222" s="13">
        <f t="shared" si="211"/>
        <v>35.392499999999998</v>
      </c>
      <c r="BD222" s="13">
        <f t="shared" si="212"/>
        <v>9.0750000000000011</v>
      </c>
      <c r="BE222" s="13">
        <f t="shared" si="213"/>
        <v>6.3525</v>
      </c>
      <c r="BF222" s="88">
        <f t="shared" si="214"/>
        <v>9.4628099173553704</v>
      </c>
      <c r="BG222" s="88">
        <f t="shared" si="215"/>
        <v>6.3085399449035817</v>
      </c>
      <c r="BH222" s="88">
        <f t="shared" si="216"/>
        <v>5.8232676414494602</v>
      </c>
      <c r="BI222" s="88">
        <f t="shared" si="217"/>
        <v>7.5702479338842972</v>
      </c>
      <c r="BJ222" s="88">
        <f t="shared" si="218"/>
        <v>10.814639905548997</v>
      </c>
      <c r="BK222" s="105">
        <f t="shared" si="219"/>
        <v>0.10567685589519653</v>
      </c>
      <c r="BL222" s="105">
        <f t="shared" si="220"/>
        <v>0.15851528384279476</v>
      </c>
      <c r="BM222" s="105">
        <f t="shared" si="221"/>
        <v>0.1717248908296943</v>
      </c>
      <c r="BN222" s="105">
        <f t="shared" si="222"/>
        <v>0.13209606986899564</v>
      </c>
      <c r="BO222" s="105">
        <f t="shared" si="223"/>
        <v>9.246724890829694E-2</v>
      </c>
      <c r="BP222" s="105">
        <f t="shared" si="224"/>
        <v>0.66048034934497823</v>
      </c>
      <c r="BQ222" s="79">
        <f t="shared" si="225"/>
        <v>0.16</v>
      </c>
      <c r="BR222" s="79">
        <f t="shared" si="226"/>
        <v>0.23999999999999996</v>
      </c>
      <c r="BS222" s="79">
        <f t="shared" si="227"/>
        <v>0.25999999999999995</v>
      </c>
      <c r="BT222" s="79">
        <f t="shared" si="228"/>
        <v>0.19999999999999998</v>
      </c>
      <c r="BU222" s="79">
        <f t="shared" si="229"/>
        <v>0.13999999999999999</v>
      </c>
      <c r="BV222" s="90" t="str">
        <f t="array" aca="1" ref="BV222" ca="1">_xlfn.TEXTJOIN(" ",TRUE,
_xlfn.TEXTJOIN(":",TRUE,ROUND(BK222:BO222/MIN(IF(BK222:BO222&gt;0,BK222:BO222)),0)),
"|",
ROUND(SUM(BW222:CA222),0))</f>
        <v>1:2:2:1:1 | 473</v>
      </c>
      <c r="BW222" s="106">
        <f t="shared" ca="1" si="230"/>
        <v>75.680000000000007</v>
      </c>
      <c r="BX222" s="106">
        <f t="shared" ca="1" si="176"/>
        <v>113.51999999999998</v>
      </c>
      <c r="BY222" s="106">
        <f t="shared" ca="1" si="177"/>
        <v>122.97999999999998</v>
      </c>
      <c r="BZ222" s="106">
        <f t="shared" ca="1" si="178"/>
        <v>94.6</v>
      </c>
      <c r="CA222" s="106">
        <f t="shared" ca="1" si="231"/>
        <v>66.22</v>
      </c>
    </row>
    <row r="223" spans="1:79" x14ac:dyDescent="0.35">
      <c r="A223" s="25" t="s">
        <v>237</v>
      </c>
      <c r="B223" s="10" t="s">
        <v>333</v>
      </c>
      <c r="C223" s="10" t="s">
        <v>345</v>
      </c>
      <c r="D223" s="10" t="s">
        <v>346</v>
      </c>
      <c r="E223" s="11">
        <v>45913</v>
      </c>
      <c r="F223" s="17">
        <v>45892</v>
      </c>
      <c r="G223" s="14">
        <f t="shared" ca="1" si="179"/>
        <v>207</v>
      </c>
      <c r="H223" s="17">
        <v>799</v>
      </c>
      <c r="I223" s="17">
        <v>420</v>
      </c>
      <c r="J223" s="75">
        <f t="shared" si="180"/>
        <v>1517</v>
      </c>
      <c r="K223" s="17">
        <v>1750</v>
      </c>
      <c r="L223" s="85">
        <v>233</v>
      </c>
      <c r="M223" s="86">
        <f t="shared" ca="1" si="181"/>
        <v>1.1256038647342994</v>
      </c>
      <c r="N223" s="86">
        <f t="shared" si="182"/>
        <v>0.73224085365853642</v>
      </c>
      <c r="O223" s="86">
        <f t="shared" si="183"/>
        <v>0.71036585365853655</v>
      </c>
      <c r="P223" s="87">
        <f t="shared" si="184"/>
        <v>58.25</v>
      </c>
      <c r="Q223" s="104">
        <f t="shared" si="185"/>
        <v>26.042918454935624</v>
      </c>
      <c r="R223" s="88">
        <f t="shared" si="186"/>
        <v>47.434292866082608</v>
      </c>
      <c r="S223" s="88">
        <f t="shared" si="187"/>
        <v>13.314285714285715</v>
      </c>
      <c r="T223" s="13">
        <f t="shared" si="188"/>
        <v>2</v>
      </c>
      <c r="U223" s="13">
        <f t="shared" si="189"/>
        <v>1</v>
      </c>
      <c r="V223" s="13">
        <f t="shared" si="190"/>
        <v>2</v>
      </c>
      <c r="W223" s="13">
        <f t="shared" ca="1" si="191"/>
        <v>3</v>
      </c>
      <c r="X223" s="13">
        <f t="shared" ca="1" si="192"/>
        <v>8</v>
      </c>
      <c r="Y223" s="81" t="str">
        <f t="shared" ca="1" si="193"/>
        <v>MONITOR</v>
      </c>
      <c r="Z223" s="13">
        <v>14</v>
      </c>
      <c r="AA223" s="75">
        <v>46059</v>
      </c>
      <c r="AB223" s="75">
        <f t="shared" si="194"/>
        <v>45920</v>
      </c>
      <c r="AC223" s="88">
        <f t="shared" si="195"/>
        <v>19.857142857142858</v>
      </c>
      <c r="AD223" s="89" t="str">
        <f t="shared" ca="1" si="196"/>
        <v>STABLE</v>
      </c>
      <c r="AE223" s="89" t="str">
        <f t="shared" si="197"/>
        <v>SLOW SELLING</v>
      </c>
      <c r="AF223" s="89" t="str">
        <f t="shared" si="198"/>
        <v>AT RISK</v>
      </c>
      <c r="AG223" s="89" t="str">
        <f t="shared" si="199"/>
        <v>FEASIBLE</v>
      </c>
      <c r="AH223" s="81" t="str">
        <f t="shared" ca="1" si="200"/>
        <v>MONITOR</v>
      </c>
      <c r="AI223" s="75">
        <f t="shared" ca="1" si="201"/>
        <v>0</v>
      </c>
      <c r="AJ223" s="75">
        <f t="shared" ca="1" si="202"/>
        <v>-1517</v>
      </c>
      <c r="AK223" s="13">
        <f t="shared" ca="1" si="203"/>
        <v>-1820</v>
      </c>
      <c r="AL223" s="79">
        <v>0.1</v>
      </c>
      <c r="AM223" s="79">
        <v>0.3</v>
      </c>
      <c r="AN223" s="79">
        <v>0.3</v>
      </c>
      <c r="AO223" s="79">
        <v>0.1</v>
      </c>
      <c r="AP223" s="79">
        <v>0.1</v>
      </c>
      <c r="AQ223" s="75">
        <f t="shared" si="204"/>
        <v>151.70000000000002</v>
      </c>
      <c r="AR223" s="75">
        <f t="shared" si="205"/>
        <v>455.09999999999997</v>
      </c>
      <c r="AS223" s="75">
        <f t="shared" si="206"/>
        <v>455.09999999999997</v>
      </c>
      <c r="AT223" s="75">
        <f t="shared" si="207"/>
        <v>151.70000000000002</v>
      </c>
      <c r="AU223" s="75">
        <f t="shared" si="208"/>
        <v>151.70000000000002</v>
      </c>
      <c r="AV223" s="13">
        <v>0.8</v>
      </c>
      <c r="AW223" s="13">
        <v>1.2</v>
      </c>
      <c r="AX223" s="13">
        <v>1.3</v>
      </c>
      <c r="AY223" s="13">
        <v>1</v>
      </c>
      <c r="AZ223" s="13">
        <v>0.7</v>
      </c>
      <c r="BA223" s="105">
        <f t="shared" si="209"/>
        <v>4.66</v>
      </c>
      <c r="BB223" s="13">
        <f t="shared" si="210"/>
        <v>20.969999999999995</v>
      </c>
      <c r="BC223" s="13">
        <f t="shared" si="211"/>
        <v>22.717499999999998</v>
      </c>
      <c r="BD223" s="13">
        <f t="shared" si="212"/>
        <v>5.8250000000000002</v>
      </c>
      <c r="BE223" s="13">
        <f t="shared" si="213"/>
        <v>4.0774999999999997</v>
      </c>
      <c r="BF223" s="88">
        <f t="shared" si="214"/>
        <v>32.553648068669531</v>
      </c>
      <c r="BG223" s="88">
        <f t="shared" si="215"/>
        <v>21.702432045779688</v>
      </c>
      <c r="BH223" s="88">
        <f t="shared" si="216"/>
        <v>20.033014196104325</v>
      </c>
      <c r="BI223" s="88">
        <f t="shared" si="217"/>
        <v>26.042918454935624</v>
      </c>
      <c r="BJ223" s="88">
        <f t="shared" si="218"/>
        <v>37.204169221336613</v>
      </c>
      <c r="BK223" s="105">
        <f t="shared" si="219"/>
        <v>3.0718523401450228E-2</v>
      </c>
      <c r="BL223" s="105">
        <f t="shared" si="220"/>
        <v>4.6077785102175341E-2</v>
      </c>
      <c r="BM223" s="105">
        <f t="shared" si="221"/>
        <v>4.9917600527356623E-2</v>
      </c>
      <c r="BN223" s="105">
        <f t="shared" si="222"/>
        <v>3.839815425181279E-2</v>
      </c>
      <c r="BO223" s="105">
        <f t="shared" si="223"/>
        <v>2.6878707976268946E-2</v>
      </c>
      <c r="BP223" s="105">
        <f t="shared" si="224"/>
        <v>0.19199077125906391</v>
      </c>
      <c r="BQ223" s="79">
        <f t="shared" si="225"/>
        <v>0.16</v>
      </c>
      <c r="BR223" s="79">
        <f t="shared" si="226"/>
        <v>0.24000000000000002</v>
      </c>
      <c r="BS223" s="79">
        <f t="shared" si="227"/>
        <v>0.26</v>
      </c>
      <c r="BT223" s="79">
        <f t="shared" si="228"/>
        <v>0.20000000000000004</v>
      </c>
      <c r="BU223" s="79">
        <f t="shared" si="229"/>
        <v>0.13999999999999999</v>
      </c>
      <c r="BV223" s="90" t="str">
        <f t="array" aca="1" ref="BV223" ca="1">_xlfn.TEXTJOIN(" ",TRUE,
_xlfn.TEXTJOIN(":",TRUE,ROUND(BK223:BO223/MIN(IF(BK223:BO223&gt;0,BK223:BO223)),0)),
"|",
ROUND(SUM(BW223:CA223),0))</f>
        <v>1:2:2:1:1 | -1820</v>
      </c>
      <c r="BW223" s="106">
        <f t="shared" ca="1" si="230"/>
        <v>-291.2</v>
      </c>
      <c r="BX223" s="106">
        <f t="shared" ca="1" si="176"/>
        <v>-436.8</v>
      </c>
      <c r="BY223" s="106">
        <f t="shared" ca="1" si="177"/>
        <v>-473.2</v>
      </c>
      <c r="BZ223" s="106">
        <f t="shared" ca="1" si="178"/>
        <v>-364.00000000000006</v>
      </c>
      <c r="CA223" s="106">
        <f t="shared" ca="1" si="231"/>
        <v>-254.79999999999998</v>
      </c>
    </row>
    <row r="224" spans="1:79" x14ac:dyDescent="0.35">
      <c r="A224" s="25" t="s">
        <v>238</v>
      </c>
      <c r="B224" s="10" t="s">
        <v>333</v>
      </c>
      <c r="C224" s="10" t="s">
        <v>345</v>
      </c>
      <c r="D224" s="10" t="s">
        <v>346</v>
      </c>
      <c r="E224" s="11">
        <v>45913</v>
      </c>
      <c r="F224" s="17">
        <v>45892</v>
      </c>
      <c r="G224" s="14">
        <f t="shared" ca="1" si="179"/>
        <v>207</v>
      </c>
      <c r="H224" s="17">
        <v>799</v>
      </c>
      <c r="I224" s="17">
        <v>420</v>
      </c>
      <c r="J224" s="75">
        <f t="shared" si="180"/>
        <v>1320</v>
      </c>
      <c r="K224" s="17">
        <v>1750</v>
      </c>
      <c r="L224" s="85">
        <v>430</v>
      </c>
      <c r="M224" s="86">
        <f t="shared" ca="1" si="181"/>
        <v>2.0772946859903381</v>
      </c>
      <c r="N224" s="86">
        <f t="shared" si="182"/>
        <v>0.73224085365853642</v>
      </c>
      <c r="O224" s="86">
        <f t="shared" si="183"/>
        <v>1.3109756097560976</v>
      </c>
      <c r="P224" s="87">
        <f t="shared" si="184"/>
        <v>107.5</v>
      </c>
      <c r="Q224" s="104">
        <f t="shared" si="185"/>
        <v>12.279069767441861</v>
      </c>
      <c r="R224" s="88">
        <f t="shared" si="186"/>
        <v>47.434292866082608</v>
      </c>
      <c r="S224" s="88">
        <f t="shared" si="187"/>
        <v>24.571428571428573</v>
      </c>
      <c r="T224" s="13">
        <f t="shared" si="188"/>
        <v>3</v>
      </c>
      <c r="U224" s="13">
        <f t="shared" si="189"/>
        <v>1</v>
      </c>
      <c r="V224" s="13">
        <f t="shared" si="190"/>
        <v>2</v>
      </c>
      <c r="W224" s="13">
        <f t="shared" ca="1" si="191"/>
        <v>3</v>
      </c>
      <c r="X224" s="13">
        <f t="shared" ca="1" si="192"/>
        <v>9</v>
      </c>
      <c r="Y224" s="81" t="str">
        <f t="shared" ca="1" si="193"/>
        <v>RE-BUY</v>
      </c>
      <c r="Z224" s="13">
        <v>14</v>
      </c>
      <c r="AA224" s="75">
        <v>46059</v>
      </c>
      <c r="AB224" s="75">
        <f t="shared" si="194"/>
        <v>45920</v>
      </c>
      <c r="AC224" s="88">
        <f t="shared" si="195"/>
        <v>19.857142857142858</v>
      </c>
      <c r="AD224" s="89" t="str">
        <f t="shared" ca="1" si="196"/>
        <v>STABLE</v>
      </c>
      <c r="AE224" s="89" t="str">
        <f t="shared" si="197"/>
        <v>FAST SELLING</v>
      </c>
      <c r="AF224" s="89" t="str">
        <f t="shared" si="198"/>
        <v>AT RISK</v>
      </c>
      <c r="AG224" s="89" t="str">
        <f t="shared" si="199"/>
        <v>FEASIBLE</v>
      </c>
      <c r="AH224" s="81" t="str">
        <f t="shared" ca="1" si="200"/>
        <v>IMMEDIATE REBUY</v>
      </c>
      <c r="AI224" s="75">
        <f t="shared" ca="1" si="201"/>
        <v>1280.7857142857144</v>
      </c>
      <c r="AJ224" s="75">
        <f t="shared" ca="1" si="202"/>
        <v>-39.214285714285552</v>
      </c>
      <c r="AK224" s="13">
        <f t="shared" ca="1" si="203"/>
        <v>-47</v>
      </c>
      <c r="AL224" s="79">
        <v>0.1</v>
      </c>
      <c r="AM224" s="79">
        <v>0.3</v>
      </c>
      <c r="AN224" s="79">
        <v>0.3</v>
      </c>
      <c r="AO224" s="79">
        <v>0.1</v>
      </c>
      <c r="AP224" s="79">
        <v>0.1</v>
      </c>
      <c r="AQ224" s="75">
        <f t="shared" si="204"/>
        <v>132</v>
      </c>
      <c r="AR224" s="75">
        <f t="shared" si="205"/>
        <v>396</v>
      </c>
      <c r="AS224" s="75">
        <f t="shared" si="206"/>
        <v>396</v>
      </c>
      <c r="AT224" s="75">
        <f t="shared" si="207"/>
        <v>132</v>
      </c>
      <c r="AU224" s="75">
        <f t="shared" si="208"/>
        <v>132</v>
      </c>
      <c r="AV224" s="13">
        <v>0.8</v>
      </c>
      <c r="AW224" s="13">
        <v>1.2</v>
      </c>
      <c r="AX224" s="13">
        <v>1.3</v>
      </c>
      <c r="AY224" s="13">
        <v>1</v>
      </c>
      <c r="AZ224" s="13">
        <v>0.7</v>
      </c>
      <c r="BA224" s="105">
        <f t="shared" si="209"/>
        <v>8.6</v>
      </c>
      <c r="BB224" s="13">
        <f t="shared" si="210"/>
        <v>38.699999999999996</v>
      </c>
      <c r="BC224" s="13">
        <f t="shared" si="211"/>
        <v>41.925000000000004</v>
      </c>
      <c r="BD224" s="13">
        <f t="shared" si="212"/>
        <v>10.75</v>
      </c>
      <c r="BE224" s="13">
        <f t="shared" si="213"/>
        <v>7.5249999999999995</v>
      </c>
      <c r="BF224" s="88">
        <f t="shared" si="214"/>
        <v>15.348837209302326</v>
      </c>
      <c r="BG224" s="88">
        <f t="shared" si="215"/>
        <v>10.232558139534884</v>
      </c>
      <c r="BH224" s="88">
        <f t="shared" si="216"/>
        <v>9.4454382826475847</v>
      </c>
      <c r="BI224" s="88">
        <f t="shared" si="217"/>
        <v>12.279069767441861</v>
      </c>
      <c r="BJ224" s="88">
        <f t="shared" si="218"/>
        <v>17.541528239202659</v>
      </c>
      <c r="BK224" s="105">
        <f t="shared" si="219"/>
        <v>6.5151515151515155E-2</v>
      </c>
      <c r="BL224" s="105">
        <f t="shared" si="220"/>
        <v>9.7727272727272718E-2</v>
      </c>
      <c r="BM224" s="105">
        <f t="shared" si="221"/>
        <v>0.10587121212121213</v>
      </c>
      <c r="BN224" s="105">
        <f t="shared" si="222"/>
        <v>8.1439393939393936E-2</v>
      </c>
      <c r="BO224" s="105">
        <f t="shared" si="223"/>
        <v>5.7007575757575757E-2</v>
      </c>
      <c r="BP224" s="105">
        <f t="shared" si="224"/>
        <v>0.40719696969696967</v>
      </c>
      <c r="BQ224" s="79">
        <f t="shared" si="225"/>
        <v>0.16000000000000003</v>
      </c>
      <c r="BR224" s="79">
        <f t="shared" si="226"/>
        <v>0.24</v>
      </c>
      <c r="BS224" s="79">
        <f t="shared" si="227"/>
        <v>0.26000000000000006</v>
      </c>
      <c r="BT224" s="79">
        <f t="shared" si="228"/>
        <v>0.2</v>
      </c>
      <c r="BU224" s="79">
        <f t="shared" si="229"/>
        <v>0.14000000000000001</v>
      </c>
      <c r="BV224" s="90" t="str">
        <f t="array" aca="1" ref="BV224" ca="1">_xlfn.TEXTJOIN(" ",TRUE,
_xlfn.TEXTJOIN(":",TRUE,ROUND(BK224:BO224/MIN(IF(BK224:BO224&gt;0,BK224:BO224)),0)),
"|",
ROUND(SUM(BW224:CA224),0))</f>
        <v>1:2:2:1:1 | -47</v>
      </c>
      <c r="BW224" s="106">
        <f t="shared" ca="1" si="230"/>
        <v>-7.5200000000000014</v>
      </c>
      <c r="BX224" s="106">
        <f t="shared" ca="1" si="176"/>
        <v>-11.28</v>
      </c>
      <c r="BY224" s="106">
        <f t="shared" ca="1" si="177"/>
        <v>-12.220000000000002</v>
      </c>
      <c r="BZ224" s="106">
        <f t="shared" ca="1" si="178"/>
        <v>-9.4</v>
      </c>
      <c r="CA224" s="106">
        <f t="shared" ca="1" si="231"/>
        <v>-6.580000000000001</v>
      </c>
    </row>
    <row r="225" spans="1:79" x14ac:dyDescent="0.35">
      <c r="A225" s="25" t="s">
        <v>239</v>
      </c>
      <c r="B225" s="10" t="s">
        <v>333</v>
      </c>
      <c r="C225" s="10" t="s">
        <v>345</v>
      </c>
      <c r="D225" s="10" t="s">
        <v>346</v>
      </c>
      <c r="E225" s="11">
        <v>45913</v>
      </c>
      <c r="F225" s="17">
        <v>45892</v>
      </c>
      <c r="G225" s="14">
        <f t="shared" ca="1" si="179"/>
        <v>207</v>
      </c>
      <c r="H225" s="17">
        <v>799</v>
      </c>
      <c r="I225" s="17">
        <v>420</v>
      </c>
      <c r="J225" s="75">
        <f t="shared" si="180"/>
        <v>1209</v>
      </c>
      <c r="K225" s="17">
        <v>1600</v>
      </c>
      <c r="L225" s="85">
        <v>391</v>
      </c>
      <c r="M225" s="86">
        <f t="shared" ca="1" si="181"/>
        <v>1.8888888888888888</v>
      </c>
      <c r="N225" s="86">
        <f t="shared" si="182"/>
        <v>0.73224085365853642</v>
      </c>
      <c r="O225" s="86">
        <f t="shared" si="183"/>
        <v>1.1920731707317074</v>
      </c>
      <c r="P225" s="87">
        <f t="shared" si="184"/>
        <v>97.75</v>
      </c>
      <c r="Q225" s="104">
        <f t="shared" si="185"/>
        <v>12.368286445012787</v>
      </c>
      <c r="R225" s="88">
        <f t="shared" si="186"/>
        <v>47.434292866082608</v>
      </c>
      <c r="S225" s="88">
        <f t="shared" si="187"/>
        <v>24.4375</v>
      </c>
      <c r="T225" s="13">
        <f t="shared" si="188"/>
        <v>3</v>
      </c>
      <c r="U225" s="13">
        <f t="shared" si="189"/>
        <v>1</v>
      </c>
      <c r="V225" s="13">
        <f t="shared" si="190"/>
        <v>2</v>
      </c>
      <c r="W225" s="13">
        <f t="shared" ca="1" si="191"/>
        <v>3</v>
      </c>
      <c r="X225" s="13">
        <f t="shared" ca="1" si="192"/>
        <v>9</v>
      </c>
      <c r="Y225" s="81" t="str">
        <f t="shared" ca="1" si="193"/>
        <v>RE-BUY</v>
      </c>
      <c r="Z225" s="13">
        <v>14</v>
      </c>
      <c r="AA225" s="75">
        <v>46059</v>
      </c>
      <c r="AB225" s="75">
        <f t="shared" si="194"/>
        <v>45920</v>
      </c>
      <c r="AC225" s="88">
        <f t="shared" si="195"/>
        <v>19.857142857142858</v>
      </c>
      <c r="AD225" s="89" t="str">
        <f t="shared" ca="1" si="196"/>
        <v>STABLE</v>
      </c>
      <c r="AE225" s="89" t="str">
        <f t="shared" si="197"/>
        <v>FAST SELLING</v>
      </c>
      <c r="AF225" s="89" t="str">
        <f t="shared" si="198"/>
        <v>AT RISK</v>
      </c>
      <c r="AG225" s="89" t="str">
        <f t="shared" si="199"/>
        <v>FEASIBLE</v>
      </c>
      <c r="AH225" s="81" t="str">
        <f t="shared" ca="1" si="200"/>
        <v>IMMEDIATE REBUY</v>
      </c>
      <c r="AI225" s="75">
        <f t="shared" ca="1" si="201"/>
        <v>1164.6214285714286</v>
      </c>
      <c r="AJ225" s="75">
        <f t="shared" ca="1" si="202"/>
        <v>-44.378571428571377</v>
      </c>
      <c r="AK225" s="13">
        <f t="shared" ca="1" si="203"/>
        <v>-53</v>
      </c>
      <c r="AL225" s="79">
        <v>0.1</v>
      </c>
      <c r="AM225" s="79">
        <v>0.3</v>
      </c>
      <c r="AN225" s="79">
        <v>0.3</v>
      </c>
      <c r="AO225" s="79">
        <v>0.1</v>
      </c>
      <c r="AP225" s="79">
        <v>0.1</v>
      </c>
      <c r="AQ225" s="75">
        <f t="shared" si="204"/>
        <v>120.9</v>
      </c>
      <c r="AR225" s="75">
        <f t="shared" si="205"/>
        <v>362.7</v>
      </c>
      <c r="AS225" s="75">
        <f t="shared" si="206"/>
        <v>362.7</v>
      </c>
      <c r="AT225" s="75">
        <f t="shared" si="207"/>
        <v>120.9</v>
      </c>
      <c r="AU225" s="75">
        <f t="shared" si="208"/>
        <v>120.9</v>
      </c>
      <c r="AV225" s="13">
        <v>0.8</v>
      </c>
      <c r="AW225" s="13">
        <v>1.2</v>
      </c>
      <c r="AX225" s="13">
        <v>1.3</v>
      </c>
      <c r="AY225" s="13">
        <v>1</v>
      </c>
      <c r="AZ225" s="13">
        <v>0.7</v>
      </c>
      <c r="BA225" s="105">
        <f t="shared" si="209"/>
        <v>7.82</v>
      </c>
      <c r="BB225" s="13">
        <f t="shared" si="210"/>
        <v>35.19</v>
      </c>
      <c r="BC225" s="13">
        <f t="shared" si="211"/>
        <v>38.122500000000002</v>
      </c>
      <c r="BD225" s="13">
        <f t="shared" si="212"/>
        <v>9.7750000000000004</v>
      </c>
      <c r="BE225" s="13">
        <f t="shared" si="213"/>
        <v>6.8425000000000002</v>
      </c>
      <c r="BF225" s="88">
        <f t="shared" si="214"/>
        <v>15.460358056265985</v>
      </c>
      <c r="BG225" s="88">
        <f t="shared" si="215"/>
        <v>10.306905370843991</v>
      </c>
      <c r="BH225" s="88">
        <f t="shared" si="216"/>
        <v>9.5140664961636823</v>
      </c>
      <c r="BI225" s="88">
        <f t="shared" si="217"/>
        <v>12.368286445012789</v>
      </c>
      <c r="BJ225" s="88">
        <f t="shared" si="218"/>
        <v>17.668980635732556</v>
      </c>
      <c r="BK225" s="105">
        <f t="shared" si="219"/>
        <v>6.4681555004135652E-2</v>
      </c>
      <c r="BL225" s="105">
        <f t="shared" si="220"/>
        <v>9.7022332506203471E-2</v>
      </c>
      <c r="BM225" s="105">
        <f t="shared" si="221"/>
        <v>0.10510752688172044</v>
      </c>
      <c r="BN225" s="105">
        <f t="shared" si="222"/>
        <v>8.0851943755169561E-2</v>
      </c>
      <c r="BO225" s="105">
        <f t="shared" si="223"/>
        <v>5.659636062861869E-2</v>
      </c>
      <c r="BP225" s="105">
        <f t="shared" si="224"/>
        <v>0.40425971877584782</v>
      </c>
      <c r="BQ225" s="79">
        <f t="shared" si="225"/>
        <v>0.16</v>
      </c>
      <c r="BR225" s="79">
        <f t="shared" si="226"/>
        <v>0.24</v>
      </c>
      <c r="BS225" s="79">
        <f t="shared" si="227"/>
        <v>0.26</v>
      </c>
      <c r="BT225" s="79">
        <f t="shared" si="228"/>
        <v>0.19999999999999998</v>
      </c>
      <c r="BU225" s="79">
        <f t="shared" si="229"/>
        <v>0.13999999999999999</v>
      </c>
      <c r="BV225" s="90" t="str">
        <f t="array" aca="1" ref="BV225" ca="1">_xlfn.TEXTJOIN(" ",TRUE,
_xlfn.TEXTJOIN(":",TRUE,ROUND(BK225:BO225/MIN(IF(BK225:BO225&gt;0,BK225:BO225)),0)),
"|",
ROUND(SUM(BW225:CA225),0))</f>
        <v>1:2:2:1:1 | -53</v>
      </c>
      <c r="BW225" s="106">
        <f t="shared" ca="1" si="230"/>
        <v>-8.48</v>
      </c>
      <c r="BX225" s="106">
        <f t="shared" ca="1" si="176"/>
        <v>-12.719999999999999</v>
      </c>
      <c r="BY225" s="106">
        <f t="shared" ca="1" si="177"/>
        <v>-13.780000000000001</v>
      </c>
      <c r="BZ225" s="106">
        <f t="shared" ca="1" si="178"/>
        <v>-10.6</v>
      </c>
      <c r="CA225" s="106">
        <f t="shared" ca="1" si="231"/>
        <v>-7.419999999999999</v>
      </c>
    </row>
    <row r="226" spans="1:79" x14ac:dyDescent="0.35">
      <c r="A226" s="25" t="s">
        <v>240</v>
      </c>
      <c r="B226" s="10" t="s">
        <v>333</v>
      </c>
      <c r="C226" s="10" t="s">
        <v>345</v>
      </c>
      <c r="D226" s="10" t="s">
        <v>346</v>
      </c>
      <c r="E226" s="11">
        <v>45962</v>
      </c>
      <c r="F226" s="17">
        <v>45892</v>
      </c>
      <c r="G226" s="14">
        <f t="shared" ca="1" si="179"/>
        <v>207</v>
      </c>
      <c r="H226" s="17">
        <v>799</v>
      </c>
      <c r="I226" s="17">
        <v>420</v>
      </c>
      <c r="J226" s="75">
        <f t="shared" si="180"/>
        <v>827</v>
      </c>
      <c r="K226" s="17">
        <v>1450</v>
      </c>
      <c r="L226" s="85">
        <v>623</v>
      </c>
      <c r="M226" s="86">
        <f t="shared" ca="1" si="181"/>
        <v>3.0096618357487923</v>
      </c>
      <c r="N226" s="86">
        <f t="shared" si="182"/>
        <v>0.73224085365853642</v>
      </c>
      <c r="O226" s="86">
        <f t="shared" si="183"/>
        <v>1.899390243902439</v>
      </c>
      <c r="P226" s="87">
        <f t="shared" si="184"/>
        <v>155.75</v>
      </c>
      <c r="Q226" s="104">
        <f t="shared" si="185"/>
        <v>5.3097913322632424</v>
      </c>
      <c r="R226" s="88">
        <f t="shared" si="186"/>
        <v>47.434292866082608</v>
      </c>
      <c r="S226" s="88">
        <f t="shared" si="187"/>
        <v>42.96551724137931</v>
      </c>
      <c r="T226" s="13">
        <f t="shared" si="188"/>
        <v>3</v>
      </c>
      <c r="U226" s="13">
        <f t="shared" si="189"/>
        <v>2</v>
      </c>
      <c r="V226" s="13">
        <f t="shared" si="190"/>
        <v>2</v>
      </c>
      <c r="W226" s="13">
        <f t="shared" ca="1" si="191"/>
        <v>3</v>
      </c>
      <c r="X226" s="13">
        <f t="shared" ca="1" si="192"/>
        <v>10</v>
      </c>
      <c r="Y226" s="81" t="str">
        <f t="shared" ca="1" si="193"/>
        <v>RE-BUY</v>
      </c>
      <c r="Z226" s="13">
        <v>14</v>
      </c>
      <c r="AA226" s="75">
        <v>46059</v>
      </c>
      <c r="AB226" s="75">
        <f t="shared" si="194"/>
        <v>45920</v>
      </c>
      <c r="AC226" s="88">
        <f t="shared" si="195"/>
        <v>19.857142857142858</v>
      </c>
      <c r="AD226" s="89" t="str">
        <f t="shared" ca="1" si="196"/>
        <v>STABLE</v>
      </c>
      <c r="AE226" s="89" t="str">
        <f t="shared" si="197"/>
        <v>FAST SELLING</v>
      </c>
      <c r="AF226" s="89" t="str">
        <f t="shared" si="198"/>
        <v>AT RISK</v>
      </c>
      <c r="AG226" s="89" t="str">
        <f t="shared" si="199"/>
        <v>FEASIBLE</v>
      </c>
      <c r="AH226" s="81" t="str">
        <f t="shared" ca="1" si="200"/>
        <v>IMMEDIATE REBUY</v>
      </c>
      <c r="AI226" s="75">
        <f t="shared" ca="1" si="201"/>
        <v>1855.6499999999999</v>
      </c>
      <c r="AJ226" s="75">
        <f t="shared" ca="1" si="202"/>
        <v>1028.6499999999999</v>
      </c>
      <c r="AK226" s="13">
        <f t="shared" ca="1" si="203"/>
        <v>1234</v>
      </c>
      <c r="AL226" s="79">
        <v>0.1</v>
      </c>
      <c r="AM226" s="79">
        <v>0.3</v>
      </c>
      <c r="AN226" s="79">
        <v>0.3</v>
      </c>
      <c r="AO226" s="79">
        <v>0.1</v>
      </c>
      <c r="AP226" s="79">
        <v>0.1</v>
      </c>
      <c r="AQ226" s="75">
        <f t="shared" si="204"/>
        <v>82.7</v>
      </c>
      <c r="AR226" s="75">
        <f t="shared" si="205"/>
        <v>248.1</v>
      </c>
      <c r="AS226" s="75">
        <f t="shared" si="206"/>
        <v>248.1</v>
      </c>
      <c r="AT226" s="75">
        <f t="shared" si="207"/>
        <v>82.7</v>
      </c>
      <c r="AU226" s="75">
        <f t="shared" si="208"/>
        <v>82.7</v>
      </c>
      <c r="AV226" s="13">
        <v>0.8</v>
      </c>
      <c r="AW226" s="13">
        <v>1.2</v>
      </c>
      <c r="AX226" s="13">
        <v>1.3</v>
      </c>
      <c r="AY226" s="13">
        <v>1</v>
      </c>
      <c r="AZ226" s="13">
        <v>0.7</v>
      </c>
      <c r="BA226" s="105">
        <f t="shared" si="209"/>
        <v>12.46</v>
      </c>
      <c r="BB226" s="13">
        <f t="shared" si="210"/>
        <v>56.07</v>
      </c>
      <c r="BC226" s="13">
        <f t="shared" si="211"/>
        <v>60.742500000000007</v>
      </c>
      <c r="BD226" s="13">
        <f t="shared" si="212"/>
        <v>15.575000000000001</v>
      </c>
      <c r="BE226" s="13">
        <f t="shared" si="213"/>
        <v>10.9025</v>
      </c>
      <c r="BF226" s="88">
        <f t="shared" si="214"/>
        <v>6.6372391653290528</v>
      </c>
      <c r="BG226" s="88">
        <f t="shared" si="215"/>
        <v>4.4248261102193682</v>
      </c>
      <c r="BH226" s="88">
        <f t="shared" si="216"/>
        <v>4.0844548709717241</v>
      </c>
      <c r="BI226" s="88">
        <f t="shared" si="217"/>
        <v>5.3097913322632424</v>
      </c>
      <c r="BJ226" s="88">
        <f t="shared" si="218"/>
        <v>7.5854161889474891</v>
      </c>
      <c r="BK226" s="105">
        <f t="shared" si="219"/>
        <v>0.15066505441354294</v>
      </c>
      <c r="BL226" s="105">
        <f t="shared" si="220"/>
        <v>0.22599758162031441</v>
      </c>
      <c r="BM226" s="105">
        <f t="shared" si="221"/>
        <v>0.2448307134220073</v>
      </c>
      <c r="BN226" s="105">
        <f t="shared" si="222"/>
        <v>0.18833131801692865</v>
      </c>
      <c r="BO226" s="105">
        <f t="shared" si="223"/>
        <v>0.13183192261185006</v>
      </c>
      <c r="BP226" s="105">
        <f t="shared" si="224"/>
        <v>0.94165659008464342</v>
      </c>
      <c r="BQ226" s="79">
        <f t="shared" si="225"/>
        <v>0.16</v>
      </c>
      <c r="BR226" s="79">
        <f t="shared" si="226"/>
        <v>0.24</v>
      </c>
      <c r="BS226" s="79">
        <f t="shared" si="227"/>
        <v>0.26</v>
      </c>
      <c r="BT226" s="79">
        <f t="shared" si="228"/>
        <v>0.19999999999999996</v>
      </c>
      <c r="BU226" s="79">
        <f t="shared" si="229"/>
        <v>0.13999999999999999</v>
      </c>
      <c r="BV226" s="90" t="str">
        <f t="array" aca="1" ref="BV226" ca="1">_xlfn.TEXTJOIN(" ",TRUE,
_xlfn.TEXTJOIN(":",TRUE,ROUND(BK226:BO226/MIN(IF(BK226:BO226&gt;0,BK226:BO226)),0)),
"|",
ROUND(SUM(BW226:CA226),0))</f>
        <v>1:2:2:1:1 | 1234</v>
      </c>
      <c r="BW226" s="106">
        <f t="shared" ca="1" si="230"/>
        <v>197.44</v>
      </c>
      <c r="BX226" s="106">
        <f t="shared" ca="1" si="176"/>
        <v>296.15999999999997</v>
      </c>
      <c r="BY226" s="106">
        <f t="shared" ca="1" si="177"/>
        <v>320.84000000000003</v>
      </c>
      <c r="BZ226" s="106">
        <f t="shared" ca="1" si="178"/>
        <v>246.79999999999995</v>
      </c>
      <c r="CA226" s="106">
        <f t="shared" ca="1" si="231"/>
        <v>172.76</v>
      </c>
    </row>
    <row r="227" spans="1:79" x14ac:dyDescent="0.35">
      <c r="A227" s="25" t="s">
        <v>241</v>
      </c>
      <c r="B227" s="10" t="s">
        <v>333</v>
      </c>
      <c r="C227" s="10" t="s">
        <v>345</v>
      </c>
      <c r="D227" s="10" t="s">
        <v>346</v>
      </c>
      <c r="E227" s="11">
        <v>45962</v>
      </c>
      <c r="F227" s="17">
        <v>45892</v>
      </c>
      <c r="G227" s="14">
        <f t="shared" ca="1" si="179"/>
        <v>207</v>
      </c>
      <c r="H227" s="17">
        <v>799</v>
      </c>
      <c r="I227" s="17">
        <v>420</v>
      </c>
      <c r="J227" s="75">
        <f t="shared" si="180"/>
        <v>1148</v>
      </c>
      <c r="K227" s="17">
        <v>1450</v>
      </c>
      <c r="L227" s="85">
        <v>302</v>
      </c>
      <c r="M227" s="86">
        <f t="shared" ca="1" si="181"/>
        <v>1.4589371980676329</v>
      </c>
      <c r="N227" s="86">
        <f t="shared" si="182"/>
        <v>0.73224085365853642</v>
      </c>
      <c r="O227" s="86">
        <f t="shared" si="183"/>
        <v>0.92073170731707321</v>
      </c>
      <c r="P227" s="87">
        <f t="shared" si="184"/>
        <v>75.5</v>
      </c>
      <c r="Q227" s="104">
        <f t="shared" si="185"/>
        <v>15.205298013245033</v>
      </c>
      <c r="R227" s="88">
        <f t="shared" si="186"/>
        <v>47.434292866082608</v>
      </c>
      <c r="S227" s="88">
        <f t="shared" si="187"/>
        <v>20.827586206896552</v>
      </c>
      <c r="T227" s="13">
        <f t="shared" si="188"/>
        <v>3</v>
      </c>
      <c r="U227" s="13">
        <f t="shared" si="189"/>
        <v>1</v>
      </c>
      <c r="V227" s="13">
        <f t="shared" si="190"/>
        <v>2</v>
      </c>
      <c r="W227" s="13">
        <f t="shared" ca="1" si="191"/>
        <v>3</v>
      </c>
      <c r="X227" s="13">
        <f t="shared" ca="1" si="192"/>
        <v>9</v>
      </c>
      <c r="Y227" s="81" t="str">
        <f t="shared" ca="1" si="193"/>
        <v>RE-BUY</v>
      </c>
      <c r="Z227" s="13">
        <v>14</v>
      </c>
      <c r="AA227" s="75">
        <v>46059</v>
      </c>
      <c r="AB227" s="75">
        <f t="shared" si="194"/>
        <v>45920</v>
      </c>
      <c r="AC227" s="88">
        <f t="shared" si="195"/>
        <v>19.857142857142858</v>
      </c>
      <c r="AD227" s="89" t="str">
        <f t="shared" ca="1" si="196"/>
        <v>STABLE</v>
      </c>
      <c r="AE227" s="89" t="str">
        <f t="shared" si="197"/>
        <v>FAST SELLING</v>
      </c>
      <c r="AF227" s="89" t="str">
        <f t="shared" si="198"/>
        <v>AT RISK</v>
      </c>
      <c r="AG227" s="89" t="str">
        <f t="shared" si="199"/>
        <v>FEASIBLE</v>
      </c>
      <c r="AH227" s="81" t="str">
        <f t="shared" ca="1" si="200"/>
        <v>IMMEDIATE REBUY</v>
      </c>
      <c r="AI227" s="75">
        <f t="shared" ca="1" si="201"/>
        <v>899.52857142857147</v>
      </c>
      <c r="AJ227" s="75">
        <f t="shared" ca="1" si="202"/>
        <v>-248.47142857142853</v>
      </c>
      <c r="AK227" s="13">
        <f t="shared" ca="1" si="203"/>
        <v>-298</v>
      </c>
      <c r="AL227" s="79">
        <v>0.1</v>
      </c>
      <c r="AM227" s="79">
        <v>0.3</v>
      </c>
      <c r="AN227" s="79">
        <v>0.3</v>
      </c>
      <c r="AO227" s="79">
        <v>0.1</v>
      </c>
      <c r="AP227" s="79">
        <v>0.1</v>
      </c>
      <c r="AQ227" s="75">
        <f t="shared" si="204"/>
        <v>114.80000000000001</v>
      </c>
      <c r="AR227" s="75">
        <f t="shared" si="205"/>
        <v>344.4</v>
      </c>
      <c r="AS227" s="75">
        <f t="shared" si="206"/>
        <v>344.4</v>
      </c>
      <c r="AT227" s="75">
        <f t="shared" si="207"/>
        <v>114.80000000000001</v>
      </c>
      <c r="AU227" s="75">
        <f t="shared" si="208"/>
        <v>114.80000000000001</v>
      </c>
      <c r="AV227" s="13">
        <v>0.8</v>
      </c>
      <c r="AW227" s="13">
        <v>1.2</v>
      </c>
      <c r="AX227" s="13">
        <v>1.3</v>
      </c>
      <c r="AY227" s="13">
        <v>1</v>
      </c>
      <c r="AZ227" s="13">
        <v>0.7</v>
      </c>
      <c r="BA227" s="105">
        <f t="shared" si="209"/>
        <v>6.0400000000000009</v>
      </c>
      <c r="BB227" s="13">
        <f t="shared" si="210"/>
        <v>27.179999999999996</v>
      </c>
      <c r="BC227" s="13">
        <f t="shared" si="211"/>
        <v>29.445</v>
      </c>
      <c r="BD227" s="13">
        <f t="shared" si="212"/>
        <v>7.5500000000000007</v>
      </c>
      <c r="BE227" s="13">
        <f t="shared" si="213"/>
        <v>5.2850000000000001</v>
      </c>
      <c r="BF227" s="88">
        <f t="shared" si="214"/>
        <v>19.006622516556291</v>
      </c>
      <c r="BG227" s="88">
        <f t="shared" si="215"/>
        <v>12.671081677704196</v>
      </c>
      <c r="BH227" s="88">
        <f t="shared" si="216"/>
        <v>11.696383087111563</v>
      </c>
      <c r="BI227" s="88">
        <f t="shared" si="217"/>
        <v>15.205298013245033</v>
      </c>
      <c r="BJ227" s="88">
        <f t="shared" si="218"/>
        <v>21.721854304635762</v>
      </c>
      <c r="BK227" s="105">
        <f t="shared" si="219"/>
        <v>5.2613240418118469E-2</v>
      </c>
      <c r="BL227" s="105">
        <f t="shared" si="220"/>
        <v>7.8919860627177693E-2</v>
      </c>
      <c r="BM227" s="105">
        <f t="shared" si="221"/>
        <v>8.5496515679442511E-2</v>
      </c>
      <c r="BN227" s="105">
        <f t="shared" si="222"/>
        <v>6.5766550522648085E-2</v>
      </c>
      <c r="BO227" s="105">
        <f t="shared" si="223"/>
        <v>4.6036585365853658E-2</v>
      </c>
      <c r="BP227" s="105">
        <f t="shared" si="224"/>
        <v>0.32883275261324041</v>
      </c>
      <c r="BQ227" s="79">
        <f t="shared" si="225"/>
        <v>0.16</v>
      </c>
      <c r="BR227" s="79">
        <f t="shared" si="226"/>
        <v>0.24</v>
      </c>
      <c r="BS227" s="79">
        <f t="shared" si="227"/>
        <v>0.26</v>
      </c>
      <c r="BT227" s="79">
        <f t="shared" si="228"/>
        <v>0.2</v>
      </c>
      <c r="BU227" s="79">
        <f t="shared" si="229"/>
        <v>0.14000000000000001</v>
      </c>
      <c r="BV227" s="90" t="str">
        <f t="array" aca="1" ref="BV227" ca="1">_xlfn.TEXTJOIN(" ",TRUE,
_xlfn.TEXTJOIN(":",TRUE,ROUND(BK227:BO227/MIN(IF(BK227:BO227&gt;0,BK227:BO227)),0)),
"|",
ROUND(SUM(BW227:CA227),0))</f>
        <v>1:2:2:1:1 | -298</v>
      </c>
      <c r="BW227" s="106">
        <f t="shared" ca="1" si="230"/>
        <v>-47.68</v>
      </c>
      <c r="BX227" s="106">
        <f t="shared" ca="1" si="176"/>
        <v>-71.52</v>
      </c>
      <c r="BY227" s="106">
        <f t="shared" ca="1" si="177"/>
        <v>-77.48</v>
      </c>
      <c r="BZ227" s="106">
        <f t="shared" ca="1" si="178"/>
        <v>-59.6</v>
      </c>
      <c r="CA227" s="106">
        <f t="shared" ca="1" si="231"/>
        <v>-41.720000000000006</v>
      </c>
    </row>
    <row r="228" spans="1:79" x14ac:dyDescent="0.35">
      <c r="A228" s="25" t="s">
        <v>242</v>
      </c>
      <c r="B228" s="10" t="s">
        <v>333</v>
      </c>
      <c r="C228" s="10" t="s">
        <v>345</v>
      </c>
      <c r="D228" s="10" t="s">
        <v>346</v>
      </c>
      <c r="E228" s="11">
        <v>45913</v>
      </c>
      <c r="F228" s="17">
        <v>45892</v>
      </c>
      <c r="G228" s="14">
        <f t="shared" ca="1" si="179"/>
        <v>207</v>
      </c>
      <c r="H228" s="17">
        <v>799</v>
      </c>
      <c r="I228" s="17">
        <v>420</v>
      </c>
      <c r="J228" s="75">
        <f t="shared" si="180"/>
        <v>1143</v>
      </c>
      <c r="K228" s="17">
        <v>1450</v>
      </c>
      <c r="L228" s="85">
        <v>307</v>
      </c>
      <c r="M228" s="86">
        <f t="shared" ca="1" si="181"/>
        <v>1.4830917874396135</v>
      </c>
      <c r="N228" s="86">
        <f t="shared" si="182"/>
        <v>0.73224085365853642</v>
      </c>
      <c r="O228" s="86">
        <f t="shared" si="183"/>
        <v>0.93597560975609762</v>
      </c>
      <c r="P228" s="87">
        <f t="shared" si="184"/>
        <v>76.75</v>
      </c>
      <c r="Q228" s="104">
        <f t="shared" si="185"/>
        <v>14.892508143322475</v>
      </c>
      <c r="R228" s="88">
        <f t="shared" si="186"/>
        <v>47.434292866082608</v>
      </c>
      <c r="S228" s="88">
        <f t="shared" si="187"/>
        <v>21.172413793103448</v>
      </c>
      <c r="T228" s="13">
        <f t="shared" si="188"/>
        <v>3</v>
      </c>
      <c r="U228" s="13">
        <f t="shared" si="189"/>
        <v>1</v>
      </c>
      <c r="V228" s="13">
        <f t="shared" si="190"/>
        <v>2</v>
      </c>
      <c r="W228" s="13">
        <f t="shared" ca="1" si="191"/>
        <v>3</v>
      </c>
      <c r="X228" s="13">
        <f t="shared" ca="1" si="192"/>
        <v>9</v>
      </c>
      <c r="Y228" s="81" t="str">
        <f t="shared" ca="1" si="193"/>
        <v>RE-BUY</v>
      </c>
      <c r="Z228" s="13">
        <v>14</v>
      </c>
      <c r="AA228" s="75">
        <v>46059</v>
      </c>
      <c r="AB228" s="75">
        <f t="shared" si="194"/>
        <v>45920</v>
      </c>
      <c r="AC228" s="88">
        <f t="shared" si="195"/>
        <v>19.857142857142858</v>
      </c>
      <c r="AD228" s="89" t="str">
        <f t="shared" ca="1" si="196"/>
        <v>STABLE</v>
      </c>
      <c r="AE228" s="89" t="str">
        <f t="shared" si="197"/>
        <v>FAST SELLING</v>
      </c>
      <c r="AF228" s="89" t="str">
        <f t="shared" si="198"/>
        <v>AT RISK</v>
      </c>
      <c r="AG228" s="89" t="str">
        <f t="shared" si="199"/>
        <v>FEASIBLE</v>
      </c>
      <c r="AH228" s="81" t="str">
        <f t="shared" ca="1" si="200"/>
        <v>IMMEDIATE REBUY</v>
      </c>
      <c r="AI228" s="75">
        <f t="shared" ca="1" si="201"/>
        <v>914.42142857142846</v>
      </c>
      <c r="AJ228" s="75">
        <f t="shared" ca="1" si="202"/>
        <v>-228.57857142857154</v>
      </c>
      <c r="AK228" s="13">
        <f t="shared" ca="1" si="203"/>
        <v>-274</v>
      </c>
      <c r="AL228" s="79">
        <v>0.1</v>
      </c>
      <c r="AM228" s="79">
        <v>0.3</v>
      </c>
      <c r="AN228" s="79">
        <v>0.3</v>
      </c>
      <c r="AO228" s="79">
        <v>0.1</v>
      </c>
      <c r="AP228" s="79">
        <v>0.1</v>
      </c>
      <c r="AQ228" s="75">
        <f t="shared" si="204"/>
        <v>114.30000000000001</v>
      </c>
      <c r="AR228" s="75">
        <f t="shared" si="205"/>
        <v>342.9</v>
      </c>
      <c r="AS228" s="75">
        <f t="shared" si="206"/>
        <v>342.9</v>
      </c>
      <c r="AT228" s="75">
        <f t="shared" si="207"/>
        <v>114.30000000000001</v>
      </c>
      <c r="AU228" s="75">
        <f t="shared" si="208"/>
        <v>114.30000000000001</v>
      </c>
      <c r="AV228" s="13">
        <v>0.8</v>
      </c>
      <c r="AW228" s="13">
        <v>1.2</v>
      </c>
      <c r="AX228" s="13">
        <v>1.3</v>
      </c>
      <c r="AY228" s="13">
        <v>1</v>
      </c>
      <c r="AZ228" s="13">
        <v>0.7</v>
      </c>
      <c r="BA228" s="105">
        <f t="shared" si="209"/>
        <v>6.1400000000000006</v>
      </c>
      <c r="BB228" s="13">
        <f t="shared" si="210"/>
        <v>27.63</v>
      </c>
      <c r="BC228" s="13">
        <f t="shared" si="211"/>
        <v>29.932499999999997</v>
      </c>
      <c r="BD228" s="13">
        <f t="shared" si="212"/>
        <v>7.6750000000000007</v>
      </c>
      <c r="BE228" s="13">
        <f t="shared" si="213"/>
        <v>5.3725000000000005</v>
      </c>
      <c r="BF228" s="88">
        <f t="shared" si="214"/>
        <v>18.615635179153095</v>
      </c>
      <c r="BG228" s="88">
        <f t="shared" si="215"/>
        <v>12.410423452768729</v>
      </c>
      <c r="BH228" s="88">
        <f t="shared" si="216"/>
        <v>11.455775494863444</v>
      </c>
      <c r="BI228" s="88">
        <f t="shared" si="217"/>
        <v>14.892508143322475</v>
      </c>
      <c r="BJ228" s="88">
        <f t="shared" si="218"/>
        <v>21.275011633317824</v>
      </c>
      <c r="BK228" s="105">
        <f t="shared" si="219"/>
        <v>5.3718285214348203E-2</v>
      </c>
      <c r="BL228" s="105">
        <f t="shared" si="220"/>
        <v>8.0577427821522316E-2</v>
      </c>
      <c r="BM228" s="105">
        <f t="shared" si="221"/>
        <v>8.7292213473315824E-2</v>
      </c>
      <c r="BN228" s="105">
        <f t="shared" si="222"/>
        <v>6.7147856517935256E-2</v>
      </c>
      <c r="BO228" s="105">
        <f t="shared" si="223"/>
        <v>4.7003499562554674E-2</v>
      </c>
      <c r="BP228" s="105">
        <f t="shared" si="224"/>
        <v>0.33573928258967628</v>
      </c>
      <c r="BQ228" s="79">
        <f t="shared" si="225"/>
        <v>0.16</v>
      </c>
      <c r="BR228" s="79">
        <f t="shared" si="226"/>
        <v>0.24000000000000002</v>
      </c>
      <c r="BS228" s="79">
        <f t="shared" si="227"/>
        <v>0.25999999999999995</v>
      </c>
      <c r="BT228" s="79">
        <f t="shared" si="228"/>
        <v>0.2</v>
      </c>
      <c r="BU228" s="79">
        <f t="shared" si="229"/>
        <v>0.13999999999999999</v>
      </c>
      <c r="BV228" s="90" t="str">
        <f t="array" aca="1" ref="BV228" ca="1">_xlfn.TEXTJOIN(" ",TRUE,
_xlfn.TEXTJOIN(":",TRUE,ROUND(BK228:BO228/MIN(IF(BK228:BO228&gt;0,BK228:BO228)),0)),
"|",
ROUND(SUM(BW228:CA228),0))</f>
        <v>1:2:2:1:1 | -274</v>
      </c>
      <c r="BW228" s="106">
        <f t="shared" ca="1" si="230"/>
        <v>-43.84</v>
      </c>
      <c r="BX228" s="106">
        <f t="shared" ca="1" si="176"/>
        <v>-65.760000000000005</v>
      </c>
      <c r="BY228" s="106">
        <f t="shared" ca="1" si="177"/>
        <v>-71.239999999999981</v>
      </c>
      <c r="BZ228" s="106">
        <f t="shared" ca="1" si="178"/>
        <v>-54.800000000000004</v>
      </c>
      <c r="CA228" s="106">
        <f t="shared" ca="1" si="231"/>
        <v>-38.36</v>
      </c>
    </row>
    <row r="229" spans="1:79" x14ac:dyDescent="0.35">
      <c r="A229" s="25" t="s">
        <v>243</v>
      </c>
      <c r="B229" s="10" t="s">
        <v>333</v>
      </c>
      <c r="C229" s="10" t="s">
        <v>345</v>
      </c>
      <c r="D229" s="10" t="s">
        <v>346</v>
      </c>
      <c r="E229" s="11">
        <v>45962</v>
      </c>
      <c r="F229" s="17">
        <v>45892</v>
      </c>
      <c r="G229" s="14">
        <f t="shared" ca="1" si="179"/>
        <v>207</v>
      </c>
      <c r="H229" s="17">
        <v>799</v>
      </c>
      <c r="I229" s="17">
        <v>340</v>
      </c>
      <c r="J229" s="75">
        <f t="shared" si="180"/>
        <v>824</v>
      </c>
      <c r="K229" s="17">
        <v>1050</v>
      </c>
      <c r="L229" s="85">
        <v>226</v>
      </c>
      <c r="M229" s="86">
        <f t="shared" ca="1" si="181"/>
        <v>1.0917874396135265</v>
      </c>
      <c r="N229" s="86">
        <f t="shared" si="182"/>
        <v>0.73224085365853642</v>
      </c>
      <c r="O229" s="86">
        <f t="shared" si="183"/>
        <v>0.68902439024390238</v>
      </c>
      <c r="P229" s="87">
        <f t="shared" si="184"/>
        <v>56.499999999999993</v>
      </c>
      <c r="Q229" s="104">
        <f t="shared" si="185"/>
        <v>14.584070796460178</v>
      </c>
      <c r="R229" s="88">
        <f t="shared" si="186"/>
        <v>57.446808510638306</v>
      </c>
      <c r="S229" s="88">
        <f t="shared" si="187"/>
        <v>21.523809523809522</v>
      </c>
      <c r="T229" s="13">
        <f t="shared" si="188"/>
        <v>2</v>
      </c>
      <c r="U229" s="13">
        <f t="shared" si="189"/>
        <v>1</v>
      </c>
      <c r="V229" s="13">
        <f t="shared" si="190"/>
        <v>2</v>
      </c>
      <c r="W229" s="13">
        <f t="shared" ca="1" si="191"/>
        <v>3</v>
      </c>
      <c r="X229" s="13">
        <f t="shared" ca="1" si="192"/>
        <v>8</v>
      </c>
      <c r="Y229" s="81" t="str">
        <f t="shared" ca="1" si="193"/>
        <v>MONITOR</v>
      </c>
      <c r="Z229" s="13">
        <v>14</v>
      </c>
      <c r="AA229" s="75">
        <v>46059</v>
      </c>
      <c r="AB229" s="75">
        <f t="shared" si="194"/>
        <v>45920</v>
      </c>
      <c r="AC229" s="88">
        <f t="shared" si="195"/>
        <v>19.857142857142858</v>
      </c>
      <c r="AD229" s="89" t="str">
        <f t="shared" ca="1" si="196"/>
        <v>STABLE</v>
      </c>
      <c r="AE229" s="89" t="str">
        <f t="shared" si="197"/>
        <v>SLOW SELLING</v>
      </c>
      <c r="AF229" s="89" t="str">
        <f t="shared" si="198"/>
        <v>AT RISK</v>
      </c>
      <c r="AG229" s="89" t="str">
        <f t="shared" si="199"/>
        <v>FEASIBLE</v>
      </c>
      <c r="AH229" s="81" t="str">
        <f t="shared" ca="1" si="200"/>
        <v>MONITOR</v>
      </c>
      <c r="AI229" s="75">
        <f t="shared" ca="1" si="201"/>
        <v>0</v>
      </c>
      <c r="AJ229" s="75">
        <f t="shared" ca="1" si="202"/>
        <v>-824</v>
      </c>
      <c r="AK229" s="13">
        <f t="shared" ca="1" si="203"/>
        <v>-989</v>
      </c>
      <c r="AL229" s="79">
        <v>0.1</v>
      </c>
      <c r="AM229" s="79">
        <v>0.3</v>
      </c>
      <c r="AN229" s="79">
        <v>0.3</v>
      </c>
      <c r="AO229" s="79">
        <v>0.1</v>
      </c>
      <c r="AP229" s="79">
        <v>0.1</v>
      </c>
      <c r="AQ229" s="75">
        <f t="shared" si="204"/>
        <v>82.4</v>
      </c>
      <c r="AR229" s="75">
        <f t="shared" si="205"/>
        <v>247.2</v>
      </c>
      <c r="AS229" s="75">
        <f t="shared" si="206"/>
        <v>247.2</v>
      </c>
      <c r="AT229" s="75">
        <f t="shared" si="207"/>
        <v>82.4</v>
      </c>
      <c r="AU229" s="75">
        <f t="shared" si="208"/>
        <v>82.4</v>
      </c>
      <c r="AV229" s="13">
        <v>0.8</v>
      </c>
      <c r="AW229" s="13">
        <v>1.2</v>
      </c>
      <c r="AX229" s="13">
        <v>1.3</v>
      </c>
      <c r="AY229" s="13">
        <v>1</v>
      </c>
      <c r="AZ229" s="13">
        <v>0.7</v>
      </c>
      <c r="BA229" s="105">
        <f t="shared" si="209"/>
        <v>4.5199999999999996</v>
      </c>
      <c r="BB229" s="13">
        <f t="shared" si="210"/>
        <v>20.339999999999993</v>
      </c>
      <c r="BC229" s="13">
        <f t="shared" si="211"/>
        <v>22.034999999999997</v>
      </c>
      <c r="BD229" s="13">
        <f t="shared" si="212"/>
        <v>5.6499999999999995</v>
      </c>
      <c r="BE229" s="13">
        <f t="shared" si="213"/>
        <v>3.9549999999999992</v>
      </c>
      <c r="BF229" s="88">
        <f t="shared" si="214"/>
        <v>18.230088495575224</v>
      </c>
      <c r="BG229" s="88">
        <f t="shared" si="215"/>
        <v>12.153392330383484</v>
      </c>
      <c r="BH229" s="88">
        <f t="shared" si="216"/>
        <v>11.218515997277061</v>
      </c>
      <c r="BI229" s="88">
        <f t="shared" si="217"/>
        <v>14.58407079646018</v>
      </c>
      <c r="BJ229" s="88">
        <f t="shared" si="218"/>
        <v>20.834386852085974</v>
      </c>
      <c r="BK229" s="105">
        <f t="shared" si="219"/>
        <v>5.4854368932038829E-2</v>
      </c>
      <c r="BL229" s="105">
        <f t="shared" si="220"/>
        <v>8.2281553398058233E-2</v>
      </c>
      <c r="BM229" s="105">
        <f t="shared" si="221"/>
        <v>8.9138349514563092E-2</v>
      </c>
      <c r="BN229" s="105">
        <f t="shared" si="222"/>
        <v>6.8567961165048527E-2</v>
      </c>
      <c r="BO229" s="105">
        <f t="shared" si="223"/>
        <v>4.7997572815533969E-2</v>
      </c>
      <c r="BP229" s="105">
        <f t="shared" si="224"/>
        <v>0.34283980582524265</v>
      </c>
      <c r="BQ229" s="79">
        <f t="shared" si="225"/>
        <v>0.16</v>
      </c>
      <c r="BR229" s="79">
        <f t="shared" si="226"/>
        <v>0.24</v>
      </c>
      <c r="BS229" s="79">
        <f t="shared" si="227"/>
        <v>0.26</v>
      </c>
      <c r="BT229" s="79">
        <f t="shared" si="228"/>
        <v>0.19999999999999998</v>
      </c>
      <c r="BU229" s="79">
        <f t="shared" si="229"/>
        <v>0.13999999999999999</v>
      </c>
      <c r="BV229" s="90" t="str">
        <f t="array" aca="1" ref="BV229" ca="1">_xlfn.TEXTJOIN(" ",TRUE,
_xlfn.TEXTJOIN(":",TRUE,ROUND(BK229:BO229/MIN(IF(BK229:BO229&gt;0,BK229:BO229)),0)),
"|",
ROUND(SUM(BW229:CA229),0))</f>
        <v>1:2:2:1:1 | -989</v>
      </c>
      <c r="BW229" s="106">
        <f t="shared" ca="1" si="230"/>
        <v>-158.24</v>
      </c>
      <c r="BX229" s="106">
        <f t="shared" ca="1" si="176"/>
        <v>-237.35999999999999</v>
      </c>
      <c r="BY229" s="106">
        <f t="shared" ca="1" si="177"/>
        <v>-257.14</v>
      </c>
      <c r="BZ229" s="106">
        <f t="shared" ca="1" si="178"/>
        <v>-197.79999999999998</v>
      </c>
      <c r="CA229" s="106">
        <f t="shared" ca="1" si="231"/>
        <v>-138.45999999999998</v>
      </c>
    </row>
    <row r="230" spans="1:79" x14ac:dyDescent="0.35">
      <c r="A230" s="25" t="s">
        <v>244</v>
      </c>
      <c r="B230" s="10" t="s">
        <v>333</v>
      </c>
      <c r="C230" s="10" t="s">
        <v>345</v>
      </c>
      <c r="D230" s="10" t="s">
        <v>346</v>
      </c>
      <c r="E230" s="11">
        <v>45913</v>
      </c>
      <c r="F230" s="17">
        <v>45892</v>
      </c>
      <c r="G230" s="14">
        <f t="shared" ca="1" si="179"/>
        <v>207</v>
      </c>
      <c r="H230" s="17">
        <v>799</v>
      </c>
      <c r="I230" s="17">
        <v>340</v>
      </c>
      <c r="J230" s="75">
        <f t="shared" si="180"/>
        <v>763</v>
      </c>
      <c r="K230" s="17">
        <v>1050</v>
      </c>
      <c r="L230" s="85">
        <v>287</v>
      </c>
      <c r="M230" s="86">
        <f t="shared" ca="1" si="181"/>
        <v>1.3864734299516908</v>
      </c>
      <c r="N230" s="86">
        <f t="shared" si="182"/>
        <v>0.73224085365853642</v>
      </c>
      <c r="O230" s="86">
        <f t="shared" si="183"/>
        <v>0.875</v>
      </c>
      <c r="P230" s="87">
        <f t="shared" si="184"/>
        <v>71.75</v>
      </c>
      <c r="Q230" s="104">
        <f t="shared" si="185"/>
        <v>10.634146341463415</v>
      </c>
      <c r="R230" s="88">
        <f t="shared" si="186"/>
        <v>57.446808510638306</v>
      </c>
      <c r="S230" s="88">
        <f t="shared" si="187"/>
        <v>27.333333333333332</v>
      </c>
      <c r="T230" s="13">
        <f t="shared" si="188"/>
        <v>3</v>
      </c>
      <c r="U230" s="13">
        <f t="shared" si="189"/>
        <v>1</v>
      </c>
      <c r="V230" s="13">
        <f t="shared" si="190"/>
        <v>2</v>
      </c>
      <c r="W230" s="13">
        <f t="shared" ca="1" si="191"/>
        <v>3</v>
      </c>
      <c r="X230" s="13">
        <f t="shared" ca="1" si="192"/>
        <v>9</v>
      </c>
      <c r="Y230" s="81" t="str">
        <f t="shared" ca="1" si="193"/>
        <v>RE-BUY</v>
      </c>
      <c r="Z230" s="13">
        <v>14</v>
      </c>
      <c r="AA230" s="75">
        <v>46059</v>
      </c>
      <c r="AB230" s="75">
        <f t="shared" si="194"/>
        <v>45920</v>
      </c>
      <c r="AC230" s="88">
        <f t="shared" si="195"/>
        <v>19.857142857142858</v>
      </c>
      <c r="AD230" s="89" t="str">
        <f t="shared" ca="1" si="196"/>
        <v>STABLE</v>
      </c>
      <c r="AE230" s="89" t="str">
        <f t="shared" si="197"/>
        <v>FAST SELLING</v>
      </c>
      <c r="AF230" s="89" t="str">
        <f t="shared" si="198"/>
        <v>AT RISK</v>
      </c>
      <c r="AG230" s="89" t="str">
        <f t="shared" si="199"/>
        <v>FEASIBLE</v>
      </c>
      <c r="AH230" s="81" t="str">
        <f t="shared" ca="1" si="200"/>
        <v>IMMEDIATE REBUY</v>
      </c>
      <c r="AI230" s="75">
        <f t="shared" ca="1" si="201"/>
        <v>854.85</v>
      </c>
      <c r="AJ230" s="75">
        <f t="shared" ca="1" si="202"/>
        <v>91.850000000000023</v>
      </c>
      <c r="AK230" s="13">
        <f t="shared" ca="1" si="203"/>
        <v>110</v>
      </c>
      <c r="AL230" s="79">
        <v>0.1</v>
      </c>
      <c r="AM230" s="79">
        <v>0.3</v>
      </c>
      <c r="AN230" s="79">
        <v>0.3</v>
      </c>
      <c r="AO230" s="79">
        <v>0.1</v>
      </c>
      <c r="AP230" s="79">
        <v>0.1</v>
      </c>
      <c r="AQ230" s="75">
        <f t="shared" si="204"/>
        <v>76.3</v>
      </c>
      <c r="AR230" s="75">
        <f t="shared" si="205"/>
        <v>228.9</v>
      </c>
      <c r="AS230" s="75">
        <f t="shared" si="206"/>
        <v>228.9</v>
      </c>
      <c r="AT230" s="75">
        <f t="shared" si="207"/>
        <v>76.3</v>
      </c>
      <c r="AU230" s="75">
        <f t="shared" si="208"/>
        <v>76.3</v>
      </c>
      <c r="AV230" s="13">
        <v>0.8</v>
      </c>
      <c r="AW230" s="13">
        <v>1.2</v>
      </c>
      <c r="AX230" s="13">
        <v>1.3</v>
      </c>
      <c r="AY230" s="13">
        <v>1</v>
      </c>
      <c r="AZ230" s="13">
        <v>0.7</v>
      </c>
      <c r="BA230" s="105">
        <f t="shared" si="209"/>
        <v>5.7400000000000011</v>
      </c>
      <c r="BB230" s="13">
        <f t="shared" si="210"/>
        <v>25.83</v>
      </c>
      <c r="BC230" s="13">
        <f t="shared" si="211"/>
        <v>27.982499999999998</v>
      </c>
      <c r="BD230" s="13">
        <f t="shared" si="212"/>
        <v>7.1750000000000007</v>
      </c>
      <c r="BE230" s="13">
        <f t="shared" si="213"/>
        <v>5.0225</v>
      </c>
      <c r="BF230" s="88">
        <f t="shared" si="214"/>
        <v>13.292682926829265</v>
      </c>
      <c r="BG230" s="88">
        <f t="shared" si="215"/>
        <v>8.8617886178861802</v>
      </c>
      <c r="BH230" s="88">
        <f t="shared" si="216"/>
        <v>8.1801125703564743</v>
      </c>
      <c r="BI230" s="88">
        <f t="shared" si="217"/>
        <v>10.634146341463413</v>
      </c>
      <c r="BJ230" s="88">
        <f t="shared" si="218"/>
        <v>15.19163763066202</v>
      </c>
      <c r="BK230" s="105">
        <f t="shared" si="219"/>
        <v>7.5229357798165156E-2</v>
      </c>
      <c r="BL230" s="105">
        <f t="shared" si="220"/>
        <v>0.11284403669724768</v>
      </c>
      <c r="BM230" s="105">
        <f t="shared" si="221"/>
        <v>0.12224770642201832</v>
      </c>
      <c r="BN230" s="105">
        <f t="shared" si="222"/>
        <v>9.4036697247706427E-2</v>
      </c>
      <c r="BO230" s="105">
        <f t="shared" si="223"/>
        <v>6.5825688073394492E-2</v>
      </c>
      <c r="BP230" s="105">
        <f t="shared" si="224"/>
        <v>0.47018348623853207</v>
      </c>
      <c r="BQ230" s="79">
        <f t="shared" si="225"/>
        <v>0.16000000000000006</v>
      </c>
      <c r="BR230" s="79">
        <f t="shared" si="226"/>
        <v>0.23999999999999996</v>
      </c>
      <c r="BS230" s="79">
        <f t="shared" si="227"/>
        <v>0.25999999999999995</v>
      </c>
      <c r="BT230" s="79">
        <f t="shared" si="228"/>
        <v>0.20000000000000004</v>
      </c>
      <c r="BU230" s="79">
        <f t="shared" si="229"/>
        <v>0.14000000000000001</v>
      </c>
      <c r="BV230" s="90" t="str">
        <f t="array" aca="1" ref="BV230" ca="1">_xlfn.TEXTJOIN(" ",TRUE,
_xlfn.TEXTJOIN(":",TRUE,ROUND(BK230:BO230/MIN(IF(BK230:BO230&gt;0,BK230:BO230)),0)),
"|",
ROUND(SUM(BW230:CA230),0))</f>
        <v>1:2:2:1:1 | 110</v>
      </c>
      <c r="BW230" s="106">
        <f t="shared" ca="1" si="230"/>
        <v>17.600000000000005</v>
      </c>
      <c r="BX230" s="106">
        <f t="shared" ca="1" si="176"/>
        <v>26.399999999999995</v>
      </c>
      <c r="BY230" s="106">
        <f t="shared" ca="1" si="177"/>
        <v>28.599999999999994</v>
      </c>
      <c r="BZ230" s="106">
        <f t="shared" ca="1" si="178"/>
        <v>22.000000000000004</v>
      </c>
      <c r="CA230" s="106">
        <f t="shared" ca="1" si="231"/>
        <v>15.400000000000002</v>
      </c>
    </row>
    <row r="231" spans="1:79" x14ac:dyDescent="0.35">
      <c r="A231" s="25" t="s">
        <v>245</v>
      </c>
      <c r="B231" s="10" t="s">
        <v>333</v>
      </c>
      <c r="C231" s="10" t="s">
        <v>345</v>
      </c>
      <c r="D231" s="10" t="s">
        <v>346</v>
      </c>
      <c r="E231" s="11">
        <v>45913</v>
      </c>
      <c r="F231" s="17">
        <v>45892</v>
      </c>
      <c r="G231" s="14">
        <f t="shared" ca="1" si="179"/>
        <v>207</v>
      </c>
      <c r="H231" s="17">
        <v>799</v>
      </c>
      <c r="I231" s="17">
        <v>340</v>
      </c>
      <c r="J231" s="75">
        <f t="shared" si="180"/>
        <v>739</v>
      </c>
      <c r="K231" s="17">
        <v>1050</v>
      </c>
      <c r="L231" s="85">
        <v>311</v>
      </c>
      <c r="M231" s="86">
        <f t="shared" ca="1" si="181"/>
        <v>1.5024154589371981</v>
      </c>
      <c r="N231" s="86">
        <f t="shared" si="182"/>
        <v>0.73224085365853642</v>
      </c>
      <c r="O231" s="86">
        <f t="shared" si="183"/>
        <v>0.94817073170731703</v>
      </c>
      <c r="P231" s="87">
        <f t="shared" si="184"/>
        <v>77.75</v>
      </c>
      <c r="Q231" s="104">
        <f t="shared" si="185"/>
        <v>9.504823151125402</v>
      </c>
      <c r="R231" s="88">
        <f t="shared" si="186"/>
        <v>57.446808510638306</v>
      </c>
      <c r="S231" s="88">
        <f t="shared" si="187"/>
        <v>29.619047619047617</v>
      </c>
      <c r="T231" s="13">
        <f t="shared" si="188"/>
        <v>3</v>
      </c>
      <c r="U231" s="13">
        <f t="shared" si="189"/>
        <v>1</v>
      </c>
      <c r="V231" s="13">
        <f t="shared" si="190"/>
        <v>2</v>
      </c>
      <c r="W231" s="13">
        <f t="shared" ca="1" si="191"/>
        <v>3</v>
      </c>
      <c r="X231" s="13">
        <f t="shared" ca="1" si="192"/>
        <v>9</v>
      </c>
      <c r="Y231" s="81" t="str">
        <f t="shared" ca="1" si="193"/>
        <v>RE-BUY</v>
      </c>
      <c r="Z231" s="13">
        <v>14</v>
      </c>
      <c r="AA231" s="75">
        <v>46059</v>
      </c>
      <c r="AB231" s="75">
        <f t="shared" si="194"/>
        <v>45920</v>
      </c>
      <c r="AC231" s="88">
        <f t="shared" si="195"/>
        <v>19.857142857142858</v>
      </c>
      <c r="AD231" s="89" t="str">
        <f t="shared" ca="1" si="196"/>
        <v>STABLE</v>
      </c>
      <c r="AE231" s="89" t="str">
        <f t="shared" si="197"/>
        <v>FAST SELLING</v>
      </c>
      <c r="AF231" s="89" t="str">
        <f t="shared" si="198"/>
        <v>AT RISK</v>
      </c>
      <c r="AG231" s="89" t="str">
        <f t="shared" si="199"/>
        <v>FEASIBLE</v>
      </c>
      <c r="AH231" s="81" t="str">
        <f t="shared" ca="1" si="200"/>
        <v>IMMEDIATE REBUY</v>
      </c>
      <c r="AI231" s="75">
        <f t="shared" ca="1" si="201"/>
        <v>926.33571428571418</v>
      </c>
      <c r="AJ231" s="75">
        <f t="shared" ca="1" si="202"/>
        <v>187.33571428571418</v>
      </c>
      <c r="AK231" s="13">
        <f t="shared" ca="1" si="203"/>
        <v>225</v>
      </c>
      <c r="AL231" s="79">
        <v>0.1</v>
      </c>
      <c r="AM231" s="79">
        <v>0.3</v>
      </c>
      <c r="AN231" s="79">
        <v>0.3</v>
      </c>
      <c r="AO231" s="79">
        <v>0.1</v>
      </c>
      <c r="AP231" s="79">
        <v>0.1</v>
      </c>
      <c r="AQ231" s="75">
        <f t="shared" si="204"/>
        <v>73.900000000000006</v>
      </c>
      <c r="AR231" s="75">
        <f t="shared" si="205"/>
        <v>221.7</v>
      </c>
      <c r="AS231" s="75">
        <f t="shared" si="206"/>
        <v>221.7</v>
      </c>
      <c r="AT231" s="75">
        <f t="shared" si="207"/>
        <v>73.900000000000006</v>
      </c>
      <c r="AU231" s="75">
        <f t="shared" si="208"/>
        <v>73.900000000000006</v>
      </c>
      <c r="AV231" s="13">
        <v>0.8</v>
      </c>
      <c r="AW231" s="13">
        <v>1.2</v>
      </c>
      <c r="AX231" s="13">
        <v>1.3</v>
      </c>
      <c r="AY231" s="13">
        <v>1</v>
      </c>
      <c r="AZ231" s="13">
        <v>0.7</v>
      </c>
      <c r="BA231" s="105">
        <f t="shared" si="209"/>
        <v>6.2200000000000006</v>
      </c>
      <c r="BB231" s="13">
        <f t="shared" si="210"/>
        <v>27.99</v>
      </c>
      <c r="BC231" s="13">
        <f t="shared" si="211"/>
        <v>30.322500000000002</v>
      </c>
      <c r="BD231" s="13">
        <f t="shared" si="212"/>
        <v>7.7750000000000004</v>
      </c>
      <c r="BE231" s="13">
        <f t="shared" si="213"/>
        <v>5.4424999999999999</v>
      </c>
      <c r="BF231" s="88">
        <f t="shared" si="214"/>
        <v>11.881028938906752</v>
      </c>
      <c r="BG231" s="88">
        <f t="shared" si="215"/>
        <v>7.920685959271168</v>
      </c>
      <c r="BH231" s="88">
        <f t="shared" si="216"/>
        <v>7.3114024239426163</v>
      </c>
      <c r="BI231" s="88">
        <f t="shared" si="217"/>
        <v>9.504823151125402</v>
      </c>
      <c r="BJ231" s="88">
        <f t="shared" si="218"/>
        <v>13.578318787322004</v>
      </c>
      <c r="BK231" s="105">
        <f t="shared" si="219"/>
        <v>8.4167794316644118E-2</v>
      </c>
      <c r="BL231" s="105">
        <f t="shared" si="220"/>
        <v>0.12625169147496618</v>
      </c>
      <c r="BM231" s="105">
        <f t="shared" si="221"/>
        <v>0.13677266576454669</v>
      </c>
      <c r="BN231" s="105">
        <f t="shared" si="222"/>
        <v>0.10520974289580515</v>
      </c>
      <c r="BO231" s="105">
        <f t="shared" si="223"/>
        <v>7.3646820027063589E-2</v>
      </c>
      <c r="BP231" s="105">
        <f t="shared" si="224"/>
        <v>0.52604871447902579</v>
      </c>
      <c r="BQ231" s="79">
        <f t="shared" si="225"/>
        <v>0.15999999999999998</v>
      </c>
      <c r="BR231" s="79">
        <f t="shared" si="226"/>
        <v>0.23999999999999996</v>
      </c>
      <c r="BS231" s="79">
        <f t="shared" si="227"/>
        <v>0.25999999999999995</v>
      </c>
      <c r="BT231" s="79">
        <f t="shared" si="228"/>
        <v>0.19999999999999998</v>
      </c>
      <c r="BU231" s="79">
        <f t="shared" si="229"/>
        <v>0.13999999999999996</v>
      </c>
      <c r="BV231" s="90" t="str">
        <f t="array" aca="1" ref="BV231" ca="1">_xlfn.TEXTJOIN(" ",TRUE,
_xlfn.TEXTJOIN(":",TRUE,ROUND(BK231:BO231/MIN(IF(BK231:BO231&gt;0,BK231:BO231)),0)),
"|",
ROUND(SUM(BW231:CA231),0))</f>
        <v>1:2:2:1:1 | 225</v>
      </c>
      <c r="BW231" s="106">
        <f t="shared" ca="1" si="230"/>
        <v>35.999999999999993</v>
      </c>
      <c r="BX231" s="106">
        <f t="shared" ca="1" si="176"/>
        <v>53.999999999999993</v>
      </c>
      <c r="BY231" s="106">
        <f t="shared" ca="1" si="177"/>
        <v>58.499999999999993</v>
      </c>
      <c r="BZ231" s="106">
        <f t="shared" ca="1" si="178"/>
        <v>44.999999999999993</v>
      </c>
      <c r="CA231" s="106">
        <f t="shared" ca="1" si="231"/>
        <v>31.499999999999989</v>
      </c>
    </row>
    <row r="232" spans="1:79" x14ac:dyDescent="0.35">
      <c r="A232" s="25" t="s">
        <v>246</v>
      </c>
      <c r="B232" s="10" t="s">
        <v>333</v>
      </c>
      <c r="C232" s="10" t="s">
        <v>345</v>
      </c>
      <c r="D232" s="10" t="s">
        <v>346</v>
      </c>
      <c r="E232" s="11">
        <v>45913</v>
      </c>
      <c r="F232" s="17">
        <v>45892</v>
      </c>
      <c r="G232" s="14">
        <f t="shared" ca="1" si="179"/>
        <v>207</v>
      </c>
      <c r="H232" s="17">
        <v>799</v>
      </c>
      <c r="I232" s="17">
        <v>340</v>
      </c>
      <c r="J232" s="75">
        <f t="shared" si="180"/>
        <v>692</v>
      </c>
      <c r="K232" s="17">
        <v>1050</v>
      </c>
      <c r="L232" s="85">
        <v>358</v>
      </c>
      <c r="M232" s="86">
        <f t="shared" ca="1" si="181"/>
        <v>1.7294685990338163</v>
      </c>
      <c r="N232" s="86">
        <f t="shared" si="182"/>
        <v>0.73224085365853642</v>
      </c>
      <c r="O232" s="86">
        <f t="shared" si="183"/>
        <v>1.0914634146341464</v>
      </c>
      <c r="P232" s="87">
        <f t="shared" si="184"/>
        <v>89.5</v>
      </c>
      <c r="Q232" s="104">
        <f t="shared" si="185"/>
        <v>7.7318435754189947</v>
      </c>
      <c r="R232" s="88">
        <f t="shared" si="186"/>
        <v>57.446808510638306</v>
      </c>
      <c r="S232" s="88">
        <f t="shared" si="187"/>
        <v>34.095238095238095</v>
      </c>
      <c r="T232" s="13">
        <f t="shared" si="188"/>
        <v>3</v>
      </c>
      <c r="U232" s="13">
        <f t="shared" si="189"/>
        <v>1</v>
      </c>
      <c r="V232" s="13">
        <f t="shared" si="190"/>
        <v>2</v>
      </c>
      <c r="W232" s="13">
        <f t="shared" ca="1" si="191"/>
        <v>3</v>
      </c>
      <c r="X232" s="13">
        <f t="shared" ca="1" si="192"/>
        <v>9</v>
      </c>
      <c r="Y232" s="81" t="str">
        <f t="shared" ca="1" si="193"/>
        <v>RE-BUY</v>
      </c>
      <c r="Z232" s="13">
        <v>14</v>
      </c>
      <c r="AA232" s="75">
        <v>46059</v>
      </c>
      <c r="AB232" s="75">
        <f t="shared" si="194"/>
        <v>45920</v>
      </c>
      <c r="AC232" s="88">
        <f t="shared" si="195"/>
        <v>19.857142857142858</v>
      </c>
      <c r="AD232" s="89" t="str">
        <f t="shared" ca="1" si="196"/>
        <v>STABLE</v>
      </c>
      <c r="AE232" s="89" t="str">
        <f t="shared" si="197"/>
        <v>FAST SELLING</v>
      </c>
      <c r="AF232" s="89" t="str">
        <f t="shared" si="198"/>
        <v>AT RISK</v>
      </c>
      <c r="AG232" s="89" t="str">
        <f t="shared" si="199"/>
        <v>FEASIBLE</v>
      </c>
      <c r="AH232" s="81" t="str">
        <f t="shared" ca="1" si="200"/>
        <v>IMMEDIATE REBUY</v>
      </c>
      <c r="AI232" s="75">
        <f t="shared" ca="1" si="201"/>
        <v>1066.3285714285714</v>
      </c>
      <c r="AJ232" s="75">
        <f t="shared" ca="1" si="202"/>
        <v>374.32857142857142</v>
      </c>
      <c r="AK232" s="13">
        <f t="shared" ca="1" si="203"/>
        <v>449</v>
      </c>
      <c r="AL232" s="79">
        <v>0.1</v>
      </c>
      <c r="AM232" s="79">
        <v>0.3</v>
      </c>
      <c r="AN232" s="79">
        <v>0.3</v>
      </c>
      <c r="AO232" s="79">
        <v>0.1</v>
      </c>
      <c r="AP232" s="79">
        <v>0.1</v>
      </c>
      <c r="AQ232" s="75">
        <f t="shared" si="204"/>
        <v>69.2</v>
      </c>
      <c r="AR232" s="75">
        <f t="shared" si="205"/>
        <v>207.6</v>
      </c>
      <c r="AS232" s="75">
        <f t="shared" si="206"/>
        <v>207.6</v>
      </c>
      <c r="AT232" s="75">
        <f t="shared" si="207"/>
        <v>69.2</v>
      </c>
      <c r="AU232" s="75">
        <f t="shared" si="208"/>
        <v>69.2</v>
      </c>
      <c r="AV232" s="13">
        <v>0.8</v>
      </c>
      <c r="AW232" s="13">
        <v>1.2</v>
      </c>
      <c r="AX232" s="13">
        <v>1.3</v>
      </c>
      <c r="AY232" s="13">
        <v>1</v>
      </c>
      <c r="AZ232" s="13">
        <v>0.7</v>
      </c>
      <c r="BA232" s="105">
        <f t="shared" si="209"/>
        <v>7.160000000000001</v>
      </c>
      <c r="BB232" s="13">
        <f t="shared" si="210"/>
        <v>32.22</v>
      </c>
      <c r="BC232" s="13">
        <f t="shared" si="211"/>
        <v>34.905000000000001</v>
      </c>
      <c r="BD232" s="13">
        <f t="shared" si="212"/>
        <v>8.9500000000000011</v>
      </c>
      <c r="BE232" s="13">
        <f t="shared" si="213"/>
        <v>6.2650000000000006</v>
      </c>
      <c r="BF232" s="88">
        <f t="shared" si="214"/>
        <v>9.6648044692737418</v>
      </c>
      <c r="BG232" s="88">
        <f t="shared" si="215"/>
        <v>6.4432029795158288</v>
      </c>
      <c r="BH232" s="88">
        <f t="shared" si="216"/>
        <v>5.9475719810915342</v>
      </c>
      <c r="BI232" s="88">
        <f t="shared" si="217"/>
        <v>7.7318435754189938</v>
      </c>
      <c r="BJ232" s="88">
        <f t="shared" si="218"/>
        <v>11.045490822027134</v>
      </c>
      <c r="BK232" s="105">
        <f t="shared" si="219"/>
        <v>0.10346820809248557</v>
      </c>
      <c r="BL232" s="105">
        <f t="shared" si="220"/>
        <v>0.15520231213872832</v>
      </c>
      <c r="BM232" s="105">
        <f t="shared" si="221"/>
        <v>0.16813583815028901</v>
      </c>
      <c r="BN232" s="105">
        <f t="shared" si="222"/>
        <v>0.12933526011560695</v>
      </c>
      <c r="BO232" s="105">
        <f t="shared" si="223"/>
        <v>9.0534682080924869E-2</v>
      </c>
      <c r="BP232" s="105">
        <f t="shared" si="224"/>
        <v>0.64667630057803471</v>
      </c>
      <c r="BQ232" s="79">
        <f t="shared" si="225"/>
        <v>0.16000000000000003</v>
      </c>
      <c r="BR232" s="79">
        <f t="shared" si="226"/>
        <v>0.23999999999999996</v>
      </c>
      <c r="BS232" s="79">
        <f t="shared" si="227"/>
        <v>0.26</v>
      </c>
      <c r="BT232" s="79">
        <f t="shared" si="228"/>
        <v>0.2</v>
      </c>
      <c r="BU232" s="79">
        <f t="shared" si="229"/>
        <v>0.14000000000000001</v>
      </c>
      <c r="BV232" s="90" t="str">
        <f t="array" aca="1" ref="BV232" ca="1">_xlfn.TEXTJOIN(" ",TRUE,
_xlfn.TEXTJOIN(":",TRUE,ROUND(BK232:BO232/MIN(IF(BK232:BO232&gt;0,BK232:BO232)),0)),
"|",
ROUND(SUM(BW232:CA232),0))</f>
        <v>1:2:2:1:1 | 449</v>
      </c>
      <c r="BW232" s="106">
        <f t="shared" ca="1" si="230"/>
        <v>71.840000000000018</v>
      </c>
      <c r="BX232" s="106">
        <f t="shared" ca="1" si="176"/>
        <v>107.75999999999998</v>
      </c>
      <c r="BY232" s="106">
        <f t="shared" ca="1" si="177"/>
        <v>116.74000000000001</v>
      </c>
      <c r="BZ232" s="106">
        <f t="shared" ca="1" si="178"/>
        <v>89.800000000000011</v>
      </c>
      <c r="CA232" s="106">
        <f t="shared" ca="1" si="231"/>
        <v>62.860000000000007</v>
      </c>
    </row>
    <row r="233" spans="1:79" x14ac:dyDescent="0.35">
      <c r="A233" s="25" t="s">
        <v>247</v>
      </c>
      <c r="B233" s="10" t="s">
        <v>333</v>
      </c>
      <c r="C233" s="10" t="s">
        <v>345</v>
      </c>
      <c r="D233" s="10" t="s">
        <v>346</v>
      </c>
      <c r="E233" s="11">
        <v>45962</v>
      </c>
      <c r="F233" s="17">
        <v>45892</v>
      </c>
      <c r="G233" s="14">
        <f t="shared" ca="1" si="179"/>
        <v>207</v>
      </c>
      <c r="H233" s="17">
        <v>799</v>
      </c>
      <c r="I233" s="17">
        <v>340</v>
      </c>
      <c r="J233" s="75">
        <f t="shared" si="180"/>
        <v>934</v>
      </c>
      <c r="K233" s="17">
        <v>1050</v>
      </c>
      <c r="L233" s="85">
        <v>116</v>
      </c>
      <c r="M233" s="86">
        <f t="shared" ca="1" si="181"/>
        <v>0.56038647342995174</v>
      </c>
      <c r="N233" s="86">
        <f t="shared" si="182"/>
        <v>0.73224085365853642</v>
      </c>
      <c r="O233" s="86">
        <f t="shared" si="183"/>
        <v>0.35365853658536583</v>
      </c>
      <c r="P233" s="87">
        <f t="shared" si="184"/>
        <v>29</v>
      </c>
      <c r="Q233" s="104">
        <f t="shared" si="185"/>
        <v>32.206896551724135</v>
      </c>
      <c r="R233" s="88">
        <f t="shared" si="186"/>
        <v>57.446808510638306</v>
      </c>
      <c r="S233" s="88">
        <f t="shared" si="187"/>
        <v>11.047619047619047</v>
      </c>
      <c r="T233" s="13">
        <f t="shared" si="188"/>
        <v>1</v>
      </c>
      <c r="U233" s="13">
        <f t="shared" si="189"/>
        <v>1</v>
      </c>
      <c r="V233" s="13">
        <f t="shared" si="190"/>
        <v>2</v>
      </c>
      <c r="W233" s="13">
        <f t="shared" ca="1" si="191"/>
        <v>3</v>
      </c>
      <c r="X233" s="13">
        <f t="shared" ca="1" si="192"/>
        <v>7</v>
      </c>
      <c r="Y233" s="81" t="str">
        <f t="shared" ca="1" si="193"/>
        <v>MONITOR</v>
      </c>
      <c r="Z233" s="13">
        <v>14</v>
      </c>
      <c r="AA233" s="75">
        <v>46059</v>
      </c>
      <c r="AB233" s="75">
        <f t="shared" si="194"/>
        <v>45920</v>
      </c>
      <c r="AC233" s="88">
        <f t="shared" si="195"/>
        <v>19.857142857142858</v>
      </c>
      <c r="AD233" s="89" t="str">
        <f t="shared" ca="1" si="196"/>
        <v>STABLE</v>
      </c>
      <c r="AE233" s="89" t="str">
        <f t="shared" si="197"/>
        <v>SLOW SELLING</v>
      </c>
      <c r="AF233" s="89" t="str">
        <f t="shared" si="198"/>
        <v>AT RISK</v>
      </c>
      <c r="AG233" s="89" t="str">
        <f t="shared" si="199"/>
        <v>FEASIBLE</v>
      </c>
      <c r="AH233" s="81" t="str">
        <f t="shared" ca="1" si="200"/>
        <v>MONITOR</v>
      </c>
      <c r="AI233" s="75">
        <f t="shared" ca="1" si="201"/>
        <v>0</v>
      </c>
      <c r="AJ233" s="75">
        <f t="shared" ca="1" si="202"/>
        <v>-934</v>
      </c>
      <c r="AK233" s="13">
        <f t="shared" ca="1" si="203"/>
        <v>-1121</v>
      </c>
      <c r="AL233" s="79">
        <v>0.1</v>
      </c>
      <c r="AM233" s="79">
        <v>0.3</v>
      </c>
      <c r="AN233" s="79">
        <v>0.3</v>
      </c>
      <c r="AO233" s="79">
        <v>0.1</v>
      </c>
      <c r="AP233" s="79">
        <v>0.1</v>
      </c>
      <c r="AQ233" s="75">
        <f t="shared" si="204"/>
        <v>93.4</v>
      </c>
      <c r="AR233" s="75">
        <f t="shared" si="205"/>
        <v>280.2</v>
      </c>
      <c r="AS233" s="75">
        <f t="shared" si="206"/>
        <v>280.2</v>
      </c>
      <c r="AT233" s="75">
        <f t="shared" si="207"/>
        <v>93.4</v>
      </c>
      <c r="AU233" s="75">
        <f t="shared" si="208"/>
        <v>93.4</v>
      </c>
      <c r="AV233" s="13">
        <v>0.8</v>
      </c>
      <c r="AW233" s="13">
        <v>1.2</v>
      </c>
      <c r="AX233" s="13">
        <v>1.3</v>
      </c>
      <c r="AY233" s="13">
        <v>1</v>
      </c>
      <c r="AZ233" s="13">
        <v>0.7</v>
      </c>
      <c r="BA233" s="105">
        <f t="shared" si="209"/>
        <v>2.3200000000000003</v>
      </c>
      <c r="BB233" s="13">
        <f t="shared" si="210"/>
        <v>10.44</v>
      </c>
      <c r="BC233" s="13">
        <f t="shared" si="211"/>
        <v>11.309999999999999</v>
      </c>
      <c r="BD233" s="13">
        <f t="shared" si="212"/>
        <v>2.9000000000000004</v>
      </c>
      <c r="BE233" s="13">
        <f t="shared" si="213"/>
        <v>2.0300000000000002</v>
      </c>
      <c r="BF233" s="88">
        <f t="shared" si="214"/>
        <v>40.258620689655167</v>
      </c>
      <c r="BG233" s="88">
        <f t="shared" si="215"/>
        <v>26.839080459770116</v>
      </c>
      <c r="BH233" s="88">
        <f t="shared" si="216"/>
        <v>24.77453580901857</v>
      </c>
      <c r="BI233" s="88">
        <f t="shared" si="217"/>
        <v>32.206896551724135</v>
      </c>
      <c r="BJ233" s="88">
        <f t="shared" si="218"/>
        <v>46.009852216748769</v>
      </c>
      <c r="BK233" s="105">
        <f t="shared" si="219"/>
        <v>2.4839400428265528E-2</v>
      </c>
      <c r="BL233" s="105">
        <f t="shared" si="220"/>
        <v>3.7259100642398284E-2</v>
      </c>
      <c r="BM233" s="105">
        <f t="shared" si="221"/>
        <v>4.0364025695931477E-2</v>
      </c>
      <c r="BN233" s="105">
        <f t="shared" si="222"/>
        <v>3.1049250535331908E-2</v>
      </c>
      <c r="BO233" s="105">
        <f t="shared" si="223"/>
        <v>2.1734475374732335E-2</v>
      </c>
      <c r="BP233" s="105">
        <f t="shared" si="224"/>
        <v>0.15524625267665954</v>
      </c>
      <c r="BQ233" s="79">
        <f t="shared" si="225"/>
        <v>0.16</v>
      </c>
      <c r="BR233" s="79">
        <f t="shared" si="226"/>
        <v>0.23999999999999996</v>
      </c>
      <c r="BS233" s="79">
        <f t="shared" si="227"/>
        <v>0.26</v>
      </c>
      <c r="BT233" s="79">
        <f t="shared" si="228"/>
        <v>0.2</v>
      </c>
      <c r="BU233" s="79">
        <f t="shared" si="229"/>
        <v>0.14000000000000001</v>
      </c>
      <c r="BV233" s="90" t="str">
        <f t="array" aca="1" ref="BV233" ca="1">_xlfn.TEXTJOIN(" ",TRUE,
_xlfn.TEXTJOIN(":",TRUE,ROUND(BK233:BO233/MIN(IF(BK233:BO233&gt;0,BK233:BO233)),0)),
"|",
ROUND(SUM(BW233:CA233),0))</f>
        <v>1:2:2:1:1 | -1121</v>
      </c>
      <c r="BW233" s="106">
        <f t="shared" ca="1" si="230"/>
        <v>-179.36</v>
      </c>
      <c r="BX233" s="106">
        <f t="shared" ca="1" si="176"/>
        <v>-269.03999999999996</v>
      </c>
      <c r="BY233" s="106">
        <f t="shared" ca="1" si="177"/>
        <v>-291.46000000000004</v>
      </c>
      <c r="BZ233" s="106">
        <f t="shared" ca="1" si="178"/>
        <v>-224.20000000000002</v>
      </c>
      <c r="CA233" s="106">
        <f t="shared" ca="1" si="231"/>
        <v>-156.94000000000003</v>
      </c>
    </row>
    <row r="234" spans="1:79" x14ac:dyDescent="0.35">
      <c r="A234" s="25" t="s">
        <v>248</v>
      </c>
      <c r="B234" s="10" t="s">
        <v>333</v>
      </c>
      <c r="C234" s="10" t="s">
        <v>345</v>
      </c>
      <c r="D234" s="10" t="s">
        <v>346</v>
      </c>
      <c r="E234" s="11">
        <v>45913</v>
      </c>
      <c r="F234" s="17">
        <v>45892</v>
      </c>
      <c r="G234" s="14">
        <f t="shared" ca="1" si="179"/>
        <v>207</v>
      </c>
      <c r="H234" s="17">
        <v>799</v>
      </c>
      <c r="I234" s="17">
        <v>340</v>
      </c>
      <c r="J234" s="75">
        <f t="shared" si="180"/>
        <v>715</v>
      </c>
      <c r="K234" s="17">
        <v>1050</v>
      </c>
      <c r="L234" s="85">
        <v>335</v>
      </c>
      <c r="M234" s="86">
        <f t="shared" ca="1" si="181"/>
        <v>1.6183574879227054</v>
      </c>
      <c r="N234" s="86">
        <f t="shared" si="182"/>
        <v>0.73224085365853642</v>
      </c>
      <c r="O234" s="86">
        <f t="shared" si="183"/>
        <v>1.0213414634146341</v>
      </c>
      <c r="P234" s="87">
        <f t="shared" si="184"/>
        <v>83.749999999999986</v>
      </c>
      <c r="Q234" s="104">
        <f t="shared" si="185"/>
        <v>8.5373134328358216</v>
      </c>
      <c r="R234" s="88">
        <f t="shared" si="186"/>
        <v>57.446808510638306</v>
      </c>
      <c r="S234" s="88">
        <f t="shared" si="187"/>
        <v>31.904761904761902</v>
      </c>
      <c r="T234" s="13">
        <f t="shared" si="188"/>
        <v>3</v>
      </c>
      <c r="U234" s="13">
        <f t="shared" si="189"/>
        <v>1</v>
      </c>
      <c r="V234" s="13">
        <f t="shared" si="190"/>
        <v>2</v>
      </c>
      <c r="W234" s="13">
        <f t="shared" ca="1" si="191"/>
        <v>3</v>
      </c>
      <c r="X234" s="13">
        <f t="shared" ca="1" si="192"/>
        <v>9</v>
      </c>
      <c r="Y234" s="81" t="str">
        <f t="shared" ca="1" si="193"/>
        <v>RE-BUY</v>
      </c>
      <c r="Z234" s="13">
        <v>14</v>
      </c>
      <c r="AA234" s="75">
        <v>46059</v>
      </c>
      <c r="AB234" s="75">
        <f t="shared" si="194"/>
        <v>45920</v>
      </c>
      <c r="AC234" s="88">
        <f t="shared" si="195"/>
        <v>19.857142857142858</v>
      </c>
      <c r="AD234" s="89" t="str">
        <f t="shared" ca="1" si="196"/>
        <v>STABLE</v>
      </c>
      <c r="AE234" s="89" t="str">
        <f t="shared" si="197"/>
        <v>FAST SELLING</v>
      </c>
      <c r="AF234" s="89" t="str">
        <f t="shared" si="198"/>
        <v>AT RISK</v>
      </c>
      <c r="AG234" s="89" t="str">
        <f t="shared" si="199"/>
        <v>FEASIBLE</v>
      </c>
      <c r="AH234" s="81" t="str">
        <f t="shared" ca="1" si="200"/>
        <v>IMMEDIATE REBUY</v>
      </c>
      <c r="AI234" s="75">
        <f t="shared" ca="1" si="201"/>
        <v>997.82142857142833</v>
      </c>
      <c r="AJ234" s="75">
        <f t="shared" ca="1" si="202"/>
        <v>282.82142857142833</v>
      </c>
      <c r="AK234" s="13">
        <f t="shared" ca="1" si="203"/>
        <v>339</v>
      </c>
      <c r="AL234" s="79">
        <v>0.1</v>
      </c>
      <c r="AM234" s="79">
        <v>0.3</v>
      </c>
      <c r="AN234" s="79">
        <v>0.3</v>
      </c>
      <c r="AO234" s="79">
        <v>0.1</v>
      </c>
      <c r="AP234" s="79">
        <v>0.1</v>
      </c>
      <c r="AQ234" s="75">
        <f t="shared" si="204"/>
        <v>71.5</v>
      </c>
      <c r="AR234" s="75">
        <f t="shared" si="205"/>
        <v>214.5</v>
      </c>
      <c r="AS234" s="75">
        <f t="shared" si="206"/>
        <v>214.5</v>
      </c>
      <c r="AT234" s="75">
        <f t="shared" si="207"/>
        <v>71.5</v>
      </c>
      <c r="AU234" s="75">
        <f t="shared" si="208"/>
        <v>71.5</v>
      </c>
      <c r="AV234" s="13">
        <v>0.8</v>
      </c>
      <c r="AW234" s="13">
        <v>1.2</v>
      </c>
      <c r="AX234" s="13">
        <v>1.3</v>
      </c>
      <c r="AY234" s="13">
        <v>1</v>
      </c>
      <c r="AZ234" s="13">
        <v>0.7</v>
      </c>
      <c r="BA234" s="105">
        <f t="shared" si="209"/>
        <v>6.6999999999999993</v>
      </c>
      <c r="BB234" s="13">
        <f t="shared" si="210"/>
        <v>30.149999999999995</v>
      </c>
      <c r="BC234" s="13">
        <f t="shared" si="211"/>
        <v>32.662499999999994</v>
      </c>
      <c r="BD234" s="13">
        <f t="shared" si="212"/>
        <v>8.3749999999999982</v>
      </c>
      <c r="BE234" s="13">
        <f t="shared" si="213"/>
        <v>5.862499999999998</v>
      </c>
      <c r="BF234" s="88">
        <f t="shared" si="214"/>
        <v>10.671641791044777</v>
      </c>
      <c r="BG234" s="88">
        <f t="shared" si="215"/>
        <v>7.1144278606965186</v>
      </c>
      <c r="BH234" s="88">
        <f t="shared" si="216"/>
        <v>6.5671641791044788</v>
      </c>
      <c r="BI234" s="88">
        <f t="shared" si="217"/>
        <v>8.5373134328358233</v>
      </c>
      <c r="BJ234" s="88">
        <f t="shared" si="218"/>
        <v>12.19616204690832</v>
      </c>
      <c r="BK234" s="105">
        <f t="shared" si="219"/>
        <v>9.37062937062937E-2</v>
      </c>
      <c r="BL234" s="105">
        <f t="shared" si="220"/>
        <v>0.14055944055944053</v>
      </c>
      <c r="BM234" s="105">
        <f t="shared" si="221"/>
        <v>0.15227272727272725</v>
      </c>
      <c r="BN234" s="105">
        <f t="shared" si="222"/>
        <v>0.11713286713286709</v>
      </c>
      <c r="BO234" s="105">
        <f t="shared" si="223"/>
        <v>8.1993006993006962E-2</v>
      </c>
      <c r="BP234" s="105">
        <f t="shared" si="224"/>
        <v>0.58566433566433551</v>
      </c>
      <c r="BQ234" s="79">
        <f t="shared" si="225"/>
        <v>0.16000000000000003</v>
      </c>
      <c r="BR234" s="79">
        <f t="shared" si="226"/>
        <v>0.24000000000000002</v>
      </c>
      <c r="BS234" s="79">
        <f t="shared" si="227"/>
        <v>0.26</v>
      </c>
      <c r="BT234" s="79">
        <f t="shared" si="228"/>
        <v>0.19999999999999998</v>
      </c>
      <c r="BU234" s="79">
        <f t="shared" si="229"/>
        <v>0.13999999999999999</v>
      </c>
      <c r="BV234" s="90" t="str">
        <f t="array" aca="1" ref="BV234" ca="1">_xlfn.TEXTJOIN(" ",TRUE,
_xlfn.TEXTJOIN(":",TRUE,ROUND(BK234:BO234/MIN(IF(BK234:BO234&gt;0,BK234:BO234)),0)),
"|",
ROUND(SUM(BW234:CA234),0))</f>
        <v>1:2:2:1:1 | 339</v>
      </c>
      <c r="BW234" s="106">
        <f t="shared" ca="1" si="230"/>
        <v>54.240000000000009</v>
      </c>
      <c r="BX234" s="106">
        <f t="shared" ca="1" si="176"/>
        <v>81.36</v>
      </c>
      <c r="BY234" s="106">
        <f t="shared" ca="1" si="177"/>
        <v>88.14</v>
      </c>
      <c r="BZ234" s="106">
        <f t="shared" ca="1" si="178"/>
        <v>67.8</v>
      </c>
      <c r="CA234" s="106">
        <f t="shared" ca="1" si="231"/>
        <v>47.459999999999994</v>
      </c>
    </row>
    <row r="235" spans="1:79" x14ac:dyDescent="0.35">
      <c r="A235" s="25" t="s">
        <v>249</v>
      </c>
      <c r="B235" s="10" t="s">
        <v>316</v>
      </c>
      <c r="C235" s="10" t="s">
        <v>345</v>
      </c>
      <c r="D235" s="10" t="s">
        <v>346</v>
      </c>
      <c r="E235" s="11">
        <v>45878</v>
      </c>
      <c r="F235" s="17">
        <v>45892</v>
      </c>
      <c r="G235" s="14">
        <f t="shared" ca="1" si="179"/>
        <v>207</v>
      </c>
      <c r="H235" s="17">
        <v>799</v>
      </c>
      <c r="I235" s="17">
        <v>400</v>
      </c>
      <c r="J235" s="75">
        <f t="shared" si="180"/>
        <v>1322</v>
      </c>
      <c r="K235" s="17">
        <v>1600</v>
      </c>
      <c r="L235" s="85">
        <v>278</v>
      </c>
      <c r="M235" s="86">
        <f t="shared" ca="1" si="181"/>
        <v>1.3429951690821256</v>
      </c>
      <c r="N235" s="86">
        <f t="shared" si="182"/>
        <v>0.73224085365853642</v>
      </c>
      <c r="O235" s="86">
        <f t="shared" si="183"/>
        <v>0.84756097560975607</v>
      </c>
      <c r="P235" s="87">
        <f t="shared" si="184"/>
        <v>69.5</v>
      </c>
      <c r="Q235" s="104">
        <f t="shared" si="185"/>
        <v>19.021582733812949</v>
      </c>
      <c r="R235" s="88">
        <f t="shared" si="186"/>
        <v>49.937421777221523</v>
      </c>
      <c r="S235" s="88">
        <f t="shared" si="187"/>
        <v>17.375</v>
      </c>
      <c r="T235" s="13">
        <f t="shared" si="188"/>
        <v>3</v>
      </c>
      <c r="U235" s="13">
        <f t="shared" si="189"/>
        <v>1</v>
      </c>
      <c r="V235" s="13">
        <f t="shared" si="190"/>
        <v>2</v>
      </c>
      <c r="W235" s="13">
        <f t="shared" ca="1" si="191"/>
        <v>3</v>
      </c>
      <c r="X235" s="13">
        <f t="shared" ca="1" si="192"/>
        <v>9</v>
      </c>
      <c r="Y235" s="81" t="str">
        <f t="shared" ca="1" si="193"/>
        <v>RE-BUY</v>
      </c>
      <c r="Z235" s="13">
        <v>14</v>
      </c>
      <c r="AA235" s="75">
        <v>46059</v>
      </c>
      <c r="AB235" s="75">
        <f t="shared" si="194"/>
        <v>45920</v>
      </c>
      <c r="AC235" s="88">
        <f t="shared" si="195"/>
        <v>19.857142857142858</v>
      </c>
      <c r="AD235" s="89" t="str">
        <f t="shared" ca="1" si="196"/>
        <v>STABLE</v>
      </c>
      <c r="AE235" s="89" t="str">
        <f t="shared" si="197"/>
        <v>FAST SELLING</v>
      </c>
      <c r="AF235" s="89" t="str">
        <f t="shared" si="198"/>
        <v>AT RISK</v>
      </c>
      <c r="AG235" s="89" t="str">
        <f t="shared" si="199"/>
        <v>FEASIBLE</v>
      </c>
      <c r="AH235" s="81" t="str">
        <f t="shared" ca="1" si="200"/>
        <v>IMMEDIATE REBUY</v>
      </c>
      <c r="AI235" s="75">
        <f t="shared" ca="1" si="201"/>
        <v>828.0428571428572</v>
      </c>
      <c r="AJ235" s="75">
        <f t="shared" ca="1" si="202"/>
        <v>-493.9571428571428</v>
      </c>
      <c r="AK235" s="13">
        <f t="shared" ca="1" si="203"/>
        <v>-593</v>
      </c>
      <c r="AL235" s="79">
        <v>0.1</v>
      </c>
      <c r="AM235" s="79">
        <v>0.3</v>
      </c>
      <c r="AN235" s="79">
        <v>0.3</v>
      </c>
      <c r="AO235" s="79">
        <v>0.1</v>
      </c>
      <c r="AP235" s="79">
        <v>0.1</v>
      </c>
      <c r="AQ235" s="75">
        <f t="shared" si="204"/>
        <v>132.20000000000002</v>
      </c>
      <c r="AR235" s="75">
        <f t="shared" si="205"/>
        <v>396.59999999999997</v>
      </c>
      <c r="AS235" s="75">
        <f t="shared" si="206"/>
        <v>396.59999999999997</v>
      </c>
      <c r="AT235" s="75">
        <f t="shared" si="207"/>
        <v>132.20000000000002</v>
      </c>
      <c r="AU235" s="75">
        <f t="shared" si="208"/>
        <v>132.20000000000002</v>
      </c>
      <c r="AV235" s="13">
        <v>0.8</v>
      </c>
      <c r="AW235" s="13">
        <v>1.2</v>
      </c>
      <c r="AX235" s="13">
        <v>1.3</v>
      </c>
      <c r="AY235" s="13">
        <v>1</v>
      </c>
      <c r="AZ235" s="13">
        <v>0.7</v>
      </c>
      <c r="BA235" s="105">
        <f t="shared" si="209"/>
        <v>5.5600000000000005</v>
      </c>
      <c r="BB235" s="13">
        <f t="shared" si="210"/>
        <v>25.019999999999996</v>
      </c>
      <c r="BC235" s="13">
        <f t="shared" si="211"/>
        <v>27.104999999999997</v>
      </c>
      <c r="BD235" s="13">
        <f t="shared" si="212"/>
        <v>6.95</v>
      </c>
      <c r="BE235" s="13">
        <f t="shared" si="213"/>
        <v>4.8650000000000002</v>
      </c>
      <c r="BF235" s="88">
        <f t="shared" si="214"/>
        <v>23.776978417266189</v>
      </c>
      <c r="BG235" s="88">
        <f t="shared" si="215"/>
        <v>15.851318944844126</v>
      </c>
      <c r="BH235" s="88">
        <f t="shared" si="216"/>
        <v>14.631986718317654</v>
      </c>
      <c r="BI235" s="88">
        <f t="shared" si="217"/>
        <v>19.021582733812952</v>
      </c>
      <c r="BJ235" s="88">
        <f t="shared" si="218"/>
        <v>27.173689619732787</v>
      </c>
      <c r="BK235" s="105">
        <f t="shared" si="219"/>
        <v>4.2057488653555214E-2</v>
      </c>
      <c r="BL235" s="105">
        <f t="shared" si="220"/>
        <v>6.3086232980332821E-2</v>
      </c>
      <c r="BM235" s="105">
        <f t="shared" si="221"/>
        <v>6.8343419062027233E-2</v>
      </c>
      <c r="BN235" s="105">
        <f t="shared" si="222"/>
        <v>5.2571860816944017E-2</v>
      </c>
      <c r="BO235" s="105">
        <f t="shared" si="223"/>
        <v>3.6800302571860816E-2</v>
      </c>
      <c r="BP235" s="105">
        <f t="shared" si="224"/>
        <v>0.26285930408472008</v>
      </c>
      <c r="BQ235" s="79">
        <f t="shared" si="225"/>
        <v>0.16</v>
      </c>
      <c r="BR235" s="79">
        <f t="shared" si="226"/>
        <v>0.24000000000000002</v>
      </c>
      <c r="BS235" s="79">
        <f t="shared" si="227"/>
        <v>0.26000000000000006</v>
      </c>
      <c r="BT235" s="79">
        <f t="shared" si="228"/>
        <v>0.2</v>
      </c>
      <c r="BU235" s="79">
        <f t="shared" si="229"/>
        <v>0.14000000000000001</v>
      </c>
      <c r="BV235" s="90" t="str">
        <f t="array" aca="1" ref="BV235" ca="1">_xlfn.TEXTJOIN(" ",TRUE,
_xlfn.TEXTJOIN(":",TRUE,ROUND(BK235:BO235/MIN(IF(BK235:BO235&gt;0,BK235:BO235)),0)),
"|",
ROUND(SUM(BW235:CA235),0))</f>
        <v>1:2:2:1:1 | -593</v>
      </c>
      <c r="BW235" s="106">
        <f t="shared" ca="1" si="230"/>
        <v>-94.88</v>
      </c>
      <c r="BX235" s="106">
        <f t="shared" ca="1" si="176"/>
        <v>-142.32000000000002</v>
      </c>
      <c r="BY235" s="106">
        <f t="shared" ca="1" si="177"/>
        <v>-154.18000000000004</v>
      </c>
      <c r="BZ235" s="106">
        <f t="shared" ca="1" si="178"/>
        <v>-118.60000000000001</v>
      </c>
      <c r="CA235" s="106">
        <f t="shared" ca="1" si="231"/>
        <v>-83.02000000000001</v>
      </c>
    </row>
    <row r="236" spans="1:79" x14ac:dyDescent="0.35">
      <c r="A236" s="25" t="s">
        <v>250</v>
      </c>
      <c r="B236" s="10" t="s">
        <v>316</v>
      </c>
      <c r="C236" s="10" t="s">
        <v>345</v>
      </c>
      <c r="D236" s="10" t="s">
        <v>346</v>
      </c>
      <c r="E236" s="11">
        <v>45864</v>
      </c>
      <c r="F236" s="17">
        <v>45892</v>
      </c>
      <c r="G236" s="14">
        <f t="shared" ca="1" si="179"/>
        <v>207</v>
      </c>
      <c r="H236" s="17">
        <v>599</v>
      </c>
      <c r="I236" s="17">
        <v>345</v>
      </c>
      <c r="J236" s="75">
        <f t="shared" si="180"/>
        <v>1351</v>
      </c>
      <c r="K236" s="17">
        <v>1500</v>
      </c>
      <c r="L236" s="85">
        <v>149</v>
      </c>
      <c r="M236" s="86">
        <f t="shared" ca="1" si="181"/>
        <v>0.71980676328502413</v>
      </c>
      <c r="N236" s="86">
        <f t="shared" si="182"/>
        <v>0.73224085365853642</v>
      </c>
      <c r="O236" s="86">
        <f t="shared" si="183"/>
        <v>0.45426829268292684</v>
      </c>
      <c r="P236" s="87">
        <f t="shared" si="184"/>
        <v>37.25</v>
      </c>
      <c r="Q236" s="104">
        <f t="shared" si="185"/>
        <v>36.268456375838923</v>
      </c>
      <c r="R236" s="88">
        <f t="shared" si="186"/>
        <v>42.404006677796332</v>
      </c>
      <c r="S236" s="88">
        <f t="shared" si="187"/>
        <v>9.9333333333333336</v>
      </c>
      <c r="T236" s="13">
        <f t="shared" si="188"/>
        <v>1</v>
      </c>
      <c r="U236" s="13">
        <f t="shared" si="189"/>
        <v>1</v>
      </c>
      <c r="V236" s="13">
        <f t="shared" si="190"/>
        <v>1</v>
      </c>
      <c r="W236" s="13">
        <f t="shared" ca="1" si="191"/>
        <v>3</v>
      </c>
      <c r="X236" s="13">
        <f t="shared" ca="1" si="192"/>
        <v>6</v>
      </c>
      <c r="Y236" s="81" t="str">
        <f t="shared" ca="1" si="193"/>
        <v>MONITOR</v>
      </c>
      <c r="Z236" s="13">
        <v>14</v>
      </c>
      <c r="AA236" s="75">
        <v>46059</v>
      </c>
      <c r="AB236" s="75">
        <f t="shared" si="194"/>
        <v>45920</v>
      </c>
      <c r="AC236" s="88">
        <f t="shared" si="195"/>
        <v>19.857142857142858</v>
      </c>
      <c r="AD236" s="89" t="str">
        <f t="shared" ca="1" si="196"/>
        <v>STABLE</v>
      </c>
      <c r="AE236" s="89" t="str">
        <f t="shared" si="197"/>
        <v>SLOW SELLING</v>
      </c>
      <c r="AF236" s="89" t="str">
        <f t="shared" si="198"/>
        <v>AT RISK</v>
      </c>
      <c r="AG236" s="89" t="str">
        <f t="shared" si="199"/>
        <v>FEASIBLE</v>
      </c>
      <c r="AH236" s="81" t="str">
        <f t="shared" ca="1" si="200"/>
        <v>MONITOR</v>
      </c>
      <c r="AI236" s="75">
        <f t="shared" ca="1" si="201"/>
        <v>0</v>
      </c>
      <c r="AJ236" s="75">
        <f t="shared" ca="1" si="202"/>
        <v>-1351</v>
      </c>
      <c r="AK236" s="13">
        <f t="shared" ca="1" si="203"/>
        <v>-1621</v>
      </c>
      <c r="AL236" s="79">
        <v>0.1</v>
      </c>
      <c r="AM236" s="79">
        <v>0.3</v>
      </c>
      <c r="AN236" s="79">
        <v>0.3</v>
      </c>
      <c r="AO236" s="79">
        <v>0.1</v>
      </c>
      <c r="AP236" s="79">
        <v>0.1</v>
      </c>
      <c r="AQ236" s="75">
        <f t="shared" si="204"/>
        <v>135.1</v>
      </c>
      <c r="AR236" s="75">
        <f t="shared" si="205"/>
        <v>405.3</v>
      </c>
      <c r="AS236" s="75">
        <f t="shared" si="206"/>
        <v>405.3</v>
      </c>
      <c r="AT236" s="75">
        <f t="shared" si="207"/>
        <v>135.1</v>
      </c>
      <c r="AU236" s="75">
        <f t="shared" si="208"/>
        <v>135.1</v>
      </c>
      <c r="AV236" s="13">
        <v>0.8</v>
      </c>
      <c r="AW236" s="13">
        <v>1.2</v>
      </c>
      <c r="AX236" s="13">
        <v>1.3</v>
      </c>
      <c r="AY236" s="13">
        <v>1</v>
      </c>
      <c r="AZ236" s="13">
        <v>0.7</v>
      </c>
      <c r="BA236" s="105">
        <f t="shared" si="209"/>
        <v>2.9800000000000004</v>
      </c>
      <c r="BB236" s="13">
        <f t="shared" si="210"/>
        <v>13.409999999999998</v>
      </c>
      <c r="BC236" s="13">
        <f t="shared" si="211"/>
        <v>14.5275</v>
      </c>
      <c r="BD236" s="13">
        <f t="shared" si="212"/>
        <v>3.7250000000000001</v>
      </c>
      <c r="BE236" s="13">
        <f t="shared" si="213"/>
        <v>2.6074999999999999</v>
      </c>
      <c r="BF236" s="88">
        <f t="shared" si="214"/>
        <v>45.335570469798647</v>
      </c>
      <c r="BG236" s="88">
        <f t="shared" si="215"/>
        <v>30.223713646532442</v>
      </c>
      <c r="BH236" s="88">
        <f t="shared" si="216"/>
        <v>27.898812596799175</v>
      </c>
      <c r="BI236" s="88">
        <f t="shared" si="217"/>
        <v>36.268456375838923</v>
      </c>
      <c r="BJ236" s="88">
        <f t="shared" si="218"/>
        <v>51.812080536912752</v>
      </c>
      <c r="BK236" s="105">
        <f t="shared" si="219"/>
        <v>2.2057735011102891E-2</v>
      </c>
      <c r="BL236" s="105">
        <f t="shared" si="220"/>
        <v>3.3086602516654323E-2</v>
      </c>
      <c r="BM236" s="105">
        <f t="shared" si="221"/>
        <v>3.5843819393042188E-2</v>
      </c>
      <c r="BN236" s="105">
        <f t="shared" si="222"/>
        <v>2.7572168763878611E-2</v>
      </c>
      <c r="BO236" s="105">
        <f t="shared" si="223"/>
        <v>1.9300518134715026E-2</v>
      </c>
      <c r="BP236" s="105">
        <f t="shared" si="224"/>
        <v>0.13786084381939304</v>
      </c>
      <c r="BQ236" s="79">
        <f t="shared" si="225"/>
        <v>0.16000000000000003</v>
      </c>
      <c r="BR236" s="79">
        <f t="shared" si="226"/>
        <v>0.23999999999999996</v>
      </c>
      <c r="BS236" s="79">
        <f t="shared" si="227"/>
        <v>0.26</v>
      </c>
      <c r="BT236" s="79">
        <f t="shared" si="228"/>
        <v>0.20000000000000004</v>
      </c>
      <c r="BU236" s="79">
        <f t="shared" si="229"/>
        <v>0.14000000000000001</v>
      </c>
      <c r="BV236" s="90" t="str">
        <f t="array" aca="1" ref="BV236" ca="1">_xlfn.TEXTJOIN(" ",TRUE,
_xlfn.TEXTJOIN(":",TRUE,ROUND(BK236:BO236/MIN(IF(BK236:BO236&gt;0,BK236:BO236)),0)),
"|",
ROUND(SUM(BW236:CA236),0))</f>
        <v>1:2:2:1:1 | -1621</v>
      </c>
      <c r="BW236" s="106">
        <f t="shared" ca="1" si="230"/>
        <v>-259.36000000000007</v>
      </c>
      <c r="BX236" s="106">
        <f t="shared" ca="1" si="176"/>
        <v>-389.03999999999996</v>
      </c>
      <c r="BY236" s="106">
        <f t="shared" ca="1" si="177"/>
        <v>-421.46000000000004</v>
      </c>
      <c r="BZ236" s="106">
        <f t="shared" ca="1" si="178"/>
        <v>-324.20000000000005</v>
      </c>
      <c r="CA236" s="106">
        <f t="shared" ca="1" si="231"/>
        <v>-226.94000000000003</v>
      </c>
    </row>
    <row r="237" spans="1:79" x14ac:dyDescent="0.35">
      <c r="A237" s="25" t="s">
        <v>251</v>
      </c>
      <c r="B237" s="10" t="s">
        <v>316</v>
      </c>
      <c r="C237" s="10" t="s">
        <v>345</v>
      </c>
      <c r="D237" s="10" t="s">
        <v>346</v>
      </c>
      <c r="E237" s="11">
        <v>45864</v>
      </c>
      <c r="F237" s="17">
        <v>45892</v>
      </c>
      <c r="G237" s="14">
        <f t="shared" ca="1" si="179"/>
        <v>207</v>
      </c>
      <c r="H237" s="17">
        <v>599</v>
      </c>
      <c r="I237" s="17">
        <v>345</v>
      </c>
      <c r="J237" s="75">
        <f t="shared" si="180"/>
        <v>1324</v>
      </c>
      <c r="K237" s="17">
        <v>1500</v>
      </c>
      <c r="L237" s="85">
        <v>176</v>
      </c>
      <c r="M237" s="86">
        <f t="shared" ca="1" si="181"/>
        <v>0.85024154589371981</v>
      </c>
      <c r="N237" s="86">
        <f t="shared" si="182"/>
        <v>0.73224085365853642</v>
      </c>
      <c r="O237" s="86">
        <f t="shared" si="183"/>
        <v>0.53658536585365857</v>
      </c>
      <c r="P237" s="87">
        <f t="shared" si="184"/>
        <v>44</v>
      </c>
      <c r="Q237" s="104">
        <f t="shared" si="185"/>
        <v>30.09090909090909</v>
      </c>
      <c r="R237" s="88">
        <f t="shared" si="186"/>
        <v>42.404006677796332</v>
      </c>
      <c r="S237" s="88">
        <f t="shared" si="187"/>
        <v>11.733333333333333</v>
      </c>
      <c r="T237" s="13">
        <f t="shared" si="188"/>
        <v>1</v>
      </c>
      <c r="U237" s="13">
        <f t="shared" si="189"/>
        <v>1</v>
      </c>
      <c r="V237" s="13">
        <f t="shared" si="190"/>
        <v>1</v>
      </c>
      <c r="W237" s="13">
        <f t="shared" ca="1" si="191"/>
        <v>3</v>
      </c>
      <c r="X237" s="13">
        <f t="shared" ca="1" si="192"/>
        <v>6</v>
      </c>
      <c r="Y237" s="81" t="str">
        <f t="shared" ca="1" si="193"/>
        <v>MONITOR</v>
      </c>
      <c r="Z237" s="13">
        <v>14</v>
      </c>
      <c r="AA237" s="75">
        <v>46059</v>
      </c>
      <c r="AB237" s="75">
        <f t="shared" si="194"/>
        <v>45920</v>
      </c>
      <c r="AC237" s="88">
        <f t="shared" si="195"/>
        <v>19.857142857142858</v>
      </c>
      <c r="AD237" s="89" t="str">
        <f t="shared" ca="1" si="196"/>
        <v>STABLE</v>
      </c>
      <c r="AE237" s="89" t="str">
        <f t="shared" si="197"/>
        <v>SLOW SELLING</v>
      </c>
      <c r="AF237" s="89" t="str">
        <f t="shared" si="198"/>
        <v>AT RISK</v>
      </c>
      <c r="AG237" s="89" t="str">
        <f t="shared" si="199"/>
        <v>FEASIBLE</v>
      </c>
      <c r="AH237" s="81" t="str">
        <f t="shared" ca="1" si="200"/>
        <v>MONITOR</v>
      </c>
      <c r="AI237" s="75">
        <f t="shared" ca="1" si="201"/>
        <v>0</v>
      </c>
      <c r="AJ237" s="75">
        <f t="shared" ca="1" si="202"/>
        <v>-1324</v>
      </c>
      <c r="AK237" s="13">
        <f t="shared" ca="1" si="203"/>
        <v>-1589</v>
      </c>
      <c r="AL237" s="79">
        <v>0.1</v>
      </c>
      <c r="AM237" s="79">
        <v>0.3</v>
      </c>
      <c r="AN237" s="79">
        <v>0.3</v>
      </c>
      <c r="AO237" s="79">
        <v>0.1</v>
      </c>
      <c r="AP237" s="79">
        <v>0.1</v>
      </c>
      <c r="AQ237" s="75">
        <f t="shared" si="204"/>
        <v>132.4</v>
      </c>
      <c r="AR237" s="75">
        <f t="shared" si="205"/>
        <v>397.2</v>
      </c>
      <c r="AS237" s="75">
        <f t="shared" si="206"/>
        <v>397.2</v>
      </c>
      <c r="AT237" s="75">
        <f t="shared" si="207"/>
        <v>132.4</v>
      </c>
      <c r="AU237" s="75">
        <f t="shared" si="208"/>
        <v>132.4</v>
      </c>
      <c r="AV237" s="13">
        <v>0.8</v>
      </c>
      <c r="AW237" s="13">
        <v>1.2</v>
      </c>
      <c r="AX237" s="13">
        <v>1.3</v>
      </c>
      <c r="AY237" s="13">
        <v>1</v>
      </c>
      <c r="AZ237" s="13">
        <v>0.7</v>
      </c>
      <c r="BA237" s="105">
        <f t="shared" si="209"/>
        <v>3.5200000000000005</v>
      </c>
      <c r="BB237" s="13">
        <f t="shared" si="210"/>
        <v>15.839999999999998</v>
      </c>
      <c r="BC237" s="13">
        <f t="shared" si="211"/>
        <v>17.16</v>
      </c>
      <c r="BD237" s="13">
        <f t="shared" si="212"/>
        <v>4.4000000000000004</v>
      </c>
      <c r="BE237" s="13">
        <f t="shared" si="213"/>
        <v>3.08</v>
      </c>
      <c r="BF237" s="88">
        <f t="shared" si="214"/>
        <v>37.61363636363636</v>
      </c>
      <c r="BG237" s="88">
        <f t="shared" si="215"/>
        <v>25.075757575757578</v>
      </c>
      <c r="BH237" s="88">
        <f t="shared" si="216"/>
        <v>23.146853146853147</v>
      </c>
      <c r="BI237" s="88">
        <f t="shared" si="217"/>
        <v>30.09090909090909</v>
      </c>
      <c r="BJ237" s="88">
        <f t="shared" si="218"/>
        <v>42.987012987012989</v>
      </c>
      <c r="BK237" s="105">
        <f t="shared" si="219"/>
        <v>2.6586102719033236E-2</v>
      </c>
      <c r="BL237" s="105">
        <f t="shared" si="220"/>
        <v>3.9879154078549847E-2</v>
      </c>
      <c r="BM237" s="105">
        <f t="shared" si="221"/>
        <v>4.3202416918429E-2</v>
      </c>
      <c r="BN237" s="105">
        <f t="shared" si="222"/>
        <v>3.3232628398791542E-2</v>
      </c>
      <c r="BO237" s="105">
        <f t="shared" si="223"/>
        <v>2.3262839879154076E-2</v>
      </c>
      <c r="BP237" s="105">
        <f t="shared" si="224"/>
        <v>0.16616314199395771</v>
      </c>
      <c r="BQ237" s="79">
        <f t="shared" si="225"/>
        <v>0.16</v>
      </c>
      <c r="BR237" s="79">
        <f t="shared" si="226"/>
        <v>0.24</v>
      </c>
      <c r="BS237" s="79">
        <f t="shared" si="227"/>
        <v>0.25999999999999995</v>
      </c>
      <c r="BT237" s="79">
        <f t="shared" si="228"/>
        <v>0.2</v>
      </c>
      <c r="BU237" s="79">
        <f t="shared" si="229"/>
        <v>0.13999999999999999</v>
      </c>
      <c r="BV237" s="90" t="str">
        <f t="array" aca="1" ref="BV237" ca="1">_xlfn.TEXTJOIN(" ",TRUE,
_xlfn.TEXTJOIN(":",TRUE,ROUND(BK237:BO237/MIN(IF(BK237:BO237&gt;0,BK237:BO237)),0)),
"|",
ROUND(SUM(BW237:CA237),0))</f>
        <v>1:2:2:1:1 | -1589</v>
      </c>
      <c r="BW237" s="106">
        <f t="shared" ca="1" si="230"/>
        <v>-254.24</v>
      </c>
      <c r="BX237" s="106">
        <f t="shared" ca="1" si="176"/>
        <v>-381.36</v>
      </c>
      <c r="BY237" s="106">
        <f t="shared" ca="1" si="177"/>
        <v>-413.13999999999993</v>
      </c>
      <c r="BZ237" s="106">
        <f t="shared" ca="1" si="178"/>
        <v>-317.8</v>
      </c>
      <c r="CA237" s="106">
        <f t="shared" ca="1" si="231"/>
        <v>-222.45999999999998</v>
      </c>
    </row>
    <row r="238" spans="1:79" x14ac:dyDescent="0.35">
      <c r="A238" s="25" t="s">
        <v>252</v>
      </c>
      <c r="B238" s="15" t="s">
        <v>323</v>
      </c>
      <c r="C238" s="10" t="s">
        <v>345</v>
      </c>
      <c r="D238" s="10" t="s">
        <v>346</v>
      </c>
      <c r="E238" s="11">
        <v>45878</v>
      </c>
      <c r="F238" s="17">
        <v>45892</v>
      </c>
      <c r="G238" s="14">
        <f t="shared" ca="1" si="179"/>
        <v>207</v>
      </c>
      <c r="H238" s="17">
        <v>499</v>
      </c>
      <c r="I238" s="17">
        <v>230</v>
      </c>
      <c r="J238" s="75">
        <f t="shared" si="180"/>
        <v>714</v>
      </c>
      <c r="K238" s="17">
        <v>750</v>
      </c>
      <c r="L238" s="85">
        <v>36</v>
      </c>
      <c r="M238" s="86">
        <f t="shared" ca="1" si="181"/>
        <v>0.17391304347826086</v>
      </c>
      <c r="N238" s="86">
        <f t="shared" si="182"/>
        <v>0.73224085365853642</v>
      </c>
      <c r="O238" s="86">
        <f t="shared" si="183"/>
        <v>0.10975609756097561</v>
      </c>
      <c r="P238" s="87">
        <f t="shared" si="184"/>
        <v>9</v>
      </c>
      <c r="Q238" s="104">
        <f t="shared" si="185"/>
        <v>79.333333333333329</v>
      </c>
      <c r="R238" s="88">
        <f t="shared" si="186"/>
        <v>53.907815631262523</v>
      </c>
      <c r="S238" s="88">
        <f t="shared" si="187"/>
        <v>4.8</v>
      </c>
      <c r="T238" s="13">
        <f t="shared" si="188"/>
        <v>1</v>
      </c>
      <c r="U238" s="13">
        <f t="shared" si="189"/>
        <v>1</v>
      </c>
      <c r="V238" s="13">
        <f t="shared" si="190"/>
        <v>2</v>
      </c>
      <c r="W238" s="13">
        <f t="shared" ca="1" si="191"/>
        <v>3</v>
      </c>
      <c r="X238" s="13">
        <f t="shared" ca="1" si="192"/>
        <v>7</v>
      </c>
      <c r="Y238" s="81" t="str">
        <f t="shared" ca="1" si="193"/>
        <v>MONITOR</v>
      </c>
      <c r="Z238" s="13">
        <v>14</v>
      </c>
      <c r="AA238" s="75">
        <v>46059</v>
      </c>
      <c r="AB238" s="75">
        <f t="shared" si="194"/>
        <v>45920</v>
      </c>
      <c r="AC238" s="88">
        <f t="shared" si="195"/>
        <v>19.857142857142858</v>
      </c>
      <c r="AD238" s="89" t="str">
        <f t="shared" ca="1" si="196"/>
        <v>STABLE</v>
      </c>
      <c r="AE238" s="89" t="str">
        <f t="shared" si="197"/>
        <v>SLOW SELLING</v>
      </c>
      <c r="AF238" s="89" t="str">
        <f t="shared" si="198"/>
        <v>AT RISK</v>
      </c>
      <c r="AG238" s="89" t="str">
        <f t="shared" si="199"/>
        <v>FEASIBLE</v>
      </c>
      <c r="AH238" s="81" t="str">
        <f t="shared" ca="1" si="200"/>
        <v>MONITOR</v>
      </c>
      <c r="AI238" s="75">
        <f t="shared" ca="1" si="201"/>
        <v>0</v>
      </c>
      <c r="AJ238" s="75">
        <f t="shared" ca="1" si="202"/>
        <v>-714</v>
      </c>
      <c r="AK238" s="13">
        <f t="shared" ca="1" si="203"/>
        <v>-857</v>
      </c>
      <c r="AL238" s="79">
        <v>0.1</v>
      </c>
      <c r="AM238" s="79">
        <v>0.3</v>
      </c>
      <c r="AN238" s="79">
        <v>0.3</v>
      </c>
      <c r="AO238" s="79">
        <v>0.1</v>
      </c>
      <c r="AP238" s="79">
        <v>0.1</v>
      </c>
      <c r="AQ238" s="75">
        <f t="shared" si="204"/>
        <v>71.400000000000006</v>
      </c>
      <c r="AR238" s="75">
        <f t="shared" si="205"/>
        <v>214.2</v>
      </c>
      <c r="AS238" s="75">
        <f t="shared" si="206"/>
        <v>214.2</v>
      </c>
      <c r="AT238" s="75">
        <f t="shared" si="207"/>
        <v>71.400000000000006</v>
      </c>
      <c r="AU238" s="75">
        <f t="shared" si="208"/>
        <v>71.400000000000006</v>
      </c>
      <c r="AV238" s="13">
        <v>0.8</v>
      </c>
      <c r="AW238" s="13">
        <v>1.2</v>
      </c>
      <c r="AX238" s="13">
        <v>1.3</v>
      </c>
      <c r="AY238" s="13">
        <v>1</v>
      </c>
      <c r="AZ238" s="13">
        <v>0.7</v>
      </c>
      <c r="BA238" s="105">
        <f t="shared" si="209"/>
        <v>0.72000000000000008</v>
      </c>
      <c r="BB238" s="13">
        <f t="shared" si="210"/>
        <v>3.2399999999999998</v>
      </c>
      <c r="BC238" s="13">
        <f t="shared" si="211"/>
        <v>3.51</v>
      </c>
      <c r="BD238" s="13">
        <f t="shared" si="212"/>
        <v>0.9</v>
      </c>
      <c r="BE238" s="13">
        <f t="shared" si="213"/>
        <v>0.63</v>
      </c>
      <c r="BF238" s="88">
        <f t="shared" si="214"/>
        <v>99.166666666666657</v>
      </c>
      <c r="BG238" s="88">
        <f t="shared" si="215"/>
        <v>66.111111111111114</v>
      </c>
      <c r="BH238" s="88">
        <f t="shared" si="216"/>
        <v>61.025641025641029</v>
      </c>
      <c r="BI238" s="88">
        <f t="shared" si="217"/>
        <v>79.333333333333343</v>
      </c>
      <c r="BJ238" s="88">
        <f t="shared" si="218"/>
        <v>113.33333333333334</v>
      </c>
      <c r="BK238" s="105">
        <f t="shared" si="219"/>
        <v>1.0084033613445379E-2</v>
      </c>
      <c r="BL238" s="105">
        <f t="shared" si="220"/>
        <v>1.5126050420168067E-2</v>
      </c>
      <c r="BM238" s="105">
        <f t="shared" si="221"/>
        <v>1.638655462184874E-2</v>
      </c>
      <c r="BN238" s="105">
        <f t="shared" si="222"/>
        <v>1.2605042016806721E-2</v>
      </c>
      <c r="BO238" s="105">
        <f t="shared" si="223"/>
        <v>8.8235294117647058E-3</v>
      </c>
      <c r="BP238" s="105">
        <f t="shared" si="224"/>
        <v>6.3025210084033612E-2</v>
      </c>
      <c r="BQ238" s="79">
        <f t="shared" si="225"/>
        <v>0.16</v>
      </c>
      <c r="BR238" s="79">
        <f t="shared" si="226"/>
        <v>0.24000000000000002</v>
      </c>
      <c r="BS238" s="79">
        <f t="shared" si="227"/>
        <v>0.26</v>
      </c>
      <c r="BT238" s="79">
        <f t="shared" si="228"/>
        <v>0.19999999999999998</v>
      </c>
      <c r="BU238" s="79">
        <f t="shared" si="229"/>
        <v>0.14000000000000001</v>
      </c>
      <c r="BV238" s="90" t="str">
        <f t="array" aca="1" ref="BV238" ca="1">_xlfn.TEXTJOIN(" ",TRUE,
_xlfn.TEXTJOIN(":",TRUE,ROUND(BK238:BO238/MIN(IF(BK238:BO238&gt;0,BK238:BO238)),0)),
"|",
ROUND(SUM(BW238:CA238),0))</f>
        <v>1:2:2:1:1 | -857</v>
      </c>
      <c r="BW238" s="106">
        <f t="shared" ca="1" si="230"/>
        <v>-137.12</v>
      </c>
      <c r="BX238" s="106">
        <f t="shared" ca="1" si="176"/>
        <v>-205.68</v>
      </c>
      <c r="BY238" s="106">
        <f t="shared" ca="1" si="177"/>
        <v>-222.82000000000002</v>
      </c>
      <c r="BZ238" s="106">
        <f t="shared" ca="1" si="178"/>
        <v>-171.39999999999998</v>
      </c>
      <c r="CA238" s="106">
        <f t="shared" ca="1" si="231"/>
        <v>-119.98000000000002</v>
      </c>
    </row>
    <row r="239" spans="1:79" x14ac:dyDescent="0.35">
      <c r="A239" s="25" t="s">
        <v>253</v>
      </c>
      <c r="B239" s="15" t="s">
        <v>323</v>
      </c>
      <c r="C239" s="10" t="s">
        <v>345</v>
      </c>
      <c r="D239" s="10" t="s">
        <v>346</v>
      </c>
      <c r="E239" s="11">
        <v>45864</v>
      </c>
      <c r="F239" s="17">
        <v>45892</v>
      </c>
      <c r="G239" s="14">
        <f t="shared" ca="1" si="179"/>
        <v>207</v>
      </c>
      <c r="H239" s="17">
        <v>499</v>
      </c>
      <c r="I239" s="17">
        <v>230</v>
      </c>
      <c r="J239" s="75">
        <f t="shared" si="180"/>
        <v>953</v>
      </c>
      <c r="K239" s="17">
        <v>1000</v>
      </c>
      <c r="L239" s="85">
        <v>47</v>
      </c>
      <c r="M239" s="86">
        <f t="shared" ca="1" si="181"/>
        <v>0.22705314009661837</v>
      </c>
      <c r="N239" s="86">
        <f t="shared" si="182"/>
        <v>0.73224085365853642</v>
      </c>
      <c r="O239" s="86">
        <f t="shared" si="183"/>
        <v>0.14329268292682926</v>
      </c>
      <c r="P239" s="87">
        <f t="shared" si="184"/>
        <v>11.749999999999998</v>
      </c>
      <c r="Q239" s="104">
        <f t="shared" si="185"/>
        <v>81.106382978723417</v>
      </c>
      <c r="R239" s="88">
        <f t="shared" si="186"/>
        <v>53.907815631262523</v>
      </c>
      <c r="S239" s="88">
        <f t="shared" si="187"/>
        <v>4.7</v>
      </c>
      <c r="T239" s="13">
        <f t="shared" si="188"/>
        <v>1</v>
      </c>
      <c r="U239" s="13">
        <f t="shared" si="189"/>
        <v>1</v>
      </c>
      <c r="V239" s="13">
        <f t="shared" si="190"/>
        <v>2</v>
      </c>
      <c r="W239" s="13">
        <f t="shared" ca="1" si="191"/>
        <v>3</v>
      </c>
      <c r="X239" s="13">
        <f t="shared" ca="1" si="192"/>
        <v>7</v>
      </c>
      <c r="Y239" s="81" t="str">
        <f t="shared" ca="1" si="193"/>
        <v>MONITOR</v>
      </c>
      <c r="Z239" s="13">
        <v>14</v>
      </c>
      <c r="AA239" s="75">
        <v>46059</v>
      </c>
      <c r="AB239" s="75">
        <f t="shared" si="194"/>
        <v>45920</v>
      </c>
      <c r="AC239" s="88">
        <f t="shared" si="195"/>
        <v>19.857142857142858</v>
      </c>
      <c r="AD239" s="89" t="str">
        <f t="shared" ca="1" si="196"/>
        <v>STABLE</v>
      </c>
      <c r="AE239" s="89" t="str">
        <f t="shared" si="197"/>
        <v>SLOW SELLING</v>
      </c>
      <c r="AF239" s="89" t="str">
        <f t="shared" si="198"/>
        <v>AT RISK</v>
      </c>
      <c r="AG239" s="89" t="str">
        <f t="shared" si="199"/>
        <v>FEASIBLE</v>
      </c>
      <c r="AH239" s="81" t="str">
        <f t="shared" ca="1" si="200"/>
        <v>MONITOR</v>
      </c>
      <c r="AI239" s="75">
        <f t="shared" ca="1" si="201"/>
        <v>0</v>
      </c>
      <c r="AJ239" s="75">
        <f t="shared" ca="1" si="202"/>
        <v>-953</v>
      </c>
      <c r="AK239" s="13">
        <f t="shared" ca="1" si="203"/>
        <v>-1144</v>
      </c>
      <c r="AL239" s="79">
        <v>0.1</v>
      </c>
      <c r="AM239" s="79">
        <v>0.3</v>
      </c>
      <c r="AN239" s="79">
        <v>0.3</v>
      </c>
      <c r="AO239" s="79">
        <v>0.1</v>
      </c>
      <c r="AP239" s="79">
        <v>0.1</v>
      </c>
      <c r="AQ239" s="75">
        <f t="shared" si="204"/>
        <v>95.300000000000011</v>
      </c>
      <c r="AR239" s="75">
        <f t="shared" si="205"/>
        <v>285.89999999999998</v>
      </c>
      <c r="AS239" s="75">
        <f t="shared" si="206"/>
        <v>285.89999999999998</v>
      </c>
      <c r="AT239" s="75">
        <f t="shared" si="207"/>
        <v>95.300000000000011</v>
      </c>
      <c r="AU239" s="75">
        <f t="shared" si="208"/>
        <v>95.300000000000011</v>
      </c>
      <c r="AV239" s="13">
        <v>0.8</v>
      </c>
      <c r="AW239" s="13">
        <v>1.2</v>
      </c>
      <c r="AX239" s="13">
        <v>1.3</v>
      </c>
      <c r="AY239" s="13">
        <v>1</v>
      </c>
      <c r="AZ239" s="13">
        <v>0.7</v>
      </c>
      <c r="BA239" s="105">
        <f t="shared" si="209"/>
        <v>0.94</v>
      </c>
      <c r="BB239" s="13">
        <f t="shared" si="210"/>
        <v>4.2299999999999995</v>
      </c>
      <c r="BC239" s="13">
        <f t="shared" si="211"/>
        <v>4.5824999999999996</v>
      </c>
      <c r="BD239" s="13">
        <f t="shared" si="212"/>
        <v>1.1749999999999998</v>
      </c>
      <c r="BE239" s="13">
        <f t="shared" si="213"/>
        <v>0.82249999999999979</v>
      </c>
      <c r="BF239" s="88">
        <f t="shared" si="214"/>
        <v>101.38297872340428</v>
      </c>
      <c r="BG239" s="88">
        <f t="shared" si="215"/>
        <v>67.588652482269509</v>
      </c>
      <c r="BH239" s="88">
        <f t="shared" si="216"/>
        <v>62.389525368248776</v>
      </c>
      <c r="BI239" s="88">
        <f t="shared" si="217"/>
        <v>81.106382978723431</v>
      </c>
      <c r="BJ239" s="88">
        <f t="shared" si="218"/>
        <v>115.86626139817633</v>
      </c>
      <c r="BK239" s="105">
        <f t="shared" si="219"/>
        <v>9.8635886673662104E-3</v>
      </c>
      <c r="BL239" s="105">
        <f t="shared" si="220"/>
        <v>1.4795383001049317E-2</v>
      </c>
      <c r="BM239" s="105">
        <f t="shared" si="221"/>
        <v>1.6028331584470094E-2</v>
      </c>
      <c r="BN239" s="105">
        <f t="shared" si="222"/>
        <v>1.2329485834207761E-2</v>
      </c>
      <c r="BO239" s="105">
        <f t="shared" si="223"/>
        <v>8.6306400839454324E-3</v>
      </c>
      <c r="BP239" s="105">
        <f t="shared" si="224"/>
        <v>6.1647429171038812E-2</v>
      </c>
      <c r="BQ239" s="79">
        <f t="shared" si="225"/>
        <v>0.16</v>
      </c>
      <c r="BR239" s="79">
        <f t="shared" si="226"/>
        <v>0.24000000000000005</v>
      </c>
      <c r="BS239" s="79">
        <f t="shared" si="227"/>
        <v>0.26000000000000006</v>
      </c>
      <c r="BT239" s="79">
        <f t="shared" si="228"/>
        <v>0.19999999999999998</v>
      </c>
      <c r="BU239" s="79">
        <f t="shared" si="229"/>
        <v>0.13999999999999999</v>
      </c>
      <c r="BV239" s="90" t="str">
        <f t="array" aca="1" ref="BV239" ca="1">_xlfn.TEXTJOIN(" ",TRUE,
_xlfn.TEXTJOIN(":",TRUE,ROUND(BK239:BO239/MIN(IF(BK239:BO239&gt;0,BK239:BO239)),0)),
"|",
ROUND(SUM(BW239:CA239),0))</f>
        <v>1:2:2:1:1 | -1144</v>
      </c>
      <c r="BW239" s="106">
        <f t="shared" ca="1" si="230"/>
        <v>-183.04</v>
      </c>
      <c r="BX239" s="106">
        <f t="shared" ca="1" si="176"/>
        <v>-274.56000000000006</v>
      </c>
      <c r="BY239" s="106">
        <f t="shared" ca="1" si="177"/>
        <v>-297.44000000000005</v>
      </c>
      <c r="BZ239" s="106">
        <f t="shared" ca="1" si="178"/>
        <v>-228.79999999999998</v>
      </c>
      <c r="CA239" s="106">
        <f t="shared" ca="1" si="231"/>
        <v>-160.16</v>
      </c>
    </row>
    <row r="240" spans="1:79" x14ac:dyDescent="0.35">
      <c r="A240" s="25" t="s">
        <v>254</v>
      </c>
      <c r="B240" s="15" t="s">
        <v>323</v>
      </c>
      <c r="C240" s="10" t="s">
        <v>345</v>
      </c>
      <c r="D240" s="10" t="s">
        <v>346</v>
      </c>
      <c r="E240" s="11">
        <v>45864</v>
      </c>
      <c r="F240" s="17">
        <v>45892</v>
      </c>
      <c r="G240" s="14">
        <f t="shared" ca="1" si="179"/>
        <v>207</v>
      </c>
      <c r="H240" s="17">
        <v>499</v>
      </c>
      <c r="I240" s="17">
        <v>230</v>
      </c>
      <c r="J240" s="75">
        <f t="shared" si="180"/>
        <v>936</v>
      </c>
      <c r="K240" s="17">
        <v>1000</v>
      </c>
      <c r="L240" s="85">
        <v>64</v>
      </c>
      <c r="M240" s="86">
        <f t="shared" ca="1" si="181"/>
        <v>0.30917874396135264</v>
      </c>
      <c r="N240" s="86">
        <f t="shared" si="182"/>
        <v>0.73224085365853642</v>
      </c>
      <c r="O240" s="86">
        <f t="shared" si="183"/>
        <v>0.1951219512195122</v>
      </c>
      <c r="P240" s="87">
        <f t="shared" si="184"/>
        <v>16</v>
      </c>
      <c r="Q240" s="104">
        <f t="shared" si="185"/>
        <v>58.5</v>
      </c>
      <c r="R240" s="88">
        <f t="shared" si="186"/>
        <v>53.907815631262523</v>
      </c>
      <c r="S240" s="88">
        <f t="shared" si="187"/>
        <v>6.4</v>
      </c>
      <c r="T240" s="13">
        <f t="shared" si="188"/>
        <v>1</v>
      </c>
      <c r="U240" s="13">
        <f t="shared" si="189"/>
        <v>1</v>
      </c>
      <c r="V240" s="13">
        <f t="shared" si="190"/>
        <v>2</v>
      </c>
      <c r="W240" s="13">
        <f t="shared" ca="1" si="191"/>
        <v>3</v>
      </c>
      <c r="X240" s="13">
        <f t="shared" ca="1" si="192"/>
        <v>7</v>
      </c>
      <c r="Y240" s="81" t="str">
        <f t="shared" ca="1" si="193"/>
        <v>MONITOR</v>
      </c>
      <c r="Z240" s="13">
        <v>14</v>
      </c>
      <c r="AA240" s="75">
        <v>46059</v>
      </c>
      <c r="AB240" s="75">
        <f t="shared" si="194"/>
        <v>45920</v>
      </c>
      <c r="AC240" s="88">
        <f t="shared" si="195"/>
        <v>19.857142857142858</v>
      </c>
      <c r="AD240" s="89" t="str">
        <f t="shared" ca="1" si="196"/>
        <v>STABLE</v>
      </c>
      <c r="AE240" s="89" t="str">
        <f t="shared" si="197"/>
        <v>SLOW SELLING</v>
      </c>
      <c r="AF240" s="89" t="str">
        <f t="shared" si="198"/>
        <v>AT RISK</v>
      </c>
      <c r="AG240" s="89" t="str">
        <f t="shared" si="199"/>
        <v>FEASIBLE</v>
      </c>
      <c r="AH240" s="81" t="str">
        <f t="shared" ca="1" si="200"/>
        <v>MONITOR</v>
      </c>
      <c r="AI240" s="75">
        <f t="shared" ca="1" si="201"/>
        <v>0</v>
      </c>
      <c r="AJ240" s="75">
        <f t="shared" ca="1" si="202"/>
        <v>-936</v>
      </c>
      <c r="AK240" s="13">
        <f t="shared" ca="1" si="203"/>
        <v>-1123</v>
      </c>
      <c r="AL240" s="79">
        <v>0.1</v>
      </c>
      <c r="AM240" s="79">
        <v>0.3</v>
      </c>
      <c r="AN240" s="79">
        <v>0.3</v>
      </c>
      <c r="AO240" s="79">
        <v>0.1</v>
      </c>
      <c r="AP240" s="79">
        <v>0.1</v>
      </c>
      <c r="AQ240" s="75">
        <f t="shared" si="204"/>
        <v>93.600000000000009</v>
      </c>
      <c r="AR240" s="75">
        <f t="shared" si="205"/>
        <v>280.8</v>
      </c>
      <c r="AS240" s="75">
        <f t="shared" si="206"/>
        <v>280.8</v>
      </c>
      <c r="AT240" s="75">
        <f t="shared" si="207"/>
        <v>93.600000000000009</v>
      </c>
      <c r="AU240" s="75">
        <f t="shared" si="208"/>
        <v>93.600000000000009</v>
      </c>
      <c r="AV240" s="13">
        <v>0.8</v>
      </c>
      <c r="AW240" s="13">
        <v>1.2</v>
      </c>
      <c r="AX240" s="13">
        <v>1.3</v>
      </c>
      <c r="AY240" s="13">
        <v>1</v>
      </c>
      <c r="AZ240" s="13">
        <v>0.7</v>
      </c>
      <c r="BA240" s="105">
        <f t="shared" si="209"/>
        <v>1.2800000000000002</v>
      </c>
      <c r="BB240" s="13">
        <f t="shared" si="210"/>
        <v>5.76</v>
      </c>
      <c r="BC240" s="13">
        <f t="shared" si="211"/>
        <v>6.24</v>
      </c>
      <c r="BD240" s="13">
        <f t="shared" si="212"/>
        <v>1.6</v>
      </c>
      <c r="BE240" s="13">
        <f t="shared" si="213"/>
        <v>1.1199999999999999</v>
      </c>
      <c r="BF240" s="88">
        <f t="shared" si="214"/>
        <v>73.124999999999986</v>
      </c>
      <c r="BG240" s="88">
        <f t="shared" si="215"/>
        <v>48.750000000000007</v>
      </c>
      <c r="BH240" s="88">
        <f t="shared" si="216"/>
        <v>45</v>
      </c>
      <c r="BI240" s="88">
        <f t="shared" si="217"/>
        <v>58.5</v>
      </c>
      <c r="BJ240" s="88">
        <f t="shared" si="218"/>
        <v>83.571428571428584</v>
      </c>
      <c r="BK240" s="105">
        <f t="shared" si="219"/>
        <v>1.3675213675213679E-2</v>
      </c>
      <c r="BL240" s="105">
        <f t="shared" si="220"/>
        <v>2.0512820512820509E-2</v>
      </c>
      <c r="BM240" s="105">
        <f t="shared" si="221"/>
        <v>2.2222222222222223E-2</v>
      </c>
      <c r="BN240" s="105">
        <f t="shared" si="222"/>
        <v>1.7094017094017096E-2</v>
      </c>
      <c r="BO240" s="105">
        <f t="shared" si="223"/>
        <v>1.1965811965811965E-2</v>
      </c>
      <c r="BP240" s="105">
        <f t="shared" si="224"/>
        <v>8.5470085470085486E-2</v>
      </c>
      <c r="BQ240" s="79">
        <f t="shared" si="225"/>
        <v>0.16</v>
      </c>
      <c r="BR240" s="79">
        <f t="shared" si="226"/>
        <v>0.23999999999999991</v>
      </c>
      <c r="BS240" s="79">
        <f t="shared" si="227"/>
        <v>0.25999999999999995</v>
      </c>
      <c r="BT240" s="79">
        <f t="shared" si="228"/>
        <v>0.19999999999999998</v>
      </c>
      <c r="BU240" s="79">
        <f t="shared" si="229"/>
        <v>0.13999999999999996</v>
      </c>
      <c r="BV240" s="90" t="str">
        <f t="array" aca="1" ref="BV240" ca="1">_xlfn.TEXTJOIN(" ",TRUE,
_xlfn.TEXTJOIN(":",TRUE,ROUND(BK240:BO240/MIN(IF(BK240:BO240&gt;0,BK240:BO240)),0)),
"|",
ROUND(SUM(BW240:CA240),0))</f>
        <v>1:2:2:1:1 | -1123</v>
      </c>
      <c r="BW240" s="106">
        <f t="shared" ca="1" si="230"/>
        <v>-179.68</v>
      </c>
      <c r="BX240" s="106">
        <f t="shared" ca="1" si="176"/>
        <v>-269.51999999999987</v>
      </c>
      <c r="BY240" s="106">
        <f t="shared" ca="1" si="177"/>
        <v>-291.97999999999996</v>
      </c>
      <c r="BZ240" s="106">
        <f t="shared" ca="1" si="178"/>
        <v>-224.6</v>
      </c>
      <c r="CA240" s="106">
        <f t="shared" ca="1" si="231"/>
        <v>-157.21999999999994</v>
      </c>
    </row>
    <row r="241" spans="1:79" x14ac:dyDescent="0.35">
      <c r="A241" s="25" t="s">
        <v>255</v>
      </c>
      <c r="B241" s="15" t="s">
        <v>323</v>
      </c>
      <c r="C241" s="10" t="s">
        <v>345</v>
      </c>
      <c r="D241" s="10" t="s">
        <v>346</v>
      </c>
      <c r="E241" s="11">
        <v>45920</v>
      </c>
      <c r="F241" s="17">
        <v>45892</v>
      </c>
      <c r="G241" s="14">
        <f t="shared" ca="1" si="179"/>
        <v>207</v>
      </c>
      <c r="H241" s="17">
        <v>499</v>
      </c>
      <c r="I241" s="17">
        <v>230</v>
      </c>
      <c r="J241" s="75">
        <f t="shared" si="180"/>
        <v>770</v>
      </c>
      <c r="K241" s="17">
        <v>1000</v>
      </c>
      <c r="L241" s="85">
        <v>230</v>
      </c>
      <c r="M241" s="86">
        <f t="shared" ca="1" si="181"/>
        <v>1.1111111111111112</v>
      </c>
      <c r="N241" s="86">
        <f t="shared" si="182"/>
        <v>0.73224085365853642</v>
      </c>
      <c r="O241" s="86">
        <f t="shared" si="183"/>
        <v>0.70121951219512191</v>
      </c>
      <c r="P241" s="87">
        <f t="shared" si="184"/>
        <v>57.5</v>
      </c>
      <c r="Q241" s="104">
        <f t="shared" si="185"/>
        <v>13.391304347826088</v>
      </c>
      <c r="R241" s="88">
        <f t="shared" si="186"/>
        <v>53.907815631262523</v>
      </c>
      <c r="S241" s="88">
        <f t="shared" si="187"/>
        <v>23</v>
      </c>
      <c r="T241" s="13">
        <f t="shared" si="188"/>
        <v>2</v>
      </c>
      <c r="U241" s="13">
        <f t="shared" si="189"/>
        <v>1</v>
      </c>
      <c r="V241" s="13">
        <f t="shared" si="190"/>
        <v>2</v>
      </c>
      <c r="W241" s="13">
        <f t="shared" ca="1" si="191"/>
        <v>3</v>
      </c>
      <c r="X241" s="13">
        <f t="shared" ca="1" si="192"/>
        <v>8</v>
      </c>
      <c r="Y241" s="81" t="str">
        <f t="shared" ca="1" si="193"/>
        <v>MONITOR</v>
      </c>
      <c r="Z241" s="13">
        <v>14</v>
      </c>
      <c r="AA241" s="75">
        <v>46059</v>
      </c>
      <c r="AB241" s="75">
        <f t="shared" si="194"/>
        <v>45920</v>
      </c>
      <c r="AC241" s="88">
        <f t="shared" si="195"/>
        <v>19.857142857142858</v>
      </c>
      <c r="AD241" s="89" t="str">
        <f t="shared" ca="1" si="196"/>
        <v>STABLE</v>
      </c>
      <c r="AE241" s="89" t="str">
        <f t="shared" si="197"/>
        <v>SLOW SELLING</v>
      </c>
      <c r="AF241" s="89" t="str">
        <f t="shared" si="198"/>
        <v>AT RISK</v>
      </c>
      <c r="AG241" s="89" t="str">
        <f t="shared" si="199"/>
        <v>FEASIBLE</v>
      </c>
      <c r="AH241" s="81" t="str">
        <f t="shared" ca="1" si="200"/>
        <v>MONITOR</v>
      </c>
      <c r="AI241" s="75">
        <f t="shared" ca="1" si="201"/>
        <v>0</v>
      </c>
      <c r="AJ241" s="75">
        <f t="shared" ca="1" si="202"/>
        <v>-770</v>
      </c>
      <c r="AK241" s="13">
        <f t="shared" ca="1" si="203"/>
        <v>-924</v>
      </c>
      <c r="AL241" s="79">
        <v>0.1</v>
      </c>
      <c r="AM241" s="79">
        <v>0.3</v>
      </c>
      <c r="AN241" s="79">
        <v>0.3</v>
      </c>
      <c r="AO241" s="79">
        <v>0.1</v>
      </c>
      <c r="AP241" s="79">
        <v>0.1</v>
      </c>
      <c r="AQ241" s="75">
        <f t="shared" si="204"/>
        <v>77</v>
      </c>
      <c r="AR241" s="75">
        <f t="shared" si="205"/>
        <v>231</v>
      </c>
      <c r="AS241" s="75">
        <f t="shared" si="206"/>
        <v>231</v>
      </c>
      <c r="AT241" s="75">
        <f t="shared" si="207"/>
        <v>77</v>
      </c>
      <c r="AU241" s="75">
        <f t="shared" si="208"/>
        <v>77</v>
      </c>
      <c r="AV241" s="13">
        <v>0.8</v>
      </c>
      <c r="AW241" s="13">
        <v>1.2</v>
      </c>
      <c r="AX241" s="13">
        <v>1.3</v>
      </c>
      <c r="AY241" s="13">
        <v>1</v>
      </c>
      <c r="AZ241" s="13">
        <v>0.7</v>
      </c>
      <c r="BA241" s="105">
        <f t="shared" si="209"/>
        <v>4.6000000000000005</v>
      </c>
      <c r="BB241" s="13">
        <f t="shared" si="210"/>
        <v>20.7</v>
      </c>
      <c r="BC241" s="13">
        <f t="shared" si="211"/>
        <v>22.425000000000001</v>
      </c>
      <c r="BD241" s="13">
        <f t="shared" si="212"/>
        <v>5.75</v>
      </c>
      <c r="BE241" s="13">
        <f t="shared" si="213"/>
        <v>4.0249999999999995</v>
      </c>
      <c r="BF241" s="88">
        <f t="shared" si="214"/>
        <v>16.739130434782606</v>
      </c>
      <c r="BG241" s="88">
        <f t="shared" si="215"/>
        <v>11.159420289855072</v>
      </c>
      <c r="BH241" s="88">
        <f t="shared" si="216"/>
        <v>10.301003344481606</v>
      </c>
      <c r="BI241" s="88">
        <f t="shared" si="217"/>
        <v>13.391304347826088</v>
      </c>
      <c r="BJ241" s="88">
        <f t="shared" si="218"/>
        <v>19.130434782608699</v>
      </c>
      <c r="BK241" s="105">
        <f t="shared" si="219"/>
        <v>5.9740259740259753E-2</v>
      </c>
      <c r="BL241" s="105">
        <f t="shared" si="220"/>
        <v>8.9610389610389612E-2</v>
      </c>
      <c r="BM241" s="105">
        <f t="shared" si="221"/>
        <v>9.7077922077922082E-2</v>
      </c>
      <c r="BN241" s="105">
        <f t="shared" si="222"/>
        <v>7.4675324675324672E-2</v>
      </c>
      <c r="BO241" s="105">
        <f t="shared" si="223"/>
        <v>5.2272727272727262E-2</v>
      </c>
      <c r="BP241" s="105">
        <f t="shared" si="224"/>
        <v>0.37337662337662336</v>
      </c>
      <c r="BQ241" s="79">
        <f t="shared" si="225"/>
        <v>0.16000000000000003</v>
      </c>
      <c r="BR241" s="79">
        <f t="shared" si="226"/>
        <v>0.24000000000000002</v>
      </c>
      <c r="BS241" s="79">
        <f t="shared" si="227"/>
        <v>0.26</v>
      </c>
      <c r="BT241" s="79">
        <f t="shared" si="228"/>
        <v>0.2</v>
      </c>
      <c r="BU241" s="79">
        <f t="shared" si="229"/>
        <v>0.13999999999999999</v>
      </c>
      <c r="BV241" s="90" t="str">
        <f t="array" aca="1" ref="BV241" ca="1">_xlfn.TEXTJOIN(" ",TRUE,
_xlfn.TEXTJOIN(":",TRUE,ROUND(BK241:BO241/MIN(IF(BK241:BO241&gt;0,BK241:BO241)),0)),
"|",
ROUND(SUM(BW241:CA241),0))</f>
        <v>1:2:2:1:1 | -924</v>
      </c>
      <c r="BW241" s="106">
        <f t="shared" ca="1" si="230"/>
        <v>-147.84000000000003</v>
      </c>
      <c r="BX241" s="106">
        <f t="shared" ca="1" si="176"/>
        <v>-221.76000000000002</v>
      </c>
      <c r="BY241" s="106">
        <f t="shared" ca="1" si="177"/>
        <v>-240.24</v>
      </c>
      <c r="BZ241" s="106">
        <f t="shared" ca="1" si="178"/>
        <v>-184.8</v>
      </c>
      <c r="CA241" s="106">
        <f t="shared" ca="1" si="231"/>
        <v>-129.35999999999999</v>
      </c>
    </row>
    <row r="242" spans="1:79" x14ac:dyDescent="0.35">
      <c r="A242" s="25" t="s">
        <v>188</v>
      </c>
      <c r="B242" s="15" t="s">
        <v>331</v>
      </c>
      <c r="C242" s="10" t="s">
        <v>342</v>
      </c>
      <c r="D242" s="10" t="s">
        <v>346</v>
      </c>
      <c r="E242" s="11">
        <v>45962</v>
      </c>
      <c r="F242" s="17">
        <v>45892</v>
      </c>
      <c r="G242" s="14">
        <f t="shared" ca="1" si="179"/>
        <v>207</v>
      </c>
      <c r="H242" s="18">
        <v>199</v>
      </c>
      <c r="I242" s="18">
        <v>135</v>
      </c>
      <c r="J242" s="75">
        <f t="shared" si="180"/>
        <v>1970</v>
      </c>
      <c r="K242" s="18">
        <v>2000</v>
      </c>
      <c r="L242" s="85">
        <v>30</v>
      </c>
      <c r="M242" s="86">
        <f t="shared" ca="1" si="181"/>
        <v>0.14492753623188406</v>
      </c>
      <c r="N242" s="86">
        <f t="shared" si="182"/>
        <v>0.80451009251471861</v>
      </c>
      <c r="O242" s="86">
        <f t="shared" si="183"/>
        <v>9.1463414634146339E-2</v>
      </c>
      <c r="P242" s="87">
        <f t="shared" si="184"/>
        <v>7.5</v>
      </c>
      <c r="Q242" s="104">
        <f t="shared" si="185"/>
        <v>262.66666666666669</v>
      </c>
      <c r="R242" s="88">
        <f t="shared" si="186"/>
        <v>32.1608040201005</v>
      </c>
      <c r="S242" s="88">
        <f t="shared" si="187"/>
        <v>1.5</v>
      </c>
      <c r="T242" s="13">
        <f t="shared" si="188"/>
        <v>1</v>
      </c>
      <c r="U242" s="13">
        <f t="shared" si="189"/>
        <v>1</v>
      </c>
      <c r="V242" s="13">
        <f t="shared" si="190"/>
        <v>1</v>
      </c>
      <c r="W242" s="13">
        <f t="shared" ca="1" si="191"/>
        <v>3</v>
      </c>
      <c r="X242" s="13">
        <f t="shared" ca="1" si="192"/>
        <v>6</v>
      </c>
      <c r="Y242" s="81" t="str">
        <f t="shared" ca="1" si="193"/>
        <v>MONITOR</v>
      </c>
      <c r="Z242" s="13">
        <v>14</v>
      </c>
      <c r="AA242" s="75">
        <v>46059</v>
      </c>
      <c r="AB242" s="75">
        <f t="shared" si="194"/>
        <v>45920</v>
      </c>
      <c r="AC242" s="88">
        <f t="shared" si="195"/>
        <v>19.857142857142858</v>
      </c>
      <c r="AD242" s="89" t="str">
        <f t="shared" ca="1" si="196"/>
        <v>STABLE</v>
      </c>
      <c r="AE242" s="89" t="str">
        <f t="shared" si="197"/>
        <v>SLOW SELLING</v>
      </c>
      <c r="AF242" s="89" t="str">
        <f t="shared" si="198"/>
        <v>AT RISK</v>
      </c>
      <c r="AG242" s="89" t="str">
        <f t="shared" si="199"/>
        <v>FEASIBLE</v>
      </c>
      <c r="AH242" s="81" t="str">
        <f t="shared" ca="1" si="200"/>
        <v>MONITOR</v>
      </c>
      <c r="AI242" s="75">
        <f t="shared" ca="1" si="201"/>
        <v>0</v>
      </c>
      <c r="AJ242" s="75">
        <f t="shared" ca="1" si="202"/>
        <v>-1970</v>
      </c>
      <c r="AK242" s="13">
        <f t="shared" ca="1" si="203"/>
        <v>-2364</v>
      </c>
      <c r="AL242" s="79">
        <v>0.1</v>
      </c>
      <c r="AM242" s="79">
        <v>0.3</v>
      </c>
      <c r="AN242" s="79">
        <v>0.3</v>
      </c>
      <c r="AO242" s="79">
        <v>0.1</v>
      </c>
      <c r="AP242" s="79">
        <v>0.1</v>
      </c>
      <c r="AQ242" s="75">
        <f t="shared" si="204"/>
        <v>197</v>
      </c>
      <c r="AR242" s="75">
        <f t="shared" si="205"/>
        <v>591</v>
      </c>
      <c r="AS242" s="75">
        <f t="shared" si="206"/>
        <v>591</v>
      </c>
      <c r="AT242" s="75">
        <f t="shared" si="207"/>
        <v>197</v>
      </c>
      <c r="AU242" s="75">
        <f t="shared" si="208"/>
        <v>197</v>
      </c>
      <c r="AV242" s="13">
        <v>0.8</v>
      </c>
      <c r="AW242" s="13">
        <v>1.2</v>
      </c>
      <c r="AX242" s="13">
        <v>1.3</v>
      </c>
      <c r="AY242" s="13">
        <v>1</v>
      </c>
      <c r="AZ242" s="13">
        <v>0.7</v>
      </c>
      <c r="BA242" s="105">
        <f t="shared" si="209"/>
        <v>0.60000000000000009</v>
      </c>
      <c r="BB242" s="13">
        <f t="shared" si="210"/>
        <v>2.6999999999999997</v>
      </c>
      <c r="BC242" s="13">
        <f t="shared" si="211"/>
        <v>2.9250000000000003</v>
      </c>
      <c r="BD242" s="13">
        <f t="shared" si="212"/>
        <v>0.75</v>
      </c>
      <c r="BE242" s="13">
        <f t="shared" si="213"/>
        <v>0.52499999999999991</v>
      </c>
      <c r="BF242" s="88">
        <f t="shared" si="214"/>
        <v>328.33333333333326</v>
      </c>
      <c r="BG242" s="88">
        <f t="shared" si="215"/>
        <v>218.88888888888891</v>
      </c>
      <c r="BH242" s="88">
        <f t="shared" si="216"/>
        <v>202.05128205128204</v>
      </c>
      <c r="BI242" s="88">
        <f t="shared" si="217"/>
        <v>262.66666666666669</v>
      </c>
      <c r="BJ242" s="88">
        <f t="shared" si="218"/>
        <v>375.2380952380953</v>
      </c>
      <c r="BK242" s="105">
        <f t="shared" si="219"/>
        <v>3.0456852791878181E-3</v>
      </c>
      <c r="BL242" s="105">
        <f t="shared" si="220"/>
        <v>4.5685279187817254E-3</v>
      </c>
      <c r="BM242" s="105">
        <f t="shared" si="221"/>
        <v>4.9492385786802035E-3</v>
      </c>
      <c r="BN242" s="105">
        <f t="shared" si="222"/>
        <v>3.8071065989847713E-3</v>
      </c>
      <c r="BO242" s="105">
        <f t="shared" si="223"/>
        <v>2.6649746192893395E-3</v>
      </c>
      <c r="BP242" s="105">
        <f t="shared" si="224"/>
        <v>1.9035532994923859E-2</v>
      </c>
      <c r="BQ242" s="79">
        <f t="shared" si="225"/>
        <v>0.16000000000000003</v>
      </c>
      <c r="BR242" s="79">
        <f t="shared" si="226"/>
        <v>0.23999999999999996</v>
      </c>
      <c r="BS242" s="79">
        <f t="shared" si="227"/>
        <v>0.26</v>
      </c>
      <c r="BT242" s="79">
        <f t="shared" si="228"/>
        <v>0.19999999999999996</v>
      </c>
      <c r="BU242" s="79">
        <f t="shared" si="229"/>
        <v>0.13999999999999996</v>
      </c>
      <c r="BV242" s="90" t="str">
        <f t="array" aca="1" ref="BV242" ca="1">_xlfn.TEXTJOIN(" ",TRUE,
_xlfn.TEXTJOIN(":",TRUE,ROUND(BK242:BO242/MIN(IF(BK242:BO242&gt;0,BK242:BO242)),0)),
"|",
ROUND(SUM(BW242:CA242),0))</f>
        <v>1:2:2:1:1 | -2364</v>
      </c>
      <c r="BW242" s="106">
        <f t="shared" ca="1" si="230"/>
        <v>-378.24000000000007</v>
      </c>
      <c r="BX242" s="106">
        <f t="shared" ca="1" si="176"/>
        <v>-567.3599999999999</v>
      </c>
      <c r="BY242" s="106">
        <f t="shared" ca="1" si="177"/>
        <v>-614.64</v>
      </c>
      <c r="BZ242" s="106">
        <f t="shared" ca="1" si="178"/>
        <v>-472.7999999999999</v>
      </c>
      <c r="CA242" s="106">
        <f t="shared" ca="1" si="231"/>
        <v>-330.95999999999992</v>
      </c>
    </row>
    <row r="243" spans="1:79" x14ac:dyDescent="0.35">
      <c r="A243" s="25" t="s">
        <v>256</v>
      </c>
      <c r="B243" s="10" t="s">
        <v>334</v>
      </c>
      <c r="C243" s="10" t="s">
        <v>342</v>
      </c>
      <c r="D243" s="10" t="s">
        <v>346</v>
      </c>
      <c r="E243" s="11">
        <v>45976</v>
      </c>
      <c r="F243" s="17">
        <v>45892</v>
      </c>
      <c r="G243" s="14">
        <f t="shared" ca="1" si="179"/>
        <v>207</v>
      </c>
      <c r="H243" s="17">
        <v>999</v>
      </c>
      <c r="I243" s="17">
        <v>435</v>
      </c>
      <c r="J243" s="75">
        <f t="shared" si="180"/>
        <v>400</v>
      </c>
      <c r="K243" s="18">
        <v>400</v>
      </c>
      <c r="L243" s="89">
        <v>0</v>
      </c>
      <c r="M243" s="86">
        <f t="shared" ca="1" si="181"/>
        <v>0</v>
      </c>
      <c r="N243" s="86">
        <f t="shared" si="182"/>
        <v>0.80451009251471861</v>
      </c>
      <c r="O243" s="86">
        <f t="shared" si="183"/>
        <v>0</v>
      </c>
      <c r="P243" s="87">
        <f t="shared" si="184"/>
        <v>0</v>
      </c>
      <c r="Q243" s="104" t="e">
        <f t="shared" si="185"/>
        <v>#DIV/0!</v>
      </c>
      <c r="R243" s="88">
        <f t="shared" si="186"/>
        <v>56.456456456456458</v>
      </c>
      <c r="S243" s="88">
        <f t="shared" si="187"/>
        <v>0</v>
      </c>
      <c r="T243" s="13">
        <f t="shared" si="188"/>
        <v>1</v>
      </c>
      <c r="U243" s="13" t="e">
        <f t="shared" si="189"/>
        <v>#DIV/0!</v>
      </c>
      <c r="V243" s="13">
        <f t="shared" si="190"/>
        <v>2</v>
      </c>
      <c r="W243" s="13">
        <f t="shared" ca="1" si="191"/>
        <v>3</v>
      </c>
      <c r="X243" s="13" t="e">
        <f t="shared" ca="1" si="192"/>
        <v>#DIV/0!</v>
      </c>
      <c r="Y243" s="81" t="str">
        <f t="shared" ca="1" si="193"/>
        <v>EXIT</v>
      </c>
      <c r="Z243" s="13">
        <v>14</v>
      </c>
      <c r="AA243" s="75">
        <v>46059</v>
      </c>
      <c r="AB243" s="75">
        <f t="shared" si="194"/>
        <v>45920</v>
      </c>
      <c r="AC243" s="88">
        <f t="shared" si="195"/>
        <v>19.857142857142858</v>
      </c>
      <c r="AD243" s="89" t="str">
        <f t="shared" ca="1" si="196"/>
        <v>STABLE</v>
      </c>
      <c r="AE243" s="89" t="str">
        <f t="shared" si="197"/>
        <v>SLOW SELLING</v>
      </c>
      <c r="AF243" s="89" t="e">
        <f t="shared" si="198"/>
        <v>#DIV/0!</v>
      </c>
      <c r="AG243" s="89" t="str">
        <f t="shared" si="199"/>
        <v>FEASIBLE</v>
      </c>
      <c r="AH243" s="81" t="str">
        <f t="shared" ca="1" si="200"/>
        <v>MONITOR</v>
      </c>
      <c r="AI243" s="75">
        <f t="shared" ca="1" si="201"/>
        <v>0</v>
      </c>
      <c r="AJ243" s="75">
        <f t="shared" ca="1" si="202"/>
        <v>-400</v>
      </c>
      <c r="AK243" s="13">
        <f t="shared" ca="1" si="203"/>
        <v>-480</v>
      </c>
      <c r="AL243" s="79">
        <v>0.1</v>
      </c>
      <c r="AM243" s="79">
        <v>0.3</v>
      </c>
      <c r="AN243" s="79">
        <v>0.3</v>
      </c>
      <c r="AO243" s="79">
        <v>0.1</v>
      </c>
      <c r="AP243" s="79">
        <v>0.1</v>
      </c>
      <c r="AQ243" s="75">
        <f t="shared" si="204"/>
        <v>40</v>
      </c>
      <c r="AR243" s="75">
        <f t="shared" si="205"/>
        <v>120</v>
      </c>
      <c r="AS243" s="75">
        <f t="shared" si="206"/>
        <v>120</v>
      </c>
      <c r="AT243" s="75">
        <f t="shared" si="207"/>
        <v>40</v>
      </c>
      <c r="AU243" s="75">
        <f t="shared" si="208"/>
        <v>40</v>
      </c>
      <c r="AV243" s="13">
        <v>0.8</v>
      </c>
      <c r="AW243" s="13">
        <v>1.2</v>
      </c>
      <c r="AX243" s="13">
        <v>1.3</v>
      </c>
      <c r="AY243" s="13">
        <v>1</v>
      </c>
      <c r="AZ243" s="13">
        <v>0.7</v>
      </c>
      <c r="BA243" s="105">
        <f t="shared" si="209"/>
        <v>0</v>
      </c>
      <c r="BB243" s="13">
        <f t="shared" si="210"/>
        <v>0</v>
      </c>
      <c r="BC243" s="13">
        <f t="shared" si="211"/>
        <v>0</v>
      </c>
      <c r="BD243" s="13">
        <f t="shared" si="212"/>
        <v>0</v>
      </c>
      <c r="BE243" s="13">
        <f t="shared" si="213"/>
        <v>0</v>
      </c>
      <c r="BF243" s="88" t="e">
        <f t="shared" si="214"/>
        <v>#DIV/0!</v>
      </c>
      <c r="BG243" s="88" t="e">
        <f t="shared" si="215"/>
        <v>#DIV/0!</v>
      </c>
      <c r="BH243" s="88" t="e">
        <f t="shared" si="216"/>
        <v>#DIV/0!</v>
      </c>
      <c r="BI243" s="88" t="e">
        <f t="shared" si="217"/>
        <v>#DIV/0!</v>
      </c>
      <c r="BJ243" s="88" t="e">
        <f t="shared" si="218"/>
        <v>#DIV/0!</v>
      </c>
      <c r="BK243" s="105" t="e">
        <f t="shared" si="219"/>
        <v>#DIV/0!</v>
      </c>
      <c r="BL243" s="105" t="e">
        <f t="shared" si="220"/>
        <v>#DIV/0!</v>
      </c>
      <c r="BM243" s="105" t="e">
        <f t="shared" si="221"/>
        <v>#DIV/0!</v>
      </c>
      <c r="BN243" s="105" t="e">
        <f t="shared" si="222"/>
        <v>#DIV/0!</v>
      </c>
      <c r="BO243" s="105" t="e">
        <f t="shared" si="223"/>
        <v>#DIV/0!</v>
      </c>
      <c r="BP243" s="105" t="e">
        <f t="shared" si="224"/>
        <v>#DIV/0!</v>
      </c>
      <c r="BQ243" s="79" t="e">
        <f t="shared" si="225"/>
        <v>#DIV/0!</v>
      </c>
      <c r="BR243" s="79" t="e">
        <f t="shared" si="226"/>
        <v>#DIV/0!</v>
      </c>
      <c r="BS243" s="79" t="e">
        <f t="shared" si="227"/>
        <v>#DIV/0!</v>
      </c>
      <c r="BT243" s="79" t="e">
        <f t="shared" si="228"/>
        <v>#DIV/0!</v>
      </c>
      <c r="BU243" s="79" t="e">
        <f t="shared" si="229"/>
        <v>#DIV/0!</v>
      </c>
      <c r="BV243" s="90" t="e">
        <f t="array" aca="1" ref="BV243" ca="1">_xlfn.TEXTJOIN(" ",TRUE,
_xlfn.TEXTJOIN(":",TRUE,ROUND(BK243:BO243/MIN(IF(BK243:BO243&gt;0,BK243:BO243)),0)),
"|",
ROUND(SUM(BW243:CA243),0))</f>
        <v>#DIV/0!</v>
      </c>
      <c r="BW243" s="106" t="e">
        <f t="shared" ca="1" si="230"/>
        <v>#DIV/0!</v>
      </c>
      <c r="BX243" s="106" t="e">
        <f t="shared" ca="1" si="176"/>
        <v>#DIV/0!</v>
      </c>
      <c r="BY243" s="106" t="e">
        <f t="shared" ca="1" si="177"/>
        <v>#DIV/0!</v>
      </c>
      <c r="BZ243" s="106" t="e">
        <f t="shared" ca="1" si="178"/>
        <v>#DIV/0!</v>
      </c>
      <c r="CA243" s="106" t="e">
        <f t="shared" ca="1" si="231"/>
        <v>#DIV/0!</v>
      </c>
    </row>
    <row r="244" spans="1:79" x14ac:dyDescent="0.35">
      <c r="A244" s="25" t="s">
        <v>257</v>
      </c>
      <c r="B244" s="10" t="s">
        <v>335</v>
      </c>
      <c r="C244" s="10" t="s">
        <v>341</v>
      </c>
      <c r="D244" s="10" t="s">
        <v>346</v>
      </c>
      <c r="E244" s="11">
        <v>45920</v>
      </c>
      <c r="F244" s="17">
        <v>45892</v>
      </c>
      <c r="G244" s="14">
        <f t="shared" ca="1" si="179"/>
        <v>207</v>
      </c>
      <c r="H244" s="17">
        <v>499</v>
      </c>
      <c r="I244" s="17">
        <v>255</v>
      </c>
      <c r="J244" s="75">
        <f t="shared" si="180"/>
        <v>1450</v>
      </c>
      <c r="K244" s="17">
        <v>1500</v>
      </c>
      <c r="L244" s="85">
        <v>50</v>
      </c>
      <c r="M244" s="86">
        <f t="shared" ca="1" si="181"/>
        <v>0.24154589371980675</v>
      </c>
      <c r="N244" s="86">
        <f t="shared" si="182"/>
        <v>0.92883099285538351</v>
      </c>
      <c r="O244" s="86">
        <f t="shared" si="183"/>
        <v>0.1524390243902439</v>
      </c>
      <c r="P244" s="87">
        <f t="shared" si="184"/>
        <v>12.5</v>
      </c>
      <c r="Q244" s="104">
        <f t="shared" si="185"/>
        <v>116</v>
      </c>
      <c r="R244" s="88">
        <f t="shared" si="186"/>
        <v>48.897795591182366</v>
      </c>
      <c r="S244" s="88">
        <f t="shared" si="187"/>
        <v>3.3333333333333335</v>
      </c>
      <c r="T244" s="13">
        <f t="shared" si="188"/>
        <v>1</v>
      </c>
      <c r="U244" s="13">
        <f t="shared" si="189"/>
        <v>1</v>
      </c>
      <c r="V244" s="13">
        <f t="shared" si="190"/>
        <v>2</v>
      </c>
      <c r="W244" s="13">
        <f t="shared" ca="1" si="191"/>
        <v>3</v>
      </c>
      <c r="X244" s="13">
        <f t="shared" ca="1" si="192"/>
        <v>7</v>
      </c>
      <c r="Y244" s="81" t="str">
        <f t="shared" ca="1" si="193"/>
        <v>MONITOR</v>
      </c>
      <c r="Z244" s="13">
        <v>14</v>
      </c>
      <c r="AA244" s="75">
        <v>46059</v>
      </c>
      <c r="AB244" s="75">
        <f t="shared" si="194"/>
        <v>45920</v>
      </c>
      <c r="AC244" s="88">
        <f t="shared" si="195"/>
        <v>19.857142857142858</v>
      </c>
      <c r="AD244" s="89" t="str">
        <f t="shared" ca="1" si="196"/>
        <v>STABLE</v>
      </c>
      <c r="AE244" s="89" t="str">
        <f t="shared" si="197"/>
        <v>SLOW SELLING</v>
      </c>
      <c r="AF244" s="89" t="str">
        <f t="shared" si="198"/>
        <v>AT RISK</v>
      </c>
      <c r="AG244" s="89" t="str">
        <f t="shared" si="199"/>
        <v>FEASIBLE</v>
      </c>
      <c r="AH244" s="81" t="str">
        <f t="shared" ca="1" si="200"/>
        <v>MONITOR</v>
      </c>
      <c r="AI244" s="75">
        <f t="shared" ca="1" si="201"/>
        <v>0</v>
      </c>
      <c r="AJ244" s="75">
        <f t="shared" ca="1" si="202"/>
        <v>-1450</v>
      </c>
      <c r="AK244" s="13">
        <f t="shared" ca="1" si="203"/>
        <v>-1740</v>
      </c>
      <c r="AL244" s="79">
        <v>0.1</v>
      </c>
      <c r="AM244" s="79">
        <v>0.3</v>
      </c>
      <c r="AN244" s="79">
        <v>0.3</v>
      </c>
      <c r="AO244" s="79">
        <v>0.1</v>
      </c>
      <c r="AP244" s="79">
        <v>0.1</v>
      </c>
      <c r="AQ244" s="75">
        <f t="shared" si="204"/>
        <v>145</v>
      </c>
      <c r="AR244" s="75">
        <f t="shared" si="205"/>
        <v>435</v>
      </c>
      <c r="AS244" s="75">
        <f t="shared" si="206"/>
        <v>435</v>
      </c>
      <c r="AT244" s="75">
        <f t="shared" si="207"/>
        <v>145</v>
      </c>
      <c r="AU244" s="75">
        <f t="shared" si="208"/>
        <v>145</v>
      </c>
      <c r="AV244" s="13">
        <v>0.8</v>
      </c>
      <c r="AW244" s="13">
        <v>1.2</v>
      </c>
      <c r="AX244" s="13">
        <v>1.3</v>
      </c>
      <c r="AY244" s="13">
        <v>1</v>
      </c>
      <c r="AZ244" s="13">
        <v>0.7</v>
      </c>
      <c r="BA244" s="105">
        <f t="shared" si="209"/>
        <v>1</v>
      </c>
      <c r="BB244" s="13">
        <f t="shared" si="210"/>
        <v>4.5</v>
      </c>
      <c r="BC244" s="13">
        <f t="shared" si="211"/>
        <v>4.875</v>
      </c>
      <c r="BD244" s="13">
        <f t="shared" si="212"/>
        <v>1.25</v>
      </c>
      <c r="BE244" s="13">
        <f t="shared" si="213"/>
        <v>0.875</v>
      </c>
      <c r="BF244" s="88">
        <f t="shared" si="214"/>
        <v>145</v>
      </c>
      <c r="BG244" s="88">
        <f t="shared" si="215"/>
        <v>96.666666666666671</v>
      </c>
      <c r="BH244" s="88">
        <f t="shared" si="216"/>
        <v>89.230769230769226</v>
      </c>
      <c r="BI244" s="88">
        <f t="shared" si="217"/>
        <v>116</v>
      </c>
      <c r="BJ244" s="88">
        <f t="shared" si="218"/>
        <v>165.71428571428572</v>
      </c>
      <c r="BK244" s="105">
        <f t="shared" si="219"/>
        <v>6.8965517241379309E-3</v>
      </c>
      <c r="BL244" s="105">
        <f t="shared" si="220"/>
        <v>1.0344827586206896E-2</v>
      </c>
      <c r="BM244" s="105">
        <f t="shared" si="221"/>
        <v>1.1206896551724138E-2</v>
      </c>
      <c r="BN244" s="105">
        <f t="shared" si="222"/>
        <v>8.6206896551724137E-3</v>
      </c>
      <c r="BO244" s="105">
        <f t="shared" si="223"/>
        <v>6.0344827586206896E-3</v>
      </c>
      <c r="BP244" s="105">
        <f t="shared" si="224"/>
        <v>4.3103448275862072E-2</v>
      </c>
      <c r="BQ244" s="79">
        <f t="shared" si="225"/>
        <v>0.15999999999999998</v>
      </c>
      <c r="BR244" s="79">
        <f t="shared" si="226"/>
        <v>0.24</v>
      </c>
      <c r="BS244" s="79">
        <f t="shared" si="227"/>
        <v>0.25999999999999995</v>
      </c>
      <c r="BT244" s="79">
        <f t="shared" si="228"/>
        <v>0.19999999999999998</v>
      </c>
      <c r="BU244" s="79">
        <f t="shared" si="229"/>
        <v>0.13999999999999999</v>
      </c>
      <c r="BV244" s="90" t="str">
        <f t="array" aca="1" ref="BV244" ca="1">_xlfn.TEXTJOIN(" ",TRUE,
_xlfn.TEXTJOIN(":",TRUE,ROUND(BK244:BO244/MIN(IF(BK244:BO244&gt;0,BK244:BO244)),0)),
"|",
ROUND(SUM(BW244:CA244),0))</f>
        <v>1:2:2:1:1 | -1740</v>
      </c>
      <c r="BW244" s="106">
        <f t="shared" ca="1" si="230"/>
        <v>-278.39999999999998</v>
      </c>
      <c r="BX244" s="106">
        <f t="shared" ca="1" si="176"/>
        <v>-417.59999999999997</v>
      </c>
      <c r="BY244" s="106">
        <f t="shared" ca="1" si="177"/>
        <v>-452.39999999999992</v>
      </c>
      <c r="BZ244" s="106">
        <f t="shared" ca="1" si="178"/>
        <v>-347.99999999999994</v>
      </c>
      <c r="CA244" s="106">
        <f t="shared" ca="1" si="231"/>
        <v>-243.59999999999997</v>
      </c>
    </row>
    <row r="245" spans="1:79" x14ac:dyDescent="0.35">
      <c r="A245" s="25" t="s">
        <v>258</v>
      </c>
      <c r="B245" s="10" t="s">
        <v>335</v>
      </c>
      <c r="C245" s="10" t="s">
        <v>341</v>
      </c>
      <c r="D245" s="10" t="s">
        <v>346</v>
      </c>
      <c r="E245" s="11">
        <v>45878</v>
      </c>
      <c r="F245" s="17">
        <v>45892</v>
      </c>
      <c r="G245" s="14">
        <f t="shared" ca="1" si="179"/>
        <v>207</v>
      </c>
      <c r="H245" s="17">
        <v>499</v>
      </c>
      <c r="I245" s="17">
        <v>255</v>
      </c>
      <c r="J245" s="75">
        <f t="shared" si="180"/>
        <v>1173</v>
      </c>
      <c r="K245" s="17">
        <v>1500</v>
      </c>
      <c r="L245" s="85">
        <v>327</v>
      </c>
      <c r="M245" s="86">
        <f t="shared" ca="1" si="181"/>
        <v>1.5797101449275361</v>
      </c>
      <c r="N245" s="86">
        <f t="shared" si="182"/>
        <v>0.92883099285538351</v>
      </c>
      <c r="O245" s="86">
        <f t="shared" si="183"/>
        <v>0.99695121951219512</v>
      </c>
      <c r="P245" s="87">
        <f t="shared" si="184"/>
        <v>81.75</v>
      </c>
      <c r="Q245" s="104">
        <f t="shared" si="185"/>
        <v>14.348623853211009</v>
      </c>
      <c r="R245" s="88">
        <f t="shared" si="186"/>
        <v>48.897795591182366</v>
      </c>
      <c r="S245" s="88">
        <f t="shared" si="187"/>
        <v>21.8</v>
      </c>
      <c r="T245" s="13">
        <f t="shared" si="188"/>
        <v>3</v>
      </c>
      <c r="U245" s="13">
        <f t="shared" si="189"/>
        <v>1</v>
      </c>
      <c r="V245" s="13">
        <f t="shared" si="190"/>
        <v>2</v>
      </c>
      <c r="W245" s="13">
        <f t="shared" ca="1" si="191"/>
        <v>3</v>
      </c>
      <c r="X245" s="13">
        <f t="shared" ca="1" si="192"/>
        <v>9</v>
      </c>
      <c r="Y245" s="81" t="str">
        <f t="shared" ca="1" si="193"/>
        <v>RE-BUY</v>
      </c>
      <c r="Z245" s="13">
        <v>14</v>
      </c>
      <c r="AA245" s="75">
        <v>46059</v>
      </c>
      <c r="AB245" s="75">
        <f t="shared" si="194"/>
        <v>45920</v>
      </c>
      <c r="AC245" s="88">
        <f t="shared" si="195"/>
        <v>19.857142857142858</v>
      </c>
      <c r="AD245" s="89" t="str">
        <f t="shared" ca="1" si="196"/>
        <v>STABLE</v>
      </c>
      <c r="AE245" s="89" t="str">
        <f t="shared" si="197"/>
        <v>FAST SELLING</v>
      </c>
      <c r="AF245" s="89" t="str">
        <f t="shared" si="198"/>
        <v>AT RISK</v>
      </c>
      <c r="AG245" s="89" t="str">
        <f t="shared" si="199"/>
        <v>FEASIBLE</v>
      </c>
      <c r="AH245" s="81" t="str">
        <f t="shared" ca="1" si="200"/>
        <v>IMMEDIATE REBUY</v>
      </c>
      <c r="AI245" s="75">
        <f t="shared" ca="1" si="201"/>
        <v>973.99285714285713</v>
      </c>
      <c r="AJ245" s="75">
        <f t="shared" ca="1" si="202"/>
        <v>-199.00714285714287</v>
      </c>
      <c r="AK245" s="13">
        <f t="shared" ca="1" si="203"/>
        <v>-239</v>
      </c>
      <c r="AL245" s="79">
        <v>0.1</v>
      </c>
      <c r="AM245" s="79">
        <v>0.3</v>
      </c>
      <c r="AN245" s="79">
        <v>0.3</v>
      </c>
      <c r="AO245" s="79">
        <v>0.1</v>
      </c>
      <c r="AP245" s="79">
        <v>0.1</v>
      </c>
      <c r="AQ245" s="75">
        <f t="shared" si="204"/>
        <v>117.30000000000001</v>
      </c>
      <c r="AR245" s="75">
        <f t="shared" si="205"/>
        <v>351.9</v>
      </c>
      <c r="AS245" s="75">
        <f t="shared" si="206"/>
        <v>351.9</v>
      </c>
      <c r="AT245" s="75">
        <f t="shared" si="207"/>
        <v>117.30000000000001</v>
      </c>
      <c r="AU245" s="75">
        <f t="shared" si="208"/>
        <v>117.30000000000001</v>
      </c>
      <c r="AV245" s="13">
        <v>0.8</v>
      </c>
      <c r="AW245" s="13">
        <v>1.2</v>
      </c>
      <c r="AX245" s="13">
        <v>1.3</v>
      </c>
      <c r="AY245" s="13">
        <v>1</v>
      </c>
      <c r="AZ245" s="13">
        <v>0.7</v>
      </c>
      <c r="BA245" s="105">
        <f t="shared" si="209"/>
        <v>6.5400000000000009</v>
      </c>
      <c r="BB245" s="13">
        <f t="shared" si="210"/>
        <v>29.429999999999996</v>
      </c>
      <c r="BC245" s="13">
        <f t="shared" si="211"/>
        <v>31.8825</v>
      </c>
      <c r="BD245" s="13">
        <f t="shared" si="212"/>
        <v>8.1750000000000007</v>
      </c>
      <c r="BE245" s="13">
        <f t="shared" si="213"/>
        <v>5.7225000000000001</v>
      </c>
      <c r="BF245" s="88">
        <f t="shared" si="214"/>
        <v>17.935779816513762</v>
      </c>
      <c r="BG245" s="88">
        <f t="shared" si="215"/>
        <v>11.957186544342509</v>
      </c>
      <c r="BH245" s="88">
        <f t="shared" si="216"/>
        <v>11.037402964008468</v>
      </c>
      <c r="BI245" s="88">
        <f t="shared" si="217"/>
        <v>14.348623853211009</v>
      </c>
      <c r="BJ245" s="88">
        <f t="shared" si="218"/>
        <v>20.498034076015728</v>
      </c>
      <c r="BK245" s="105">
        <f t="shared" si="219"/>
        <v>5.5754475703324806E-2</v>
      </c>
      <c r="BL245" s="105">
        <f t="shared" si="220"/>
        <v>8.3631713554987205E-2</v>
      </c>
      <c r="BM245" s="105">
        <f t="shared" si="221"/>
        <v>9.0601023017902821E-2</v>
      </c>
      <c r="BN245" s="105">
        <f t="shared" si="222"/>
        <v>6.9693094629156016E-2</v>
      </c>
      <c r="BO245" s="105">
        <f t="shared" si="223"/>
        <v>4.8785166240409204E-2</v>
      </c>
      <c r="BP245" s="105">
        <f t="shared" si="224"/>
        <v>0.34846547314578002</v>
      </c>
      <c r="BQ245" s="79">
        <f t="shared" si="225"/>
        <v>0.16</v>
      </c>
      <c r="BR245" s="79">
        <f t="shared" si="226"/>
        <v>0.24</v>
      </c>
      <c r="BS245" s="79">
        <f t="shared" si="227"/>
        <v>0.26000000000000006</v>
      </c>
      <c r="BT245" s="79">
        <f t="shared" si="228"/>
        <v>0.20000000000000004</v>
      </c>
      <c r="BU245" s="79">
        <f t="shared" si="229"/>
        <v>0.14000000000000001</v>
      </c>
      <c r="BV245" s="90" t="str">
        <f t="array" aca="1" ref="BV245" ca="1">_xlfn.TEXTJOIN(" ",TRUE,
_xlfn.TEXTJOIN(":",TRUE,ROUND(BK245:BO245/MIN(IF(BK245:BO245&gt;0,BK245:BO245)),0)),
"|",
ROUND(SUM(BW245:CA245),0))</f>
        <v>1:2:2:1:1 | -239</v>
      </c>
      <c r="BW245" s="106">
        <f t="shared" ca="1" si="230"/>
        <v>-38.24</v>
      </c>
      <c r="BX245" s="106">
        <f t="shared" ca="1" si="176"/>
        <v>-57.36</v>
      </c>
      <c r="BY245" s="106">
        <f t="shared" ca="1" si="177"/>
        <v>-62.140000000000015</v>
      </c>
      <c r="BZ245" s="106">
        <f t="shared" ca="1" si="178"/>
        <v>-47.800000000000011</v>
      </c>
      <c r="CA245" s="106">
        <f t="shared" ca="1" si="231"/>
        <v>-33.46</v>
      </c>
    </row>
    <row r="246" spans="1:79" x14ac:dyDescent="0.35">
      <c r="A246" s="25" t="s">
        <v>259</v>
      </c>
      <c r="B246" s="10" t="s">
        <v>335</v>
      </c>
      <c r="C246" s="10" t="s">
        <v>341</v>
      </c>
      <c r="D246" s="10" t="s">
        <v>346</v>
      </c>
      <c r="E246" s="11">
        <v>45878</v>
      </c>
      <c r="F246" s="17">
        <v>45892</v>
      </c>
      <c r="G246" s="14">
        <f t="shared" ca="1" si="179"/>
        <v>207</v>
      </c>
      <c r="H246" s="17">
        <v>499</v>
      </c>
      <c r="I246" s="17">
        <v>255</v>
      </c>
      <c r="J246" s="75">
        <f t="shared" si="180"/>
        <v>1220</v>
      </c>
      <c r="K246" s="17">
        <v>1500</v>
      </c>
      <c r="L246" s="85">
        <v>280</v>
      </c>
      <c r="M246" s="86">
        <f t="shared" ca="1" si="181"/>
        <v>1.3526570048309179</v>
      </c>
      <c r="N246" s="86">
        <f t="shared" si="182"/>
        <v>0.92883099285538351</v>
      </c>
      <c r="O246" s="86">
        <f t="shared" si="183"/>
        <v>0.85365853658536583</v>
      </c>
      <c r="P246" s="87">
        <f t="shared" si="184"/>
        <v>70</v>
      </c>
      <c r="Q246" s="104">
        <f t="shared" si="185"/>
        <v>17.428571428571427</v>
      </c>
      <c r="R246" s="88">
        <f t="shared" si="186"/>
        <v>48.897795591182366</v>
      </c>
      <c r="S246" s="88">
        <f t="shared" si="187"/>
        <v>18.666666666666668</v>
      </c>
      <c r="T246" s="13">
        <f t="shared" si="188"/>
        <v>2</v>
      </c>
      <c r="U246" s="13">
        <f t="shared" si="189"/>
        <v>1</v>
      </c>
      <c r="V246" s="13">
        <f t="shared" si="190"/>
        <v>2</v>
      </c>
      <c r="W246" s="13">
        <f t="shared" ca="1" si="191"/>
        <v>3</v>
      </c>
      <c r="X246" s="13">
        <f t="shared" ca="1" si="192"/>
        <v>8</v>
      </c>
      <c r="Y246" s="81" t="str">
        <f t="shared" ca="1" si="193"/>
        <v>MONITOR</v>
      </c>
      <c r="Z246" s="13">
        <v>14</v>
      </c>
      <c r="AA246" s="75">
        <v>46059</v>
      </c>
      <c r="AB246" s="75">
        <f t="shared" si="194"/>
        <v>45920</v>
      </c>
      <c r="AC246" s="88">
        <f t="shared" si="195"/>
        <v>19.857142857142858</v>
      </c>
      <c r="AD246" s="89" t="str">
        <f t="shared" ca="1" si="196"/>
        <v>STABLE</v>
      </c>
      <c r="AE246" s="89" t="str">
        <f t="shared" si="197"/>
        <v>SLOW SELLING</v>
      </c>
      <c r="AF246" s="89" t="str">
        <f t="shared" si="198"/>
        <v>AT RISK</v>
      </c>
      <c r="AG246" s="89" t="str">
        <f t="shared" si="199"/>
        <v>FEASIBLE</v>
      </c>
      <c r="AH246" s="81" t="str">
        <f t="shared" ca="1" si="200"/>
        <v>MONITOR</v>
      </c>
      <c r="AI246" s="75">
        <f t="shared" ca="1" si="201"/>
        <v>0</v>
      </c>
      <c r="AJ246" s="75">
        <f t="shared" ca="1" si="202"/>
        <v>-1220</v>
      </c>
      <c r="AK246" s="13">
        <f t="shared" ca="1" si="203"/>
        <v>-1464</v>
      </c>
      <c r="AL246" s="79">
        <v>0.1</v>
      </c>
      <c r="AM246" s="79">
        <v>0.3</v>
      </c>
      <c r="AN246" s="79">
        <v>0.3</v>
      </c>
      <c r="AO246" s="79">
        <v>0.1</v>
      </c>
      <c r="AP246" s="79">
        <v>0.1</v>
      </c>
      <c r="AQ246" s="75">
        <f t="shared" si="204"/>
        <v>122</v>
      </c>
      <c r="AR246" s="75">
        <f t="shared" si="205"/>
        <v>366</v>
      </c>
      <c r="AS246" s="75">
        <f t="shared" si="206"/>
        <v>366</v>
      </c>
      <c r="AT246" s="75">
        <f t="shared" si="207"/>
        <v>122</v>
      </c>
      <c r="AU246" s="75">
        <f t="shared" si="208"/>
        <v>122</v>
      </c>
      <c r="AV246" s="13">
        <v>0.8</v>
      </c>
      <c r="AW246" s="13">
        <v>1.2</v>
      </c>
      <c r="AX246" s="13">
        <v>1.3</v>
      </c>
      <c r="AY246" s="13">
        <v>1</v>
      </c>
      <c r="AZ246" s="13">
        <v>0.7</v>
      </c>
      <c r="BA246" s="105">
        <f t="shared" si="209"/>
        <v>5.6000000000000005</v>
      </c>
      <c r="BB246" s="13">
        <f t="shared" si="210"/>
        <v>25.2</v>
      </c>
      <c r="BC246" s="13">
        <f t="shared" si="211"/>
        <v>27.3</v>
      </c>
      <c r="BD246" s="13">
        <f t="shared" si="212"/>
        <v>7</v>
      </c>
      <c r="BE246" s="13">
        <f t="shared" si="213"/>
        <v>4.8999999999999995</v>
      </c>
      <c r="BF246" s="88">
        <f t="shared" si="214"/>
        <v>21.785714285714285</v>
      </c>
      <c r="BG246" s="88">
        <f t="shared" si="215"/>
        <v>14.523809523809524</v>
      </c>
      <c r="BH246" s="88">
        <f t="shared" si="216"/>
        <v>13.406593406593407</v>
      </c>
      <c r="BI246" s="88">
        <f t="shared" si="217"/>
        <v>17.428571428571427</v>
      </c>
      <c r="BJ246" s="88">
        <f t="shared" si="218"/>
        <v>24.897959183673471</v>
      </c>
      <c r="BK246" s="105">
        <f t="shared" si="219"/>
        <v>4.59016393442623E-2</v>
      </c>
      <c r="BL246" s="105">
        <f t="shared" si="220"/>
        <v>6.8852459016393447E-2</v>
      </c>
      <c r="BM246" s="105">
        <f t="shared" si="221"/>
        <v>7.4590163934426232E-2</v>
      </c>
      <c r="BN246" s="105">
        <f t="shared" si="222"/>
        <v>5.7377049180327877E-2</v>
      </c>
      <c r="BO246" s="105">
        <f t="shared" si="223"/>
        <v>4.0163934426229508E-2</v>
      </c>
      <c r="BP246" s="105">
        <f t="shared" si="224"/>
        <v>0.28688524590163939</v>
      </c>
      <c r="BQ246" s="79">
        <f t="shared" si="225"/>
        <v>0.16</v>
      </c>
      <c r="BR246" s="79">
        <f t="shared" si="226"/>
        <v>0.24</v>
      </c>
      <c r="BS246" s="79">
        <f t="shared" si="227"/>
        <v>0.25999999999999995</v>
      </c>
      <c r="BT246" s="79">
        <f t="shared" si="228"/>
        <v>0.2</v>
      </c>
      <c r="BU246" s="79">
        <f t="shared" si="229"/>
        <v>0.13999999999999999</v>
      </c>
      <c r="BV246" s="90" t="str">
        <f t="array" aca="1" ref="BV246" ca="1">_xlfn.TEXTJOIN(" ",TRUE,
_xlfn.TEXTJOIN(":",TRUE,ROUND(BK246:BO246/MIN(IF(BK246:BO246&gt;0,BK246:BO246)),0)),
"|",
ROUND(SUM(BW246:CA246),0))</f>
        <v>1:2:2:1:1 | -1464</v>
      </c>
      <c r="BW246" s="106">
        <f t="shared" ca="1" si="230"/>
        <v>-234.24</v>
      </c>
      <c r="BX246" s="106">
        <f t="shared" ca="1" si="176"/>
        <v>-351.36</v>
      </c>
      <c r="BY246" s="106">
        <f t="shared" ca="1" si="177"/>
        <v>-380.63999999999993</v>
      </c>
      <c r="BZ246" s="106">
        <f t="shared" ca="1" si="178"/>
        <v>-292.8</v>
      </c>
      <c r="CA246" s="106">
        <f t="shared" ca="1" si="231"/>
        <v>-204.95999999999998</v>
      </c>
    </row>
    <row r="247" spans="1:79" x14ac:dyDescent="0.35">
      <c r="A247" s="25" t="s">
        <v>260</v>
      </c>
      <c r="B247" s="10" t="s">
        <v>335</v>
      </c>
      <c r="C247" s="10" t="s">
        <v>341</v>
      </c>
      <c r="D247" s="10" t="s">
        <v>346</v>
      </c>
      <c r="E247" s="11">
        <v>45920</v>
      </c>
      <c r="F247" s="17">
        <v>45892</v>
      </c>
      <c r="G247" s="14">
        <f t="shared" ca="1" si="179"/>
        <v>207</v>
      </c>
      <c r="H247" s="17">
        <v>499</v>
      </c>
      <c r="I247" s="17">
        <v>255</v>
      </c>
      <c r="J247" s="75">
        <f t="shared" si="180"/>
        <v>1324</v>
      </c>
      <c r="K247" s="17">
        <v>1500</v>
      </c>
      <c r="L247" s="85">
        <v>176</v>
      </c>
      <c r="M247" s="86">
        <f t="shared" ca="1" si="181"/>
        <v>0.85024154589371981</v>
      </c>
      <c r="N247" s="86">
        <f t="shared" si="182"/>
        <v>0.92883099285538351</v>
      </c>
      <c r="O247" s="86">
        <f t="shared" si="183"/>
        <v>0.53658536585365857</v>
      </c>
      <c r="P247" s="87">
        <f t="shared" si="184"/>
        <v>44</v>
      </c>
      <c r="Q247" s="104">
        <f t="shared" si="185"/>
        <v>30.09090909090909</v>
      </c>
      <c r="R247" s="88">
        <f t="shared" si="186"/>
        <v>48.897795591182366</v>
      </c>
      <c r="S247" s="88">
        <f t="shared" si="187"/>
        <v>11.733333333333333</v>
      </c>
      <c r="T247" s="13">
        <f t="shared" si="188"/>
        <v>1</v>
      </c>
      <c r="U247" s="13">
        <f t="shared" si="189"/>
        <v>1</v>
      </c>
      <c r="V247" s="13">
        <f t="shared" si="190"/>
        <v>2</v>
      </c>
      <c r="W247" s="13">
        <f t="shared" ca="1" si="191"/>
        <v>3</v>
      </c>
      <c r="X247" s="13">
        <f t="shared" ca="1" si="192"/>
        <v>7</v>
      </c>
      <c r="Y247" s="81" t="str">
        <f t="shared" ca="1" si="193"/>
        <v>MONITOR</v>
      </c>
      <c r="Z247" s="13">
        <v>14</v>
      </c>
      <c r="AA247" s="75">
        <v>46059</v>
      </c>
      <c r="AB247" s="75">
        <f t="shared" si="194"/>
        <v>45920</v>
      </c>
      <c r="AC247" s="88">
        <f t="shared" si="195"/>
        <v>19.857142857142858</v>
      </c>
      <c r="AD247" s="89" t="str">
        <f t="shared" ca="1" si="196"/>
        <v>STABLE</v>
      </c>
      <c r="AE247" s="89" t="str">
        <f t="shared" si="197"/>
        <v>SLOW SELLING</v>
      </c>
      <c r="AF247" s="89" t="str">
        <f t="shared" si="198"/>
        <v>AT RISK</v>
      </c>
      <c r="AG247" s="89" t="str">
        <f t="shared" si="199"/>
        <v>FEASIBLE</v>
      </c>
      <c r="AH247" s="81" t="str">
        <f t="shared" ca="1" si="200"/>
        <v>MONITOR</v>
      </c>
      <c r="AI247" s="75">
        <f t="shared" ca="1" si="201"/>
        <v>0</v>
      </c>
      <c r="AJ247" s="75">
        <f t="shared" ca="1" si="202"/>
        <v>-1324</v>
      </c>
      <c r="AK247" s="13">
        <f t="shared" ca="1" si="203"/>
        <v>-1589</v>
      </c>
      <c r="AL247" s="79">
        <v>0.1</v>
      </c>
      <c r="AM247" s="79">
        <v>0.3</v>
      </c>
      <c r="AN247" s="79">
        <v>0.3</v>
      </c>
      <c r="AO247" s="79">
        <v>0.1</v>
      </c>
      <c r="AP247" s="79">
        <v>0.1</v>
      </c>
      <c r="AQ247" s="75">
        <f t="shared" si="204"/>
        <v>132.4</v>
      </c>
      <c r="AR247" s="75">
        <f t="shared" si="205"/>
        <v>397.2</v>
      </c>
      <c r="AS247" s="75">
        <f t="shared" si="206"/>
        <v>397.2</v>
      </c>
      <c r="AT247" s="75">
        <f t="shared" si="207"/>
        <v>132.4</v>
      </c>
      <c r="AU247" s="75">
        <f t="shared" si="208"/>
        <v>132.4</v>
      </c>
      <c r="AV247" s="13">
        <v>0.8</v>
      </c>
      <c r="AW247" s="13">
        <v>1.2</v>
      </c>
      <c r="AX247" s="13">
        <v>1.3</v>
      </c>
      <c r="AY247" s="13">
        <v>1</v>
      </c>
      <c r="AZ247" s="13">
        <v>0.7</v>
      </c>
      <c r="BA247" s="105">
        <f t="shared" si="209"/>
        <v>3.5200000000000005</v>
      </c>
      <c r="BB247" s="13">
        <f t="shared" si="210"/>
        <v>15.839999999999998</v>
      </c>
      <c r="BC247" s="13">
        <f t="shared" si="211"/>
        <v>17.16</v>
      </c>
      <c r="BD247" s="13">
        <f t="shared" si="212"/>
        <v>4.4000000000000004</v>
      </c>
      <c r="BE247" s="13">
        <f t="shared" si="213"/>
        <v>3.08</v>
      </c>
      <c r="BF247" s="88">
        <f t="shared" si="214"/>
        <v>37.61363636363636</v>
      </c>
      <c r="BG247" s="88">
        <f t="shared" si="215"/>
        <v>25.075757575757578</v>
      </c>
      <c r="BH247" s="88">
        <f t="shared" si="216"/>
        <v>23.146853146853147</v>
      </c>
      <c r="BI247" s="88">
        <f t="shared" si="217"/>
        <v>30.09090909090909</v>
      </c>
      <c r="BJ247" s="88">
        <f t="shared" si="218"/>
        <v>42.987012987012989</v>
      </c>
      <c r="BK247" s="105">
        <f t="shared" si="219"/>
        <v>2.6586102719033236E-2</v>
      </c>
      <c r="BL247" s="105">
        <f t="shared" si="220"/>
        <v>3.9879154078549847E-2</v>
      </c>
      <c r="BM247" s="105">
        <f t="shared" si="221"/>
        <v>4.3202416918429E-2</v>
      </c>
      <c r="BN247" s="105">
        <f t="shared" si="222"/>
        <v>3.3232628398791542E-2</v>
      </c>
      <c r="BO247" s="105">
        <f t="shared" si="223"/>
        <v>2.3262839879154076E-2</v>
      </c>
      <c r="BP247" s="105">
        <f t="shared" si="224"/>
        <v>0.16616314199395771</v>
      </c>
      <c r="BQ247" s="79">
        <f t="shared" si="225"/>
        <v>0.16</v>
      </c>
      <c r="BR247" s="79">
        <f t="shared" si="226"/>
        <v>0.24</v>
      </c>
      <c r="BS247" s="79">
        <f t="shared" si="227"/>
        <v>0.25999999999999995</v>
      </c>
      <c r="BT247" s="79">
        <f t="shared" si="228"/>
        <v>0.2</v>
      </c>
      <c r="BU247" s="79">
        <f t="shared" si="229"/>
        <v>0.13999999999999999</v>
      </c>
      <c r="BV247" s="90" t="str">
        <f t="array" aca="1" ref="BV247" ca="1">_xlfn.TEXTJOIN(" ",TRUE,
_xlfn.TEXTJOIN(":",TRUE,ROUND(BK247:BO247/MIN(IF(BK247:BO247&gt;0,BK247:BO247)),0)),
"|",
ROUND(SUM(BW247:CA247),0))</f>
        <v>1:2:2:1:1 | -1589</v>
      </c>
      <c r="BW247" s="106">
        <f t="shared" ca="1" si="230"/>
        <v>-254.24</v>
      </c>
      <c r="BX247" s="106">
        <f t="shared" ca="1" si="176"/>
        <v>-381.36</v>
      </c>
      <c r="BY247" s="106">
        <f t="shared" ca="1" si="177"/>
        <v>-413.13999999999993</v>
      </c>
      <c r="BZ247" s="106">
        <f t="shared" ca="1" si="178"/>
        <v>-317.8</v>
      </c>
      <c r="CA247" s="106">
        <f t="shared" ca="1" si="231"/>
        <v>-222.45999999999998</v>
      </c>
    </row>
    <row r="248" spans="1:79" x14ac:dyDescent="0.35">
      <c r="A248" s="25" t="s">
        <v>261</v>
      </c>
      <c r="B248" s="10" t="s">
        <v>336</v>
      </c>
      <c r="C248" s="10" t="s">
        <v>341</v>
      </c>
      <c r="D248" s="10" t="s">
        <v>346</v>
      </c>
      <c r="E248" s="11">
        <v>45850</v>
      </c>
      <c r="F248" s="17">
        <v>45892</v>
      </c>
      <c r="G248" s="14">
        <f t="shared" ca="1" si="179"/>
        <v>207</v>
      </c>
      <c r="H248" s="17">
        <v>499</v>
      </c>
      <c r="I248" s="17">
        <v>297</v>
      </c>
      <c r="J248" s="75">
        <f t="shared" si="180"/>
        <v>2233</v>
      </c>
      <c r="K248" s="17">
        <v>2500</v>
      </c>
      <c r="L248" s="85">
        <v>267</v>
      </c>
      <c r="M248" s="86">
        <f t="shared" ca="1" si="181"/>
        <v>1.2898550724637681</v>
      </c>
      <c r="N248" s="86">
        <f t="shared" si="182"/>
        <v>0.92883099285538351</v>
      </c>
      <c r="O248" s="86">
        <f t="shared" si="183"/>
        <v>0.81402439024390238</v>
      </c>
      <c r="P248" s="87">
        <f t="shared" si="184"/>
        <v>66.75</v>
      </c>
      <c r="Q248" s="104">
        <f t="shared" si="185"/>
        <v>33.453183520599254</v>
      </c>
      <c r="R248" s="88">
        <f t="shared" si="186"/>
        <v>40.480961923847694</v>
      </c>
      <c r="S248" s="88">
        <f t="shared" si="187"/>
        <v>10.68</v>
      </c>
      <c r="T248" s="13">
        <f t="shared" si="188"/>
        <v>2</v>
      </c>
      <c r="U248" s="13">
        <f t="shared" si="189"/>
        <v>1</v>
      </c>
      <c r="V248" s="13">
        <f t="shared" si="190"/>
        <v>1</v>
      </c>
      <c r="W248" s="13">
        <f t="shared" ca="1" si="191"/>
        <v>3</v>
      </c>
      <c r="X248" s="13">
        <f t="shared" ca="1" si="192"/>
        <v>7</v>
      </c>
      <c r="Y248" s="81" t="str">
        <f t="shared" ca="1" si="193"/>
        <v>MONITOR</v>
      </c>
      <c r="Z248" s="13">
        <v>14</v>
      </c>
      <c r="AA248" s="75">
        <v>46059</v>
      </c>
      <c r="AB248" s="75">
        <f t="shared" si="194"/>
        <v>45920</v>
      </c>
      <c r="AC248" s="88">
        <f t="shared" si="195"/>
        <v>19.857142857142858</v>
      </c>
      <c r="AD248" s="89" t="str">
        <f t="shared" ca="1" si="196"/>
        <v>STABLE</v>
      </c>
      <c r="AE248" s="89" t="str">
        <f t="shared" si="197"/>
        <v>SLOW SELLING</v>
      </c>
      <c r="AF248" s="89" t="str">
        <f t="shared" si="198"/>
        <v>AT RISK</v>
      </c>
      <c r="AG248" s="89" t="str">
        <f t="shared" si="199"/>
        <v>FEASIBLE</v>
      </c>
      <c r="AH248" s="81" t="str">
        <f t="shared" ca="1" si="200"/>
        <v>MONITOR</v>
      </c>
      <c r="AI248" s="75">
        <f t="shared" ca="1" si="201"/>
        <v>0</v>
      </c>
      <c r="AJ248" s="75">
        <f t="shared" ca="1" si="202"/>
        <v>-2233</v>
      </c>
      <c r="AK248" s="13">
        <f t="shared" ca="1" si="203"/>
        <v>-2680</v>
      </c>
      <c r="AL248" s="79">
        <v>0.1</v>
      </c>
      <c r="AM248" s="79">
        <v>0.3</v>
      </c>
      <c r="AN248" s="79">
        <v>0.3</v>
      </c>
      <c r="AO248" s="79">
        <v>0.1</v>
      </c>
      <c r="AP248" s="79">
        <v>0.1</v>
      </c>
      <c r="AQ248" s="75">
        <f t="shared" si="204"/>
        <v>223.3</v>
      </c>
      <c r="AR248" s="75">
        <f t="shared" si="205"/>
        <v>669.9</v>
      </c>
      <c r="AS248" s="75">
        <f t="shared" si="206"/>
        <v>669.9</v>
      </c>
      <c r="AT248" s="75">
        <f t="shared" si="207"/>
        <v>223.3</v>
      </c>
      <c r="AU248" s="75">
        <f t="shared" si="208"/>
        <v>223.3</v>
      </c>
      <c r="AV248" s="13">
        <v>0.8</v>
      </c>
      <c r="AW248" s="13">
        <v>1.2</v>
      </c>
      <c r="AX248" s="13">
        <v>1.3</v>
      </c>
      <c r="AY248" s="13">
        <v>1</v>
      </c>
      <c r="AZ248" s="13">
        <v>0.7</v>
      </c>
      <c r="BA248" s="105">
        <f t="shared" si="209"/>
        <v>5.3400000000000007</v>
      </c>
      <c r="BB248" s="13">
        <f t="shared" si="210"/>
        <v>24.029999999999998</v>
      </c>
      <c r="BC248" s="13">
        <f t="shared" si="211"/>
        <v>26.032499999999999</v>
      </c>
      <c r="BD248" s="13">
        <f t="shared" si="212"/>
        <v>6.6750000000000007</v>
      </c>
      <c r="BE248" s="13">
        <f t="shared" si="213"/>
        <v>4.6725000000000003</v>
      </c>
      <c r="BF248" s="88">
        <f t="shared" si="214"/>
        <v>41.81647940074906</v>
      </c>
      <c r="BG248" s="88">
        <f t="shared" si="215"/>
        <v>27.87765293383271</v>
      </c>
      <c r="BH248" s="88">
        <f t="shared" si="216"/>
        <v>25.733218092768656</v>
      </c>
      <c r="BI248" s="88">
        <f t="shared" si="217"/>
        <v>33.453183520599246</v>
      </c>
      <c r="BJ248" s="88">
        <f t="shared" si="218"/>
        <v>47.790262172284642</v>
      </c>
      <c r="BK248" s="105">
        <f t="shared" si="219"/>
        <v>2.3914017017465296E-2</v>
      </c>
      <c r="BL248" s="105">
        <f t="shared" si="220"/>
        <v>3.587102552619794E-2</v>
      </c>
      <c r="BM248" s="105">
        <f t="shared" si="221"/>
        <v>3.8860277653381098E-2</v>
      </c>
      <c r="BN248" s="105">
        <f t="shared" si="222"/>
        <v>2.9892521271831621E-2</v>
      </c>
      <c r="BO248" s="105">
        <f t="shared" si="223"/>
        <v>2.0924764890282131E-2</v>
      </c>
      <c r="BP248" s="105">
        <f t="shared" si="224"/>
        <v>0.14946260635915809</v>
      </c>
      <c r="BQ248" s="79">
        <f t="shared" si="225"/>
        <v>0.16</v>
      </c>
      <c r="BR248" s="79">
        <f t="shared" si="226"/>
        <v>0.24</v>
      </c>
      <c r="BS248" s="79">
        <f t="shared" si="227"/>
        <v>0.25999999999999995</v>
      </c>
      <c r="BT248" s="79">
        <f t="shared" si="228"/>
        <v>0.2</v>
      </c>
      <c r="BU248" s="79">
        <f t="shared" si="229"/>
        <v>0.13999999999999999</v>
      </c>
      <c r="BV248" s="90" t="str">
        <f t="array" aca="1" ref="BV248" ca="1">_xlfn.TEXTJOIN(" ",TRUE,
_xlfn.TEXTJOIN(":",TRUE,ROUND(BK248:BO248/MIN(IF(BK248:BO248&gt;0,BK248:BO248)),0)),
"|",
ROUND(SUM(BW248:CA248),0))</f>
        <v>1:2:2:1:1 | -2680</v>
      </c>
      <c r="BW248" s="106">
        <f t="shared" ca="1" si="230"/>
        <v>-428.8</v>
      </c>
      <c r="BX248" s="106">
        <f t="shared" ca="1" si="176"/>
        <v>-643.19999999999993</v>
      </c>
      <c r="BY248" s="106">
        <f t="shared" ca="1" si="177"/>
        <v>-696.79999999999984</v>
      </c>
      <c r="BZ248" s="106">
        <f t="shared" ca="1" si="178"/>
        <v>-536</v>
      </c>
      <c r="CA248" s="106">
        <f t="shared" ca="1" si="231"/>
        <v>-375.2</v>
      </c>
    </row>
    <row r="249" spans="1:79" x14ac:dyDescent="0.35">
      <c r="A249" s="25" t="s">
        <v>262</v>
      </c>
      <c r="B249" s="10" t="s">
        <v>336</v>
      </c>
      <c r="C249" s="10" t="s">
        <v>341</v>
      </c>
      <c r="D249" s="10" t="s">
        <v>346</v>
      </c>
      <c r="E249" s="11">
        <v>45850</v>
      </c>
      <c r="F249" s="17">
        <v>45892</v>
      </c>
      <c r="G249" s="14">
        <f t="shared" ca="1" si="179"/>
        <v>207</v>
      </c>
      <c r="H249" s="17">
        <v>499</v>
      </c>
      <c r="I249" s="17">
        <v>297</v>
      </c>
      <c r="J249" s="75">
        <f t="shared" si="180"/>
        <v>2285</v>
      </c>
      <c r="K249" s="17">
        <v>2500</v>
      </c>
      <c r="L249" s="85">
        <v>215</v>
      </c>
      <c r="M249" s="86">
        <f t="shared" ca="1" si="181"/>
        <v>1.038647342995169</v>
      </c>
      <c r="N249" s="86">
        <f t="shared" si="182"/>
        <v>0.92883099285538351</v>
      </c>
      <c r="O249" s="86">
        <f t="shared" si="183"/>
        <v>0.65548780487804881</v>
      </c>
      <c r="P249" s="87">
        <f t="shared" si="184"/>
        <v>53.75</v>
      </c>
      <c r="Q249" s="104">
        <f t="shared" si="185"/>
        <v>42.511627906976742</v>
      </c>
      <c r="R249" s="88">
        <f t="shared" si="186"/>
        <v>40.480961923847694</v>
      </c>
      <c r="S249" s="88">
        <f t="shared" si="187"/>
        <v>8.6</v>
      </c>
      <c r="T249" s="13">
        <f t="shared" si="188"/>
        <v>1</v>
      </c>
      <c r="U249" s="13">
        <f t="shared" si="189"/>
        <v>1</v>
      </c>
      <c r="V249" s="13">
        <f t="shared" si="190"/>
        <v>1</v>
      </c>
      <c r="W249" s="13">
        <f t="shared" ca="1" si="191"/>
        <v>3</v>
      </c>
      <c r="X249" s="13">
        <f t="shared" ca="1" si="192"/>
        <v>6</v>
      </c>
      <c r="Y249" s="81" t="str">
        <f t="shared" ca="1" si="193"/>
        <v>MONITOR</v>
      </c>
      <c r="Z249" s="13">
        <v>14</v>
      </c>
      <c r="AA249" s="75">
        <v>46059</v>
      </c>
      <c r="AB249" s="75">
        <f t="shared" si="194"/>
        <v>45920</v>
      </c>
      <c r="AC249" s="88">
        <f t="shared" si="195"/>
        <v>19.857142857142858</v>
      </c>
      <c r="AD249" s="89" t="str">
        <f t="shared" ca="1" si="196"/>
        <v>STABLE</v>
      </c>
      <c r="AE249" s="89" t="str">
        <f t="shared" si="197"/>
        <v>SLOW SELLING</v>
      </c>
      <c r="AF249" s="89" t="str">
        <f t="shared" si="198"/>
        <v>AT RISK</v>
      </c>
      <c r="AG249" s="89" t="str">
        <f t="shared" si="199"/>
        <v>FEASIBLE</v>
      </c>
      <c r="AH249" s="81" t="str">
        <f t="shared" ca="1" si="200"/>
        <v>MONITOR</v>
      </c>
      <c r="AI249" s="75">
        <f t="shared" ca="1" si="201"/>
        <v>0</v>
      </c>
      <c r="AJ249" s="75">
        <f t="shared" ca="1" si="202"/>
        <v>-2285</v>
      </c>
      <c r="AK249" s="13">
        <f t="shared" ca="1" si="203"/>
        <v>-2742</v>
      </c>
      <c r="AL249" s="79">
        <v>0.1</v>
      </c>
      <c r="AM249" s="79">
        <v>0.3</v>
      </c>
      <c r="AN249" s="79">
        <v>0.3</v>
      </c>
      <c r="AO249" s="79">
        <v>0.1</v>
      </c>
      <c r="AP249" s="79">
        <v>0.1</v>
      </c>
      <c r="AQ249" s="75">
        <f t="shared" si="204"/>
        <v>228.5</v>
      </c>
      <c r="AR249" s="75">
        <f t="shared" si="205"/>
        <v>685.5</v>
      </c>
      <c r="AS249" s="75">
        <f t="shared" si="206"/>
        <v>685.5</v>
      </c>
      <c r="AT249" s="75">
        <f t="shared" si="207"/>
        <v>228.5</v>
      </c>
      <c r="AU249" s="75">
        <f t="shared" si="208"/>
        <v>228.5</v>
      </c>
      <c r="AV249" s="13">
        <v>0.8</v>
      </c>
      <c r="AW249" s="13">
        <v>1.2</v>
      </c>
      <c r="AX249" s="13">
        <v>1.3</v>
      </c>
      <c r="AY249" s="13">
        <v>1</v>
      </c>
      <c r="AZ249" s="13">
        <v>0.7</v>
      </c>
      <c r="BA249" s="105">
        <f t="shared" si="209"/>
        <v>4.3</v>
      </c>
      <c r="BB249" s="13">
        <f t="shared" si="210"/>
        <v>19.349999999999998</v>
      </c>
      <c r="BC249" s="13">
        <f t="shared" si="211"/>
        <v>20.962500000000002</v>
      </c>
      <c r="BD249" s="13">
        <f t="shared" si="212"/>
        <v>5.375</v>
      </c>
      <c r="BE249" s="13">
        <f t="shared" si="213"/>
        <v>3.7624999999999997</v>
      </c>
      <c r="BF249" s="88">
        <f t="shared" si="214"/>
        <v>53.139534883720934</v>
      </c>
      <c r="BG249" s="88">
        <f t="shared" si="215"/>
        <v>35.426356589147289</v>
      </c>
      <c r="BH249" s="88">
        <f t="shared" si="216"/>
        <v>32.701252236135957</v>
      </c>
      <c r="BI249" s="88">
        <f t="shared" si="217"/>
        <v>42.511627906976742</v>
      </c>
      <c r="BJ249" s="88">
        <f t="shared" si="218"/>
        <v>60.730897009966782</v>
      </c>
      <c r="BK249" s="105">
        <f t="shared" si="219"/>
        <v>1.8818380743982493E-2</v>
      </c>
      <c r="BL249" s="105">
        <f t="shared" si="220"/>
        <v>2.8227571115973741E-2</v>
      </c>
      <c r="BM249" s="105">
        <f t="shared" si="221"/>
        <v>3.0579868708971555E-2</v>
      </c>
      <c r="BN249" s="105">
        <f t="shared" si="222"/>
        <v>2.352297592997812E-2</v>
      </c>
      <c r="BO249" s="105">
        <f t="shared" si="223"/>
        <v>1.6466083150984683E-2</v>
      </c>
      <c r="BP249" s="105">
        <f t="shared" si="224"/>
        <v>0.11761487964989059</v>
      </c>
      <c r="BQ249" s="79">
        <f t="shared" si="225"/>
        <v>0.15999999999999998</v>
      </c>
      <c r="BR249" s="79">
        <f t="shared" si="226"/>
        <v>0.24</v>
      </c>
      <c r="BS249" s="79">
        <f t="shared" si="227"/>
        <v>0.26</v>
      </c>
      <c r="BT249" s="79">
        <f t="shared" si="228"/>
        <v>0.2</v>
      </c>
      <c r="BU249" s="79">
        <f t="shared" si="229"/>
        <v>0.13999999999999999</v>
      </c>
      <c r="BV249" s="90" t="str">
        <f t="array" aca="1" ref="BV249" ca="1">_xlfn.TEXTJOIN(" ",TRUE,
_xlfn.TEXTJOIN(":",TRUE,ROUND(BK249:BO249/MIN(IF(BK249:BO249&gt;0,BK249:BO249)),0)),
"|",
ROUND(SUM(BW249:CA249),0))</f>
        <v>1:2:2:1:1 | -2742</v>
      </c>
      <c r="BW249" s="106">
        <f t="shared" ca="1" si="230"/>
        <v>-438.71999999999991</v>
      </c>
      <c r="BX249" s="106">
        <f t="shared" ca="1" si="176"/>
        <v>-658.07999999999993</v>
      </c>
      <c r="BY249" s="106">
        <f t="shared" ca="1" si="177"/>
        <v>-712.92000000000007</v>
      </c>
      <c r="BZ249" s="106">
        <f t="shared" ca="1" si="178"/>
        <v>-548.4</v>
      </c>
      <c r="CA249" s="106">
        <f t="shared" ca="1" si="231"/>
        <v>-383.87999999999994</v>
      </c>
    </row>
    <row r="250" spans="1:79" x14ac:dyDescent="0.35">
      <c r="A250" s="25" t="s">
        <v>263</v>
      </c>
      <c r="B250" s="10" t="s">
        <v>336</v>
      </c>
      <c r="C250" s="10" t="s">
        <v>341</v>
      </c>
      <c r="D250" s="10" t="s">
        <v>346</v>
      </c>
      <c r="E250" s="11">
        <v>45850</v>
      </c>
      <c r="F250" s="17">
        <v>45892</v>
      </c>
      <c r="G250" s="14">
        <f t="shared" ca="1" si="179"/>
        <v>207</v>
      </c>
      <c r="H250" s="17">
        <v>499</v>
      </c>
      <c r="I250" s="17">
        <v>297</v>
      </c>
      <c r="J250" s="75">
        <f t="shared" si="180"/>
        <v>2461</v>
      </c>
      <c r="K250" s="17">
        <v>2500</v>
      </c>
      <c r="L250" s="85">
        <v>39</v>
      </c>
      <c r="M250" s="86">
        <f t="shared" ca="1" si="181"/>
        <v>0.18840579710144928</v>
      </c>
      <c r="N250" s="86">
        <f t="shared" si="182"/>
        <v>0.92883099285538351</v>
      </c>
      <c r="O250" s="86">
        <f t="shared" si="183"/>
        <v>0.11890243902439024</v>
      </c>
      <c r="P250" s="87">
        <f t="shared" si="184"/>
        <v>9.75</v>
      </c>
      <c r="Q250" s="104">
        <f t="shared" si="185"/>
        <v>252.41025641025641</v>
      </c>
      <c r="R250" s="88">
        <f t="shared" si="186"/>
        <v>40.480961923847694</v>
      </c>
      <c r="S250" s="88">
        <f t="shared" si="187"/>
        <v>1.5599999999999998</v>
      </c>
      <c r="T250" s="13">
        <f t="shared" si="188"/>
        <v>1</v>
      </c>
      <c r="U250" s="13">
        <f t="shared" si="189"/>
        <v>1</v>
      </c>
      <c r="V250" s="13">
        <f t="shared" si="190"/>
        <v>1</v>
      </c>
      <c r="W250" s="13">
        <f t="shared" ca="1" si="191"/>
        <v>3</v>
      </c>
      <c r="X250" s="13">
        <f t="shared" ca="1" si="192"/>
        <v>6</v>
      </c>
      <c r="Y250" s="81" t="str">
        <f t="shared" ca="1" si="193"/>
        <v>MONITOR</v>
      </c>
      <c r="Z250" s="13">
        <v>14</v>
      </c>
      <c r="AA250" s="75">
        <v>46059</v>
      </c>
      <c r="AB250" s="75">
        <f t="shared" si="194"/>
        <v>45920</v>
      </c>
      <c r="AC250" s="88">
        <f t="shared" si="195"/>
        <v>19.857142857142858</v>
      </c>
      <c r="AD250" s="89" t="str">
        <f t="shared" ca="1" si="196"/>
        <v>STABLE</v>
      </c>
      <c r="AE250" s="89" t="str">
        <f t="shared" si="197"/>
        <v>SLOW SELLING</v>
      </c>
      <c r="AF250" s="89" t="str">
        <f t="shared" si="198"/>
        <v>AT RISK</v>
      </c>
      <c r="AG250" s="89" t="str">
        <f t="shared" si="199"/>
        <v>FEASIBLE</v>
      </c>
      <c r="AH250" s="81" t="str">
        <f t="shared" ca="1" si="200"/>
        <v>MONITOR</v>
      </c>
      <c r="AI250" s="75">
        <f t="shared" ca="1" si="201"/>
        <v>0</v>
      </c>
      <c r="AJ250" s="75">
        <f t="shared" ca="1" si="202"/>
        <v>-2461</v>
      </c>
      <c r="AK250" s="13">
        <f t="shared" ca="1" si="203"/>
        <v>-2953</v>
      </c>
      <c r="AL250" s="79">
        <v>0.1</v>
      </c>
      <c r="AM250" s="79">
        <v>0.3</v>
      </c>
      <c r="AN250" s="79">
        <v>0.3</v>
      </c>
      <c r="AO250" s="79">
        <v>0.1</v>
      </c>
      <c r="AP250" s="79">
        <v>0.1</v>
      </c>
      <c r="AQ250" s="75">
        <f t="shared" si="204"/>
        <v>246.10000000000002</v>
      </c>
      <c r="AR250" s="75">
        <f t="shared" si="205"/>
        <v>738.3</v>
      </c>
      <c r="AS250" s="75">
        <f t="shared" si="206"/>
        <v>738.3</v>
      </c>
      <c r="AT250" s="75">
        <f t="shared" si="207"/>
        <v>246.10000000000002</v>
      </c>
      <c r="AU250" s="75">
        <f t="shared" si="208"/>
        <v>246.10000000000002</v>
      </c>
      <c r="AV250" s="13">
        <v>0.8</v>
      </c>
      <c r="AW250" s="13">
        <v>1.2</v>
      </c>
      <c r="AX250" s="13">
        <v>1.3</v>
      </c>
      <c r="AY250" s="13">
        <v>1</v>
      </c>
      <c r="AZ250" s="13">
        <v>0.7</v>
      </c>
      <c r="BA250" s="105">
        <f t="shared" si="209"/>
        <v>0.78000000000000014</v>
      </c>
      <c r="BB250" s="13">
        <f t="shared" si="210"/>
        <v>3.51</v>
      </c>
      <c r="BC250" s="13">
        <f t="shared" si="211"/>
        <v>3.8024999999999998</v>
      </c>
      <c r="BD250" s="13">
        <f t="shared" si="212"/>
        <v>0.97500000000000009</v>
      </c>
      <c r="BE250" s="13">
        <f t="shared" si="213"/>
        <v>0.6825</v>
      </c>
      <c r="BF250" s="88">
        <f t="shared" si="214"/>
        <v>315.5128205128205</v>
      </c>
      <c r="BG250" s="88">
        <f t="shared" si="215"/>
        <v>210.34188034188034</v>
      </c>
      <c r="BH250" s="88">
        <f t="shared" si="216"/>
        <v>194.16173570019723</v>
      </c>
      <c r="BI250" s="88">
        <f t="shared" si="217"/>
        <v>252.41025641025641</v>
      </c>
      <c r="BJ250" s="88">
        <f t="shared" si="218"/>
        <v>360.58608058608064</v>
      </c>
      <c r="BK250" s="105">
        <f t="shared" si="219"/>
        <v>3.1694433157253149E-3</v>
      </c>
      <c r="BL250" s="105">
        <f t="shared" si="220"/>
        <v>4.7541649735879724E-3</v>
      </c>
      <c r="BM250" s="105">
        <f t="shared" si="221"/>
        <v>5.1503453880536367E-3</v>
      </c>
      <c r="BN250" s="105">
        <f t="shared" si="222"/>
        <v>3.9618041446566436E-3</v>
      </c>
      <c r="BO250" s="105">
        <f t="shared" si="223"/>
        <v>2.7732629012596501E-3</v>
      </c>
      <c r="BP250" s="105">
        <f t="shared" si="224"/>
        <v>1.9809020723283215E-2</v>
      </c>
      <c r="BQ250" s="79">
        <f t="shared" si="225"/>
        <v>0.16000000000000003</v>
      </c>
      <c r="BR250" s="79">
        <f t="shared" si="226"/>
        <v>0.24000000000000005</v>
      </c>
      <c r="BS250" s="79">
        <f t="shared" si="227"/>
        <v>0.26000000000000006</v>
      </c>
      <c r="BT250" s="79">
        <f t="shared" si="228"/>
        <v>0.20000000000000004</v>
      </c>
      <c r="BU250" s="79">
        <f t="shared" si="229"/>
        <v>0.14000000000000001</v>
      </c>
      <c r="BV250" s="90" t="str">
        <f t="array" aca="1" ref="BV250" ca="1">_xlfn.TEXTJOIN(" ",TRUE,
_xlfn.TEXTJOIN(":",TRUE,ROUND(BK250:BO250/MIN(IF(BK250:BO250&gt;0,BK250:BO250)),0)),
"|",
ROUND(SUM(BW250:CA250),0))</f>
        <v>1:2:2:1:1 | -2953</v>
      </c>
      <c r="BW250" s="106">
        <f t="shared" ca="1" si="230"/>
        <v>-472.48000000000008</v>
      </c>
      <c r="BX250" s="106">
        <f t="shared" ca="1" si="176"/>
        <v>-708.72000000000014</v>
      </c>
      <c r="BY250" s="106">
        <f t="shared" ca="1" si="177"/>
        <v>-767.7800000000002</v>
      </c>
      <c r="BZ250" s="106">
        <f t="shared" ca="1" si="178"/>
        <v>-590.60000000000014</v>
      </c>
      <c r="CA250" s="106">
        <f t="shared" ca="1" si="231"/>
        <v>-413.42</v>
      </c>
    </row>
    <row r="251" spans="1:79" x14ac:dyDescent="0.35">
      <c r="A251" s="25" t="s">
        <v>264</v>
      </c>
      <c r="B251" s="10" t="s">
        <v>336</v>
      </c>
      <c r="C251" s="10" t="s">
        <v>341</v>
      </c>
      <c r="D251" s="10" t="s">
        <v>346</v>
      </c>
      <c r="E251" s="11">
        <v>45850</v>
      </c>
      <c r="F251" s="17">
        <v>45892</v>
      </c>
      <c r="G251" s="14">
        <f t="shared" ca="1" si="179"/>
        <v>207</v>
      </c>
      <c r="H251" s="17">
        <v>499</v>
      </c>
      <c r="I251" s="17">
        <v>297</v>
      </c>
      <c r="J251" s="75">
        <f t="shared" si="180"/>
        <v>2437</v>
      </c>
      <c r="K251" s="17">
        <v>2500</v>
      </c>
      <c r="L251" s="85">
        <v>63</v>
      </c>
      <c r="M251" s="86">
        <f t="shared" ca="1" si="181"/>
        <v>0.30434782608695654</v>
      </c>
      <c r="N251" s="86">
        <f t="shared" si="182"/>
        <v>0.92883099285538351</v>
      </c>
      <c r="O251" s="86">
        <f t="shared" si="183"/>
        <v>0.19207317073170732</v>
      </c>
      <c r="P251" s="87">
        <f t="shared" si="184"/>
        <v>15.75</v>
      </c>
      <c r="Q251" s="104">
        <f t="shared" si="185"/>
        <v>154.73015873015873</v>
      </c>
      <c r="R251" s="88">
        <f t="shared" si="186"/>
        <v>40.480961923847694</v>
      </c>
      <c r="S251" s="88">
        <f t="shared" si="187"/>
        <v>2.52</v>
      </c>
      <c r="T251" s="13">
        <f t="shared" si="188"/>
        <v>1</v>
      </c>
      <c r="U251" s="13">
        <f t="shared" si="189"/>
        <v>1</v>
      </c>
      <c r="V251" s="13">
        <f t="shared" si="190"/>
        <v>1</v>
      </c>
      <c r="W251" s="13">
        <f t="shared" ca="1" si="191"/>
        <v>3</v>
      </c>
      <c r="X251" s="13">
        <f t="shared" ca="1" si="192"/>
        <v>6</v>
      </c>
      <c r="Y251" s="81" t="str">
        <f t="shared" ca="1" si="193"/>
        <v>MONITOR</v>
      </c>
      <c r="Z251" s="13">
        <v>14</v>
      </c>
      <c r="AA251" s="75">
        <v>46059</v>
      </c>
      <c r="AB251" s="75">
        <f t="shared" si="194"/>
        <v>45920</v>
      </c>
      <c r="AC251" s="88">
        <f t="shared" si="195"/>
        <v>19.857142857142858</v>
      </c>
      <c r="AD251" s="89" t="str">
        <f t="shared" ca="1" si="196"/>
        <v>STABLE</v>
      </c>
      <c r="AE251" s="89" t="str">
        <f t="shared" si="197"/>
        <v>SLOW SELLING</v>
      </c>
      <c r="AF251" s="89" t="str">
        <f t="shared" si="198"/>
        <v>AT RISK</v>
      </c>
      <c r="AG251" s="89" t="str">
        <f t="shared" si="199"/>
        <v>FEASIBLE</v>
      </c>
      <c r="AH251" s="81" t="str">
        <f t="shared" ca="1" si="200"/>
        <v>MONITOR</v>
      </c>
      <c r="AI251" s="75">
        <f t="shared" ca="1" si="201"/>
        <v>0</v>
      </c>
      <c r="AJ251" s="75">
        <f t="shared" ca="1" si="202"/>
        <v>-2437</v>
      </c>
      <c r="AK251" s="13">
        <f t="shared" ca="1" si="203"/>
        <v>-2924</v>
      </c>
      <c r="AL251" s="79">
        <v>0.1</v>
      </c>
      <c r="AM251" s="79">
        <v>0.3</v>
      </c>
      <c r="AN251" s="79">
        <v>0.3</v>
      </c>
      <c r="AO251" s="79">
        <v>0.1</v>
      </c>
      <c r="AP251" s="79">
        <v>0.1</v>
      </c>
      <c r="AQ251" s="75">
        <f t="shared" si="204"/>
        <v>243.70000000000002</v>
      </c>
      <c r="AR251" s="75">
        <f t="shared" si="205"/>
        <v>731.1</v>
      </c>
      <c r="AS251" s="75">
        <f t="shared" si="206"/>
        <v>731.1</v>
      </c>
      <c r="AT251" s="75">
        <f t="shared" si="207"/>
        <v>243.70000000000002</v>
      </c>
      <c r="AU251" s="75">
        <f t="shared" si="208"/>
        <v>243.70000000000002</v>
      </c>
      <c r="AV251" s="13">
        <v>0.8</v>
      </c>
      <c r="AW251" s="13">
        <v>1.2</v>
      </c>
      <c r="AX251" s="13">
        <v>1.3</v>
      </c>
      <c r="AY251" s="13">
        <v>1</v>
      </c>
      <c r="AZ251" s="13">
        <v>0.7</v>
      </c>
      <c r="BA251" s="105">
        <f t="shared" si="209"/>
        <v>1.2600000000000002</v>
      </c>
      <c r="BB251" s="13">
        <f t="shared" si="210"/>
        <v>5.669999999999999</v>
      </c>
      <c r="BC251" s="13">
        <f t="shared" si="211"/>
        <v>6.1425000000000001</v>
      </c>
      <c r="BD251" s="13">
        <f t="shared" si="212"/>
        <v>1.5750000000000002</v>
      </c>
      <c r="BE251" s="13">
        <f t="shared" si="213"/>
        <v>1.1025</v>
      </c>
      <c r="BF251" s="88">
        <f t="shared" si="214"/>
        <v>193.4126984126984</v>
      </c>
      <c r="BG251" s="88">
        <f t="shared" si="215"/>
        <v>128.94179894179896</v>
      </c>
      <c r="BH251" s="88">
        <f t="shared" si="216"/>
        <v>119.02319902319903</v>
      </c>
      <c r="BI251" s="88">
        <f t="shared" si="217"/>
        <v>154.73015873015873</v>
      </c>
      <c r="BJ251" s="88">
        <f t="shared" si="218"/>
        <v>221.04308390022678</v>
      </c>
      <c r="BK251" s="105">
        <f t="shared" si="219"/>
        <v>5.1702913418137054E-3</v>
      </c>
      <c r="BL251" s="105">
        <f t="shared" si="220"/>
        <v>7.7554370127205568E-3</v>
      </c>
      <c r="BM251" s="105">
        <f t="shared" si="221"/>
        <v>8.4017234304472714E-3</v>
      </c>
      <c r="BN251" s="105">
        <f t="shared" si="222"/>
        <v>6.4628641772671311E-3</v>
      </c>
      <c r="BO251" s="105">
        <f t="shared" si="223"/>
        <v>4.5240049240869917E-3</v>
      </c>
      <c r="BP251" s="105">
        <f t="shared" si="224"/>
        <v>3.2314320886335658E-2</v>
      </c>
      <c r="BQ251" s="79">
        <f t="shared" si="225"/>
        <v>0.16</v>
      </c>
      <c r="BR251" s="79">
        <f t="shared" si="226"/>
        <v>0.23999999999999996</v>
      </c>
      <c r="BS251" s="79">
        <f t="shared" si="227"/>
        <v>0.26</v>
      </c>
      <c r="BT251" s="79">
        <f t="shared" si="228"/>
        <v>0.19999999999999998</v>
      </c>
      <c r="BU251" s="79">
        <f t="shared" si="229"/>
        <v>0.13999999999999999</v>
      </c>
      <c r="BV251" s="90" t="str">
        <f t="array" aca="1" ref="BV251" ca="1">_xlfn.TEXTJOIN(" ",TRUE,
_xlfn.TEXTJOIN(":",TRUE,ROUND(BK251:BO251/MIN(IF(BK251:BO251&gt;0,BK251:BO251)),0)),
"|",
ROUND(SUM(BW251:CA251),0))</f>
        <v>1:2:2:1:1 | -2924</v>
      </c>
      <c r="BW251" s="106">
        <f t="shared" ca="1" si="230"/>
        <v>-467.84000000000003</v>
      </c>
      <c r="BX251" s="106">
        <f t="shared" ca="1" si="176"/>
        <v>-701.75999999999988</v>
      </c>
      <c r="BY251" s="106">
        <f t="shared" ca="1" si="177"/>
        <v>-760.24</v>
      </c>
      <c r="BZ251" s="106">
        <f t="shared" ca="1" si="178"/>
        <v>-584.79999999999995</v>
      </c>
      <c r="CA251" s="106">
        <f t="shared" ca="1" si="231"/>
        <v>-409.35999999999996</v>
      </c>
    </row>
    <row r="252" spans="1:79" x14ac:dyDescent="0.35">
      <c r="A252" s="25" t="s">
        <v>265</v>
      </c>
      <c r="B252" s="10" t="s">
        <v>337</v>
      </c>
      <c r="C252" s="10" t="s">
        <v>341</v>
      </c>
      <c r="D252" s="10" t="s">
        <v>346</v>
      </c>
      <c r="E252" s="11">
        <v>45871</v>
      </c>
      <c r="F252" s="17">
        <v>45892</v>
      </c>
      <c r="G252" s="14">
        <f t="shared" ca="1" si="179"/>
        <v>207</v>
      </c>
      <c r="H252" s="17">
        <v>699</v>
      </c>
      <c r="I252" s="17">
        <v>335</v>
      </c>
      <c r="J252" s="75">
        <f t="shared" si="180"/>
        <v>798</v>
      </c>
      <c r="K252" s="17">
        <v>1000</v>
      </c>
      <c r="L252" s="85">
        <v>202</v>
      </c>
      <c r="M252" s="86">
        <f t="shared" ca="1" si="181"/>
        <v>0.97584541062801933</v>
      </c>
      <c r="N252" s="86">
        <f t="shared" si="182"/>
        <v>0.92883099285538351</v>
      </c>
      <c r="O252" s="86">
        <f t="shared" si="183"/>
        <v>0.61585365853658536</v>
      </c>
      <c r="P252" s="87">
        <f t="shared" si="184"/>
        <v>50.5</v>
      </c>
      <c r="Q252" s="104">
        <f t="shared" si="185"/>
        <v>15.801980198019802</v>
      </c>
      <c r="R252" s="88">
        <f t="shared" si="186"/>
        <v>52.074391988555078</v>
      </c>
      <c r="S252" s="88">
        <f t="shared" si="187"/>
        <v>20.200000000000003</v>
      </c>
      <c r="T252" s="13">
        <f t="shared" si="188"/>
        <v>1</v>
      </c>
      <c r="U252" s="13">
        <f t="shared" si="189"/>
        <v>1</v>
      </c>
      <c r="V252" s="13">
        <f t="shared" si="190"/>
        <v>2</v>
      </c>
      <c r="W252" s="13">
        <f t="shared" ca="1" si="191"/>
        <v>3</v>
      </c>
      <c r="X252" s="13">
        <f t="shared" ca="1" si="192"/>
        <v>7</v>
      </c>
      <c r="Y252" s="81" t="str">
        <f t="shared" ca="1" si="193"/>
        <v>MONITOR</v>
      </c>
      <c r="Z252" s="13">
        <v>14</v>
      </c>
      <c r="AA252" s="75">
        <v>46059</v>
      </c>
      <c r="AB252" s="75">
        <f t="shared" si="194"/>
        <v>45920</v>
      </c>
      <c r="AC252" s="88">
        <f t="shared" si="195"/>
        <v>19.857142857142858</v>
      </c>
      <c r="AD252" s="89" t="str">
        <f t="shared" ca="1" si="196"/>
        <v>STABLE</v>
      </c>
      <c r="AE252" s="89" t="str">
        <f t="shared" si="197"/>
        <v>SLOW SELLING</v>
      </c>
      <c r="AF252" s="89" t="str">
        <f t="shared" si="198"/>
        <v>AT RISK</v>
      </c>
      <c r="AG252" s="89" t="str">
        <f t="shared" si="199"/>
        <v>FEASIBLE</v>
      </c>
      <c r="AH252" s="81" t="str">
        <f t="shared" ca="1" si="200"/>
        <v>MONITOR</v>
      </c>
      <c r="AI252" s="75">
        <f t="shared" ca="1" si="201"/>
        <v>0</v>
      </c>
      <c r="AJ252" s="75">
        <f t="shared" ca="1" si="202"/>
        <v>-798</v>
      </c>
      <c r="AK252" s="13">
        <f t="shared" ca="1" si="203"/>
        <v>-958</v>
      </c>
      <c r="AL252" s="79">
        <v>0.1</v>
      </c>
      <c r="AM252" s="79">
        <v>0.3</v>
      </c>
      <c r="AN252" s="79">
        <v>0.3</v>
      </c>
      <c r="AO252" s="79">
        <v>0.1</v>
      </c>
      <c r="AP252" s="79">
        <v>0.1</v>
      </c>
      <c r="AQ252" s="75">
        <f t="shared" si="204"/>
        <v>79.800000000000011</v>
      </c>
      <c r="AR252" s="75">
        <f t="shared" si="205"/>
        <v>239.39999999999998</v>
      </c>
      <c r="AS252" s="75">
        <f t="shared" si="206"/>
        <v>239.39999999999998</v>
      </c>
      <c r="AT252" s="75">
        <f t="shared" si="207"/>
        <v>79.800000000000011</v>
      </c>
      <c r="AU252" s="75">
        <f t="shared" si="208"/>
        <v>79.800000000000011</v>
      </c>
      <c r="AV252" s="13">
        <v>0.8</v>
      </c>
      <c r="AW252" s="13">
        <v>1.2</v>
      </c>
      <c r="AX252" s="13">
        <v>1.3</v>
      </c>
      <c r="AY252" s="13">
        <v>1</v>
      </c>
      <c r="AZ252" s="13">
        <v>0.7</v>
      </c>
      <c r="BA252" s="105">
        <f t="shared" si="209"/>
        <v>4.0400000000000009</v>
      </c>
      <c r="BB252" s="13">
        <f t="shared" si="210"/>
        <v>18.179999999999996</v>
      </c>
      <c r="BC252" s="13">
        <f t="shared" si="211"/>
        <v>19.695</v>
      </c>
      <c r="BD252" s="13">
        <f t="shared" si="212"/>
        <v>5.0500000000000007</v>
      </c>
      <c r="BE252" s="13">
        <f t="shared" si="213"/>
        <v>3.5350000000000001</v>
      </c>
      <c r="BF252" s="88">
        <f t="shared" si="214"/>
        <v>19.75247524752475</v>
      </c>
      <c r="BG252" s="88">
        <f t="shared" si="215"/>
        <v>13.168316831683169</v>
      </c>
      <c r="BH252" s="88">
        <f t="shared" si="216"/>
        <v>12.155369383092154</v>
      </c>
      <c r="BI252" s="88">
        <f t="shared" si="217"/>
        <v>15.801980198019802</v>
      </c>
      <c r="BJ252" s="88">
        <f t="shared" si="218"/>
        <v>22.574257425742577</v>
      </c>
      <c r="BK252" s="105">
        <f t="shared" si="219"/>
        <v>5.062656641604011E-2</v>
      </c>
      <c r="BL252" s="105">
        <f t="shared" si="220"/>
        <v>7.5939849624060141E-2</v>
      </c>
      <c r="BM252" s="105">
        <f t="shared" si="221"/>
        <v>8.2268170426065171E-2</v>
      </c>
      <c r="BN252" s="105">
        <f t="shared" si="222"/>
        <v>6.3283208020050122E-2</v>
      </c>
      <c r="BO252" s="105">
        <f t="shared" si="223"/>
        <v>4.4298245614035087E-2</v>
      </c>
      <c r="BP252" s="105">
        <f t="shared" si="224"/>
        <v>0.3164160401002506</v>
      </c>
      <c r="BQ252" s="79">
        <f t="shared" si="225"/>
        <v>0.16000000000000006</v>
      </c>
      <c r="BR252" s="79">
        <f t="shared" si="226"/>
        <v>0.24</v>
      </c>
      <c r="BS252" s="79">
        <f t="shared" si="227"/>
        <v>0.26000000000000006</v>
      </c>
      <c r="BT252" s="79">
        <f t="shared" si="228"/>
        <v>0.2</v>
      </c>
      <c r="BU252" s="79">
        <f t="shared" si="229"/>
        <v>0.14000000000000001</v>
      </c>
      <c r="BV252" s="90" t="str">
        <f t="array" aca="1" ref="BV252" ca="1">_xlfn.TEXTJOIN(" ",TRUE,
_xlfn.TEXTJOIN(":",TRUE,ROUND(BK252:BO252/MIN(IF(BK252:BO252&gt;0,BK252:BO252)),0)),
"|",
ROUND(SUM(BW252:CA252),0))</f>
        <v>1:2:2:1:1 | -958</v>
      </c>
      <c r="BW252" s="106">
        <f t="shared" ca="1" si="230"/>
        <v>-153.28000000000006</v>
      </c>
      <c r="BX252" s="106">
        <f t="shared" ca="1" si="176"/>
        <v>-229.92</v>
      </c>
      <c r="BY252" s="106">
        <f t="shared" ca="1" si="177"/>
        <v>-249.08000000000007</v>
      </c>
      <c r="BZ252" s="106">
        <f t="shared" ca="1" si="178"/>
        <v>-191.60000000000002</v>
      </c>
      <c r="CA252" s="106">
        <f t="shared" ca="1" si="231"/>
        <v>-134.12</v>
      </c>
    </row>
    <row r="253" spans="1:79" x14ac:dyDescent="0.35">
      <c r="A253" s="25" t="s">
        <v>266</v>
      </c>
      <c r="B253" s="10" t="s">
        <v>336</v>
      </c>
      <c r="C253" s="10" t="s">
        <v>341</v>
      </c>
      <c r="D253" s="10" t="s">
        <v>346</v>
      </c>
      <c r="E253" s="11">
        <v>45871</v>
      </c>
      <c r="F253" s="17">
        <v>45892</v>
      </c>
      <c r="G253" s="14">
        <f t="shared" ca="1" si="179"/>
        <v>207</v>
      </c>
      <c r="H253" s="17">
        <v>699</v>
      </c>
      <c r="I253" s="17">
        <v>300</v>
      </c>
      <c r="J253" s="75">
        <f t="shared" si="180"/>
        <v>1240</v>
      </c>
      <c r="K253" s="17">
        <v>1400</v>
      </c>
      <c r="L253" s="85">
        <v>160</v>
      </c>
      <c r="M253" s="86">
        <f t="shared" ca="1" si="181"/>
        <v>0.77294685990338163</v>
      </c>
      <c r="N253" s="86">
        <f t="shared" si="182"/>
        <v>0.92883099285538351</v>
      </c>
      <c r="O253" s="86">
        <f t="shared" si="183"/>
        <v>0.48780487804878048</v>
      </c>
      <c r="P253" s="87">
        <f t="shared" si="184"/>
        <v>40</v>
      </c>
      <c r="Q253" s="104">
        <f t="shared" si="185"/>
        <v>31</v>
      </c>
      <c r="R253" s="88">
        <f t="shared" si="186"/>
        <v>57.081545064377679</v>
      </c>
      <c r="S253" s="88">
        <f t="shared" si="187"/>
        <v>11.428571428571429</v>
      </c>
      <c r="T253" s="13">
        <f t="shared" si="188"/>
        <v>1</v>
      </c>
      <c r="U253" s="13">
        <f t="shared" si="189"/>
        <v>1</v>
      </c>
      <c r="V253" s="13">
        <f t="shared" si="190"/>
        <v>2</v>
      </c>
      <c r="W253" s="13">
        <f t="shared" ca="1" si="191"/>
        <v>3</v>
      </c>
      <c r="X253" s="13">
        <f t="shared" ca="1" si="192"/>
        <v>7</v>
      </c>
      <c r="Y253" s="81" t="str">
        <f t="shared" ca="1" si="193"/>
        <v>MONITOR</v>
      </c>
      <c r="Z253" s="13">
        <v>14</v>
      </c>
      <c r="AA253" s="75">
        <v>46059</v>
      </c>
      <c r="AB253" s="75">
        <f t="shared" si="194"/>
        <v>45920</v>
      </c>
      <c r="AC253" s="88">
        <f t="shared" si="195"/>
        <v>19.857142857142858</v>
      </c>
      <c r="AD253" s="89" t="str">
        <f t="shared" ca="1" si="196"/>
        <v>STABLE</v>
      </c>
      <c r="AE253" s="89" t="str">
        <f t="shared" si="197"/>
        <v>SLOW SELLING</v>
      </c>
      <c r="AF253" s="89" t="str">
        <f t="shared" si="198"/>
        <v>AT RISK</v>
      </c>
      <c r="AG253" s="89" t="str">
        <f t="shared" si="199"/>
        <v>FEASIBLE</v>
      </c>
      <c r="AH253" s="81" t="str">
        <f t="shared" ca="1" si="200"/>
        <v>MONITOR</v>
      </c>
      <c r="AI253" s="75">
        <f t="shared" ca="1" si="201"/>
        <v>0</v>
      </c>
      <c r="AJ253" s="75">
        <f t="shared" ca="1" si="202"/>
        <v>-1240</v>
      </c>
      <c r="AK253" s="13">
        <f t="shared" ca="1" si="203"/>
        <v>-1488</v>
      </c>
      <c r="AL253" s="79">
        <v>0.1</v>
      </c>
      <c r="AM253" s="79">
        <v>0.3</v>
      </c>
      <c r="AN253" s="79">
        <v>0.3</v>
      </c>
      <c r="AO253" s="79">
        <v>0.1</v>
      </c>
      <c r="AP253" s="79">
        <v>0.1</v>
      </c>
      <c r="AQ253" s="75">
        <f t="shared" si="204"/>
        <v>124</v>
      </c>
      <c r="AR253" s="75">
        <f t="shared" si="205"/>
        <v>372</v>
      </c>
      <c r="AS253" s="75">
        <f t="shared" si="206"/>
        <v>372</v>
      </c>
      <c r="AT253" s="75">
        <f t="shared" si="207"/>
        <v>124</v>
      </c>
      <c r="AU253" s="75">
        <f t="shared" si="208"/>
        <v>124</v>
      </c>
      <c r="AV253" s="13">
        <v>0.8</v>
      </c>
      <c r="AW253" s="13">
        <v>1.2</v>
      </c>
      <c r="AX253" s="13">
        <v>1.3</v>
      </c>
      <c r="AY253" s="13">
        <v>1</v>
      </c>
      <c r="AZ253" s="13">
        <v>0.7</v>
      </c>
      <c r="BA253" s="105">
        <f t="shared" si="209"/>
        <v>3.2</v>
      </c>
      <c r="BB253" s="13">
        <f t="shared" si="210"/>
        <v>14.399999999999999</v>
      </c>
      <c r="BC253" s="13">
        <f t="shared" si="211"/>
        <v>15.600000000000001</v>
      </c>
      <c r="BD253" s="13">
        <f t="shared" si="212"/>
        <v>4</v>
      </c>
      <c r="BE253" s="13">
        <f t="shared" si="213"/>
        <v>2.8</v>
      </c>
      <c r="BF253" s="88">
        <f t="shared" si="214"/>
        <v>38.75</v>
      </c>
      <c r="BG253" s="88">
        <f t="shared" si="215"/>
        <v>25.833333333333336</v>
      </c>
      <c r="BH253" s="88">
        <f t="shared" si="216"/>
        <v>23.846153846153843</v>
      </c>
      <c r="BI253" s="88">
        <f t="shared" si="217"/>
        <v>31</v>
      </c>
      <c r="BJ253" s="88">
        <f t="shared" si="218"/>
        <v>44.285714285714292</v>
      </c>
      <c r="BK253" s="105">
        <f t="shared" si="219"/>
        <v>2.5806451612903226E-2</v>
      </c>
      <c r="BL253" s="105">
        <f t="shared" si="220"/>
        <v>3.8709677419354833E-2</v>
      </c>
      <c r="BM253" s="105">
        <f t="shared" si="221"/>
        <v>4.1935483870967745E-2</v>
      </c>
      <c r="BN253" s="105">
        <f t="shared" si="222"/>
        <v>3.2258064516129031E-2</v>
      </c>
      <c r="BO253" s="105">
        <f t="shared" si="223"/>
        <v>2.2580645161290318E-2</v>
      </c>
      <c r="BP253" s="105">
        <f t="shared" si="224"/>
        <v>0.16129032258064516</v>
      </c>
      <c r="BQ253" s="79">
        <f t="shared" si="225"/>
        <v>0.16</v>
      </c>
      <c r="BR253" s="79">
        <f t="shared" si="226"/>
        <v>0.23999999999999996</v>
      </c>
      <c r="BS253" s="79">
        <f t="shared" si="227"/>
        <v>0.26</v>
      </c>
      <c r="BT253" s="79">
        <f t="shared" si="228"/>
        <v>0.2</v>
      </c>
      <c r="BU253" s="79">
        <f t="shared" si="229"/>
        <v>0.13999999999999999</v>
      </c>
      <c r="BV253" s="90" t="str">
        <f t="array" aca="1" ref="BV253" ca="1">_xlfn.TEXTJOIN(" ",TRUE,
_xlfn.TEXTJOIN(":",TRUE,ROUND(BK253:BO253/MIN(IF(BK253:BO253&gt;0,BK253:BO253)),0)),
"|",
ROUND(SUM(BW253:CA253),0))</f>
        <v>1:2:2:1:1 | -1488</v>
      </c>
      <c r="BW253" s="106">
        <f t="shared" ca="1" si="230"/>
        <v>-238.08</v>
      </c>
      <c r="BX253" s="106">
        <f t="shared" ca="1" si="176"/>
        <v>-357.11999999999995</v>
      </c>
      <c r="BY253" s="106">
        <f t="shared" ca="1" si="177"/>
        <v>-386.88</v>
      </c>
      <c r="BZ253" s="106">
        <f t="shared" ca="1" si="178"/>
        <v>-297.60000000000002</v>
      </c>
      <c r="CA253" s="106">
        <f t="shared" ca="1" si="231"/>
        <v>-208.31999999999996</v>
      </c>
    </row>
    <row r="254" spans="1:79" x14ac:dyDescent="0.35">
      <c r="A254" s="25" t="s">
        <v>267</v>
      </c>
      <c r="B254" s="10" t="s">
        <v>336</v>
      </c>
      <c r="C254" s="10" t="s">
        <v>341</v>
      </c>
      <c r="D254" s="10" t="s">
        <v>346</v>
      </c>
      <c r="E254" s="11">
        <v>45871</v>
      </c>
      <c r="F254" s="17">
        <v>45892</v>
      </c>
      <c r="G254" s="14">
        <f t="shared" ca="1" si="179"/>
        <v>207</v>
      </c>
      <c r="H254" s="17">
        <v>699</v>
      </c>
      <c r="I254" s="17">
        <v>320</v>
      </c>
      <c r="J254" s="75">
        <f t="shared" si="180"/>
        <v>1122</v>
      </c>
      <c r="K254" s="17">
        <v>1300</v>
      </c>
      <c r="L254" s="85">
        <v>178</v>
      </c>
      <c r="M254" s="86">
        <f t="shared" ca="1" si="181"/>
        <v>0.85990338164251212</v>
      </c>
      <c r="N254" s="86">
        <f t="shared" si="182"/>
        <v>0.92883099285538351</v>
      </c>
      <c r="O254" s="86">
        <f t="shared" si="183"/>
        <v>0.54268292682926833</v>
      </c>
      <c r="P254" s="87">
        <f t="shared" si="184"/>
        <v>44.5</v>
      </c>
      <c r="Q254" s="104">
        <f t="shared" si="185"/>
        <v>25.213483146067414</v>
      </c>
      <c r="R254" s="88">
        <f t="shared" si="186"/>
        <v>54.220314735336196</v>
      </c>
      <c r="S254" s="88">
        <f t="shared" si="187"/>
        <v>13.692307692307693</v>
      </c>
      <c r="T254" s="13">
        <f t="shared" si="188"/>
        <v>1</v>
      </c>
      <c r="U254" s="13">
        <f t="shared" si="189"/>
        <v>1</v>
      </c>
      <c r="V254" s="13">
        <f t="shared" si="190"/>
        <v>2</v>
      </c>
      <c r="W254" s="13">
        <f t="shared" ca="1" si="191"/>
        <v>3</v>
      </c>
      <c r="X254" s="13">
        <f t="shared" ca="1" si="192"/>
        <v>7</v>
      </c>
      <c r="Y254" s="81" t="str">
        <f t="shared" ca="1" si="193"/>
        <v>MONITOR</v>
      </c>
      <c r="Z254" s="13">
        <v>14</v>
      </c>
      <c r="AA254" s="75">
        <v>46059</v>
      </c>
      <c r="AB254" s="75">
        <f t="shared" si="194"/>
        <v>45920</v>
      </c>
      <c r="AC254" s="88">
        <f t="shared" si="195"/>
        <v>19.857142857142858</v>
      </c>
      <c r="AD254" s="89" t="str">
        <f t="shared" ca="1" si="196"/>
        <v>STABLE</v>
      </c>
      <c r="AE254" s="89" t="str">
        <f t="shared" si="197"/>
        <v>SLOW SELLING</v>
      </c>
      <c r="AF254" s="89" t="str">
        <f t="shared" si="198"/>
        <v>AT RISK</v>
      </c>
      <c r="AG254" s="89" t="str">
        <f t="shared" si="199"/>
        <v>FEASIBLE</v>
      </c>
      <c r="AH254" s="81" t="str">
        <f t="shared" ca="1" si="200"/>
        <v>MONITOR</v>
      </c>
      <c r="AI254" s="75">
        <f t="shared" ca="1" si="201"/>
        <v>0</v>
      </c>
      <c r="AJ254" s="75">
        <f t="shared" ca="1" si="202"/>
        <v>-1122</v>
      </c>
      <c r="AK254" s="13">
        <f t="shared" ca="1" si="203"/>
        <v>-1346</v>
      </c>
      <c r="AL254" s="79">
        <v>0.1</v>
      </c>
      <c r="AM254" s="79">
        <v>0.3</v>
      </c>
      <c r="AN254" s="79">
        <v>0.3</v>
      </c>
      <c r="AO254" s="79">
        <v>0.1</v>
      </c>
      <c r="AP254" s="79">
        <v>0.1</v>
      </c>
      <c r="AQ254" s="75">
        <f t="shared" si="204"/>
        <v>112.2</v>
      </c>
      <c r="AR254" s="75">
        <f t="shared" si="205"/>
        <v>336.59999999999997</v>
      </c>
      <c r="AS254" s="75">
        <f t="shared" si="206"/>
        <v>336.59999999999997</v>
      </c>
      <c r="AT254" s="75">
        <f t="shared" si="207"/>
        <v>112.2</v>
      </c>
      <c r="AU254" s="75">
        <f t="shared" si="208"/>
        <v>112.2</v>
      </c>
      <c r="AV254" s="13">
        <v>0.8</v>
      </c>
      <c r="AW254" s="13">
        <v>1.2</v>
      </c>
      <c r="AX254" s="13">
        <v>1.3</v>
      </c>
      <c r="AY254" s="13">
        <v>1</v>
      </c>
      <c r="AZ254" s="13">
        <v>0.7</v>
      </c>
      <c r="BA254" s="105">
        <f t="shared" si="209"/>
        <v>3.5600000000000005</v>
      </c>
      <c r="BB254" s="13">
        <f t="shared" si="210"/>
        <v>16.02</v>
      </c>
      <c r="BC254" s="13">
        <f t="shared" si="211"/>
        <v>17.355</v>
      </c>
      <c r="BD254" s="13">
        <f t="shared" si="212"/>
        <v>4.45</v>
      </c>
      <c r="BE254" s="13">
        <f t="shared" si="213"/>
        <v>3.1149999999999998</v>
      </c>
      <c r="BF254" s="88">
        <f t="shared" si="214"/>
        <v>31.516853932584265</v>
      </c>
      <c r="BG254" s="88">
        <f t="shared" si="215"/>
        <v>21.011235955056179</v>
      </c>
      <c r="BH254" s="88">
        <f t="shared" si="216"/>
        <v>19.394987035436472</v>
      </c>
      <c r="BI254" s="88">
        <f t="shared" si="217"/>
        <v>25.213483146067414</v>
      </c>
      <c r="BJ254" s="88">
        <f t="shared" si="218"/>
        <v>36.019261637239168</v>
      </c>
      <c r="BK254" s="105">
        <f t="shared" si="219"/>
        <v>3.1729055258467025E-2</v>
      </c>
      <c r="BL254" s="105">
        <f t="shared" si="220"/>
        <v>4.7593582887700533E-2</v>
      </c>
      <c r="BM254" s="105">
        <f t="shared" si="221"/>
        <v>5.1559714795008919E-2</v>
      </c>
      <c r="BN254" s="105">
        <f t="shared" si="222"/>
        <v>3.9661319073083783E-2</v>
      </c>
      <c r="BO254" s="105">
        <f t="shared" si="223"/>
        <v>2.7762923351158642E-2</v>
      </c>
      <c r="BP254" s="105">
        <f t="shared" si="224"/>
        <v>0.19830659536541892</v>
      </c>
      <c r="BQ254" s="79">
        <f t="shared" si="225"/>
        <v>0.15999999999999998</v>
      </c>
      <c r="BR254" s="79">
        <f t="shared" si="226"/>
        <v>0.23999999999999996</v>
      </c>
      <c r="BS254" s="79">
        <f t="shared" si="227"/>
        <v>0.26</v>
      </c>
      <c r="BT254" s="79">
        <f t="shared" si="228"/>
        <v>0.19999999999999998</v>
      </c>
      <c r="BU254" s="79">
        <f t="shared" si="229"/>
        <v>0.13999999999999996</v>
      </c>
      <c r="BV254" s="90" t="str">
        <f t="array" aca="1" ref="BV254" ca="1">_xlfn.TEXTJOIN(" ",TRUE,
_xlfn.TEXTJOIN(":",TRUE,ROUND(BK254:BO254/MIN(IF(BK254:BO254&gt;0,BK254:BO254)),0)),
"|",
ROUND(SUM(BW254:CA254),0))</f>
        <v>1:2:2:1:1 | -1346</v>
      </c>
      <c r="BW254" s="106">
        <f t="shared" ca="1" si="230"/>
        <v>-215.35999999999996</v>
      </c>
      <c r="BX254" s="106">
        <f t="shared" ca="1" si="176"/>
        <v>-323.03999999999996</v>
      </c>
      <c r="BY254" s="106">
        <f t="shared" ca="1" si="177"/>
        <v>-349.96000000000004</v>
      </c>
      <c r="BZ254" s="106">
        <f t="shared" ca="1" si="178"/>
        <v>-269.2</v>
      </c>
      <c r="CA254" s="106">
        <f t="shared" ca="1" si="231"/>
        <v>-188.43999999999994</v>
      </c>
    </row>
    <row r="255" spans="1:79" x14ac:dyDescent="0.35">
      <c r="A255" s="25" t="s">
        <v>268</v>
      </c>
      <c r="B255" s="10" t="s">
        <v>336</v>
      </c>
      <c r="C255" s="10" t="s">
        <v>341</v>
      </c>
      <c r="D255" s="10" t="s">
        <v>346</v>
      </c>
      <c r="E255" s="11">
        <v>45920</v>
      </c>
      <c r="F255" s="17">
        <v>45892</v>
      </c>
      <c r="G255" s="14">
        <f t="shared" ca="1" si="179"/>
        <v>207</v>
      </c>
      <c r="H255" s="17">
        <v>699</v>
      </c>
      <c r="I255" s="17">
        <v>320</v>
      </c>
      <c r="J255" s="75">
        <f t="shared" si="180"/>
        <v>1215</v>
      </c>
      <c r="K255" s="17">
        <v>1300</v>
      </c>
      <c r="L255" s="85">
        <v>85</v>
      </c>
      <c r="M255" s="86">
        <f t="shared" ca="1" si="181"/>
        <v>0.41062801932367149</v>
      </c>
      <c r="N255" s="86">
        <f t="shared" si="182"/>
        <v>0.92883099285538351</v>
      </c>
      <c r="O255" s="86">
        <f t="shared" si="183"/>
        <v>0.25914634146341464</v>
      </c>
      <c r="P255" s="87">
        <f t="shared" si="184"/>
        <v>21.25</v>
      </c>
      <c r="Q255" s="104">
        <f t="shared" si="185"/>
        <v>57.176470588235297</v>
      </c>
      <c r="R255" s="88">
        <f t="shared" si="186"/>
        <v>54.220314735336196</v>
      </c>
      <c r="S255" s="88">
        <f t="shared" si="187"/>
        <v>6.5384615384615392</v>
      </c>
      <c r="T255" s="13">
        <f t="shared" si="188"/>
        <v>1</v>
      </c>
      <c r="U255" s="13">
        <f t="shared" si="189"/>
        <v>1</v>
      </c>
      <c r="V255" s="13">
        <f t="shared" si="190"/>
        <v>2</v>
      </c>
      <c r="W255" s="13">
        <f t="shared" ca="1" si="191"/>
        <v>3</v>
      </c>
      <c r="X255" s="13">
        <f t="shared" ca="1" si="192"/>
        <v>7</v>
      </c>
      <c r="Y255" s="81" t="str">
        <f t="shared" ca="1" si="193"/>
        <v>MONITOR</v>
      </c>
      <c r="Z255" s="13">
        <v>14</v>
      </c>
      <c r="AA255" s="75">
        <v>46059</v>
      </c>
      <c r="AB255" s="75">
        <f t="shared" si="194"/>
        <v>45920</v>
      </c>
      <c r="AC255" s="88">
        <f t="shared" si="195"/>
        <v>19.857142857142858</v>
      </c>
      <c r="AD255" s="89" t="str">
        <f t="shared" ca="1" si="196"/>
        <v>STABLE</v>
      </c>
      <c r="AE255" s="89" t="str">
        <f t="shared" si="197"/>
        <v>SLOW SELLING</v>
      </c>
      <c r="AF255" s="89" t="str">
        <f t="shared" si="198"/>
        <v>AT RISK</v>
      </c>
      <c r="AG255" s="89" t="str">
        <f t="shared" si="199"/>
        <v>FEASIBLE</v>
      </c>
      <c r="AH255" s="81" t="str">
        <f t="shared" ca="1" si="200"/>
        <v>MONITOR</v>
      </c>
      <c r="AI255" s="75">
        <f t="shared" ca="1" si="201"/>
        <v>0</v>
      </c>
      <c r="AJ255" s="75">
        <f t="shared" ca="1" si="202"/>
        <v>-1215</v>
      </c>
      <c r="AK255" s="13">
        <f t="shared" ca="1" si="203"/>
        <v>-1458</v>
      </c>
      <c r="AL255" s="79">
        <v>0.1</v>
      </c>
      <c r="AM255" s="79">
        <v>0.3</v>
      </c>
      <c r="AN255" s="79">
        <v>0.3</v>
      </c>
      <c r="AO255" s="79">
        <v>0.1</v>
      </c>
      <c r="AP255" s="79">
        <v>0.1</v>
      </c>
      <c r="AQ255" s="75">
        <f t="shared" si="204"/>
        <v>121.5</v>
      </c>
      <c r="AR255" s="75">
        <f t="shared" si="205"/>
        <v>364.5</v>
      </c>
      <c r="AS255" s="75">
        <f t="shared" si="206"/>
        <v>364.5</v>
      </c>
      <c r="AT255" s="75">
        <f t="shared" si="207"/>
        <v>121.5</v>
      </c>
      <c r="AU255" s="75">
        <f t="shared" si="208"/>
        <v>121.5</v>
      </c>
      <c r="AV255" s="13">
        <v>0.8</v>
      </c>
      <c r="AW255" s="13">
        <v>1.2</v>
      </c>
      <c r="AX255" s="13">
        <v>1.3</v>
      </c>
      <c r="AY255" s="13">
        <v>1</v>
      </c>
      <c r="AZ255" s="13">
        <v>0.7</v>
      </c>
      <c r="BA255" s="105">
        <f t="shared" si="209"/>
        <v>1.7000000000000002</v>
      </c>
      <c r="BB255" s="13">
        <f t="shared" si="210"/>
        <v>7.6499999999999995</v>
      </c>
      <c r="BC255" s="13">
        <f t="shared" si="211"/>
        <v>8.2874999999999996</v>
      </c>
      <c r="BD255" s="13">
        <f t="shared" si="212"/>
        <v>2.125</v>
      </c>
      <c r="BE255" s="13">
        <f t="shared" si="213"/>
        <v>1.4874999999999998</v>
      </c>
      <c r="BF255" s="88">
        <f t="shared" si="214"/>
        <v>71.470588235294116</v>
      </c>
      <c r="BG255" s="88">
        <f t="shared" si="215"/>
        <v>47.647058823529413</v>
      </c>
      <c r="BH255" s="88">
        <f t="shared" si="216"/>
        <v>43.981900452488688</v>
      </c>
      <c r="BI255" s="88">
        <f t="shared" si="217"/>
        <v>57.176470588235297</v>
      </c>
      <c r="BJ255" s="88">
        <f t="shared" si="218"/>
        <v>81.680672268907571</v>
      </c>
      <c r="BK255" s="105">
        <f t="shared" si="219"/>
        <v>1.3991769547325103E-2</v>
      </c>
      <c r="BL255" s="105">
        <f t="shared" si="220"/>
        <v>2.0987654320987655E-2</v>
      </c>
      <c r="BM255" s="105">
        <f t="shared" si="221"/>
        <v>2.2736625514403291E-2</v>
      </c>
      <c r="BN255" s="105">
        <f t="shared" si="222"/>
        <v>1.7489711934156379E-2</v>
      </c>
      <c r="BO255" s="105">
        <f t="shared" si="223"/>
        <v>1.2242798353909463E-2</v>
      </c>
      <c r="BP255" s="105">
        <f t="shared" si="224"/>
        <v>8.7448559670781884E-2</v>
      </c>
      <c r="BQ255" s="79">
        <f t="shared" si="225"/>
        <v>0.16000000000000003</v>
      </c>
      <c r="BR255" s="79">
        <f t="shared" si="226"/>
        <v>0.24000000000000002</v>
      </c>
      <c r="BS255" s="79">
        <f t="shared" si="227"/>
        <v>0.26</v>
      </c>
      <c r="BT255" s="79">
        <f t="shared" si="228"/>
        <v>0.2</v>
      </c>
      <c r="BU255" s="79">
        <f t="shared" si="229"/>
        <v>0.13999999999999999</v>
      </c>
      <c r="BV255" s="90" t="str">
        <f t="array" aca="1" ref="BV255" ca="1">_xlfn.TEXTJOIN(" ",TRUE,
_xlfn.TEXTJOIN(":",TRUE,ROUND(BK255:BO255/MIN(IF(BK255:BO255&gt;0,BK255:BO255)),0)),
"|",
ROUND(SUM(BW255:CA255),0))</f>
        <v>1:2:2:1:1 | -1458</v>
      </c>
      <c r="BW255" s="106">
        <f t="shared" ca="1" si="230"/>
        <v>-233.28000000000006</v>
      </c>
      <c r="BX255" s="106">
        <f t="shared" ca="1" si="176"/>
        <v>-349.92</v>
      </c>
      <c r="BY255" s="106">
        <f t="shared" ca="1" si="177"/>
        <v>-379.08000000000004</v>
      </c>
      <c r="BZ255" s="106">
        <f t="shared" ca="1" si="178"/>
        <v>-291.60000000000002</v>
      </c>
      <c r="CA255" s="106">
        <f t="shared" ca="1" si="231"/>
        <v>-204.11999999999998</v>
      </c>
    </row>
    <row r="256" spans="1:79" x14ac:dyDescent="0.35">
      <c r="A256" s="25" t="s">
        <v>269</v>
      </c>
      <c r="B256" s="10" t="s">
        <v>335</v>
      </c>
      <c r="C256" s="10" t="s">
        <v>341</v>
      </c>
      <c r="D256" s="10" t="s">
        <v>346</v>
      </c>
      <c r="E256" s="11">
        <v>45920</v>
      </c>
      <c r="F256" s="17">
        <v>45892</v>
      </c>
      <c r="G256" s="14">
        <f t="shared" ca="1" si="179"/>
        <v>207</v>
      </c>
      <c r="H256" s="17">
        <v>799</v>
      </c>
      <c r="I256" s="17">
        <v>325</v>
      </c>
      <c r="J256" s="75">
        <f t="shared" si="180"/>
        <v>947</v>
      </c>
      <c r="K256" s="17">
        <v>1050</v>
      </c>
      <c r="L256" s="85">
        <v>103</v>
      </c>
      <c r="M256" s="86">
        <f t="shared" ca="1" si="181"/>
        <v>0.49758454106280192</v>
      </c>
      <c r="N256" s="86">
        <f t="shared" si="182"/>
        <v>0.92883099285538351</v>
      </c>
      <c r="O256" s="86">
        <f t="shared" si="183"/>
        <v>0.31402439024390244</v>
      </c>
      <c r="P256" s="87">
        <f t="shared" si="184"/>
        <v>25.75</v>
      </c>
      <c r="Q256" s="104">
        <f t="shared" si="185"/>
        <v>36.776699029126213</v>
      </c>
      <c r="R256" s="88">
        <f t="shared" si="186"/>
        <v>59.324155193992489</v>
      </c>
      <c r="S256" s="88">
        <f t="shared" si="187"/>
        <v>9.8095238095238102</v>
      </c>
      <c r="T256" s="13">
        <f t="shared" si="188"/>
        <v>1</v>
      </c>
      <c r="U256" s="13">
        <f t="shared" si="189"/>
        <v>1</v>
      </c>
      <c r="V256" s="13">
        <f t="shared" si="190"/>
        <v>2</v>
      </c>
      <c r="W256" s="13">
        <f t="shared" ca="1" si="191"/>
        <v>3</v>
      </c>
      <c r="X256" s="13">
        <f t="shared" ca="1" si="192"/>
        <v>7</v>
      </c>
      <c r="Y256" s="81" t="str">
        <f t="shared" ca="1" si="193"/>
        <v>MONITOR</v>
      </c>
      <c r="Z256" s="13">
        <v>14</v>
      </c>
      <c r="AA256" s="75">
        <v>46059</v>
      </c>
      <c r="AB256" s="75">
        <f t="shared" si="194"/>
        <v>45920</v>
      </c>
      <c r="AC256" s="88">
        <f t="shared" si="195"/>
        <v>19.857142857142858</v>
      </c>
      <c r="AD256" s="89" t="str">
        <f t="shared" ca="1" si="196"/>
        <v>STABLE</v>
      </c>
      <c r="AE256" s="89" t="str">
        <f t="shared" si="197"/>
        <v>SLOW SELLING</v>
      </c>
      <c r="AF256" s="89" t="str">
        <f t="shared" si="198"/>
        <v>AT RISK</v>
      </c>
      <c r="AG256" s="89" t="str">
        <f t="shared" si="199"/>
        <v>FEASIBLE</v>
      </c>
      <c r="AH256" s="81" t="str">
        <f t="shared" ca="1" si="200"/>
        <v>MONITOR</v>
      </c>
      <c r="AI256" s="75">
        <f t="shared" ca="1" si="201"/>
        <v>0</v>
      </c>
      <c r="AJ256" s="75">
        <f t="shared" ca="1" si="202"/>
        <v>-947</v>
      </c>
      <c r="AK256" s="13">
        <f t="shared" ca="1" si="203"/>
        <v>-1136</v>
      </c>
      <c r="AL256" s="79">
        <v>0.1</v>
      </c>
      <c r="AM256" s="79">
        <v>0.3</v>
      </c>
      <c r="AN256" s="79">
        <v>0.3</v>
      </c>
      <c r="AO256" s="79">
        <v>0.1</v>
      </c>
      <c r="AP256" s="79">
        <v>0.1</v>
      </c>
      <c r="AQ256" s="75">
        <f t="shared" si="204"/>
        <v>94.7</v>
      </c>
      <c r="AR256" s="75">
        <f t="shared" si="205"/>
        <v>284.09999999999997</v>
      </c>
      <c r="AS256" s="75">
        <f t="shared" si="206"/>
        <v>284.09999999999997</v>
      </c>
      <c r="AT256" s="75">
        <f t="shared" si="207"/>
        <v>94.7</v>
      </c>
      <c r="AU256" s="75">
        <f t="shared" si="208"/>
        <v>94.7</v>
      </c>
      <c r="AV256" s="13">
        <v>0.8</v>
      </c>
      <c r="AW256" s="13">
        <v>1.2</v>
      </c>
      <c r="AX256" s="13">
        <v>1.3</v>
      </c>
      <c r="AY256" s="13">
        <v>1</v>
      </c>
      <c r="AZ256" s="13">
        <v>0.7</v>
      </c>
      <c r="BA256" s="105">
        <f t="shared" si="209"/>
        <v>2.06</v>
      </c>
      <c r="BB256" s="13">
        <f t="shared" si="210"/>
        <v>9.27</v>
      </c>
      <c r="BC256" s="13">
        <f t="shared" si="211"/>
        <v>10.0425</v>
      </c>
      <c r="BD256" s="13">
        <f t="shared" si="212"/>
        <v>2.5750000000000002</v>
      </c>
      <c r="BE256" s="13">
        <f t="shared" si="213"/>
        <v>1.8025</v>
      </c>
      <c r="BF256" s="88">
        <f t="shared" si="214"/>
        <v>45.970873786407765</v>
      </c>
      <c r="BG256" s="88">
        <f t="shared" si="215"/>
        <v>30.64724919093851</v>
      </c>
      <c r="BH256" s="88">
        <f t="shared" si="216"/>
        <v>28.289768483943238</v>
      </c>
      <c r="BI256" s="88">
        <f t="shared" si="217"/>
        <v>36.776699029126213</v>
      </c>
      <c r="BJ256" s="88">
        <f t="shared" si="218"/>
        <v>52.538141470180307</v>
      </c>
      <c r="BK256" s="105">
        <f t="shared" si="219"/>
        <v>2.1752903907074975E-2</v>
      </c>
      <c r="BL256" s="105">
        <f t="shared" si="220"/>
        <v>3.2629355860612462E-2</v>
      </c>
      <c r="BM256" s="105">
        <f t="shared" si="221"/>
        <v>3.5348468848996839E-2</v>
      </c>
      <c r="BN256" s="105">
        <f t="shared" si="222"/>
        <v>2.7191129883843718E-2</v>
      </c>
      <c r="BO256" s="105">
        <f t="shared" si="223"/>
        <v>1.9033790918690601E-2</v>
      </c>
      <c r="BP256" s="105">
        <f t="shared" si="224"/>
        <v>0.13595564941921859</v>
      </c>
      <c r="BQ256" s="79">
        <f t="shared" si="225"/>
        <v>0.16</v>
      </c>
      <c r="BR256" s="79">
        <f t="shared" si="226"/>
        <v>0.24000000000000002</v>
      </c>
      <c r="BS256" s="79">
        <f t="shared" si="227"/>
        <v>0.26000000000000006</v>
      </c>
      <c r="BT256" s="79">
        <f t="shared" si="228"/>
        <v>0.2</v>
      </c>
      <c r="BU256" s="79">
        <f t="shared" si="229"/>
        <v>0.13999999999999999</v>
      </c>
      <c r="BV256" s="90" t="str">
        <f t="array" aca="1" ref="BV256" ca="1">_xlfn.TEXTJOIN(" ",TRUE,
_xlfn.TEXTJOIN(":",TRUE,ROUND(BK256:BO256/MIN(IF(BK256:BO256&gt;0,BK256:BO256)),0)),
"|",
ROUND(SUM(BW256:CA256),0))</f>
        <v>1:2:2:1:1 | -1136</v>
      </c>
      <c r="BW256" s="106">
        <f t="shared" ca="1" si="230"/>
        <v>-181.76</v>
      </c>
      <c r="BX256" s="106">
        <f t="shared" ca="1" si="176"/>
        <v>-272.64000000000004</v>
      </c>
      <c r="BY256" s="106">
        <f t="shared" ca="1" si="177"/>
        <v>-295.36000000000007</v>
      </c>
      <c r="BZ256" s="106">
        <f t="shared" ca="1" si="178"/>
        <v>-227.20000000000002</v>
      </c>
      <c r="CA256" s="106">
        <f t="shared" ca="1" si="231"/>
        <v>-159.04</v>
      </c>
    </row>
    <row r="257" spans="1:79" x14ac:dyDescent="0.35">
      <c r="A257" s="25" t="s">
        <v>270</v>
      </c>
      <c r="B257" s="10" t="s">
        <v>335</v>
      </c>
      <c r="C257" s="10" t="s">
        <v>341</v>
      </c>
      <c r="D257" s="10" t="s">
        <v>346</v>
      </c>
      <c r="E257" s="11">
        <v>45920</v>
      </c>
      <c r="F257" s="17">
        <v>45892</v>
      </c>
      <c r="G257" s="14">
        <f t="shared" ca="1" si="179"/>
        <v>207</v>
      </c>
      <c r="H257" s="17">
        <v>799</v>
      </c>
      <c r="I257" s="17">
        <v>325</v>
      </c>
      <c r="J257" s="75">
        <f t="shared" si="180"/>
        <v>923</v>
      </c>
      <c r="K257" s="17">
        <v>1050</v>
      </c>
      <c r="L257" s="85">
        <v>127</v>
      </c>
      <c r="M257" s="86">
        <f t="shared" ca="1" si="181"/>
        <v>0.61352657004830913</v>
      </c>
      <c r="N257" s="86">
        <f t="shared" si="182"/>
        <v>0.92883099285538351</v>
      </c>
      <c r="O257" s="86">
        <f t="shared" si="183"/>
        <v>0.38719512195121952</v>
      </c>
      <c r="P257" s="87">
        <f t="shared" si="184"/>
        <v>31.75</v>
      </c>
      <c r="Q257" s="104">
        <f t="shared" si="185"/>
        <v>29.070866141732285</v>
      </c>
      <c r="R257" s="88">
        <f t="shared" si="186"/>
        <v>59.324155193992489</v>
      </c>
      <c r="S257" s="88">
        <f t="shared" si="187"/>
        <v>12.095238095238095</v>
      </c>
      <c r="T257" s="13">
        <f t="shared" si="188"/>
        <v>1</v>
      </c>
      <c r="U257" s="13">
        <f t="shared" si="189"/>
        <v>1</v>
      </c>
      <c r="V257" s="13">
        <f t="shared" si="190"/>
        <v>2</v>
      </c>
      <c r="W257" s="13">
        <f t="shared" ca="1" si="191"/>
        <v>3</v>
      </c>
      <c r="X257" s="13">
        <f t="shared" ca="1" si="192"/>
        <v>7</v>
      </c>
      <c r="Y257" s="81" t="str">
        <f t="shared" ca="1" si="193"/>
        <v>MONITOR</v>
      </c>
      <c r="Z257" s="13">
        <v>14</v>
      </c>
      <c r="AA257" s="75">
        <v>46059</v>
      </c>
      <c r="AB257" s="75">
        <f t="shared" si="194"/>
        <v>45920</v>
      </c>
      <c r="AC257" s="88">
        <f t="shared" si="195"/>
        <v>19.857142857142858</v>
      </c>
      <c r="AD257" s="89" t="str">
        <f t="shared" ca="1" si="196"/>
        <v>STABLE</v>
      </c>
      <c r="AE257" s="89" t="str">
        <f t="shared" si="197"/>
        <v>SLOW SELLING</v>
      </c>
      <c r="AF257" s="89" t="str">
        <f t="shared" si="198"/>
        <v>AT RISK</v>
      </c>
      <c r="AG257" s="89" t="str">
        <f t="shared" si="199"/>
        <v>FEASIBLE</v>
      </c>
      <c r="AH257" s="81" t="str">
        <f t="shared" ca="1" si="200"/>
        <v>MONITOR</v>
      </c>
      <c r="AI257" s="75">
        <f t="shared" ca="1" si="201"/>
        <v>0</v>
      </c>
      <c r="AJ257" s="75">
        <f t="shared" ca="1" si="202"/>
        <v>-923</v>
      </c>
      <c r="AK257" s="13">
        <f t="shared" ca="1" si="203"/>
        <v>-1108</v>
      </c>
      <c r="AL257" s="79">
        <v>0.1</v>
      </c>
      <c r="AM257" s="79">
        <v>0.3</v>
      </c>
      <c r="AN257" s="79">
        <v>0.3</v>
      </c>
      <c r="AO257" s="79">
        <v>0.1</v>
      </c>
      <c r="AP257" s="79">
        <v>0.1</v>
      </c>
      <c r="AQ257" s="75">
        <f t="shared" si="204"/>
        <v>92.300000000000011</v>
      </c>
      <c r="AR257" s="75">
        <f t="shared" si="205"/>
        <v>276.89999999999998</v>
      </c>
      <c r="AS257" s="75">
        <f t="shared" si="206"/>
        <v>276.89999999999998</v>
      </c>
      <c r="AT257" s="75">
        <f t="shared" si="207"/>
        <v>92.300000000000011</v>
      </c>
      <c r="AU257" s="75">
        <f t="shared" si="208"/>
        <v>92.300000000000011</v>
      </c>
      <c r="AV257" s="13">
        <v>0.8</v>
      </c>
      <c r="AW257" s="13">
        <v>1.2</v>
      </c>
      <c r="AX257" s="13">
        <v>1.3</v>
      </c>
      <c r="AY257" s="13">
        <v>1</v>
      </c>
      <c r="AZ257" s="13">
        <v>0.7</v>
      </c>
      <c r="BA257" s="105">
        <f t="shared" si="209"/>
        <v>2.5400000000000005</v>
      </c>
      <c r="BB257" s="13">
        <f t="shared" si="210"/>
        <v>11.43</v>
      </c>
      <c r="BC257" s="13">
        <f t="shared" si="211"/>
        <v>12.3825</v>
      </c>
      <c r="BD257" s="13">
        <f t="shared" si="212"/>
        <v>3.1750000000000003</v>
      </c>
      <c r="BE257" s="13">
        <f t="shared" si="213"/>
        <v>2.2225000000000001</v>
      </c>
      <c r="BF257" s="88">
        <f t="shared" si="214"/>
        <v>36.338582677165348</v>
      </c>
      <c r="BG257" s="88">
        <f t="shared" si="215"/>
        <v>24.225721784776901</v>
      </c>
      <c r="BH257" s="88">
        <f t="shared" si="216"/>
        <v>22.362204724409448</v>
      </c>
      <c r="BI257" s="88">
        <f t="shared" si="217"/>
        <v>29.070866141732285</v>
      </c>
      <c r="BJ257" s="88">
        <f t="shared" si="218"/>
        <v>41.529808773903262</v>
      </c>
      <c r="BK257" s="105">
        <f t="shared" si="219"/>
        <v>2.7518959913326115E-2</v>
      </c>
      <c r="BL257" s="105">
        <f t="shared" si="220"/>
        <v>4.1278439869989171E-2</v>
      </c>
      <c r="BM257" s="105">
        <f t="shared" si="221"/>
        <v>4.4718309859154932E-2</v>
      </c>
      <c r="BN257" s="105">
        <f t="shared" si="222"/>
        <v>3.4398699891657634E-2</v>
      </c>
      <c r="BO257" s="105">
        <f t="shared" si="223"/>
        <v>2.4079089924160347E-2</v>
      </c>
      <c r="BP257" s="105">
        <f t="shared" si="224"/>
        <v>0.17199349945828821</v>
      </c>
      <c r="BQ257" s="79">
        <f t="shared" si="225"/>
        <v>0.16</v>
      </c>
      <c r="BR257" s="79">
        <f t="shared" si="226"/>
        <v>0.24000000000000002</v>
      </c>
      <c r="BS257" s="79">
        <f t="shared" si="227"/>
        <v>0.26</v>
      </c>
      <c r="BT257" s="79">
        <f t="shared" si="228"/>
        <v>0.19999999999999996</v>
      </c>
      <c r="BU257" s="79">
        <f t="shared" si="229"/>
        <v>0.13999999999999999</v>
      </c>
      <c r="BV257" s="90" t="str">
        <f t="array" aca="1" ref="BV257" ca="1">_xlfn.TEXTJOIN(" ",TRUE,
_xlfn.TEXTJOIN(":",TRUE,ROUND(BK257:BO257/MIN(IF(BK257:BO257&gt;0,BK257:BO257)),0)),
"|",
ROUND(SUM(BW257:CA257),0))</f>
        <v>1:2:2:1:1 | -1108</v>
      </c>
      <c r="BW257" s="106">
        <f t="shared" ca="1" si="230"/>
        <v>-177.28</v>
      </c>
      <c r="BX257" s="106">
        <f t="shared" ca="1" si="176"/>
        <v>-265.92</v>
      </c>
      <c r="BY257" s="106">
        <f t="shared" ca="1" si="177"/>
        <v>-288.08</v>
      </c>
      <c r="BZ257" s="106">
        <f t="shared" ca="1" si="178"/>
        <v>-221.59999999999994</v>
      </c>
      <c r="CA257" s="106">
        <f t="shared" ca="1" si="231"/>
        <v>-155.11999999999998</v>
      </c>
    </row>
    <row r="258" spans="1:79" x14ac:dyDescent="0.35">
      <c r="A258" s="25" t="s">
        <v>271</v>
      </c>
      <c r="B258" s="10" t="s">
        <v>335</v>
      </c>
      <c r="C258" s="10" t="s">
        <v>341</v>
      </c>
      <c r="D258" s="10" t="s">
        <v>346</v>
      </c>
      <c r="E258" s="11">
        <v>45920</v>
      </c>
      <c r="F258" s="17">
        <v>45892</v>
      </c>
      <c r="G258" s="14">
        <f t="shared" ca="1" si="179"/>
        <v>207</v>
      </c>
      <c r="H258" s="17">
        <v>799</v>
      </c>
      <c r="I258" s="17">
        <v>325</v>
      </c>
      <c r="J258" s="75">
        <f t="shared" si="180"/>
        <v>1050</v>
      </c>
      <c r="K258" s="17">
        <v>1050</v>
      </c>
      <c r="L258" s="89">
        <v>0</v>
      </c>
      <c r="M258" s="86">
        <f t="shared" ca="1" si="181"/>
        <v>0</v>
      </c>
      <c r="N258" s="86">
        <f t="shared" si="182"/>
        <v>0.92883099285538351</v>
      </c>
      <c r="O258" s="86">
        <f t="shared" si="183"/>
        <v>0</v>
      </c>
      <c r="P258" s="87">
        <f t="shared" si="184"/>
        <v>0</v>
      </c>
      <c r="Q258" s="104" t="e">
        <f t="shared" si="185"/>
        <v>#DIV/0!</v>
      </c>
      <c r="R258" s="88">
        <f t="shared" si="186"/>
        <v>59.324155193992489</v>
      </c>
      <c r="S258" s="88">
        <f t="shared" si="187"/>
        <v>0</v>
      </c>
      <c r="T258" s="13">
        <f t="shared" si="188"/>
        <v>1</v>
      </c>
      <c r="U258" s="13" t="e">
        <f t="shared" si="189"/>
        <v>#DIV/0!</v>
      </c>
      <c r="V258" s="13">
        <f t="shared" si="190"/>
        <v>2</v>
      </c>
      <c r="W258" s="13">
        <f t="shared" ca="1" si="191"/>
        <v>3</v>
      </c>
      <c r="X258" s="13" t="e">
        <f t="shared" ca="1" si="192"/>
        <v>#DIV/0!</v>
      </c>
      <c r="Y258" s="81" t="str">
        <f t="shared" ca="1" si="193"/>
        <v>EXIT</v>
      </c>
      <c r="Z258" s="13">
        <v>14</v>
      </c>
      <c r="AA258" s="75">
        <v>46059</v>
      </c>
      <c r="AB258" s="75">
        <f t="shared" si="194"/>
        <v>45920</v>
      </c>
      <c r="AC258" s="88">
        <f t="shared" si="195"/>
        <v>19.857142857142858</v>
      </c>
      <c r="AD258" s="89" t="str">
        <f t="shared" ca="1" si="196"/>
        <v>STABLE</v>
      </c>
      <c r="AE258" s="89" t="str">
        <f t="shared" si="197"/>
        <v>SLOW SELLING</v>
      </c>
      <c r="AF258" s="89" t="e">
        <f t="shared" si="198"/>
        <v>#DIV/0!</v>
      </c>
      <c r="AG258" s="89" t="str">
        <f t="shared" si="199"/>
        <v>FEASIBLE</v>
      </c>
      <c r="AH258" s="81" t="str">
        <f t="shared" ca="1" si="200"/>
        <v>MONITOR</v>
      </c>
      <c r="AI258" s="75">
        <f t="shared" ca="1" si="201"/>
        <v>0</v>
      </c>
      <c r="AJ258" s="75">
        <f t="shared" ca="1" si="202"/>
        <v>-1050</v>
      </c>
      <c r="AK258" s="13">
        <f t="shared" ca="1" si="203"/>
        <v>-1260</v>
      </c>
      <c r="AL258" s="79">
        <v>0.1</v>
      </c>
      <c r="AM258" s="79">
        <v>0.3</v>
      </c>
      <c r="AN258" s="79">
        <v>0.3</v>
      </c>
      <c r="AO258" s="79">
        <v>0.1</v>
      </c>
      <c r="AP258" s="79">
        <v>0.1</v>
      </c>
      <c r="AQ258" s="75">
        <f t="shared" si="204"/>
        <v>105</v>
      </c>
      <c r="AR258" s="75">
        <f t="shared" si="205"/>
        <v>315</v>
      </c>
      <c r="AS258" s="75">
        <f t="shared" si="206"/>
        <v>315</v>
      </c>
      <c r="AT258" s="75">
        <f t="shared" si="207"/>
        <v>105</v>
      </c>
      <c r="AU258" s="75">
        <f t="shared" si="208"/>
        <v>105</v>
      </c>
      <c r="AV258" s="13">
        <v>0.8</v>
      </c>
      <c r="AW258" s="13">
        <v>1.2</v>
      </c>
      <c r="AX258" s="13">
        <v>1.3</v>
      </c>
      <c r="AY258" s="13">
        <v>1</v>
      </c>
      <c r="AZ258" s="13">
        <v>0.7</v>
      </c>
      <c r="BA258" s="105">
        <f t="shared" si="209"/>
        <v>0</v>
      </c>
      <c r="BB258" s="13">
        <f t="shared" si="210"/>
        <v>0</v>
      </c>
      <c r="BC258" s="13">
        <f t="shared" si="211"/>
        <v>0</v>
      </c>
      <c r="BD258" s="13">
        <f t="shared" si="212"/>
        <v>0</v>
      </c>
      <c r="BE258" s="13">
        <f t="shared" si="213"/>
        <v>0</v>
      </c>
      <c r="BF258" s="88" t="e">
        <f t="shared" si="214"/>
        <v>#DIV/0!</v>
      </c>
      <c r="BG258" s="88" t="e">
        <f t="shared" si="215"/>
        <v>#DIV/0!</v>
      </c>
      <c r="BH258" s="88" t="e">
        <f t="shared" si="216"/>
        <v>#DIV/0!</v>
      </c>
      <c r="BI258" s="88" t="e">
        <f t="shared" si="217"/>
        <v>#DIV/0!</v>
      </c>
      <c r="BJ258" s="88" t="e">
        <f t="shared" si="218"/>
        <v>#DIV/0!</v>
      </c>
      <c r="BK258" s="105" t="e">
        <f t="shared" si="219"/>
        <v>#DIV/0!</v>
      </c>
      <c r="BL258" s="105" t="e">
        <f t="shared" si="220"/>
        <v>#DIV/0!</v>
      </c>
      <c r="BM258" s="105" t="e">
        <f t="shared" si="221"/>
        <v>#DIV/0!</v>
      </c>
      <c r="BN258" s="105" t="e">
        <f t="shared" si="222"/>
        <v>#DIV/0!</v>
      </c>
      <c r="BO258" s="105" t="e">
        <f t="shared" si="223"/>
        <v>#DIV/0!</v>
      </c>
      <c r="BP258" s="105" t="e">
        <f t="shared" si="224"/>
        <v>#DIV/0!</v>
      </c>
      <c r="BQ258" s="79" t="e">
        <f t="shared" si="225"/>
        <v>#DIV/0!</v>
      </c>
      <c r="BR258" s="79" t="e">
        <f t="shared" si="226"/>
        <v>#DIV/0!</v>
      </c>
      <c r="BS258" s="79" t="e">
        <f t="shared" si="227"/>
        <v>#DIV/0!</v>
      </c>
      <c r="BT258" s="79" t="e">
        <f t="shared" si="228"/>
        <v>#DIV/0!</v>
      </c>
      <c r="BU258" s="79" t="e">
        <f t="shared" si="229"/>
        <v>#DIV/0!</v>
      </c>
      <c r="BV258" s="90" t="e">
        <f t="array" aca="1" ref="BV258" ca="1">_xlfn.TEXTJOIN(" ",TRUE,
_xlfn.TEXTJOIN(":",TRUE,ROUND(BK258:BO258/MIN(IF(BK258:BO258&gt;0,BK258:BO258)),0)),
"|",
ROUND(SUM(BW258:CA258),0))</f>
        <v>#DIV/0!</v>
      </c>
      <c r="BW258" s="106" t="e">
        <f t="shared" ca="1" si="230"/>
        <v>#DIV/0!</v>
      </c>
      <c r="BX258" s="106" t="e">
        <f t="shared" ref="BX258:BX300" ca="1" si="232">AK258*BR258</f>
        <v>#DIV/0!</v>
      </c>
      <c r="BY258" s="106" t="e">
        <f t="shared" ref="BY258:BY300" ca="1" si="233">AK258*BS258</f>
        <v>#DIV/0!</v>
      </c>
      <c r="BZ258" s="106" t="e">
        <f t="shared" ref="BZ258:BZ300" ca="1" si="234">AK258*BT258</f>
        <v>#DIV/0!</v>
      </c>
      <c r="CA258" s="106" t="e">
        <f t="shared" ca="1" si="231"/>
        <v>#DIV/0!</v>
      </c>
    </row>
    <row r="259" spans="1:79" x14ac:dyDescent="0.35">
      <c r="A259" s="25" t="s">
        <v>272</v>
      </c>
      <c r="B259" s="10" t="s">
        <v>335</v>
      </c>
      <c r="C259" s="10" t="s">
        <v>341</v>
      </c>
      <c r="D259" s="10" t="s">
        <v>346</v>
      </c>
      <c r="E259" s="11">
        <v>45920</v>
      </c>
      <c r="F259" s="17">
        <v>45892</v>
      </c>
      <c r="G259" s="14">
        <f t="shared" ref="G259:G300" ca="1" si="235">TODAY()-F259</f>
        <v>207</v>
      </c>
      <c r="H259" s="17">
        <v>799</v>
      </c>
      <c r="I259" s="17">
        <v>325</v>
      </c>
      <c r="J259" s="75">
        <f t="shared" ref="J259:J300" si="236">K259-L259</f>
        <v>1050</v>
      </c>
      <c r="K259" s="17">
        <v>1050</v>
      </c>
      <c r="L259" s="89">
        <v>0</v>
      </c>
      <c r="M259" s="86">
        <f t="shared" ref="M259:M300" ca="1" si="237">L259/G259</f>
        <v>0</v>
      </c>
      <c r="N259" s="86">
        <f t="shared" ref="N259:N300" si="238">AVERAGEIFS(O:O,C:C,C259)</f>
        <v>0.92883099285538351</v>
      </c>
      <c r="O259" s="86">
        <f t="shared" ref="O259:O300" si="239">L259/328</f>
        <v>0</v>
      </c>
      <c r="P259" s="87">
        <f t="shared" ref="P259:P300" si="240">O259*82</f>
        <v>0</v>
      </c>
      <c r="Q259" s="104" t="e">
        <f t="shared" ref="Q259:Q300" si="241">J259/P259</f>
        <v>#DIV/0!</v>
      </c>
      <c r="R259" s="88">
        <f t="shared" ref="R259:R300" si="242">(H259-I259)/H259*100</f>
        <v>59.324155193992489</v>
      </c>
      <c r="S259" s="88">
        <f t="shared" ref="S259:S299" si="243">L259/K259*100</f>
        <v>0</v>
      </c>
      <c r="T259" s="13">
        <f t="shared" ref="T259:T300" si="244">IF(O259&gt;=N259,3,IF(O259&gt;=0.8*N259,2,1))</f>
        <v>1</v>
      </c>
      <c r="U259" s="13" t="e">
        <f t="shared" ref="U259:U300" si="245">IF(Q259&lt;=4,3,IF(Q259&lt;=6,2,1))</f>
        <v>#DIV/0!</v>
      </c>
      <c r="V259" s="13">
        <f t="shared" ref="V259:V300" si="246">IF(R259&gt;=60,3,IF(R259&gt;=45,2,1))</f>
        <v>2</v>
      </c>
      <c r="W259" s="13">
        <f t="shared" ref="W259:W300" ca="1" si="247">IF(M259&lt;=10,3,IF(M259&lt;=25,2,1))</f>
        <v>3</v>
      </c>
      <c r="X259" s="13" t="e">
        <f t="shared" ref="X259:X300" ca="1" si="248">T259+U259+V259+W259</f>
        <v>#DIV/0!</v>
      </c>
      <c r="Y259" s="81" t="str">
        <f t="shared" ref="Y259:Y300" ca="1" si="249">IFERROR(IF(X259&gt;=9,"RE-BUY",IF(X259&gt;=6,"MONITOR","EXIT")),"EXIT")</f>
        <v>EXIT</v>
      </c>
      <c r="Z259" s="13">
        <v>14</v>
      </c>
      <c r="AA259" s="75">
        <v>46059</v>
      </c>
      <c r="AB259" s="75">
        <f t="shared" ref="AB259:AB300" si="250">F259+28</f>
        <v>45920</v>
      </c>
      <c r="AC259" s="88">
        <f t="shared" ref="AC259:AC300" si="251">(AA259-AB259)/7</f>
        <v>19.857142857142858</v>
      </c>
      <c r="AD259" s="89" t="str">
        <f t="shared" ref="AD259:AD300" ca="1" si="252">IF(G259&gt;=21,"STABLE","TOO EARLY")</f>
        <v>STABLE</v>
      </c>
      <c r="AE259" s="89" t="str">
        <f t="shared" ref="AE259:AE300" si="253">IF(O259&gt;=N259,"FAST SELLING","SLOW SELLING")</f>
        <v>SLOW SELLING</v>
      </c>
      <c r="AF259" s="89" t="e">
        <f t="shared" ref="AF259:AF300" si="254">IF(U259&lt;=Z259,"AT RISK","SAFE")</f>
        <v>#DIV/0!</v>
      </c>
      <c r="AG259" s="89" t="str">
        <f t="shared" ref="AG259:AG300" si="255">IF(Z259&lt;=AC259,"FEASIBLE","NOT FEASIBLE")</f>
        <v>FEASIBLE</v>
      </c>
      <c r="AH259" s="81" t="str">
        <f t="shared" ref="AH259:AH300" ca="1" si="256">IF(AND(Y259="RE-BUY",AD259="STABLE",AE259="FAST SELLING",AG259="FEASIBLE"),"IMMEDIATE REBUY","MONITOR")</f>
        <v>MONITOR</v>
      </c>
      <c r="AI259" s="75">
        <f t="shared" ref="AI259:AI300" ca="1" si="257">IF(Y259="RE-BUY",O259*82*AC259*0.6,0)</f>
        <v>0</v>
      </c>
      <c r="AJ259" s="75">
        <f t="shared" ref="AJ259:AJ300" ca="1" si="258">MAX(AI259-J259)</f>
        <v>-1050</v>
      </c>
      <c r="AK259" s="13">
        <f t="shared" ref="AK259:AK300" ca="1" si="259">ROUND(AJ259*1.2,0)</f>
        <v>-1260</v>
      </c>
      <c r="AL259" s="79">
        <v>0.1</v>
      </c>
      <c r="AM259" s="79">
        <v>0.3</v>
      </c>
      <c r="AN259" s="79">
        <v>0.3</v>
      </c>
      <c r="AO259" s="79">
        <v>0.1</v>
      </c>
      <c r="AP259" s="79">
        <v>0.1</v>
      </c>
      <c r="AQ259" s="75">
        <f t="shared" ref="AQ259:AQ300" si="260">J259*AL259</f>
        <v>105</v>
      </c>
      <c r="AR259" s="75">
        <f t="shared" ref="AR259:AR300" si="261">J259*AM259</f>
        <v>315</v>
      </c>
      <c r="AS259" s="75">
        <f t="shared" ref="AS259:AS300" si="262">J259*AN259</f>
        <v>315</v>
      </c>
      <c r="AT259" s="75">
        <f t="shared" ref="AT259:AT300" si="263">J259*AO259</f>
        <v>105</v>
      </c>
      <c r="AU259" s="75">
        <f t="shared" ref="AU259:AU300" si="264">J259*AP259</f>
        <v>105</v>
      </c>
      <c r="AV259" s="13">
        <v>0.8</v>
      </c>
      <c r="AW259" s="13">
        <v>1.2</v>
      </c>
      <c r="AX259" s="13">
        <v>1.3</v>
      </c>
      <c r="AY259" s="13">
        <v>1</v>
      </c>
      <c r="AZ259" s="13">
        <v>0.7</v>
      </c>
      <c r="BA259" s="105">
        <f t="shared" ref="BA259:BA300" si="265">P259*AL259*AV259</f>
        <v>0</v>
      </c>
      <c r="BB259" s="13">
        <f t="shared" ref="BB259:BB300" si="266">P259*AM259*AW259</f>
        <v>0</v>
      </c>
      <c r="BC259" s="13">
        <f t="shared" ref="BC259:BC300" si="267">P259*AN259*AX259</f>
        <v>0</v>
      </c>
      <c r="BD259" s="13">
        <f t="shared" ref="BD259:BD300" si="268">P259*AO259*AY259</f>
        <v>0</v>
      </c>
      <c r="BE259" s="13">
        <f t="shared" ref="BE259:BE300" si="269">P259*AP259*AZ259</f>
        <v>0</v>
      </c>
      <c r="BF259" s="88" t="e">
        <f t="shared" ref="BF259:BF300" si="270">AQ259/BA259</f>
        <v>#DIV/0!</v>
      </c>
      <c r="BG259" s="88" t="e">
        <f t="shared" ref="BG259:BG300" si="271">AR259/BB259</f>
        <v>#DIV/0!</v>
      </c>
      <c r="BH259" s="88" t="e">
        <f t="shared" ref="BH259:BH300" si="272">AS259/BC259</f>
        <v>#DIV/0!</v>
      </c>
      <c r="BI259" s="88" t="e">
        <f t="shared" ref="BI259:BI300" si="273">AT259/BD259</f>
        <v>#DIV/0!</v>
      </c>
      <c r="BJ259" s="88" t="e">
        <f t="shared" ref="BJ259:BJ300" si="274">AU259/BE259</f>
        <v>#DIV/0!</v>
      </c>
      <c r="BK259" s="105" t="e">
        <f t="shared" ref="BK259:BK300" si="275">1/BF259</f>
        <v>#DIV/0!</v>
      </c>
      <c r="BL259" s="105" t="e">
        <f t="shared" ref="BL259:BL300" si="276">1/BG259</f>
        <v>#DIV/0!</v>
      </c>
      <c r="BM259" s="105" t="e">
        <f t="shared" ref="BM259:BM300" si="277">1/BH259</f>
        <v>#DIV/0!</v>
      </c>
      <c r="BN259" s="105" t="e">
        <f t="shared" ref="BN259:BN300" si="278">1/BI259</f>
        <v>#DIV/0!</v>
      </c>
      <c r="BO259" s="105" t="e">
        <f t="shared" ref="BO259:BO300" si="279">1/BJ259</f>
        <v>#DIV/0!</v>
      </c>
      <c r="BP259" s="105" t="e">
        <f t="shared" ref="BP259:BP300" si="280">BK259+BL259+BM259+BN259+BO259</f>
        <v>#DIV/0!</v>
      </c>
      <c r="BQ259" s="79" t="e">
        <f t="shared" ref="BQ259:BQ300" si="281">BK259/BP259</f>
        <v>#DIV/0!</v>
      </c>
      <c r="BR259" s="79" t="e">
        <f t="shared" ref="BR259:BR300" si="282">BL259/BP259</f>
        <v>#DIV/0!</v>
      </c>
      <c r="BS259" s="79" t="e">
        <f t="shared" ref="BS259:BS300" si="283">BM259/BP259</f>
        <v>#DIV/0!</v>
      </c>
      <c r="BT259" s="79" t="e">
        <f t="shared" ref="BT259:BT300" si="284">BN259/BP259</f>
        <v>#DIV/0!</v>
      </c>
      <c r="BU259" s="79" t="e">
        <f t="shared" ref="BU259:BU300" si="285">BO259/BP259</f>
        <v>#DIV/0!</v>
      </c>
      <c r="BV259" s="90" t="e">
        <f t="array" aca="1" ref="BV259" ca="1">_xlfn.TEXTJOIN(" ",TRUE,
_xlfn.TEXTJOIN(":",TRUE,ROUND(BK259:BO259/MIN(IF(BK259:BO259&gt;0,BK259:BO259)),0)),
"|",
ROUND(SUM(BW259:CA259),0))</f>
        <v>#DIV/0!</v>
      </c>
      <c r="BW259" s="106" t="e">
        <f t="shared" ca="1" si="230"/>
        <v>#DIV/0!</v>
      </c>
      <c r="BX259" s="106" t="e">
        <f t="shared" ca="1" si="232"/>
        <v>#DIV/0!</v>
      </c>
      <c r="BY259" s="106" t="e">
        <f t="shared" ca="1" si="233"/>
        <v>#DIV/0!</v>
      </c>
      <c r="BZ259" s="106" t="e">
        <f t="shared" ca="1" si="234"/>
        <v>#DIV/0!</v>
      </c>
      <c r="CA259" s="106" t="e">
        <f t="shared" ca="1" si="231"/>
        <v>#DIV/0!</v>
      </c>
    </row>
    <row r="260" spans="1:79" x14ac:dyDescent="0.35">
      <c r="A260" s="25" t="s">
        <v>273</v>
      </c>
      <c r="B260" s="10" t="s">
        <v>335</v>
      </c>
      <c r="C260" s="10" t="s">
        <v>343</v>
      </c>
      <c r="D260" s="10" t="s">
        <v>346</v>
      </c>
      <c r="E260" s="11">
        <v>45920</v>
      </c>
      <c r="F260" s="17">
        <v>45892</v>
      </c>
      <c r="G260" s="14">
        <f t="shared" ca="1" si="235"/>
        <v>207</v>
      </c>
      <c r="H260" s="17">
        <v>799</v>
      </c>
      <c r="I260" s="17">
        <v>355</v>
      </c>
      <c r="J260" s="75">
        <f t="shared" si="236"/>
        <v>648</v>
      </c>
      <c r="K260" s="17">
        <v>750</v>
      </c>
      <c r="L260" s="85">
        <v>102</v>
      </c>
      <c r="M260" s="86">
        <f t="shared" ca="1" si="237"/>
        <v>0.49275362318840582</v>
      </c>
      <c r="N260" s="86">
        <f t="shared" si="238"/>
        <v>0.56143292682926838</v>
      </c>
      <c r="O260" s="86">
        <f t="shared" si="239"/>
        <v>0.31097560975609756</v>
      </c>
      <c r="P260" s="87">
        <f t="shared" si="240"/>
        <v>25.5</v>
      </c>
      <c r="Q260" s="104">
        <f t="shared" si="241"/>
        <v>25.411764705882351</v>
      </c>
      <c r="R260" s="88">
        <f t="shared" si="242"/>
        <v>55.569461827284108</v>
      </c>
      <c r="S260" s="88">
        <f t="shared" si="243"/>
        <v>13.600000000000001</v>
      </c>
      <c r="T260" s="13">
        <f t="shared" si="244"/>
        <v>1</v>
      </c>
      <c r="U260" s="13">
        <f t="shared" si="245"/>
        <v>1</v>
      </c>
      <c r="V260" s="13">
        <f t="shared" si="246"/>
        <v>2</v>
      </c>
      <c r="W260" s="13">
        <f t="shared" ca="1" si="247"/>
        <v>3</v>
      </c>
      <c r="X260" s="13">
        <f t="shared" ca="1" si="248"/>
        <v>7</v>
      </c>
      <c r="Y260" s="81" t="str">
        <f t="shared" ca="1" si="249"/>
        <v>MONITOR</v>
      </c>
      <c r="Z260" s="13">
        <v>14</v>
      </c>
      <c r="AA260" s="75">
        <v>46059</v>
      </c>
      <c r="AB260" s="75">
        <f t="shared" si="250"/>
        <v>45920</v>
      </c>
      <c r="AC260" s="88">
        <f t="shared" si="251"/>
        <v>19.857142857142858</v>
      </c>
      <c r="AD260" s="89" t="str">
        <f t="shared" ca="1" si="252"/>
        <v>STABLE</v>
      </c>
      <c r="AE260" s="89" t="str">
        <f t="shared" si="253"/>
        <v>SLOW SELLING</v>
      </c>
      <c r="AF260" s="89" t="str">
        <f t="shared" si="254"/>
        <v>AT RISK</v>
      </c>
      <c r="AG260" s="89" t="str">
        <f t="shared" si="255"/>
        <v>FEASIBLE</v>
      </c>
      <c r="AH260" s="81" t="str">
        <f t="shared" ca="1" si="256"/>
        <v>MONITOR</v>
      </c>
      <c r="AI260" s="75">
        <f t="shared" ca="1" si="257"/>
        <v>0</v>
      </c>
      <c r="AJ260" s="75">
        <f t="shared" ca="1" si="258"/>
        <v>-648</v>
      </c>
      <c r="AK260" s="13">
        <f t="shared" ca="1" si="259"/>
        <v>-778</v>
      </c>
      <c r="AL260" s="79">
        <v>0.1</v>
      </c>
      <c r="AM260" s="79">
        <v>0.3</v>
      </c>
      <c r="AN260" s="79">
        <v>0.3</v>
      </c>
      <c r="AO260" s="79">
        <v>0.1</v>
      </c>
      <c r="AP260" s="79">
        <v>0.1</v>
      </c>
      <c r="AQ260" s="75">
        <f t="shared" si="260"/>
        <v>64.8</v>
      </c>
      <c r="AR260" s="75">
        <f t="shared" si="261"/>
        <v>194.4</v>
      </c>
      <c r="AS260" s="75">
        <f t="shared" si="262"/>
        <v>194.4</v>
      </c>
      <c r="AT260" s="75">
        <f t="shared" si="263"/>
        <v>64.8</v>
      </c>
      <c r="AU260" s="75">
        <f t="shared" si="264"/>
        <v>64.8</v>
      </c>
      <c r="AV260" s="13">
        <v>0.8</v>
      </c>
      <c r="AW260" s="13">
        <v>1.2</v>
      </c>
      <c r="AX260" s="13">
        <v>1.3</v>
      </c>
      <c r="AY260" s="13">
        <v>1</v>
      </c>
      <c r="AZ260" s="13">
        <v>0.7</v>
      </c>
      <c r="BA260" s="105">
        <f t="shared" si="265"/>
        <v>2.0400000000000005</v>
      </c>
      <c r="BB260" s="13">
        <f t="shared" si="266"/>
        <v>9.18</v>
      </c>
      <c r="BC260" s="13">
        <f t="shared" si="267"/>
        <v>9.9450000000000003</v>
      </c>
      <c r="BD260" s="13">
        <f t="shared" si="268"/>
        <v>2.5500000000000003</v>
      </c>
      <c r="BE260" s="13">
        <f t="shared" si="269"/>
        <v>1.7850000000000001</v>
      </c>
      <c r="BF260" s="88">
        <f t="shared" si="270"/>
        <v>31.764705882352931</v>
      </c>
      <c r="BG260" s="88">
        <f t="shared" si="271"/>
        <v>21.176470588235297</v>
      </c>
      <c r="BH260" s="88">
        <f t="shared" si="272"/>
        <v>19.547511312217196</v>
      </c>
      <c r="BI260" s="88">
        <f t="shared" si="273"/>
        <v>25.411764705882348</v>
      </c>
      <c r="BJ260" s="88">
        <f t="shared" si="274"/>
        <v>36.30252100840336</v>
      </c>
      <c r="BK260" s="105">
        <f t="shared" si="275"/>
        <v>3.1481481481481492E-2</v>
      </c>
      <c r="BL260" s="105">
        <f t="shared" si="276"/>
        <v>4.7222222222222214E-2</v>
      </c>
      <c r="BM260" s="105">
        <f t="shared" si="277"/>
        <v>5.1157407407407401E-2</v>
      </c>
      <c r="BN260" s="105">
        <f t="shared" si="278"/>
        <v>3.935185185185186E-2</v>
      </c>
      <c r="BO260" s="105">
        <f t="shared" si="279"/>
        <v>2.7546296296296298E-2</v>
      </c>
      <c r="BP260" s="105">
        <f t="shared" si="280"/>
        <v>0.19675925925925924</v>
      </c>
      <c r="BQ260" s="79">
        <f t="shared" si="281"/>
        <v>0.16000000000000006</v>
      </c>
      <c r="BR260" s="79">
        <f t="shared" si="282"/>
        <v>0.23999999999999996</v>
      </c>
      <c r="BS260" s="79">
        <f t="shared" si="283"/>
        <v>0.26</v>
      </c>
      <c r="BT260" s="79">
        <f t="shared" si="284"/>
        <v>0.20000000000000007</v>
      </c>
      <c r="BU260" s="79">
        <f t="shared" si="285"/>
        <v>0.14000000000000001</v>
      </c>
      <c r="BV260" s="90" t="str">
        <f t="array" aca="1" ref="BV260" ca="1">_xlfn.TEXTJOIN(" ",TRUE,
_xlfn.TEXTJOIN(":",TRUE,ROUND(BK260:BO260/MIN(IF(BK260:BO260&gt;0,BK260:BO260)),0)),
"|",
ROUND(SUM(BW260:CA260),0))</f>
        <v>1:2:2:1:1 | -778</v>
      </c>
      <c r="BW260" s="106">
        <f t="shared" ca="1" si="230"/>
        <v>-124.48000000000005</v>
      </c>
      <c r="BX260" s="106">
        <f t="shared" ca="1" si="232"/>
        <v>-186.71999999999997</v>
      </c>
      <c r="BY260" s="106">
        <f t="shared" ca="1" si="233"/>
        <v>-202.28</v>
      </c>
      <c r="BZ260" s="106">
        <f t="shared" ca="1" si="234"/>
        <v>-155.60000000000005</v>
      </c>
      <c r="CA260" s="106">
        <f t="shared" ca="1" si="231"/>
        <v>-108.92000000000002</v>
      </c>
    </row>
    <row r="261" spans="1:79" x14ac:dyDescent="0.35">
      <c r="A261" s="25" t="s">
        <v>274</v>
      </c>
      <c r="B261" s="10" t="s">
        <v>335</v>
      </c>
      <c r="C261" s="10" t="s">
        <v>343</v>
      </c>
      <c r="D261" s="10" t="s">
        <v>346</v>
      </c>
      <c r="E261" s="11">
        <v>45920</v>
      </c>
      <c r="F261" s="17">
        <v>45892</v>
      </c>
      <c r="G261" s="14">
        <f t="shared" ca="1" si="235"/>
        <v>207</v>
      </c>
      <c r="H261" s="17">
        <v>799</v>
      </c>
      <c r="I261" s="17">
        <v>355</v>
      </c>
      <c r="J261" s="75">
        <f t="shared" si="236"/>
        <v>694</v>
      </c>
      <c r="K261" s="17">
        <v>750</v>
      </c>
      <c r="L261" s="85">
        <v>56</v>
      </c>
      <c r="M261" s="86">
        <f t="shared" ca="1" si="237"/>
        <v>0.27053140096618356</v>
      </c>
      <c r="N261" s="86">
        <f t="shared" si="238"/>
        <v>0.56143292682926838</v>
      </c>
      <c r="O261" s="86">
        <f t="shared" si="239"/>
        <v>0.17073170731707318</v>
      </c>
      <c r="P261" s="87">
        <f t="shared" si="240"/>
        <v>14.000000000000002</v>
      </c>
      <c r="Q261" s="104">
        <f t="shared" si="241"/>
        <v>49.571428571428562</v>
      </c>
      <c r="R261" s="88">
        <f t="shared" si="242"/>
        <v>55.569461827284108</v>
      </c>
      <c r="S261" s="88">
        <f t="shared" si="243"/>
        <v>7.4666666666666677</v>
      </c>
      <c r="T261" s="13">
        <f t="shared" si="244"/>
        <v>1</v>
      </c>
      <c r="U261" s="13">
        <f t="shared" si="245"/>
        <v>1</v>
      </c>
      <c r="V261" s="13">
        <f t="shared" si="246"/>
        <v>2</v>
      </c>
      <c r="W261" s="13">
        <f t="shared" ca="1" si="247"/>
        <v>3</v>
      </c>
      <c r="X261" s="13">
        <f t="shared" ca="1" si="248"/>
        <v>7</v>
      </c>
      <c r="Y261" s="81" t="str">
        <f t="shared" ca="1" si="249"/>
        <v>MONITOR</v>
      </c>
      <c r="Z261" s="13">
        <v>14</v>
      </c>
      <c r="AA261" s="75">
        <v>46059</v>
      </c>
      <c r="AB261" s="75">
        <f t="shared" si="250"/>
        <v>45920</v>
      </c>
      <c r="AC261" s="88">
        <f t="shared" si="251"/>
        <v>19.857142857142858</v>
      </c>
      <c r="AD261" s="89" t="str">
        <f t="shared" ca="1" si="252"/>
        <v>STABLE</v>
      </c>
      <c r="AE261" s="89" t="str">
        <f t="shared" si="253"/>
        <v>SLOW SELLING</v>
      </c>
      <c r="AF261" s="89" t="str">
        <f t="shared" si="254"/>
        <v>AT RISK</v>
      </c>
      <c r="AG261" s="89" t="str">
        <f t="shared" si="255"/>
        <v>FEASIBLE</v>
      </c>
      <c r="AH261" s="81" t="str">
        <f t="shared" ca="1" si="256"/>
        <v>MONITOR</v>
      </c>
      <c r="AI261" s="75">
        <f t="shared" ca="1" si="257"/>
        <v>0</v>
      </c>
      <c r="AJ261" s="75">
        <f t="shared" ca="1" si="258"/>
        <v>-694</v>
      </c>
      <c r="AK261" s="13">
        <f t="shared" ca="1" si="259"/>
        <v>-833</v>
      </c>
      <c r="AL261" s="79">
        <v>0.1</v>
      </c>
      <c r="AM261" s="79">
        <v>0.3</v>
      </c>
      <c r="AN261" s="79">
        <v>0.3</v>
      </c>
      <c r="AO261" s="79">
        <v>0.1</v>
      </c>
      <c r="AP261" s="79">
        <v>0.1</v>
      </c>
      <c r="AQ261" s="75">
        <f t="shared" si="260"/>
        <v>69.400000000000006</v>
      </c>
      <c r="AR261" s="75">
        <f t="shared" si="261"/>
        <v>208.2</v>
      </c>
      <c r="AS261" s="75">
        <f t="shared" si="262"/>
        <v>208.2</v>
      </c>
      <c r="AT261" s="75">
        <f t="shared" si="263"/>
        <v>69.400000000000006</v>
      </c>
      <c r="AU261" s="75">
        <f t="shared" si="264"/>
        <v>69.400000000000006</v>
      </c>
      <c r="AV261" s="13">
        <v>0.8</v>
      </c>
      <c r="AW261" s="13">
        <v>1.2</v>
      </c>
      <c r="AX261" s="13">
        <v>1.3</v>
      </c>
      <c r="AY261" s="13">
        <v>1</v>
      </c>
      <c r="AZ261" s="13">
        <v>0.7</v>
      </c>
      <c r="BA261" s="105">
        <f t="shared" si="265"/>
        <v>1.1200000000000003</v>
      </c>
      <c r="BB261" s="13">
        <f t="shared" si="266"/>
        <v>5.04</v>
      </c>
      <c r="BC261" s="13">
        <f t="shared" si="267"/>
        <v>5.4600000000000009</v>
      </c>
      <c r="BD261" s="13">
        <f t="shared" si="268"/>
        <v>1.4000000000000004</v>
      </c>
      <c r="BE261" s="13">
        <f t="shared" si="269"/>
        <v>0.9800000000000002</v>
      </c>
      <c r="BF261" s="88">
        <f t="shared" si="270"/>
        <v>61.964285714285701</v>
      </c>
      <c r="BG261" s="88">
        <f t="shared" si="271"/>
        <v>41.30952380952381</v>
      </c>
      <c r="BH261" s="88">
        <f t="shared" si="272"/>
        <v>38.131868131868124</v>
      </c>
      <c r="BI261" s="88">
        <f t="shared" si="273"/>
        <v>49.571428571428562</v>
      </c>
      <c r="BJ261" s="88">
        <f t="shared" si="274"/>
        <v>70.81632653061223</v>
      </c>
      <c r="BK261" s="105">
        <f t="shared" si="275"/>
        <v>1.6138328530259368E-2</v>
      </c>
      <c r="BL261" s="105">
        <f t="shared" si="276"/>
        <v>2.4207492795389047E-2</v>
      </c>
      <c r="BM261" s="105">
        <f t="shared" si="277"/>
        <v>2.6224783861671475E-2</v>
      </c>
      <c r="BN261" s="105">
        <f t="shared" si="278"/>
        <v>2.0172910662824211E-2</v>
      </c>
      <c r="BO261" s="105">
        <f t="shared" si="279"/>
        <v>1.4121037463976948E-2</v>
      </c>
      <c r="BP261" s="105">
        <f t="shared" si="280"/>
        <v>0.10086455331412104</v>
      </c>
      <c r="BQ261" s="79">
        <f t="shared" si="281"/>
        <v>0.16</v>
      </c>
      <c r="BR261" s="79">
        <f t="shared" si="282"/>
        <v>0.23999999999999996</v>
      </c>
      <c r="BS261" s="79">
        <f t="shared" si="283"/>
        <v>0.26000000000000006</v>
      </c>
      <c r="BT261" s="79">
        <f t="shared" si="284"/>
        <v>0.2</v>
      </c>
      <c r="BU261" s="79">
        <f t="shared" si="285"/>
        <v>0.14000000000000001</v>
      </c>
      <c r="BV261" s="90" t="str">
        <f t="array" aca="1" ref="BV261" ca="1">_xlfn.TEXTJOIN(" ",TRUE,
_xlfn.TEXTJOIN(":",TRUE,ROUND(BK261:BO261/MIN(IF(BK261:BO261&gt;0,BK261:BO261)),0)),
"|",
ROUND(SUM(BW261:CA261),0))</f>
        <v>1:2:2:1:1 | -833</v>
      </c>
      <c r="BW261" s="106">
        <f t="shared" ca="1" si="230"/>
        <v>-133.28</v>
      </c>
      <c r="BX261" s="106">
        <f t="shared" ca="1" si="232"/>
        <v>-199.91999999999996</v>
      </c>
      <c r="BY261" s="106">
        <f t="shared" ca="1" si="233"/>
        <v>-216.58000000000004</v>
      </c>
      <c r="BZ261" s="106">
        <f t="shared" ca="1" si="234"/>
        <v>-166.60000000000002</v>
      </c>
      <c r="CA261" s="106">
        <f t="shared" ca="1" si="231"/>
        <v>-116.62</v>
      </c>
    </row>
    <row r="262" spans="1:79" x14ac:dyDescent="0.35">
      <c r="A262" s="25" t="s">
        <v>275</v>
      </c>
      <c r="B262" s="10" t="s">
        <v>335</v>
      </c>
      <c r="C262" s="10" t="s">
        <v>343</v>
      </c>
      <c r="D262" s="10" t="s">
        <v>346</v>
      </c>
      <c r="E262" s="11">
        <v>45941</v>
      </c>
      <c r="F262" s="17">
        <v>45892</v>
      </c>
      <c r="G262" s="14">
        <f t="shared" ca="1" si="235"/>
        <v>207</v>
      </c>
      <c r="H262" s="17">
        <v>599</v>
      </c>
      <c r="I262" s="17">
        <v>280</v>
      </c>
      <c r="J262" s="75">
        <f t="shared" si="236"/>
        <v>671</v>
      </c>
      <c r="K262" s="17">
        <v>750</v>
      </c>
      <c r="L262" s="85">
        <v>79</v>
      </c>
      <c r="M262" s="86">
        <f t="shared" ca="1" si="237"/>
        <v>0.38164251207729466</v>
      </c>
      <c r="N262" s="86">
        <f t="shared" si="238"/>
        <v>0.56143292682926838</v>
      </c>
      <c r="O262" s="86">
        <f t="shared" si="239"/>
        <v>0.24085365853658536</v>
      </c>
      <c r="P262" s="87">
        <f t="shared" si="240"/>
        <v>19.75</v>
      </c>
      <c r="Q262" s="104">
        <f t="shared" si="241"/>
        <v>33.974683544303801</v>
      </c>
      <c r="R262" s="88">
        <f t="shared" si="242"/>
        <v>53.255425709515855</v>
      </c>
      <c r="S262" s="88">
        <f t="shared" si="243"/>
        <v>10.533333333333333</v>
      </c>
      <c r="T262" s="13">
        <f t="shared" si="244"/>
        <v>1</v>
      </c>
      <c r="U262" s="13">
        <f t="shared" si="245"/>
        <v>1</v>
      </c>
      <c r="V262" s="13">
        <f t="shared" si="246"/>
        <v>2</v>
      </c>
      <c r="W262" s="13">
        <f t="shared" ca="1" si="247"/>
        <v>3</v>
      </c>
      <c r="X262" s="13">
        <f t="shared" ca="1" si="248"/>
        <v>7</v>
      </c>
      <c r="Y262" s="81" t="str">
        <f t="shared" ca="1" si="249"/>
        <v>MONITOR</v>
      </c>
      <c r="Z262" s="13">
        <v>14</v>
      </c>
      <c r="AA262" s="75">
        <v>46059</v>
      </c>
      <c r="AB262" s="75">
        <f t="shared" si="250"/>
        <v>45920</v>
      </c>
      <c r="AC262" s="88">
        <f t="shared" si="251"/>
        <v>19.857142857142858</v>
      </c>
      <c r="AD262" s="89" t="str">
        <f t="shared" ca="1" si="252"/>
        <v>STABLE</v>
      </c>
      <c r="AE262" s="89" t="str">
        <f t="shared" si="253"/>
        <v>SLOW SELLING</v>
      </c>
      <c r="AF262" s="89" t="str">
        <f t="shared" si="254"/>
        <v>AT RISK</v>
      </c>
      <c r="AG262" s="89" t="str">
        <f t="shared" si="255"/>
        <v>FEASIBLE</v>
      </c>
      <c r="AH262" s="81" t="str">
        <f t="shared" ca="1" si="256"/>
        <v>MONITOR</v>
      </c>
      <c r="AI262" s="75">
        <f t="shared" ca="1" si="257"/>
        <v>0</v>
      </c>
      <c r="AJ262" s="75">
        <f t="shared" ca="1" si="258"/>
        <v>-671</v>
      </c>
      <c r="AK262" s="13">
        <f t="shared" ca="1" si="259"/>
        <v>-805</v>
      </c>
      <c r="AL262" s="79">
        <v>0.1</v>
      </c>
      <c r="AM262" s="79">
        <v>0.3</v>
      </c>
      <c r="AN262" s="79">
        <v>0.3</v>
      </c>
      <c r="AO262" s="79">
        <v>0.1</v>
      </c>
      <c r="AP262" s="79">
        <v>0.1</v>
      </c>
      <c r="AQ262" s="75">
        <f t="shared" si="260"/>
        <v>67.100000000000009</v>
      </c>
      <c r="AR262" s="75">
        <f t="shared" si="261"/>
        <v>201.29999999999998</v>
      </c>
      <c r="AS262" s="75">
        <f t="shared" si="262"/>
        <v>201.29999999999998</v>
      </c>
      <c r="AT262" s="75">
        <f t="shared" si="263"/>
        <v>67.100000000000009</v>
      </c>
      <c r="AU262" s="75">
        <f t="shared" si="264"/>
        <v>67.100000000000009</v>
      </c>
      <c r="AV262" s="13">
        <v>0.8</v>
      </c>
      <c r="AW262" s="13">
        <v>1.2</v>
      </c>
      <c r="AX262" s="13">
        <v>1.3</v>
      </c>
      <c r="AY262" s="13">
        <v>1</v>
      </c>
      <c r="AZ262" s="13">
        <v>0.7</v>
      </c>
      <c r="BA262" s="105">
        <f t="shared" si="265"/>
        <v>1.58</v>
      </c>
      <c r="BB262" s="13">
        <f t="shared" si="266"/>
        <v>7.1099999999999994</v>
      </c>
      <c r="BC262" s="13">
        <f t="shared" si="267"/>
        <v>7.7024999999999997</v>
      </c>
      <c r="BD262" s="13">
        <f t="shared" si="268"/>
        <v>1.9750000000000001</v>
      </c>
      <c r="BE262" s="13">
        <f t="shared" si="269"/>
        <v>1.3825000000000001</v>
      </c>
      <c r="BF262" s="88">
        <f t="shared" si="270"/>
        <v>42.468354430379748</v>
      </c>
      <c r="BG262" s="88">
        <f t="shared" si="271"/>
        <v>28.312236286919831</v>
      </c>
      <c r="BH262" s="88">
        <f t="shared" si="272"/>
        <v>26.134371957156766</v>
      </c>
      <c r="BI262" s="88">
        <f t="shared" si="273"/>
        <v>33.974683544303801</v>
      </c>
      <c r="BJ262" s="88">
        <f t="shared" si="274"/>
        <v>48.535262206148289</v>
      </c>
      <c r="BK262" s="105">
        <f t="shared" si="275"/>
        <v>2.3546944858420269E-2</v>
      </c>
      <c r="BL262" s="105">
        <f t="shared" si="276"/>
        <v>3.5320417287630405E-2</v>
      </c>
      <c r="BM262" s="105">
        <f t="shared" si="277"/>
        <v>3.8263785394932935E-2</v>
      </c>
      <c r="BN262" s="105">
        <f t="shared" si="278"/>
        <v>2.9433681073025332E-2</v>
      </c>
      <c r="BO262" s="105">
        <f t="shared" si="279"/>
        <v>2.0603576751117732E-2</v>
      </c>
      <c r="BP262" s="105">
        <f t="shared" si="280"/>
        <v>0.14716840536512668</v>
      </c>
      <c r="BQ262" s="79">
        <f t="shared" si="281"/>
        <v>0.16</v>
      </c>
      <c r="BR262" s="79">
        <f t="shared" si="282"/>
        <v>0.24000000000000002</v>
      </c>
      <c r="BS262" s="79">
        <f t="shared" si="283"/>
        <v>0.26</v>
      </c>
      <c r="BT262" s="79">
        <f t="shared" si="284"/>
        <v>0.19999999999999998</v>
      </c>
      <c r="BU262" s="79">
        <f t="shared" si="285"/>
        <v>0.13999999999999999</v>
      </c>
      <c r="BV262" s="90" t="str">
        <f t="array" aca="1" ref="BV262" ca="1">_xlfn.TEXTJOIN(" ",TRUE,
_xlfn.TEXTJOIN(":",TRUE,ROUND(BK262:BO262/MIN(IF(BK262:BO262&gt;0,BK262:BO262)),0)),
"|",
ROUND(SUM(BW262:CA262),0))</f>
        <v>1:2:2:1:1 | -805</v>
      </c>
      <c r="BW262" s="106">
        <f t="shared" ca="1" si="230"/>
        <v>-128.80000000000001</v>
      </c>
      <c r="BX262" s="106">
        <f t="shared" ca="1" si="232"/>
        <v>-193.20000000000002</v>
      </c>
      <c r="BY262" s="106">
        <f t="shared" ca="1" si="233"/>
        <v>-209.3</v>
      </c>
      <c r="BZ262" s="106">
        <f t="shared" ca="1" si="234"/>
        <v>-161</v>
      </c>
      <c r="CA262" s="106">
        <f t="shared" ca="1" si="231"/>
        <v>-112.69999999999999</v>
      </c>
    </row>
    <row r="263" spans="1:79" x14ac:dyDescent="0.35">
      <c r="A263" s="25" t="s">
        <v>276</v>
      </c>
      <c r="B263" s="10" t="s">
        <v>335</v>
      </c>
      <c r="C263" s="10" t="s">
        <v>343</v>
      </c>
      <c r="D263" s="10" t="s">
        <v>346</v>
      </c>
      <c r="E263" s="11">
        <v>45864</v>
      </c>
      <c r="F263" s="17">
        <v>45892</v>
      </c>
      <c r="G263" s="14">
        <f t="shared" ca="1" si="235"/>
        <v>207</v>
      </c>
      <c r="H263" s="17">
        <v>499</v>
      </c>
      <c r="I263" s="17">
        <v>275</v>
      </c>
      <c r="J263" s="75">
        <f t="shared" si="236"/>
        <v>669</v>
      </c>
      <c r="K263" s="17">
        <v>800</v>
      </c>
      <c r="L263" s="85">
        <v>131</v>
      </c>
      <c r="M263" s="86">
        <f t="shared" ca="1" si="237"/>
        <v>0.63285024154589375</v>
      </c>
      <c r="N263" s="86">
        <f t="shared" si="238"/>
        <v>0.56143292682926838</v>
      </c>
      <c r="O263" s="86">
        <f t="shared" si="239"/>
        <v>0.39939024390243905</v>
      </c>
      <c r="P263" s="87">
        <f t="shared" si="240"/>
        <v>32.75</v>
      </c>
      <c r="Q263" s="104">
        <f t="shared" si="241"/>
        <v>20.427480916030536</v>
      </c>
      <c r="R263" s="88">
        <f t="shared" si="242"/>
        <v>44.889779559118239</v>
      </c>
      <c r="S263" s="88">
        <f t="shared" si="243"/>
        <v>16.375</v>
      </c>
      <c r="T263" s="13">
        <f t="shared" si="244"/>
        <v>1</v>
      </c>
      <c r="U263" s="13">
        <f t="shared" si="245"/>
        <v>1</v>
      </c>
      <c r="V263" s="13">
        <f t="shared" si="246"/>
        <v>1</v>
      </c>
      <c r="W263" s="13">
        <f t="shared" ca="1" si="247"/>
        <v>3</v>
      </c>
      <c r="X263" s="13">
        <f t="shared" ca="1" si="248"/>
        <v>6</v>
      </c>
      <c r="Y263" s="81" t="str">
        <f t="shared" ca="1" si="249"/>
        <v>MONITOR</v>
      </c>
      <c r="Z263" s="13">
        <v>14</v>
      </c>
      <c r="AA263" s="75">
        <v>46059</v>
      </c>
      <c r="AB263" s="75">
        <f t="shared" si="250"/>
        <v>45920</v>
      </c>
      <c r="AC263" s="88">
        <f t="shared" si="251"/>
        <v>19.857142857142858</v>
      </c>
      <c r="AD263" s="89" t="str">
        <f t="shared" ca="1" si="252"/>
        <v>STABLE</v>
      </c>
      <c r="AE263" s="89" t="str">
        <f t="shared" si="253"/>
        <v>SLOW SELLING</v>
      </c>
      <c r="AF263" s="89" t="str">
        <f t="shared" si="254"/>
        <v>AT RISK</v>
      </c>
      <c r="AG263" s="89" t="str">
        <f t="shared" si="255"/>
        <v>FEASIBLE</v>
      </c>
      <c r="AH263" s="81" t="str">
        <f t="shared" ca="1" si="256"/>
        <v>MONITOR</v>
      </c>
      <c r="AI263" s="75">
        <f t="shared" ca="1" si="257"/>
        <v>0</v>
      </c>
      <c r="AJ263" s="75">
        <f t="shared" ca="1" si="258"/>
        <v>-669</v>
      </c>
      <c r="AK263" s="13">
        <f t="shared" ca="1" si="259"/>
        <v>-803</v>
      </c>
      <c r="AL263" s="79">
        <v>0.1</v>
      </c>
      <c r="AM263" s="79">
        <v>0.3</v>
      </c>
      <c r="AN263" s="79">
        <v>0.3</v>
      </c>
      <c r="AO263" s="79">
        <v>0.1</v>
      </c>
      <c r="AP263" s="79">
        <v>0.1</v>
      </c>
      <c r="AQ263" s="75">
        <f t="shared" si="260"/>
        <v>66.900000000000006</v>
      </c>
      <c r="AR263" s="75">
        <f t="shared" si="261"/>
        <v>200.7</v>
      </c>
      <c r="AS263" s="75">
        <f t="shared" si="262"/>
        <v>200.7</v>
      </c>
      <c r="AT263" s="75">
        <f t="shared" si="263"/>
        <v>66.900000000000006</v>
      </c>
      <c r="AU263" s="75">
        <f t="shared" si="264"/>
        <v>66.900000000000006</v>
      </c>
      <c r="AV263" s="13">
        <v>0.8</v>
      </c>
      <c r="AW263" s="13">
        <v>1.2</v>
      </c>
      <c r="AX263" s="13">
        <v>1.3</v>
      </c>
      <c r="AY263" s="13">
        <v>1</v>
      </c>
      <c r="AZ263" s="13">
        <v>0.7</v>
      </c>
      <c r="BA263" s="105">
        <f t="shared" si="265"/>
        <v>2.6200000000000006</v>
      </c>
      <c r="BB263" s="13">
        <f t="shared" si="266"/>
        <v>11.79</v>
      </c>
      <c r="BC263" s="13">
        <f t="shared" si="267"/>
        <v>12.772499999999999</v>
      </c>
      <c r="BD263" s="13">
        <f t="shared" si="268"/>
        <v>3.2750000000000004</v>
      </c>
      <c r="BE263" s="13">
        <f t="shared" si="269"/>
        <v>2.2925</v>
      </c>
      <c r="BF263" s="88">
        <f t="shared" si="270"/>
        <v>25.534351145038165</v>
      </c>
      <c r="BG263" s="88">
        <f t="shared" si="271"/>
        <v>17.022900763358781</v>
      </c>
      <c r="BH263" s="88">
        <f t="shared" si="272"/>
        <v>15.713446858485026</v>
      </c>
      <c r="BI263" s="88">
        <f t="shared" si="273"/>
        <v>20.427480916030532</v>
      </c>
      <c r="BJ263" s="88">
        <f t="shared" si="274"/>
        <v>29.182115594329339</v>
      </c>
      <c r="BK263" s="105">
        <f t="shared" si="275"/>
        <v>3.9162929745889391E-2</v>
      </c>
      <c r="BL263" s="105">
        <f t="shared" si="276"/>
        <v>5.8744394618834073E-2</v>
      </c>
      <c r="BM263" s="105">
        <f t="shared" si="277"/>
        <v>6.363976083707025E-2</v>
      </c>
      <c r="BN263" s="105">
        <f t="shared" si="278"/>
        <v>4.8953662182361739E-2</v>
      </c>
      <c r="BO263" s="105">
        <f t="shared" si="279"/>
        <v>3.4267563527653207E-2</v>
      </c>
      <c r="BP263" s="105">
        <f t="shared" si="280"/>
        <v>0.24476831091180867</v>
      </c>
      <c r="BQ263" s="79">
        <f t="shared" si="281"/>
        <v>0.16</v>
      </c>
      <c r="BR263" s="79">
        <f t="shared" si="282"/>
        <v>0.23999999999999996</v>
      </c>
      <c r="BS263" s="79">
        <f t="shared" si="283"/>
        <v>0.25999999999999995</v>
      </c>
      <c r="BT263" s="79">
        <f t="shared" si="284"/>
        <v>0.2</v>
      </c>
      <c r="BU263" s="79">
        <f t="shared" si="285"/>
        <v>0.13999999999999996</v>
      </c>
      <c r="BV263" s="90" t="str">
        <f t="array" aca="1" ref="BV263" ca="1">_xlfn.TEXTJOIN(" ",TRUE,
_xlfn.TEXTJOIN(":",TRUE,ROUND(BK263:BO263/MIN(IF(BK263:BO263&gt;0,BK263:BO263)),0)),
"|",
ROUND(SUM(BW263:CA263),0))</f>
        <v>1:2:2:1:1 | -803</v>
      </c>
      <c r="BW263" s="106">
        <f t="shared" ca="1" si="230"/>
        <v>-128.47999999999999</v>
      </c>
      <c r="BX263" s="106">
        <f t="shared" ca="1" si="232"/>
        <v>-192.71999999999997</v>
      </c>
      <c r="BY263" s="106">
        <f t="shared" ca="1" si="233"/>
        <v>-208.77999999999997</v>
      </c>
      <c r="BZ263" s="106">
        <f t="shared" ca="1" si="234"/>
        <v>-160.60000000000002</v>
      </c>
      <c r="CA263" s="106">
        <f t="shared" ca="1" si="231"/>
        <v>-112.41999999999996</v>
      </c>
    </row>
    <row r="264" spans="1:79" x14ac:dyDescent="0.35">
      <c r="A264" s="25" t="s">
        <v>277</v>
      </c>
      <c r="B264" s="10" t="s">
        <v>335</v>
      </c>
      <c r="C264" s="10" t="s">
        <v>343</v>
      </c>
      <c r="D264" s="10" t="s">
        <v>346</v>
      </c>
      <c r="E264" s="11">
        <v>45864</v>
      </c>
      <c r="F264" s="17">
        <v>45892</v>
      </c>
      <c r="G264" s="14">
        <f t="shared" ca="1" si="235"/>
        <v>207</v>
      </c>
      <c r="H264" s="17">
        <v>499</v>
      </c>
      <c r="I264" s="17">
        <v>275</v>
      </c>
      <c r="J264" s="75">
        <f t="shared" si="236"/>
        <v>654</v>
      </c>
      <c r="K264" s="17">
        <v>800</v>
      </c>
      <c r="L264" s="85">
        <v>146</v>
      </c>
      <c r="M264" s="86">
        <f t="shared" ca="1" si="237"/>
        <v>0.70531400966183577</v>
      </c>
      <c r="N264" s="86">
        <f t="shared" si="238"/>
        <v>0.56143292682926838</v>
      </c>
      <c r="O264" s="86">
        <f t="shared" si="239"/>
        <v>0.4451219512195122</v>
      </c>
      <c r="P264" s="87">
        <f t="shared" si="240"/>
        <v>36.5</v>
      </c>
      <c r="Q264" s="104">
        <f t="shared" si="241"/>
        <v>17.917808219178081</v>
      </c>
      <c r="R264" s="88">
        <f t="shared" si="242"/>
        <v>44.889779559118239</v>
      </c>
      <c r="S264" s="88">
        <f t="shared" si="243"/>
        <v>18.25</v>
      </c>
      <c r="T264" s="13">
        <f t="shared" si="244"/>
        <v>1</v>
      </c>
      <c r="U264" s="13">
        <f t="shared" si="245"/>
        <v>1</v>
      </c>
      <c r="V264" s="13">
        <f t="shared" si="246"/>
        <v>1</v>
      </c>
      <c r="W264" s="13">
        <f t="shared" ca="1" si="247"/>
        <v>3</v>
      </c>
      <c r="X264" s="13">
        <f t="shared" ca="1" si="248"/>
        <v>6</v>
      </c>
      <c r="Y264" s="81" t="str">
        <f t="shared" ca="1" si="249"/>
        <v>MONITOR</v>
      </c>
      <c r="Z264" s="13">
        <v>14</v>
      </c>
      <c r="AA264" s="75">
        <v>46059</v>
      </c>
      <c r="AB264" s="75">
        <f t="shared" si="250"/>
        <v>45920</v>
      </c>
      <c r="AC264" s="88">
        <f t="shared" si="251"/>
        <v>19.857142857142858</v>
      </c>
      <c r="AD264" s="89" t="str">
        <f t="shared" ca="1" si="252"/>
        <v>STABLE</v>
      </c>
      <c r="AE264" s="89" t="str">
        <f t="shared" si="253"/>
        <v>SLOW SELLING</v>
      </c>
      <c r="AF264" s="89" t="str">
        <f t="shared" si="254"/>
        <v>AT RISK</v>
      </c>
      <c r="AG264" s="89" t="str">
        <f t="shared" si="255"/>
        <v>FEASIBLE</v>
      </c>
      <c r="AH264" s="81" t="str">
        <f t="shared" ca="1" si="256"/>
        <v>MONITOR</v>
      </c>
      <c r="AI264" s="75">
        <f t="shared" ca="1" si="257"/>
        <v>0</v>
      </c>
      <c r="AJ264" s="75">
        <f t="shared" ca="1" si="258"/>
        <v>-654</v>
      </c>
      <c r="AK264" s="13">
        <f t="shared" ca="1" si="259"/>
        <v>-785</v>
      </c>
      <c r="AL264" s="79">
        <v>0.1</v>
      </c>
      <c r="AM264" s="79">
        <v>0.3</v>
      </c>
      <c r="AN264" s="79">
        <v>0.3</v>
      </c>
      <c r="AO264" s="79">
        <v>0.1</v>
      </c>
      <c r="AP264" s="79">
        <v>0.1</v>
      </c>
      <c r="AQ264" s="75">
        <f t="shared" si="260"/>
        <v>65.400000000000006</v>
      </c>
      <c r="AR264" s="75">
        <f t="shared" si="261"/>
        <v>196.2</v>
      </c>
      <c r="AS264" s="75">
        <f t="shared" si="262"/>
        <v>196.2</v>
      </c>
      <c r="AT264" s="75">
        <f t="shared" si="263"/>
        <v>65.400000000000006</v>
      </c>
      <c r="AU264" s="75">
        <f t="shared" si="264"/>
        <v>65.400000000000006</v>
      </c>
      <c r="AV264" s="13">
        <v>0.8</v>
      </c>
      <c r="AW264" s="13">
        <v>1.2</v>
      </c>
      <c r="AX264" s="13">
        <v>1.3</v>
      </c>
      <c r="AY264" s="13">
        <v>1</v>
      </c>
      <c r="AZ264" s="13">
        <v>0.7</v>
      </c>
      <c r="BA264" s="105">
        <f t="shared" si="265"/>
        <v>2.9200000000000004</v>
      </c>
      <c r="BB264" s="13">
        <f t="shared" si="266"/>
        <v>13.139999999999999</v>
      </c>
      <c r="BC264" s="13">
        <f t="shared" si="267"/>
        <v>14.234999999999999</v>
      </c>
      <c r="BD264" s="13">
        <f t="shared" si="268"/>
        <v>3.6500000000000004</v>
      </c>
      <c r="BE264" s="13">
        <f t="shared" si="269"/>
        <v>2.5550000000000002</v>
      </c>
      <c r="BF264" s="88">
        <f t="shared" si="270"/>
        <v>22.397260273972602</v>
      </c>
      <c r="BG264" s="88">
        <f t="shared" si="271"/>
        <v>14.931506849315069</v>
      </c>
      <c r="BH264" s="88">
        <f t="shared" si="272"/>
        <v>13.782929399367756</v>
      </c>
      <c r="BI264" s="88">
        <f t="shared" si="273"/>
        <v>17.917808219178081</v>
      </c>
      <c r="BJ264" s="88">
        <f t="shared" si="274"/>
        <v>25.596868884540118</v>
      </c>
      <c r="BK264" s="105">
        <f t="shared" si="275"/>
        <v>4.4648318042813454E-2</v>
      </c>
      <c r="BL264" s="105">
        <f t="shared" si="276"/>
        <v>6.6972477064220187E-2</v>
      </c>
      <c r="BM264" s="105">
        <f t="shared" si="277"/>
        <v>7.2553516819571867E-2</v>
      </c>
      <c r="BN264" s="105">
        <f t="shared" si="278"/>
        <v>5.581039755351682E-2</v>
      </c>
      <c r="BO264" s="105">
        <f t="shared" si="279"/>
        <v>3.9067278287461774E-2</v>
      </c>
      <c r="BP264" s="105">
        <f t="shared" si="280"/>
        <v>0.27905198776758411</v>
      </c>
      <c r="BQ264" s="79">
        <f t="shared" si="281"/>
        <v>0.15999999999999998</v>
      </c>
      <c r="BR264" s="79">
        <f t="shared" si="282"/>
        <v>0.24</v>
      </c>
      <c r="BS264" s="79">
        <f t="shared" si="283"/>
        <v>0.26</v>
      </c>
      <c r="BT264" s="79">
        <f t="shared" si="284"/>
        <v>0.19999999999999998</v>
      </c>
      <c r="BU264" s="79">
        <f t="shared" si="285"/>
        <v>0.13999999999999999</v>
      </c>
      <c r="BV264" s="90" t="str">
        <f t="array" aca="1" ref="BV264" ca="1">_xlfn.TEXTJOIN(" ",TRUE,
_xlfn.TEXTJOIN(":",TRUE,ROUND(BK264:BO264/MIN(IF(BK264:BO264&gt;0,BK264:BO264)),0)),
"|",
ROUND(SUM(BW264:CA264),0))</f>
        <v>1:2:2:1:1 | -785</v>
      </c>
      <c r="BW264" s="106">
        <f t="shared" ca="1" si="230"/>
        <v>-125.59999999999998</v>
      </c>
      <c r="BX264" s="106">
        <f t="shared" ca="1" si="232"/>
        <v>-188.4</v>
      </c>
      <c r="BY264" s="106">
        <f t="shared" ca="1" si="233"/>
        <v>-204.1</v>
      </c>
      <c r="BZ264" s="106">
        <f t="shared" ca="1" si="234"/>
        <v>-157</v>
      </c>
      <c r="CA264" s="106">
        <f t="shared" ca="1" si="231"/>
        <v>-109.89999999999999</v>
      </c>
    </row>
    <row r="265" spans="1:79" x14ac:dyDescent="0.35">
      <c r="A265" s="25" t="s">
        <v>278</v>
      </c>
      <c r="B265" s="10" t="s">
        <v>335</v>
      </c>
      <c r="C265" s="10" t="s">
        <v>343</v>
      </c>
      <c r="D265" s="10" t="s">
        <v>346</v>
      </c>
      <c r="E265" s="11">
        <v>45864</v>
      </c>
      <c r="F265" s="17">
        <v>45892</v>
      </c>
      <c r="G265" s="14">
        <f t="shared" ca="1" si="235"/>
        <v>207</v>
      </c>
      <c r="H265" s="17">
        <v>499</v>
      </c>
      <c r="I265" s="17">
        <v>275</v>
      </c>
      <c r="J265" s="75">
        <f t="shared" si="236"/>
        <v>608</v>
      </c>
      <c r="K265" s="17">
        <v>800</v>
      </c>
      <c r="L265" s="85">
        <v>192</v>
      </c>
      <c r="M265" s="86">
        <f t="shared" ca="1" si="237"/>
        <v>0.92753623188405798</v>
      </c>
      <c r="N265" s="86">
        <f t="shared" si="238"/>
        <v>0.56143292682926838</v>
      </c>
      <c r="O265" s="86">
        <f t="shared" si="239"/>
        <v>0.58536585365853655</v>
      </c>
      <c r="P265" s="87">
        <f t="shared" si="240"/>
        <v>48</v>
      </c>
      <c r="Q265" s="104">
        <f t="shared" si="241"/>
        <v>12.666666666666666</v>
      </c>
      <c r="R265" s="88">
        <f t="shared" si="242"/>
        <v>44.889779559118239</v>
      </c>
      <c r="S265" s="88">
        <f t="shared" si="243"/>
        <v>24</v>
      </c>
      <c r="T265" s="13">
        <f t="shared" si="244"/>
        <v>3</v>
      </c>
      <c r="U265" s="13">
        <f t="shared" si="245"/>
        <v>1</v>
      </c>
      <c r="V265" s="13">
        <f t="shared" si="246"/>
        <v>1</v>
      </c>
      <c r="W265" s="13">
        <f t="shared" ca="1" si="247"/>
        <v>3</v>
      </c>
      <c r="X265" s="13">
        <f t="shared" ca="1" si="248"/>
        <v>8</v>
      </c>
      <c r="Y265" s="81" t="str">
        <f t="shared" ca="1" si="249"/>
        <v>MONITOR</v>
      </c>
      <c r="Z265" s="13">
        <v>14</v>
      </c>
      <c r="AA265" s="75">
        <v>46059</v>
      </c>
      <c r="AB265" s="75">
        <f t="shared" si="250"/>
        <v>45920</v>
      </c>
      <c r="AC265" s="88">
        <f t="shared" si="251"/>
        <v>19.857142857142858</v>
      </c>
      <c r="AD265" s="89" t="str">
        <f t="shared" ca="1" si="252"/>
        <v>STABLE</v>
      </c>
      <c r="AE265" s="89" t="str">
        <f t="shared" si="253"/>
        <v>FAST SELLING</v>
      </c>
      <c r="AF265" s="89" t="str">
        <f t="shared" si="254"/>
        <v>AT RISK</v>
      </c>
      <c r="AG265" s="89" t="str">
        <f t="shared" si="255"/>
        <v>FEASIBLE</v>
      </c>
      <c r="AH265" s="81" t="str">
        <f t="shared" ca="1" si="256"/>
        <v>MONITOR</v>
      </c>
      <c r="AI265" s="75">
        <f t="shared" ca="1" si="257"/>
        <v>0</v>
      </c>
      <c r="AJ265" s="75">
        <f t="shared" ca="1" si="258"/>
        <v>-608</v>
      </c>
      <c r="AK265" s="13">
        <f t="shared" ca="1" si="259"/>
        <v>-730</v>
      </c>
      <c r="AL265" s="79">
        <v>0.1</v>
      </c>
      <c r="AM265" s="79">
        <v>0.3</v>
      </c>
      <c r="AN265" s="79">
        <v>0.3</v>
      </c>
      <c r="AO265" s="79">
        <v>0.1</v>
      </c>
      <c r="AP265" s="79">
        <v>0.1</v>
      </c>
      <c r="AQ265" s="75">
        <f t="shared" si="260"/>
        <v>60.800000000000004</v>
      </c>
      <c r="AR265" s="75">
        <f t="shared" si="261"/>
        <v>182.4</v>
      </c>
      <c r="AS265" s="75">
        <f t="shared" si="262"/>
        <v>182.4</v>
      </c>
      <c r="AT265" s="75">
        <f t="shared" si="263"/>
        <v>60.800000000000004</v>
      </c>
      <c r="AU265" s="75">
        <f t="shared" si="264"/>
        <v>60.800000000000004</v>
      </c>
      <c r="AV265" s="13">
        <v>0.8</v>
      </c>
      <c r="AW265" s="13">
        <v>1.2</v>
      </c>
      <c r="AX265" s="13">
        <v>1.3</v>
      </c>
      <c r="AY265" s="13">
        <v>1</v>
      </c>
      <c r="AZ265" s="13">
        <v>0.7</v>
      </c>
      <c r="BA265" s="105">
        <f t="shared" si="265"/>
        <v>3.8400000000000007</v>
      </c>
      <c r="BB265" s="13">
        <f t="shared" si="266"/>
        <v>17.279999999999998</v>
      </c>
      <c r="BC265" s="13">
        <f t="shared" si="267"/>
        <v>18.72</v>
      </c>
      <c r="BD265" s="13">
        <f t="shared" si="268"/>
        <v>4.8000000000000007</v>
      </c>
      <c r="BE265" s="13">
        <f t="shared" si="269"/>
        <v>3.3600000000000003</v>
      </c>
      <c r="BF265" s="88">
        <f t="shared" si="270"/>
        <v>15.833333333333332</v>
      </c>
      <c r="BG265" s="88">
        <f t="shared" si="271"/>
        <v>10.555555555555557</v>
      </c>
      <c r="BH265" s="88">
        <f t="shared" si="272"/>
        <v>9.7435897435897445</v>
      </c>
      <c r="BI265" s="88">
        <f t="shared" si="273"/>
        <v>12.666666666666666</v>
      </c>
      <c r="BJ265" s="88">
        <f t="shared" si="274"/>
        <v>18.095238095238095</v>
      </c>
      <c r="BK265" s="105">
        <f t="shared" si="275"/>
        <v>6.3157894736842107E-2</v>
      </c>
      <c r="BL265" s="105">
        <f t="shared" si="276"/>
        <v>9.4736842105263147E-2</v>
      </c>
      <c r="BM265" s="105">
        <f t="shared" si="277"/>
        <v>0.10263157894736841</v>
      </c>
      <c r="BN265" s="105">
        <f t="shared" si="278"/>
        <v>7.8947368421052641E-2</v>
      </c>
      <c r="BO265" s="105">
        <f t="shared" si="279"/>
        <v>5.526315789473684E-2</v>
      </c>
      <c r="BP265" s="105">
        <f t="shared" si="280"/>
        <v>0.39473684210526316</v>
      </c>
      <c r="BQ265" s="79">
        <f t="shared" si="281"/>
        <v>0.16</v>
      </c>
      <c r="BR265" s="79">
        <f t="shared" si="282"/>
        <v>0.23999999999999996</v>
      </c>
      <c r="BS265" s="79">
        <f t="shared" si="283"/>
        <v>0.25999999999999995</v>
      </c>
      <c r="BT265" s="79">
        <f t="shared" si="284"/>
        <v>0.2</v>
      </c>
      <c r="BU265" s="79">
        <f t="shared" si="285"/>
        <v>0.13999999999999999</v>
      </c>
      <c r="BV265" s="90" t="str">
        <f t="array" aca="1" ref="BV265" ca="1">_xlfn.TEXTJOIN(" ",TRUE,
_xlfn.TEXTJOIN(":",TRUE,ROUND(BK265:BO265/MIN(IF(BK265:BO265&gt;0,BK265:BO265)),0)),
"|",
ROUND(SUM(BW265:CA265),0))</f>
        <v>1:2:2:1:1 | -730</v>
      </c>
      <c r="BW265" s="106">
        <f t="shared" ca="1" si="230"/>
        <v>-116.8</v>
      </c>
      <c r="BX265" s="106">
        <f t="shared" ca="1" si="232"/>
        <v>-175.19999999999996</v>
      </c>
      <c r="BY265" s="106">
        <f t="shared" ca="1" si="233"/>
        <v>-189.79999999999995</v>
      </c>
      <c r="BZ265" s="106">
        <f t="shared" ca="1" si="234"/>
        <v>-146</v>
      </c>
      <c r="CA265" s="106">
        <f t="shared" ca="1" si="231"/>
        <v>-102.19999999999999</v>
      </c>
    </row>
    <row r="266" spans="1:79" x14ac:dyDescent="0.35">
      <c r="A266" s="25" t="s">
        <v>279</v>
      </c>
      <c r="B266" s="10" t="s">
        <v>335</v>
      </c>
      <c r="C266" s="10" t="s">
        <v>343</v>
      </c>
      <c r="D266" s="10" t="s">
        <v>346</v>
      </c>
      <c r="E266" s="11">
        <v>45864</v>
      </c>
      <c r="F266" s="17">
        <v>45892</v>
      </c>
      <c r="G266" s="14">
        <f t="shared" ca="1" si="235"/>
        <v>207</v>
      </c>
      <c r="H266" s="17">
        <v>499</v>
      </c>
      <c r="I266" s="17">
        <v>275</v>
      </c>
      <c r="J266" s="75">
        <f t="shared" si="236"/>
        <v>697</v>
      </c>
      <c r="K266" s="17">
        <v>800</v>
      </c>
      <c r="L266" s="85">
        <v>103</v>
      </c>
      <c r="M266" s="86">
        <f t="shared" ca="1" si="237"/>
        <v>0.49758454106280192</v>
      </c>
      <c r="N266" s="86">
        <f t="shared" si="238"/>
        <v>0.56143292682926838</v>
      </c>
      <c r="O266" s="86">
        <f t="shared" si="239"/>
        <v>0.31402439024390244</v>
      </c>
      <c r="P266" s="87">
        <f t="shared" si="240"/>
        <v>25.75</v>
      </c>
      <c r="Q266" s="104">
        <f t="shared" si="241"/>
        <v>27.067961165048544</v>
      </c>
      <c r="R266" s="88">
        <f t="shared" si="242"/>
        <v>44.889779559118239</v>
      </c>
      <c r="S266" s="88">
        <f t="shared" si="243"/>
        <v>12.875</v>
      </c>
      <c r="T266" s="13">
        <f t="shared" si="244"/>
        <v>1</v>
      </c>
      <c r="U266" s="13">
        <f t="shared" si="245"/>
        <v>1</v>
      </c>
      <c r="V266" s="13">
        <f t="shared" si="246"/>
        <v>1</v>
      </c>
      <c r="W266" s="13">
        <f t="shared" ca="1" si="247"/>
        <v>3</v>
      </c>
      <c r="X266" s="13">
        <f t="shared" ca="1" si="248"/>
        <v>6</v>
      </c>
      <c r="Y266" s="81" t="str">
        <f t="shared" ca="1" si="249"/>
        <v>MONITOR</v>
      </c>
      <c r="Z266" s="13">
        <v>14</v>
      </c>
      <c r="AA266" s="75">
        <v>46059</v>
      </c>
      <c r="AB266" s="75">
        <f t="shared" si="250"/>
        <v>45920</v>
      </c>
      <c r="AC266" s="88">
        <f t="shared" si="251"/>
        <v>19.857142857142858</v>
      </c>
      <c r="AD266" s="89" t="str">
        <f t="shared" ca="1" si="252"/>
        <v>STABLE</v>
      </c>
      <c r="AE266" s="89" t="str">
        <f t="shared" si="253"/>
        <v>SLOW SELLING</v>
      </c>
      <c r="AF266" s="89" t="str">
        <f t="shared" si="254"/>
        <v>AT RISK</v>
      </c>
      <c r="AG266" s="89" t="str">
        <f t="shared" si="255"/>
        <v>FEASIBLE</v>
      </c>
      <c r="AH266" s="81" t="str">
        <f t="shared" ca="1" si="256"/>
        <v>MONITOR</v>
      </c>
      <c r="AI266" s="75">
        <f t="shared" ca="1" si="257"/>
        <v>0</v>
      </c>
      <c r="AJ266" s="75">
        <f t="shared" ca="1" si="258"/>
        <v>-697</v>
      </c>
      <c r="AK266" s="13">
        <f t="shared" ca="1" si="259"/>
        <v>-836</v>
      </c>
      <c r="AL266" s="79">
        <v>0.1</v>
      </c>
      <c r="AM266" s="79">
        <v>0.3</v>
      </c>
      <c r="AN266" s="79">
        <v>0.3</v>
      </c>
      <c r="AO266" s="79">
        <v>0.1</v>
      </c>
      <c r="AP266" s="79">
        <v>0.1</v>
      </c>
      <c r="AQ266" s="75">
        <f t="shared" si="260"/>
        <v>69.7</v>
      </c>
      <c r="AR266" s="75">
        <f t="shared" si="261"/>
        <v>209.1</v>
      </c>
      <c r="AS266" s="75">
        <f t="shared" si="262"/>
        <v>209.1</v>
      </c>
      <c r="AT266" s="75">
        <f t="shared" si="263"/>
        <v>69.7</v>
      </c>
      <c r="AU266" s="75">
        <f t="shared" si="264"/>
        <v>69.7</v>
      </c>
      <c r="AV266" s="13">
        <v>0.8</v>
      </c>
      <c r="AW266" s="13">
        <v>1.2</v>
      </c>
      <c r="AX266" s="13">
        <v>1.3</v>
      </c>
      <c r="AY266" s="13">
        <v>1</v>
      </c>
      <c r="AZ266" s="13">
        <v>0.7</v>
      </c>
      <c r="BA266" s="105">
        <f t="shared" si="265"/>
        <v>2.06</v>
      </c>
      <c r="BB266" s="13">
        <f t="shared" si="266"/>
        <v>9.27</v>
      </c>
      <c r="BC266" s="13">
        <f t="shared" si="267"/>
        <v>10.0425</v>
      </c>
      <c r="BD266" s="13">
        <f t="shared" si="268"/>
        <v>2.5750000000000002</v>
      </c>
      <c r="BE266" s="13">
        <f t="shared" si="269"/>
        <v>1.8025</v>
      </c>
      <c r="BF266" s="88">
        <f t="shared" si="270"/>
        <v>33.834951456310677</v>
      </c>
      <c r="BG266" s="88">
        <f t="shared" si="271"/>
        <v>22.556634304207119</v>
      </c>
      <c r="BH266" s="88">
        <f t="shared" si="272"/>
        <v>20.82150858849888</v>
      </c>
      <c r="BI266" s="88">
        <f t="shared" si="273"/>
        <v>27.067961165048544</v>
      </c>
      <c r="BJ266" s="88">
        <f t="shared" si="274"/>
        <v>38.668515950069349</v>
      </c>
      <c r="BK266" s="105">
        <f t="shared" si="275"/>
        <v>2.9555236728837878E-2</v>
      </c>
      <c r="BL266" s="105">
        <f t="shared" si="276"/>
        <v>4.4332855093256816E-2</v>
      </c>
      <c r="BM266" s="105">
        <f t="shared" si="277"/>
        <v>4.8027259684361549E-2</v>
      </c>
      <c r="BN266" s="105">
        <f t="shared" si="278"/>
        <v>3.6944045911047343E-2</v>
      </c>
      <c r="BO266" s="105">
        <f t="shared" si="279"/>
        <v>2.5860832137733141E-2</v>
      </c>
      <c r="BP266" s="105">
        <f t="shared" si="280"/>
        <v>0.18472022955523673</v>
      </c>
      <c r="BQ266" s="79">
        <f t="shared" si="281"/>
        <v>0.16</v>
      </c>
      <c r="BR266" s="79">
        <f t="shared" si="282"/>
        <v>0.24</v>
      </c>
      <c r="BS266" s="79">
        <f t="shared" si="283"/>
        <v>0.26</v>
      </c>
      <c r="BT266" s="79">
        <f t="shared" si="284"/>
        <v>0.19999999999999998</v>
      </c>
      <c r="BU266" s="79">
        <f t="shared" si="285"/>
        <v>0.13999999999999999</v>
      </c>
      <c r="BV266" s="90" t="str">
        <f t="array" aca="1" ref="BV266" ca="1">_xlfn.TEXTJOIN(" ",TRUE,
_xlfn.TEXTJOIN(":",TRUE,ROUND(BK266:BO266/MIN(IF(BK266:BO266&gt;0,BK266:BO266)),0)),
"|",
ROUND(SUM(BW266:CA266),0))</f>
        <v>1:2:2:1:1 | -836</v>
      </c>
      <c r="BW266" s="106">
        <f t="shared" ca="1" si="230"/>
        <v>-133.76</v>
      </c>
      <c r="BX266" s="106">
        <f t="shared" ca="1" si="232"/>
        <v>-200.64</v>
      </c>
      <c r="BY266" s="106">
        <f t="shared" ca="1" si="233"/>
        <v>-217.36</v>
      </c>
      <c r="BZ266" s="106">
        <f t="shared" ca="1" si="234"/>
        <v>-167.2</v>
      </c>
      <c r="CA266" s="106">
        <f t="shared" ca="1" si="231"/>
        <v>-117.03999999999999</v>
      </c>
    </row>
    <row r="267" spans="1:79" x14ac:dyDescent="0.35">
      <c r="A267" s="25" t="s">
        <v>280</v>
      </c>
      <c r="B267" s="10" t="s">
        <v>335</v>
      </c>
      <c r="C267" s="10" t="s">
        <v>343</v>
      </c>
      <c r="D267" s="10" t="s">
        <v>346</v>
      </c>
      <c r="E267" s="11">
        <v>45920</v>
      </c>
      <c r="F267" s="17">
        <v>45892</v>
      </c>
      <c r="G267" s="14">
        <f t="shared" ca="1" si="235"/>
        <v>207</v>
      </c>
      <c r="H267" s="17">
        <v>999</v>
      </c>
      <c r="I267" s="17">
        <v>400</v>
      </c>
      <c r="J267" s="75">
        <f t="shared" si="236"/>
        <v>750</v>
      </c>
      <c r="K267" s="17">
        <v>750</v>
      </c>
      <c r="L267" s="89">
        <v>0</v>
      </c>
      <c r="M267" s="86">
        <f t="shared" ca="1" si="237"/>
        <v>0</v>
      </c>
      <c r="N267" s="86">
        <f t="shared" si="238"/>
        <v>0.56143292682926838</v>
      </c>
      <c r="O267" s="86">
        <f t="shared" si="239"/>
        <v>0</v>
      </c>
      <c r="P267" s="87">
        <f t="shared" si="240"/>
        <v>0</v>
      </c>
      <c r="Q267" s="104" t="e">
        <f t="shared" si="241"/>
        <v>#DIV/0!</v>
      </c>
      <c r="R267" s="88">
        <f t="shared" si="242"/>
        <v>59.95995995995996</v>
      </c>
      <c r="S267" s="88">
        <f t="shared" si="243"/>
        <v>0</v>
      </c>
      <c r="T267" s="13">
        <f t="shared" si="244"/>
        <v>1</v>
      </c>
      <c r="U267" s="13" t="e">
        <f t="shared" si="245"/>
        <v>#DIV/0!</v>
      </c>
      <c r="V267" s="13">
        <f t="shared" si="246"/>
        <v>2</v>
      </c>
      <c r="W267" s="13">
        <f t="shared" ca="1" si="247"/>
        <v>3</v>
      </c>
      <c r="X267" s="13" t="e">
        <f t="shared" ca="1" si="248"/>
        <v>#DIV/0!</v>
      </c>
      <c r="Y267" s="81" t="str">
        <f t="shared" ca="1" si="249"/>
        <v>EXIT</v>
      </c>
      <c r="Z267" s="13">
        <v>14</v>
      </c>
      <c r="AA267" s="75">
        <v>46059</v>
      </c>
      <c r="AB267" s="75">
        <f t="shared" si="250"/>
        <v>45920</v>
      </c>
      <c r="AC267" s="88">
        <f t="shared" si="251"/>
        <v>19.857142857142858</v>
      </c>
      <c r="AD267" s="89" t="str">
        <f t="shared" ca="1" si="252"/>
        <v>STABLE</v>
      </c>
      <c r="AE267" s="89" t="str">
        <f t="shared" si="253"/>
        <v>SLOW SELLING</v>
      </c>
      <c r="AF267" s="89" t="e">
        <f t="shared" si="254"/>
        <v>#DIV/0!</v>
      </c>
      <c r="AG267" s="89" t="str">
        <f t="shared" si="255"/>
        <v>FEASIBLE</v>
      </c>
      <c r="AH267" s="81" t="str">
        <f t="shared" ca="1" si="256"/>
        <v>MONITOR</v>
      </c>
      <c r="AI267" s="75">
        <f t="shared" ca="1" si="257"/>
        <v>0</v>
      </c>
      <c r="AJ267" s="75">
        <f t="shared" ca="1" si="258"/>
        <v>-750</v>
      </c>
      <c r="AK267" s="13">
        <f t="shared" ca="1" si="259"/>
        <v>-900</v>
      </c>
      <c r="AL267" s="79">
        <v>0.1</v>
      </c>
      <c r="AM267" s="79">
        <v>0.3</v>
      </c>
      <c r="AN267" s="79">
        <v>0.3</v>
      </c>
      <c r="AO267" s="79">
        <v>0.1</v>
      </c>
      <c r="AP267" s="79">
        <v>0.1</v>
      </c>
      <c r="AQ267" s="75">
        <f t="shared" si="260"/>
        <v>75</v>
      </c>
      <c r="AR267" s="75">
        <f t="shared" si="261"/>
        <v>225</v>
      </c>
      <c r="AS267" s="75">
        <f t="shared" si="262"/>
        <v>225</v>
      </c>
      <c r="AT267" s="75">
        <f t="shared" si="263"/>
        <v>75</v>
      </c>
      <c r="AU267" s="75">
        <f t="shared" si="264"/>
        <v>75</v>
      </c>
      <c r="AV267" s="13">
        <v>0.8</v>
      </c>
      <c r="AW267" s="13">
        <v>1.2</v>
      </c>
      <c r="AX267" s="13">
        <v>1.3</v>
      </c>
      <c r="AY267" s="13">
        <v>1</v>
      </c>
      <c r="AZ267" s="13">
        <v>0.7</v>
      </c>
      <c r="BA267" s="105">
        <f t="shared" si="265"/>
        <v>0</v>
      </c>
      <c r="BB267" s="13">
        <f t="shared" si="266"/>
        <v>0</v>
      </c>
      <c r="BC267" s="13">
        <f t="shared" si="267"/>
        <v>0</v>
      </c>
      <c r="BD267" s="13">
        <f t="shared" si="268"/>
        <v>0</v>
      </c>
      <c r="BE267" s="13">
        <f t="shared" si="269"/>
        <v>0</v>
      </c>
      <c r="BF267" s="88" t="e">
        <f t="shared" si="270"/>
        <v>#DIV/0!</v>
      </c>
      <c r="BG267" s="88" t="e">
        <f t="shared" si="271"/>
        <v>#DIV/0!</v>
      </c>
      <c r="BH267" s="88" t="e">
        <f t="shared" si="272"/>
        <v>#DIV/0!</v>
      </c>
      <c r="BI267" s="88" t="e">
        <f t="shared" si="273"/>
        <v>#DIV/0!</v>
      </c>
      <c r="BJ267" s="88" t="e">
        <f t="shared" si="274"/>
        <v>#DIV/0!</v>
      </c>
      <c r="BK267" s="105" t="e">
        <f t="shared" si="275"/>
        <v>#DIV/0!</v>
      </c>
      <c r="BL267" s="105" t="e">
        <f t="shared" si="276"/>
        <v>#DIV/0!</v>
      </c>
      <c r="BM267" s="105" t="e">
        <f t="shared" si="277"/>
        <v>#DIV/0!</v>
      </c>
      <c r="BN267" s="105" t="e">
        <f t="shared" si="278"/>
        <v>#DIV/0!</v>
      </c>
      <c r="BO267" s="105" t="e">
        <f t="shared" si="279"/>
        <v>#DIV/0!</v>
      </c>
      <c r="BP267" s="105" t="e">
        <f t="shared" si="280"/>
        <v>#DIV/0!</v>
      </c>
      <c r="BQ267" s="79" t="e">
        <f t="shared" si="281"/>
        <v>#DIV/0!</v>
      </c>
      <c r="BR267" s="79" t="e">
        <f t="shared" si="282"/>
        <v>#DIV/0!</v>
      </c>
      <c r="BS267" s="79" t="e">
        <f t="shared" si="283"/>
        <v>#DIV/0!</v>
      </c>
      <c r="BT267" s="79" t="e">
        <f t="shared" si="284"/>
        <v>#DIV/0!</v>
      </c>
      <c r="BU267" s="79" t="e">
        <f t="shared" si="285"/>
        <v>#DIV/0!</v>
      </c>
      <c r="BV267" s="90" t="e">
        <f t="array" aca="1" ref="BV267" ca="1">_xlfn.TEXTJOIN(" ",TRUE,
_xlfn.TEXTJOIN(":",TRUE,ROUND(BK267:BO267/MIN(IF(BK267:BO267&gt;0,BK267:BO267)),0)),
"|",
ROUND(SUM(BW267:CA267),0))</f>
        <v>#DIV/0!</v>
      </c>
      <c r="BW267" s="106" t="e">
        <f t="shared" ca="1" si="230"/>
        <v>#DIV/0!</v>
      </c>
      <c r="BX267" s="106" t="e">
        <f t="shared" ca="1" si="232"/>
        <v>#DIV/0!</v>
      </c>
      <c r="BY267" s="106" t="e">
        <f t="shared" ca="1" si="233"/>
        <v>#DIV/0!</v>
      </c>
      <c r="BZ267" s="106" t="e">
        <f t="shared" ca="1" si="234"/>
        <v>#DIV/0!</v>
      </c>
      <c r="CA267" s="106" t="e">
        <f t="shared" ca="1" si="231"/>
        <v>#DIV/0!</v>
      </c>
    </row>
    <row r="268" spans="1:79" x14ac:dyDescent="0.35">
      <c r="A268" s="25" t="s">
        <v>281</v>
      </c>
      <c r="B268" s="10" t="s">
        <v>335</v>
      </c>
      <c r="C268" s="10" t="s">
        <v>343</v>
      </c>
      <c r="D268" s="10" t="s">
        <v>346</v>
      </c>
      <c r="E268" s="11">
        <v>45920</v>
      </c>
      <c r="F268" s="17">
        <v>45892</v>
      </c>
      <c r="G268" s="14">
        <f t="shared" ca="1" si="235"/>
        <v>207</v>
      </c>
      <c r="H268" s="17">
        <v>799</v>
      </c>
      <c r="I268" s="17">
        <v>325</v>
      </c>
      <c r="J268" s="75">
        <f t="shared" si="236"/>
        <v>909</v>
      </c>
      <c r="K268" s="17">
        <v>1050</v>
      </c>
      <c r="L268" s="85">
        <v>141</v>
      </c>
      <c r="M268" s="86">
        <f t="shared" ca="1" si="237"/>
        <v>0.6811594202898551</v>
      </c>
      <c r="N268" s="86">
        <f t="shared" si="238"/>
        <v>0.56143292682926838</v>
      </c>
      <c r="O268" s="86">
        <f t="shared" si="239"/>
        <v>0.4298780487804878</v>
      </c>
      <c r="P268" s="87">
        <f t="shared" si="240"/>
        <v>35.25</v>
      </c>
      <c r="Q268" s="104">
        <f t="shared" si="241"/>
        <v>25.787234042553191</v>
      </c>
      <c r="R268" s="88">
        <f t="shared" si="242"/>
        <v>59.324155193992489</v>
      </c>
      <c r="S268" s="88">
        <f t="shared" si="243"/>
        <v>13.428571428571429</v>
      </c>
      <c r="T268" s="13">
        <f t="shared" si="244"/>
        <v>1</v>
      </c>
      <c r="U268" s="13">
        <f t="shared" si="245"/>
        <v>1</v>
      </c>
      <c r="V268" s="13">
        <f t="shared" si="246"/>
        <v>2</v>
      </c>
      <c r="W268" s="13">
        <f t="shared" ca="1" si="247"/>
        <v>3</v>
      </c>
      <c r="X268" s="13">
        <f t="shared" ca="1" si="248"/>
        <v>7</v>
      </c>
      <c r="Y268" s="81" t="str">
        <f t="shared" ca="1" si="249"/>
        <v>MONITOR</v>
      </c>
      <c r="Z268" s="13">
        <v>14</v>
      </c>
      <c r="AA268" s="75">
        <v>46059</v>
      </c>
      <c r="AB268" s="75">
        <f t="shared" si="250"/>
        <v>45920</v>
      </c>
      <c r="AC268" s="88">
        <f t="shared" si="251"/>
        <v>19.857142857142858</v>
      </c>
      <c r="AD268" s="89" t="str">
        <f t="shared" ca="1" si="252"/>
        <v>STABLE</v>
      </c>
      <c r="AE268" s="89" t="str">
        <f t="shared" si="253"/>
        <v>SLOW SELLING</v>
      </c>
      <c r="AF268" s="89" t="str">
        <f t="shared" si="254"/>
        <v>AT RISK</v>
      </c>
      <c r="AG268" s="89" t="str">
        <f t="shared" si="255"/>
        <v>FEASIBLE</v>
      </c>
      <c r="AH268" s="81" t="str">
        <f t="shared" ca="1" si="256"/>
        <v>MONITOR</v>
      </c>
      <c r="AI268" s="75">
        <f t="shared" ca="1" si="257"/>
        <v>0</v>
      </c>
      <c r="AJ268" s="75">
        <f t="shared" ca="1" si="258"/>
        <v>-909</v>
      </c>
      <c r="AK268" s="13">
        <f t="shared" ca="1" si="259"/>
        <v>-1091</v>
      </c>
      <c r="AL268" s="79">
        <v>0.1</v>
      </c>
      <c r="AM268" s="79">
        <v>0.3</v>
      </c>
      <c r="AN268" s="79">
        <v>0.3</v>
      </c>
      <c r="AO268" s="79">
        <v>0.1</v>
      </c>
      <c r="AP268" s="79">
        <v>0.1</v>
      </c>
      <c r="AQ268" s="75">
        <f t="shared" si="260"/>
        <v>90.9</v>
      </c>
      <c r="AR268" s="75">
        <f t="shared" si="261"/>
        <v>272.7</v>
      </c>
      <c r="AS268" s="75">
        <f t="shared" si="262"/>
        <v>272.7</v>
      </c>
      <c r="AT268" s="75">
        <f t="shared" si="263"/>
        <v>90.9</v>
      </c>
      <c r="AU268" s="75">
        <f t="shared" si="264"/>
        <v>90.9</v>
      </c>
      <c r="AV268" s="13">
        <v>0.8</v>
      </c>
      <c r="AW268" s="13">
        <v>1.2</v>
      </c>
      <c r="AX268" s="13">
        <v>1.3</v>
      </c>
      <c r="AY268" s="13">
        <v>1</v>
      </c>
      <c r="AZ268" s="13">
        <v>0.7</v>
      </c>
      <c r="BA268" s="105">
        <f t="shared" si="265"/>
        <v>2.8200000000000003</v>
      </c>
      <c r="BB268" s="13">
        <f t="shared" si="266"/>
        <v>12.69</v>
      </c>
      <c r="BC268" s="13">
        <f t="shared" si="267"/>
        <v>13.747499999999999</v>
      </c>
      <c r="BD268" s="13">
        <f t="shared" si="268"/>
        <v>3.5250000000000004</v>
      </c>
      <c r="BE268" s="13">
        <f t="shared" si="269"/>
        <v>2.4675000000000002</v>
      </c>
      <c r="BF268" s="88">
        <f t="shared" si="270"/>
        <v>32.234042553191486</v>
      </c>
      <c r="BG268" s="88">
        <f t="shared" si="271"/>
        <v>21.48936170212766</v>
      </c>
      <c r="BH268" s="88">
        <f t="shared" si="272"/>
        <v>19.836333878887071</v>
      </c>
      <c r="BI268" s="88">
        <f t="shared" si="273"/>
        <v>25.787234042553191</v>
      </c>
      <c r="BJ268" s="88">
        <f t="shared" si="274"/>
        <v>36.838905775075986</v>
      </c>
      <c r="BK268" s="105">
        <f t="shared" si="275"/>
        <v>3.1023102310231025E-2</v>
      </c>
      <c r="BL268" s="105">
        <f t="shared" si="276"/>
        <v>4.6534653465346534E-2</v>
      </c>
      <c r="BM268" s="105">
        <f t="shared" si="277"/>
        <v>5.0412541254125413E-2</v>
      </c>
      <c r="BN268" s="105">
        <f t="shared" si="278"/>
        <v>3.8778877887788776E-2</v>
      </c>
      <c r="BO268" s="105">
        <f t="shared" si="279"/>
        <v>2.7145214521452146E-2</v>
      </c>
      <c r="BP268" s="105">
        <f t="shared" si="280"/>
        <v>0.19389438943894388</v>
      </c>
      <c r="BQ268" s="79">
        <f t="shared" si="281"/>
        <v>0.16000000000000003</v>
      </c>
      <c r="BR268" s="79">
        <f t="shared" si="282"/>
        <v>0.24000000000000002</v>
      </c>
      <c r="BS268" s="79">
        <f t="shared" si="283"/>
        <v>0.26</v>
      </c>
      <c r="BT268" s="79">
        <f t="shared" si="284"/>
        <v>0.2</v>
      </c>
      <c r="BU268" s="79">
        <f t="shared" si="285"/>
        <v>0.14000000000000001</v>
      </c>
      <c r="BV268" s="90" t="str">
        <f t="array" aca="1" ref="BV268" ca="1">_xlfn.TEXTJOIN(" ",TRUE,
_xlfn.TEXTJOIN(":",TRUE,ROUND(BK268:BO268/MIN(IF(BK268:BO268&gt;0,BK268:BO268)),0)),
"|",
ROUND(SUM(BW268:CA268),0))</f>
        <v>1:2:2:1:1 | -1091</v>
      </c>
      <c r="BW268" s="106">
        <f t="shared" ca="1" si="230"/>
        <v>-174.56000000000003</v>
      </c>
      <c r="BX268" s="106">
        <f t="shared" ca="1" si="232"/>
        <v>-261.84000000000003</v>
      </c>
      <c r="BY268" s="106">
        <f t="shared" ca="1" si="233"/>
        <v>-283.66000000000003</v>
      </c>
      <c r="BZ268" s="106">
        <f t="shared" ca="1" si="234"/>
        <v>-218.20000000000002</v>
      </c>
      <c r="CA268" s="106">
        <f t="shared" ca="1" si="231"/>
        <v>-152.74</v>
      </c>
    </row>
    <row r="269" spans="1:79" x14ac:dyDescent="0.35">
      <c r="A269" s="25" t="s">
        <v>282</v>
      </c>
      <c r="B269" s="10" t="s">
        <v>338</v>
      </c>
      <c r="C269" s="10" t="s">
        <v>343</v>
      </c>
      <c r="D269" s="10" t="s">
        <v>346</v>
      </c>
      <c r="E269" s="11">
        <v>45920</v>
      </c>
      <c r="F269" s="17">
        <v>45892</v>
      </c>
      <c r="G269" s="14">
        <f t="shared" ca="1" si="235"/>
        <v>207</v>
      </c>
      <c r="H269" s="17">
        <v>799</v>
      </c>
      <c r="I269" s="17">
        <v>385</v>
      </c>
      <c r="J269" s="75">
        <f t="shared" si="236"/>
        <v>727</v>
      </c>
      <c r="K269" s="17">
        <v>1050</v>
      </c>
      <c r="L269" s="85">
        <v>323</v>
      </c>
      <c r="M269" s="86">
        <f t="shared" ca="1" si="237"/>
        <v>1.5603864734299517</v>
      </c>
      <c r="N269" s="86">
        <f t="shared" si="238"/>
        <v>0.56143292682926838</v>
      </c>
      <c r="O269" s="86">
        <f t="shared" si="239"/>
        <v>0.9847560975609756</v>
      </c>
      <c r="P269" s="87">
        <f t="shared" si="240"/>
        <v>80.75</v>
      </c>
      <c r="Q269" s="104">
        <f t="shared" si="241"/>
        <v>9.0030959752321973</v>
      </c>
      <c r="R269" s="88">
        <f t="shared" si="242"/>
        <v>51.814768460575721</v>
      </c>
      <c r="S269" s="88">
        <f t="shared" si="243"/>
        <v>30.761904761904763</v>
      </c>
      <c r="T269" s="13">
        <f t="shared" si="244"/>
        <v>3</v>
      </c>
      <c r="U269" s="13">
        <f t="shared" si="245"/>
        <v>1</v>
      </c>
      <c r="V269" s="13">
        <f t="shared" si="246"/>
        <v>2</v>
      </c>
      <c r="W269" s="13">
        <f t="shared" ca="1" si="247"/>
        <v>3</v>
      </c>
      <c r="X269" s="13">
        <f t="shared" ca="1" si="248"/>
        <v>9</v>
      </c>
      <c r="Y269" s="81" t="str">
        <f t="shared" ca="1" si="249"/>
        <v>RE-BUY</v>
      </c>
      <c r="Z269" s="13">
        <v>14</v>
      </c>
      <c r="AA269" s="75">
        <v>46059</v>
      </c>
      <c r="AB269" s="75">
        <f t="shared" si="250"/>
        <v>45920</v>
      </c>
      <c r="AC269" s="88">
        <f t="shared" si="251"/>
        <v>19.857142857142858</v>
      </c>
      <c r="AD269" s="89" t="str">
        <f t="shared" ca="1" si="252"/>
        <v>STABLE</v>
      </c>
      <c r="AE269" s="89" t="str">
        <f t="shared" si="253"/>
        <v>FAST SELLING</v>
      </c>
      <c r="AF269" s="89" t="str">
        <f t="shared" si="254"/>
        <v>AT RISK</v>
      </c>
      <c r="AG269" s="89" t="str">
        <f t="shared" si="255"/>
        <v>FEASIBLE</v>
      </c>
      <c r="AH269" s="81" t="str">
        <f t="shared" ca="1" si="256"/>
        <v>IMMEDIATE REBUY</v>
      </c>
      <c r="AI269" s="75">
        <f t="shared" ca="1" si="257"/>
        <v>962.07857142857142</v>
      </c>
      <c r="AJ269" s="75">
        <f t="shared" ca="1" si="258"/>
        <v>235.07857142857142</v>
      </c>
      <c r="AK269" s="13">
        <f t="shared" ca="1" si="259"/>
        <v>282</v>
      </c>
      <c r="AL269" s="79">
        <v>0.1</v>
      </c>
      <c r="AM269" s="79">
        <v>0.3</v>
      </c>
      <c r="AN269" s="79">
        <v>0.3</v>
      </c>
      <c r="AO269" s="79">
        <v>0.1</v>
      </c>
      <c r="AP269" s="79">
        <v>0.1</v>
      </c>
      <c r="AQ269" s="75">
        <f t="shared" si="260"/>
        <v>72.7</v>
      </c>
      <c r="AR269" s="75">
        <f t="shared" si="261"/>
        <v>218.1</v>
      </c>
      <c r="AS269" s="75">
        <f t="shared" si="262"/>
        <v>218.1</v>
      </c>
      <c r="AT269" s="75">
        <f t="shared" si="263"/>
        <v>72.7</v>
      </c>
      <c r="AU269" s="75">
        <f t="shared" si="264"/>
        <v>72.7</v>
      </c>
      <c r="AV269" s="13">
        <v>0.8</v>
      </c>
      <c r="AW269" s="13">
        <v>1.2</v>
      </c>
      <c r="AX269" s="13">
        <v>1.3</v>
      </c>
      <c r="AY269" s="13">
        <v>1</v>
      </c>
      <c r="AZ269" s="13">
        <v>0.7</v>
      </c>
      <c r="BA269" s="105">
        <f t="shared" si="265"/>
        <v>6.4600000000000009</v>
      </c>
      <c r="BB269" s="13">
        <f t="shared" si="266"/>
        <v>29.069999999999997</v>
      </c>
      <c r="BC269" s="13">
        <f t="shared" si="267"/>
        <v>31.4925</v>
      </c>
      <c r="BD269" s="13">
        <f t="shared" si="268"/>
        <v>8.0750000000000011</v>
      </c>
      <c r="BE269" s="13">
        <f t="shared" si="269"/>
        <v>5.6525000000000007</v>
      </c>
      <c r="BF269" s="88">
        <f t="shared" si="270"/>
        <v>11.253869969040247</v>
      </c>
      <c r="BG269" s="88">
        <f t="shared" si="271"/>
        <v>7.5025799793601662</v>
      </c>
      <c r="BH269" s="88">
        <f t="shared" si="272"/>
        <v>6.9254584424863062</v>
      </c>
      <c r="BI269" s="88">
        <f t="shared" si="273"/>
        <v>9.0030959752321973</v>
      </c>
      <c r="BJ269" s="88">
        <f t="shared" si="274"/>
        <v>12.861565678903139</v>
      </c>
      <c r="BK269" s="105">
        <f t="shared" si="275"/>
        <v>8.8858321870701515E-2</v>
      </c>
      <c r="BL269" s="105">
        <f t="shared" si="276"/>
        <v>0.13328748280605224</v>
      </c>
      <c r="BM269" s="105">
        <f t="shared" si="277"/>
        <v>0.14439477303988996</v>
      </c>
      <c r="BN269" s="105">
        <f t="shared" si="278"/>
        <v>0.1110729023383769</v>
      </c>
      <c r="BO269" s="105">
        <f t="shared" si="279"/>
        <v>7.7751031636863838E-2</v>
      </c>
      <c r="BP269" s="105">
        <f t="shared" si="280"/>
        <v>0.5553645116918845</v>
      </c>
      <c r="BQ269" s="79">
        <f t="shared" si="281"/>
        <v>0.16</v>
      </c>
      <c r="BR269" s="79">
        <f t="shared" si="282"/>
        <v>0.23999999999999994</v>
      </c>
      <c r="BS269" s="79">
        <f t="shared" si="283"/>
        <v>0.25999999999999995</v>
      </c>
      <c r="BT269" s="79">
        <f t="shared" si="284"/>
        <v>0.19999999999999998</v>
      </c>
      <c r="BU269" s="79">
        <f t="shared" si="285"/>
        <v>0.14000000000000001</v>
      </c>
      <c r="BV269" s="90" t="str">
        <f t="array" aca="1" ref="BV269" ca="1">_xlfn.TEXTJOIN(" ",TRUE,
_xlfn.TEXTJOIN(":",TRUE,ROUND(BK269:BO269/MIN(IF(BK269:BO269&gt;0,BK269:BO269)),0)),
"|",
ROUND(SUM(BW269:CA269),0))</f>
        <v>1:2:2:1:1 | 282</v>
      </c>
      <c r="BW269" s="106">
        <f t="shared" ref="BW269:BW300" ca="1" si="286">AK269*BQ269</f>
        <v>45.12</v>
      </c>
      <c r="BX269" s="106">
        <f t="shared" ca="1" si="232"/>
        <v>67.679999999999978</v>
      </c>
      <c r="BY269" s="106">
        <f t="shared" ca="1" si="233"/>
        <v>73.319999999999993</v>
      </c>
      <c r="BZ269" s="106">
        <f t="shared" ca="1" si="234"/>
        <v>56.4</v>
      </c>
      <c r="CA269" s="106">
        <f t="shared" ca="1" si="231"/>
        <v>39.480000000000004</v>
      </c>
    </row>
    <row r="270" spans="1:79" x14ac:dyDescent="0.35">
      <c r="A270" s="25" t="s">
        <v>283</v>
      </c>
      <c r="B270" s="10" t="s">
        <v>335</v>
      </c>
      <c r="C270" s="10" t="s">
        <v>343</v>
      </c>
      <c r="D270" s="10" t="s">
        <v>346</v>
      </c>
      <c r="E270" s="11">
        <v>45885</v>
      </c>
      <c r="F270" s="17">
        <v>45892</v>
      </c>
      <c r="G270" s="14">
        <f t="shared" ca="1" si="235"/>
        <v>207</v>
      </c>
      <c r="H270" s="17">
        <v>799</v>
      </c>
      <c r="I270" s="17">
        <v>345</v>
      </c>
      <c r="J270" s="75">
        <f t="shared" si="236"/>
        <v>467</v>
      </c>
      <c r="K270" s="17">
        <v>750</v>
      </c>
      <c r="L270" s="85">
        <v>283</v>
      </c>
      <c r="M270" s="86">
        <f t="shared" ca="1" si="237"/>
        <v>1.3671497584541064</v>
      </c>
      <c r="N270" s="86">
        <f t="shared" si="238"/>
        <v>0.56143292682926838</v>
      </c>
      <c r="O270" s="86">
        <f t="shared" si="239"/>
        <v>0.86280487804878048</v>
      </c>
      <c r="P270" s="87">
        <f t="shared" si="240"/>
        <v>70.75</v>
      </c>
      <c r="Q270" s="104">
        <f t="shared" si="241"/>
        <v>6.6007067137809186</v>
      </c>
      <c r="R270" s="88">
        <f t="shared" si="242"/>
        <v>56.821026282853573</v>
      </c>
      <c r="S270" s="88">
        <f t="shared" si="243"/>
        <v>37.733333333333334</v>
      </c>
      <c r="T270" s="13">
        <f t="shared" si="244"/>
        <v>3</v>
      </c>
      <c r="U270" s="13">
        <f t="shared" si="245"/>
        <v>1</v>
      </c>
      <c r="V270" s="13">
        <f t="shared" si="246"/>
        <v>2</v>
      </c>
      <c r="W270" s="13">
        <f t="shared" ca="1" si="247"/>
        <v>3</v>
      </c>
      <c r="X270" s="13">
        <f t="shared" ca="1" si="248"/>
        <v>9</v>
      </c>
      <c r="Y270" s="81" t="str">
        <f t="shared" ca="1" si="249"/>
        <v>RE-BUY</v>
      </c>
      <c r="Z270" s="13">
        <v>14</v>
      </c>
      <c r="AA270" s="75">
        <v>46059</v>
      </c>
      <c r="AB270" s="75">
        <f t="shared" si="250"/>
        <v>45920</v>
      </c>
      <c r="AC270" s="88">
        <f t="shared" si="251"/>
        <v>19.857142857142858</v>
      </c>
      <c r="AD270" s="89" t="str">
        <f t="shared" ca="1" si="252"/>
        <v>STABLE</v>
      </c>
      <c r="AE270" s="89" t="str">
        <f t="shared" si="253"/>
        <v>FAST SELLING</v>
      </c>
      <c r="AF270" s="89" t="str">
        <f t="shared" si="254"/>
        <v>AT RISK</v>
      </c>
      <c r="AG270" s="89" t="str">
        <f t="shared" si="255"/>
        <v>FEASIBLE</v>
      </c>
      <c r="AH270" s="81" t="str">
        <f t="shared" ca="1" si="256"/>
        <v>IMMEDIATE REBUY</v>
      </c>
      <c r="AI270" s="75">
        <f t="shared" ca="1" si="257"/>
        <v>842.9357142857142</v>
      </c>
      <c r="AJ270" s="75">
        <f t="shared" ca="1" si="258"/>
        <v>375.9357142857142</v>
      </c>
      <c r="AK270" s="13">
        <f t="shared" ca="1" si="259"/>
        <v>451</v>
      </c>
      <c r="AL270" s="79">
        <v>0.1</v>
      </c>
      <c r="AM270" s="79">
        <v>0.3</v>
      </c>
      <c r="AN270" s="79">
        <v>0.3</v>
      </c>
      <c r="AO270" s="79">
        <v>0.1</v>
      </c>
      <c r="AP270" s="79">
        <v>0.1</v>
      </c>
      <c r="AQ270" s="75">
        <f t="shared" si="260"/>
        <v>46.7</v>
      </c>
      <c r="AR270" s="75">
        <f t="shared" si="261"/>
        <v>140.1</v>
      </c>
      <c r="AS270" s="75">
        <f t="shared" si="262"/>
        <v>140.1</v>
      </c>
      <c r="AT270" s="75">
        <f t="shared" si="263"/>
        <v>46.7</v>
      </c>
      <c r="AU270" s="75">
        <f t="shared" si="264"/>
        <v>46.7</v>
      </c>
      <c r="AV270" s="13">
        <v>0.8</v>
      </c>
      <c r="AW270" s="13">
        <v>1.2</v>
      </c>
      <c r="AX270" s="13">
        <v>1.3</v>
      </c>
      <c r="AY270" s="13">
        <v>1</v>
      </c>
      <c r="AZ270" s="13">
        <v>0.7</v>
      </c>
      <c r="BA270" s="105">
        <f t="shared" si="265"/>
        <v>5.66</v>
      </c>
      <c r="BB270" s="13">
        <f t="shared" si="266"/>
        <v>25.469999999999995</v>
      </c>
      <c r="BC270" s="13">
        <f t="shared" si="267"/>
        <v>27.592499999999998</v>
      </c>
      <c r="BD270" s="13">
        <f t="shared" si="268"/>
        <v>7.0750000000000002</v>
      </c>
      <c r="BE270" s="13">
        <f t="shared" si="269"/>
        <v>4.9524999999999997</v>
      </c>
      <c r="BF270" s="88">
        <f t="shared" si="270"/>
        <v>8.2508833922261484</v>
      </c>
      <c r="BG270" s="88">
        <f t="shared" si="271"/>
        <v>5.5005889281507665</v>
      </c>
      <c r="BH270" s="88">
        <f t="shared" si="272"/>
        <v>5.0774667029083993</v>
      </c>
      <c r="BI270" s="88">
        <f t="shared" si="273"/>
        <v>6.6007067137809186</v>
      </c>
      <c r="BJ270" s="88">
        <f t="shared" si="274"/>
        <v>9.4295810196870278</v>
      </c>
      <c r="BK270" s="105">
        <f t="shared" si="275"/>
        <v>0.12119914346895075</v>
      </c>
      <c r="BL270" s="105">
        <f t="shared" si="276"/>
        <v>0.18179871520342608</v>
      </c>
      <c r="BM270" s="105">
        <f t="shared" si="277"/>
        <v>0.19694860813704496</v>
      </c>
      <c r="BN270" s="105">
        <f t="shared" si="278"/>
        <v>0.15149892933618844</v>
      </c>
      <c r="BO270" s="105">
        <f t="shared" si="279"/>
        <v>0.10604925053533189</v>
      </c>
      <c r="BP270" s="105">
        <f t="shared" si="280"/>
        <v>0.75749464668094213</v>
      </c>
      <c r="BQ270" s="79">
        <f t="shared" si="281"/>
        <v>0.16</v>
      </c>
      <c r="BR270" s="79">
        <f t="shared" si="282"/>
        <v>0.23999999999999996</v>
      </c>
      <c r="BS270" s="79">
        <f t="shared" si="283"/>
        <v>0.26</v>
      </c>
      <c r="BT270" s="79">
        <f t="shared" si="284"/>
        <v>0.2</v>
      </c>
      <c r="BU270" s="79">
        <f t="shared" si="285"/>
        <v>0.13999999999999999</v>
      </c>
      <c r="BV270" s="90" t="str">
        <f t="array" aca="1" ref="BV270" ca="1">_xlfn.TEXTJOIN(" ",TRUE,
_xlfn.TEXTJOIN(":",TRUE,ROUND(BK270:BO270/MIN(IF(BK270:BO270&gt;0,BK270:BO270)),0)),
"|",
ROUND(SUM(BW270:CA270),0))</f>
        <v>1:2:2:1:1 | 451</v>
      </c>
      <c r="BW270" s="106">
        <f t="shared" ca="1" si="286"/>
        <v>72.16</v>
      </c>
      <c r="BX270" s="106">
        <f t="shared" ca="1" si="232"/>
        <v>108.23999999999998</v>
      </c>
      <c r="BY270" s="106">
        <f t="shared" ca="1" si="233"/>
        <v>117.26</v>
      </c>
      <c r="BZ270" s="106">
        <f t="shared" ca="1" si="234"/>
        <v>90.2</v>
      </c>
      <c r="CA270" s="106">
        <f t="shared" ca="1" si="231"/>
        <v>63.139999999999993</v>
      </c>
    </row>
    <row r="271" spans="1:79" x14ac:dyDescent="0.35">
      <c r="A271" s="25" t="s">
        <v>284</v>
      </c>
      <c r="B271" s="10" t="s">
        <v>335</v>
      </c>
      <c r="C271" s="10" t="s">
        <v>343</v>
      </c>
      <c r="D271" s="10" t="s">
        <v>346</v>
      </c>
      <c r="E271" s="11">
        <v>45885</v>
      </c>
      <c r="F271" s="17">
        <v>45892</v>
      </c>
      <c r="G271" s="14">
        <f t="shared" ca="1" si="235"/>
        <v>207</v>
      </c>
      <c r="H271" s="17">
        <v>799</v>
      </c>
      <c r="I271" s="17">
        <v>345</v>
      </c>
      <c r="J271" s="75">
        <f t="shared" si="236"/>
        <v>544</v>
      </c>
      <c r="K271" s="17">
        <v>750</v>
      </c>
      <c r="L271" s="85">
        <v>206</v>
      </c>
      <c r="M271" s="86">
        <f t="shared" ca="1" si="237"/>
        <v>0.99516908212560384</v>
      </c>
      <c r="N271" s="86">
        <f t="shared" si="238"/>
        <v>0.56143292682926838</v>
      </c>
      <c r="O271" s="86">
        <f t="shared" si="239"/>
        <v>0.62804878048780488</v>
      </c>
      <c r="P271" s="87">
        <f t="shared" si="240"/>
        <v>51.5</v>
      </c>
      <c r="Q271" s="104">
        <f t="shared" si="241"/>
        <v>10.563106796116505</v>
      </c>
      <c r="R271" s="88">
        <f t="shared" si="242"/>
        <v>56.821026282853573</v>
      </c>
      <c r="S271" s="88">
        <f t="shared" si="243"/>
        <v>27.466666666666669</v>
      </c>
      <c r="T271" s="13">
        <f t="shared" si="244"/>
        <v>3</v>
      </c>
      <c r="U271" s="13">
        <f t="shared" si="245"/>
        <v>1</v>
      </c>
      <c r="V271" s="13">
        <f t="shared" si="246"/>
        <v>2</v>
      </c>
      <c r="W271" s="13">
        <f t="shared" ca="1" si="247"/>
        <v>3</v>
      </c>
      <c r="X271" s="13">
        <f t="shared" ca="1" si="248"/>
        <v>9</v>
      </c>
      <c r="Y271" s="81" t="str">
        <f t="shared" ca="1" si="249"/>
        <v>RE-BUY</v>
      </c>
      <c r="Z271" s="13">
        <v>14</v>
      </c>
      <c r="AA271" s="75">
        <v>46059</v>
      </c>
      <c r="AB271" s="75">
        <f t="shared" si="250"/>
        <v>45920</v>
      </c>
      <c r="AC271" s="88">
        <f t="shared" si="251"/>
        <v>19.857142857142858</v>
      </c>
      <c r="AD271" s="89" t="str">
        <f t="shared" ca="1" si="252"/>
        <v>STABLE</v>
      </c>
      <c r="AE271" s="89" t="str">
        <f t="shared" si="253"/>
        <v>FAST SELLING</v>
      </c>
      <c r="AF271" s="89" t="str">
        <f t="shared" si="254"/>
        <v>AT RISK</v>
      </c>
      <c r="AG271" s="89" t="str">
        <f t="shared" si="255"/>
        <v>FEASIBLE</v>
      </c>
      <c r="AH271" s="81" t="str">
        <f t="shared" ca="1" si="256"/>
        <v>IMMEDIATE REBUY</v>
      </c>
      <c r="AI271" s="75">
        <f t="shared" ca="1" si="257"/>
        <v>613.58571428571429</v>
      </c>
      <c r="AJ271" s="75">
        <f t="shared" ca="1" si="258"/>
        <v>69.585714285714289</v>
      </c>
      <c r="AK271" s="13">
        <f t="shared" ca="1" si="259"/>
        <v>84</v>
      </c>
      <c r="AL271" s="79">
        <v>0.1</v>
      </c>
      <c r="AM271" s="79">
        <v>0.3</v>
      </c>
      <c r="AN271" s="79">
        <v>0.3</v>
      </c>
      <c r="AO271" s="79">
        <v>0.1</v>
      </c>
      <c r="AP271" s="79">
        <v>0.1</v>
      </c>
      <c r="AQ271" s="75">
        <f t="shared" si="260"/>
        <v>54.400000000000006</v>
      </c>
      <c r="AR271" s="75">
        <f t="shared" si="261"/>
        <v>163.19999999999999</v>
      </c>
      <c r="AS271" s="75">
        <f t="shared" si="262"/>
        <v>163.19999999999999</v>
      </c>
      <c r="AT271" s="75">
        <f t="shared" si="263"/>
        <v>54.400000000000006</v>
      </c>
      <c r="AU271" s="75">
        <f t="shared" si="264"/>
        <v>54.400000000000006</v>
      </c>
      <c r="AV271" s="13">
        <v>0.8</v>
      </c>
      <c r="AW271" s="13">
        <v>1.2</v>
      </c>
      <c r="AX271" s="13">
        <v>1.3</v>
      </c>
      <c r="AY271" s="13">
        <v>1</v>
      </c>
      <c r="AZ271" s="13">
        <v>0.7</v>
      </c>
      <c r="BA271" s="105">
        <f t="shared" si="265"/>
        <v>4.12</v>
      </c>
      <c r="BB271" s="13">
        <f t="shared" si="266"/>
        <v>18.54</v>
      </c>
      <c r="BC271" s="13">
        <f t="shared" si="267"/>
        <v>20.085000000000001</v>
      </c>
      <c r="BD271" s="13">
        <f t="shared" si="268"/>
        <v>5.15</v>
      </c>
      <c r="BE271" s="13">
        <f t="shared" si="269"/>
        <v>3.605</v>
      </c>
      <c r="BF271" s="88">
        <f t="shared" si="270"/>
        <v>13.203883495145632</v>
      </c>
      <c r="BG271" s="88">
        <f t="shared" si="271"/>
        <v>8.8025889967637543</v>
      </c>
      <c r="BH271" s="88">
        <f t="shared" si="272"/>
        <v>8.1254667662434645</v>
      </c>
      <c r="BI271" s="88">
        <f t="shared" si="273"/>
        <v>10.563106796116505</v>
      </c>
      <c r="BJ271" s="88">
        <f t="shared" si="274"/>
        <v>15.090152565880723</v>
      </c>
      <c r="BK271" s="105">
        <f t="shared" si="275"/>
        <v>7.5735294117647053E-2</v>
      </c>
      <c r="BL271" s="105">
        <f t="shared" si="276"/>
        <v>0.11360294117647059</v>
      </c>
      <c r="BM271" s="105">
        <f t="shared" si="277"/>
        <v>0.12306985294117648</v>
      </c>
      <c r="BN271" s="105">
        <f t="shared" si="278"/>
        <v>9.466911764705882E-2</v>
      </c>
      <c r="BO271" s="105">
        <f t="shared" si="279"/>
        <v>6.6268382352941163E-2</v>
      </c>
      <c r="BP271" s="105">
        <f t="shared" si="280"/>
        <v>0.47334558823529405</v>
      </c>
      <c r="BQ271" s="79">
        <f t="shared" si="281"/>
        <v>0.16</v>
      </c>
      <c r="BR271" s="79">
        <f t="shared" si="282"/>
        <v>0.24000000000000005</v>
      </c>
      <c r="BS271" s="79">
        <f t="shared" si="283"/>
        <v>0.26000000000000006</v>
      </c>
      <c r="BT271" s="79">
        <f t="shared" si="284"/>
        <v>0.2</v>
      </c>
      <c r="BU271" s="79">
        <f t="shared" si="285"/>
        <v>0.13999999999999999</v>
      </c>
      <c r="BV271" s="90" t="str">
        <f t="array" aca="1" ref="BV271" ca="1">_xlfn.TEXTJOIN(" ",TRUE,
_xlfn.TEXTJOIN(":",TRUE,ROUND(BK271:BO271/MIN(IF(BK271:BO271&gt;0,BK271:BO271)),0)),
"|",
ROUND(SUM(BW271:CA271),0))</f>
        <v>1:2:2:1:1 | 84</v>
      </c>
      <c r="BW271" s="106">
        <f t="shared" ca="1" si="286"/>
        <v>13.44</v>
      </c>
      <c r="BX271" s="106">
        <f t="shared" ca="1" si="232"/>
        <v>20.160000000000004</v>
      </c>
      <c r="BY271" s="106">
        <f t="shared" ca="1" si="233"/>
        <v>21.840000000000007</v>
      </c>
      <c r="BZ271" s="106">
        <f t="shared" ca="1" si="234"/>
        <v>16.8</v>
      </c>
      <c r="CA271" s="106">
        <f t="shared" ca="1" si="231"/>
        <v>11.759999999999998</v>
      </c>
    </row>
    <row r="272" spans="1:79" x14ac:dyDescent="0.35">
      <c r="A272" s="25" t="s">
        <v>285</v>
      </c>
      <c r="B272" s="10" t="s">
        <v>335</v>
      </c>
      <c r="C272" s="10" t="s">
        <v>343</v>
      </c>
      <c r="D272" s="10" t="s">
        <v>346</v>
      </c>
      <c r="E272" s="11">
        <v>45885</v>
      </c>
      <c r="F272" s="17">
        <v>45892</v>
      </c>
      <c r="G272" s="14">
        <f t="shared" ca="1" si="235"/>
        <v>207</v>
      </c>
      <c r="H272" s="17">
        <v>799</v>
      </c>
      <c r="I272" s="17">
        <v>345</v>
      </c>
      <c r="J272" s="75">
        <f t="shared" si="236"/>
        <v>519</v>
      </c>
      <c r="K272" s="17">
        <v>750</v>
      </c>
      <c r="L272" s="85">
        <v>231</v>
      </c>
      <c r="M272" s="86">
        <f t="shared" ca="1" si="237"/>
        <v>1.1159420289855073</v>
      </c>
      <c r="N272" s="86">
        <f t="shared" si="238"/>
        <v>0.56143292682926838</v>
      </c>
      <c r="O272" s="86">
        <f t="shared" si="239"/>
        <v>0.70426829268292679</v>
      </c>
      <c r="P272" s="87">
        <f t="shared" si="240"/>
        <v>57.75</v>
      </c>
      <c r="Q272" s="104">
        <f t="shared" si="241"/>
        <v>8.9870129870129869</v>
      </c>
      <c r="R272" s="88">
        <f t="shared" si="242"/>
        <v>56.821026282853573</v>
      </c>
      <c r="S272" s="88">
        <f t="shared" si="243"/>
        <v>30.8</v>
      </c>
      <c r="T272" s="13">
        <f t="shared" si="244"/>
        <v>3</v>
      </c>
      <c r="U272" s="13">
        <f t="shared" si="245"/>
        <v>1</v>
      </c>
      <c r="V272" s="13">
        <f t="shared" si="246"/>
        <v>2</v>
      </c>
      <c r="W272" s="13">
        <f t="shared" ca="1" si="247"/>
        <v>3</v>
      </c>
      <c r="X272" s="13">
        <f t="shared" ca="1" si="248"/>
        <v>9</v>
      </c>
      <c r="Y272" s="81" t="str">
        <f t="shared" ca="1" si="249"/>
        <v>RE-BUY</v>
      </c>
      <c r="Z272" s="13">
        <v>14</v>
      </c>
      <c r="AA272" s="75">
        <v>46059</v>
      </c>
      <c r="AB272" s="75">
        <f t="shared" si="250"/>
        <v>45920</v>
      </c>
      <c r="AC272" s="88">
        <f t="shared" si="251"/>
        <v>19.857142857142858</v>
      </c>
      <c r="AD272" s="89" t="str">
        <f t="shared" ca="1" si="252"/>
        <v>STABLE</v>
      </c>
      <c r="AE272" s="89" t="str">
        <f t="shared" si="253"/>
        <v>FAST SELLING</v>
      </c>
      <c r="AF272" s="89" t="str">
        <f t="shared" si="254"/>
        <v>AT RISK</v>
      </c>
      <c r="AG272" s="89" t="str">
        <f t="shared" si="255"/>
        <v>FEASIBLE</v>
      </c>
      <c r="AH272" s="81" t="str">
        <f t="shared" ca="1" si="256"/>
        <v>IMMEDIATE REBUY</v>
      </c>
      <c r="AI272" s="75">
        <f t="shared" ca="1" si="257"/>
        <v>688.05</v>
      </c>
      <c r="AJ272" s="75">
        <f t="shared" ca="1" si="258"/>
        <v>169.04999999999995</v>
      </c>
      <c r="AK272" s="13">
        <f t="shared" ca="1" si="259"/>
        <v>203</v>
      </c>
      <c r="AL272" s="79">
        <v>0.1</v>
      </c>
      <c r="AM272" s="79">
        <v>0.3</v>
      </c>
      <c r="AN272" s="79">
        <v>0.3</v>
      </c>
      <c r="AO272" s="79">
        <v>0.1</v>
      </c>
      <c r="AP272" s="79">
        <v>0.1</v>
      </c>
      <c r="AQ272" s="75">
        <f t="shared" si="260"/>
        <v>51.900000000000006</v>
      </c>
      <c r="AR272" s="75">
        <f t="shared" si="261"/>
        <v>155.69999999999999</v>
      </c>
      <c r="AS272" s="75">
        <f t="shared" si="262"/>
        <v>155.69999999999999</v>
      </c>
      <c r="AT272" s="75">
        <f t="shared" si="263"/>
        <v>51.900000000000006</v>
      </c>
      <c r="AU272" s="75">
        <f t="shared" si="264"/>
        <v>51.900000000000006</v>
      </c>
      <c r="AV272" s="13">
        <v>0.8</v>
      </c>
      <c r="AW272" s="13">
        <v>1.2</v>
      </c>
      <c r="AX272" s="13">
        <v>1.3</v>
      </c>
      <c r="AY272" s="13">
        <v>1</v>
      </c>
      <c r="AZ272" s="13">
        <v>0.7</v>
      </c>
      <c r="BA272" s="105">
        <f t="shared" si="265"/>
        <v>4.62</v>
      </c>
      <c r="BB272" s="13">
        <f t="shared" si="266"/>
        <v>20.79</v>
      </c>
      <c r="BC272" s="13">
        <f t="shared" si="267"/>
        <v>22.522500000000001</v>
      </c>
      <c r="BD272" s="13">
        <f t="shared" si="268"/>
        <v>5.7750000000000004</v>
      </c>
      <c r="BE272" s="13">
        <f t="shared" si="269"/>
        <v>4.0425000000000004</v>
      </c>
      <c r="BF272" s="88">
        <f t="shared" si="270"/>
        <v>11.233766233766234</v>
      </c>
      <c r="BG272" s="88">
        <f t="shared" si="271"/>
        <v>7.4891774891774894</v>
      </c>
      <c r="BH272" s="88">
        <f t="shared" si="272"/>
        <v>6.9130869130869126</v>
      </c>
      <c r="BI272" s="88">
        <f t="shared" si="273"/>
        <v>8.9870129870129869</v>
      </c>
      <c r="BJ272" s="88">
        <f t="shared" si="274"/>
        <v>12.838589981447125</v>
      </c>
      <c r="BK272" s="105">
        <f t="shared" si="275"/>
        <v>8.9017341040462425E-2</v>
      </c>
      <c r="BL272" s="105">
        <f t="shared" si="276"/>
        <v>0.13352601156069363</v>
      </c>
      <c r="BM272" s="105">
        <f t="shared" si="277"/>
        <v>0.14465317919075146</v>
      </c>
      <c r="BN272" s="105">
        <f t="shared" si="278"/>
        <v>0.11127167630057803</v>
      </c>
      <c r="BO272" s="105">
        <f t="shared" si="279"/>
        <v>7.789017341040462E-2</v>
      </c>
      <c r="BP272" s="105">
        <f t="shared" si="280"/>
        <v>0.55635838150289019</v>
      </c>
      <c r="BQ272" s="79">
        <f t="shared" si="281"/>
        <v>0.16</v>
      </c>
      <c r="BR272" s="79">
        <f t="shared" si="282"/>
        <v>0.23999999999999996</v>
      </c>
      <c r="BS272" s="79">
        <f t="shared" si="283"/>
        <v>0.26</v>
      </c>
      <c r="BT272" s="79">
        <f t="shared" si="284"/>
        <v>0.19999999999999998</v>
      </c>
      <c r="BU272" s="79">
        <f t="shared" si="285"/>
        <v>0.13999999999999999</v>
      </c>
      <c r="BV272" s="90" t="str">
        <f t="array" aca="1" ref="BV272" ca="1">_xlfn.TEXTJOIN(" ",TRUE,
_xlfn.TEXTJOIN(":",TRUE,ROUND(BK272:BO272/MIN(IF(BK272:BO272&gt;0,BK272:BO272)),0)),
"|",
ROUND(SUM(BW272:CA272),0))</f>
        <v>1:2:2:1:1 | 203</v>
      </c>
      <c r="BW272" s="106">
        <f t="shared" ca="1" si="286"/>
        <v>32.480000000000004</v>
      </c>
      <c r="BX272" s="106">
        <f t="shared" ca="1" si="232"/>
        <v>48.719999999999992</v>
      </c>
      <c r="BY272" s="106">
        <f t="shared" ca="1" si="233"/>
        <v>52.78</v>
      </c>
      <c r="BZ272" s="106">
        <f t="shared" ca="1" si="234"/>
        <v>40.599999999999994</v>
      </c>
      <c r="CA272" s="106">
        <f t="shared" ca="1" si="231"/>
        <v>28.419999999999998</v>
      </c>
    </row>
    <row r="273" spans="1:79" x14ac:dyDescent="0.35">
      <c r="A273" s="25" t="s">
        <v>286</v>
      </c>
      <c r="B273" s="10" t="s">
        <v>335</v>
      </c>
      <c r="C273" s="10" t="s">
        <v>343</v>
      </c>
      <c r="D273" s="10" t="s">
        <v>346</v>
      </c>
      <c r="E273" s="11">
        <v>45885</v>
      </c>
      <c r="F273" s="17">
        <v>45892</v>
      </c>
      <c r="G273" s="14">
        <f t="shared" ca="1" si="235"/>
        <v>207</v>
      </c>
      <c r="H273" s="17">
        <v>799</v>
      </c>
      <c r="I273" s="17">
        <v>345</v>
      </c>
      <c r="J273" s="75">
        <f t="shared" si="236"/>
        <v>594</v>
      </c>
      <c r="K273" s="17">
        <v>750</v>
      </c>
      <c r="L273" s="85">
        <v>156</v>
      </c>
      <c r="M273" s="86">
        <f t="shared" ca="1" si="237"/>
        <v>0.75362318840579712</v>
      </c>
      <c r="N273" s="86">
        <f t="shared" si="238"/>
        <v>0.56143292682926838</v>
      </c>
      <c r="O273" s="86">
        <f t="shared" si="239"/>
        <v>0.47560975609756095</v>
      </c>
      <c r="P273" s="87">
        <f t="shared" si="240"/>
        <v>39</v>
      </c>
      <c r="Q273" s="104">
        <f t="shared" si="241"/>
        <v>15.23076923076923</v>
      </c>
      <c r="R273" s="88">
        <f t="shared" si="242"/>
        <v>56.821026282853573</v>
      </c>
      <c r="S273" s="88">
        <f t="shared" si="243"/>
        <v>20.8</v>
      </c>
      <c r="T273" s="13">
        <f t="shared" si="244"/>
        <v>2</v>
      </c>
      <c r="U273" s="13">
        <f t="shared" si="245"/>
        <v>1</v>
      </c>
      <c r="V273" s="13">
        <f t="shared" si="246"/>
        <v>2</v>
      </c>
      <c r="W273" s="13">
        <f t="shared" ca="1" si="247"/>
        <v>3</v>
      </c>
      <c r="X273" s="13">
        <f t="shared" ca="1" si="248"/>
        <v>8</v>
      </c>
      <c r="Y273" s="81" t="str">
        <f t="shared" ca="1" si="249"/>
        <v>MONITOR</v>
      </c>
      <c r="Z273" s="13">
        <v>14</v>
      </c>
      <c r="AA273" s="75">
        <v>46059</v>
      </c>
      <c r="AB273" s="75">
        <f t="shared" si="250"/>
        <v>45920</v>
      </c>
      <c r="AC273" s="88">
        <f t="shared" si="251"/>
        <v>19.857142857142858</v>
      </c>
      <c r="AD273" s="89" t="str">
        <f t="shared" ca="1" si="252"/>
        <v>STABLE</v>
      </c>
      <c r="AE273" s="89" t="str">
        <f t="shared" si="253"/>
        <v>SLOW SELLING</v>
      </c>
      <c r="AF273" s="89" t="str">
        <f t="shared" si="254"/>
        <v>AT RISK</v>
      </c>
      <c r="AG273" s="89" t="str">
        <f t="shared" si="255"/>
        <v>FEASIBLE</v>
      </c>
      <c r="AH273" s="81" t="str">
        <f t="shared" ca="1" si="256"/>
        <v>MONITOR</v>
      </c>
      <c r="AI273" s="75">
        <f t="shared" ca="1" si="257"/>
        <v>0</v>
      </c>
      <c r="AJ273" s="75">
        <f t="shared" ca="1" si="258"/>
        <v>-594</v>
      </c>
      <c r="AK273" s="13">
        <f t="shared" ca="1" si="259"/>
        <v>-713</v>
      </c>
      <c r="AL273" s="79">
        <v>0.1</v>
      </c>
      <c r="AM273" s="79">
        <v>0.3</v>
      </c>
      <c r="AN273" s="79">
        <v>0.3</v>
      </c>
      <c r="AO273" s="79">
        <v>0.1</v>
      </c>
      <c r="AP273" s="79">
        <v>0.1</v>
      </c>
      <c r="AQ273" s="75">
        <f t="shared" si="260"/>
        <v>59.400000000000006</v>
      </c>
      <c r="AR273" s="75">
        <f t="shared" si="261"/>
        <v>178.2</v>
      </c>
      <c r="AS273" s="75">
        <f t="shared" si="262"/>
        <v>178.2</v>
      </c>
      <c r="AT273" s="75">
        <f t="shared" si="263"/>
        <v>59.400000000000006</v>
      </c>
      <c r="AU273" s="75">
        <f t="shared" si="264"/>
        <v>59.400000000000006</v>
      </c>
      <c r="AV273" s="13">
        <v>0.8</v>
      </c>
      <c r="AW273" s="13">
        <v>1.2</v>
      </c>
      <c r="AX273" s="13">
        <v>1.3</v>
      </c>
      <c r="AY273" s="13">
        <v>1</v>
      </c>
      <c r="AZ273" s="13">
        <v>0.7</v>
      </c>
      <c r="BA273" s="105">
        <f t="shared" si="265"/>
        <v>3.1200000000000006</v>
      </c>
      <c r="BB273" s="13">
        <f t="shared" si="266"/>
        <v>14.04</v>
      </c>
      <c r="BC273" s="13">
        <f t="shared" si="267"/>
        <v>15.209999999999999</v>
      </c>
      <c r="BD273" s="13">
        <f t="shared" si="268"/>
        <v>3.9000000000000004</v>
      </c>
      <c r="BE273" s="13">
        <f t="shared" si="269"/>
        <v>2.73</v>
      </c>
      <c r="BF273" s="88">
        <f t="shared" si="270"/>
        <v>19.038461538461537</v>
      </c>
      <c r="BG273" s="88">
        <f t="shared" si="271"/>
        <v>12.692307692307692</v>
      </c>
      <c r="BH273" s="88">
        <f t="shared" si="272"/>
        <v>11.715976331360947</v>
      </c>
      <c r="BI273" s="88">
        <f t="shared" si="273"/>
        <v>15.230769230769232</v>
      </c>
      <c r="BJ273" s="88">
        <f t="shared" si="274"/>
        <v>21.758241758241759</v>
      </c>
      <c r="BK273" s="105">
        <f t="shared" si="275"/>
        <v>5.252525252525253E-2</v>
      </c>
      <c r="BL273" s="105">
        <f t="shared" si="276"/>
        <v>7.8787878787878796E-2</v>
      </c>
      <c r="BM273" s="105">
        <f t="shared" si="277"/>
        <v>8.5353535353535348E-2</v>
      </c>
      <c r="BN273" s="105">
        <f t="shared" si="278"/>
        <v>6.5656565656565649E-2</v>
      </c>
      <c r="BO273" s="105">
        <f t="shared" si="279"/>
        <v>4.5959595959595957E-2</v>
      </c>
      <c r="BP273" s="105">
        <f t="shared" si="280"/>
        <v>0.32828282828282829</v>
      </c>
      <c r="BQ273" s="79">
        <f t="shared" si="281"/>
        <v>0.16</v>
      </c>
      <c r="BR273" s="79">
        <f t="shared" si="282"/>
        <v>0.24000000000000002</v>
      </c>
      <c r="BS273" s="79">
        <f t="shared" si="283"/>
        <v>0.25999999999999995</v>
      </c>
      <c r="BT273" s="79">
        <f t="shared" si="284"/>
        <v>0.19999999999999998</v>
      </c>
      <c r="BU273" s="79">
        <f t="shared" si="285"/>
        <v>0.13999999999999999</v>
      </c>
      <c r="BV273" s="90" t="str">
        <f t="array" aca="1" ref="BV273" ca="1">_xlfn.TEXTJOIN(" ",TRUE,
_xlfn.TEXTJOIN(":",TRUE,ROUND(BK273:BO273/MIN(IF(BK273:BO273&gt;0,BK273:BO273)),0)),
"|",
ROUND(SUM(BW273:CA273),0))</f>
        <v>1:2:2:1:1 | -713</v>
      </c>
      <c r="BW273" s="106">
        <f t="shared" ca="1" si="286"/>
        <v>-114.08</v>
      </c>
      <c r="BX273" s="106">
        <f t="shared" ca="1" si="232"/>
        <v>-171.12</v>
      </c>
      <c r="BY273" s="106">
        <f t="shared" ca="1" si="233"/>
        <v>-185.37999999999997</v>
      </c>
      <c r="BZ273" s="106">
        <f t="shared" ca="1" si="234"/>
        <v>-142.6</v>
      </c>
      <c r="CA273" s="106">
        <f t="shared" ca="1" si="231"/>
        <v>-99.82</v>
      </c>
    </row>
    <row r="274" spans="1:79" x14ac:dyDescent="0.35">
      <c r="A274" s="25" t="s">
        <v>287</v>
      </c>
      <c r="B274" s="10" t="s">
        <v>335</v>
      </c>
      <c r="C274" s="10" t="s">
        <v>343</v>
      </c>
      <c r="D274" s="10" t="s">
        <v>346</v>
      </c>
      <c r="E274" s="11">
        <v>45941</v>
      </c>
      <c r="F274" s="17">
        <v>45892</v>
      </c>
      <c r="G274" s="14">
        <f t="shared" ca="1" si="235"/>
        <v>207</v>
      </c>
      <c r="H274" s="17">
        <v>599</v>
      </c>
      <c r="I274" s="17">
        <v>270</v>
      </c>
      <c r="J274" s="75">
        <f t="shared" si="236"/>
        <v>672</v>
      </c>
      <c r="K274" s="17">
        <v>750</v>
      </c>
      <c r="L274" s="85">
        <v>78</v>
      </c>
      <c r="M274" s="86">
        <f t="shared" ca="1" si="237"/>
        <v>0.37681159420289856</v>
      </c>
      <c r="N274" s="86">
        <f t="shared" si="238"/>
        <v>0.56143292682926838</v>
      </c>
      <c r="O274" s="86">
        <f t="shared" si="239"/>
        <v>0.23780487804878048</v>
      </c>
      <c r="P274" s="87">
        <f t="shared" si="240"/>
        <v>19.5</v>
      </c>
      <c r="Q274" s="104">
        <f t="shared" si="241"/>
        <v>34.46153846153846</v>
      </c>
      <c r="R274" s="88">
        <f t="shared" si="242"/>
        <v>54.924874791318871</v>
      </c>
      <c r="S274" s="88">
        <f t="shared" si="243"/>
        <v>10.4</v>
      </c>
      <c r="T274" s="13">
        <f t="shared" si="244"/>
        <v>1</v>
      </c>
      <c r="U274" s="13">
        <f t="shared" si="245"/>
        <v>1</v>
      </c>
      <c r="V274" s="13">
        <f t="shared" si="246"/>
        <v>2</v>
      </c>
      <c r="W274" s="13">
        <f t="shared" ca="1" si="247"/>
        <v>3</v>
      </c>
      <c r="X274" s="13">
        <f t="shared" ca="1" si="248"/>
        <v>7</v>
      </c>
      <c r="Y274" s="81" t="str">
        <f t="shared" ca="1" si="249"/>
        <v>MONITOR</v>
      </c>
      <c r="Z274" s="13">
        <v>14</v>
      </c>
      <c r="AA274" s="75">
        <v>46059</v>
      </c>
      <c r="AB274" s="75">
        <f t="shared" si="250"/>
        <v>45920</v>
      </c>
      <c r="AC274" s="88">
        <f t="shared" si="251"/>
        <v>19.857142857142858</v>
      </c>
      <c r="AD274" s="89" t="str">
        <f t="shared" ca="1" si="252"/>
        <v>STABLE</v>
      </c>
      <c r="AE274" s="89" t="str">
        <f t="shared" si="253"/>
        <v>SLOW SELLING</v>
      </c>
      <c r="AF274" s="89" t="str">
        <f t="shared" si="254"/>
        <v>AT RISK</v>
      </c>
      <c r="AG274" s="89" t="str">
        <f t="shared" si="255"/>
        <v>FEASIBLE</v>
      </c>
      <c r="AH274" s="81" t="str">
        <f t="shared" ca="1" si="256"/>
        <v>MONITOR</v>
      </c>
      <c r="AI274" s="75">
        <f t="shared" ca="1" si="257"/>
        <v>0</v>
      </c>
      <c r="AJ274" s="75">
        <f t="shared" ca="1" si="258"/>
        <v>-672</v>
      </c>
      <c r="AK274" s="13">
        <f t="shared" ca="1" si="259"/>
        <v>-806</v>
      </c>
      <c r="AL274" s="79">
        <v>0.1</v>
      </c>
      <c r="AM274" s="79">
        <v>0.3</v>
      </c>
      <c r="AN274" s="79">
        <v>0.3</v>
      </c>
      <c r="AO274" s="79">
        <v>0.1</v>
      </c>
      <c r="AP274" s="79">
        <v>0.1</v>
      </c>
      <c r="AQ274" s="75">
        <f t="shared" si="260"/>
        <v>67.2</v>
      </c>
      <c r="AR274" s="75">
        <f t="shared" si="261"/>
        <v>201.6</v>
      </c>
      <c r="AS274" s="75">
        <f t="shared" si="262"/>
        <v>201.6</v>
      </c>
      <c r="AT274" s="75">
        <f t="shared" si="263"/>
        <v>67.2</v>
      </c>
      <c r="AU274" s="75">
        <f t="shared" si="264"/>
        <v>67.2</v>
      </c>
      <c r="AV274" s="13">
        <v>0.8</v>
      </c>
      <c r="AW274" s="13">
        <v>1.2</v>
      </c>
      <c r="AX274" s="13">
        <v>1.3</v>
      </c>
      <c r="AY274" s="13">
        <v>1</v>
      </c>
      <c r="AZ274" s="13">
        <v>0.7</v>
      </c>
      <c r="BA274" s="105">
        <f t="shared" si="265"/>
        <v>1.5600000000000003</v>
      </c>
      <c r="BB274" s="13">
        <f t="shared" si="266"/>
        <v>7.02</v>
      </c>
      <c r="BC274" s="13">
        <f t="shared" si="267"/>
        <v>7.6049999999999995</v>
      </c>
      <c r="BD274" s="13">
        <f t="shared" si="268"/>
        <v>1.9500000000000002</v>
      </c>
      <c r="BE274" s="13">
        <f t="shared" si="269"/>
        <v>1.365</v>
      </c>
      <c r="BF274" s="88">
        <f t="shared" si="270"/>
        <v>43.076923076923073</v>
      </c>
      <c r="BG274" s="88">
        <f t="shared" si="271"/>
        <v>28.717948717948719</v>
      </c>
      <c r="BH274" s="88">
        <f t="shared" si="272"/>
        <v>26.508875739644971</v>
      </c>
      <c r="BI274" s="88">
        <f t="shared" si="273"/>
        <v>34.46153846153846</v>
      </c>
      <c r="BJ274" s="88">
        <f t="shared" si="274"/>
        <v>49.230769230769234</v>
      </c>
      <c r="BK274" s="105">
        <f t="shared" si="275"/>
        <v>2.3214285714285715E-2</v>
      </c>
      <c r="BL274" s="105">
        <f t="shared" si="276"/>
        <v>3.4821428571428573E-2</v>
      </c>
      <c r="BM274" s="105">
        <f t="shared" si="277"/>
        <v>3.7723214285714284E-2</v>
      </c>
      <c r="BN274" s="105">
        <f t="shared" si="278"/>
        <v>2.9017857142857144E-2</v>
      </c>
      <c r="BO274" s="105">
        <f t="shared" si="279"/>
        <v>2.0312499999999997E-2</v>
      </c>
      <c r="BP274" s="105">
        <f t="shared" si="280"/>
        <v>0.1450892857142857</v>
      </c>
      <c r="BQ274" s="79">
        <f t="shared" si="281"/>
        <v>0.16000000000000003</v>
      </c>
      <c r="BR274" s="79">
        <f t="shared" si="282"/>
        <v>0.24000000000000005</v>
      </c>
      <c r="BS274" s="79">
        <f t="shared" si="283"/>
        <v>0.26</v>
      </c>
      <c r="BT274" s="79">
        <f t="shared" si="284"/>
        <v>0.20000000000000004</v>
      </c>
      <c r="BU274" s="79">
        <f t="shared" si="285"/>
        <v>0.13999999999999999</v>
      </c>
      <c r="BV274" s="90" t="str">
        <f t="array" aca="1" ref="BV274" ca="1">_xlfn.TEXTJOIN(" ",TRUE,
_xlfn.TEXTJOIN(":",TRUE,ROUND(BK274:BO274/MIN(IF(BK274:BO274&gt;0,BK274:BO274)),0)),
"|",
ROUND(SUM(BW274:CA274),0))</f>
        <v>1:2:2:1:1 | -806</v>
      </c>
      <c r="BW274" s="106">
        <f t="shared" ca="1" si="286"/>
        <v>-128.96000000000004</v>
      </c>
      <c r="BX274" s="106">
        <f t="shared" ca="1" si="232"/>
        <v>-193.44000000000003</v>
      </c>
      <c r="BY274" s="106">
        <f t="shared" ca="1" si="233"/>
        <v>-209.56</v>
      </c>
      <c r="BZ274" s="106">
        <f t="shared" ca="1" si="234"/>
        <v>-161.20000000000005</v>
      </c>
      <c r="CA274" s="106">
        <f t="shared" ca="1" si="231"/>
        <v>-112.83999999999999</v>
      </c>
    </row>
    <row r="275" spans="1:79" x14ac:dyDescent="0.35">
      <c r="A275" s="25" t="s">
        <v>288</v>
      </c>
      <c r="B275" s="10" t="s">
        <v>335</v>
      </c>
      <c r="C275" s="10" t="s">
        <v>343</v>
      </c>
      <c r="D275" s="10" t="s">
        <v>346</v>
      </c>
      <c r="E275" s="11">
        <v>45920</v>
      </c>
      <c r="F275" s="17">
        <v>45892</v>
      </c>
      <c r="G275" s="14">
        <f t="shared" ca="1" si="235"/>
        <v>207</v>
      </c>
      <c r="H275" s="17">
        <v>499</v>
      </c>
      <c r="I275" s="17">
        <v>240</v>
      </c>
      <c r="J275" s="75">
        <f t="shared" si="236"/>
        <v>545</v>
      </c>
      <c r="K275" s="17">
        <v>750</v>
      </c>
      <c r="L275" s="85">
        <v>205</v>
      </c>
      <c r="M275" s="86">
        <f t="shared" ca="1" si="237"/>
        <v>0.99033816425120769</v>
      </c>
      <c r="N275" s="86">
        <f t="shared" si="238"/>
        <v>0.56143292682926838</v>
      </c>
      <c r="O275" s="86">
        <f t="shared" si="239"/>
        <v>0.625</v>
      </c>
      <c r="P275" s="87">
        <f t="shared" si="240"/>
        <v>51.25</v>
      </c>
      <c r="Q275" s="104">
        <f t="shared" si="241"/>
        <v>10.634146341463415</v>
      </c>
      <c r="R275" s="88">
        <f t="shared" si="242"/>
        <v>51.903807615230455</v>
      </c>
      <c r="S275" s="88">
        <f t="shared" si="243"/>
        <v>27.333333333333332</v>
      </c>
      <c r="T275" s="13">
        <f t="shared" si="244"/>
        <v>3</v>
      </c>
      <c r="U275" s="13">
        <f t="shared" si="245"/>
        <v>1</v>
      </c>
      <c r="V275" s="13">
        <f t="shared" si="246"/>
        <v>2</v>
      </c>
      <c r="W275" s="13">
        <f t="shared" ca="1" si="247"/>
        <v>3</v>
      </c>
      <c r="X275" s="13">
        <f t="shared" ca="1" si="248"/>
        <v>9</v>
      </c>
      <c r="Y275" s="81" t="str">
        <f t="shared" ca="1" si="249"/>
        <v>RE-BUY</v>
      </c>
      <c r="Z275" s="13">
        <v>14</v>
      </c>
      <c r="AA275" s="75">
        <v>46059</v>
      </c>
      <c r="AB275" s="75">
        <f t="shared" si="250"/>
        <v>45920</v>
      </c>
      <c r="AC275" s="88">
        <f t="shared" si="251"/>
        <v>19.857142857142858</v>
      </c>
      <c r="AD275" s="89" t="str">
        <f t="shared" ca="1" si="252"/>
        <v>STABLE</v>
      </c>
      <c r="AE275" s="89" t="str">
        <f t="shared" si="253"/>
        <v>FAST SELLING</v>
      </c>
      <c r="AF275" s="89" t="str">
        <f t="shared" si="254"/>
        <v>AT RISK</v>
      </c>
      <c r="AG275" s="89" t="str">
        <f t="shared" si="255"/>
        <v>FEASIBLE</v>
      </c>
      <c r="AH275" s="81" t="str">
        <f t="shared" ca="1" si="256"/>
        <v>IMMEDIATE REBUY</v>
      </c>
      <c r="AI275" s="75">
        <f t="shared" ca="1" si="257"/>
        <v>610.60714285714289</v>
      </c>
      <c r="AJ275" s="75">
        <f t="shared" ca="1" si="258"/>
        <v>65.60714285714289</v>
      </c>
      <c r="AK275" s="13">
        <f t="shared" ca="1" si="259"/>
        <v>79</v>
      </c>
      <c r="AL275" s="79">
        <v>0.1</v>
      </c>
      <c r="AM275" s="79">
        <v>0.3</v>
      </c>
      <c r="AN275" s="79">
        <v>0.3</v>
      </c>
      <c r="AO275" s="79">
        <v>0.1</v>
      </c>
      <c r="AP275" s="79">
        <v>0.1</v>
      </c>
      <c r="AQ275" s="75">
        <f t="shared" si="260"/>
        <v>54.5</v>
      </c>
      <c r="AR275" s="75">
        <f t="shared" si="261"/>
        <v>163.5</v>
      </c>
      <c r="AS275" s="75">
        <f t="shared" si="262"/>
        <v>163.5</v>
      </c>
      <c r="AT275" s="75">
        <f t="shared" si="263"/>
        <v>54.5</v>
      </c>
      <c r="AU275" s="75">
        <f t="shared" si="264"/>
        <v>54.5</v>
      </c>
      <c r="AV275" s="13">
        <v>0.8</v>
      </c>
      <c r="AW275" s="13">
        <v>1.2</v>
      </c>
      <c r="AX275" s="13">
        <v>1.3</v>
      </c>
      <c r="AY275" s="13">
        <v>1</v>
      </c>
      <c r="AZ275" s="13">
        <v>0.7</v>
      </c>
      <c r="BA275" s="105">
        <f t="shared" si="265"/>
        <v>4.1000000000000005</v>
      </c>
      <c r="BB275" s="13">
        <f t="shared" si="266"/>
        <v>18.45</v>
      </c>
      <c r="BC275" s="13">
        <f t="shared" si="267"/>
        <v>19.987500000000001</v>
      </c>
      <c r="BD275" s="13">
        <f t="shared" si="268"/>
        <v>5.125</v>
      </c>
      <c r="BE275" s="13">
        <f t="shared" si="269"/>
        <v>3.5874999999999999</v>
      </c>
      <c r="BF275" s="88">
        <f t="shared" si="270"/>
        <v>13.292682926829267</v>
      </c>
      <c r="BG275" s="88">
        <f t="shared" si="271"/>
        <v>8.8617886178861784</v>
      </c>
      <c r="BH275" s="88">
        <f t="shared" si="272"/>
        <v>8.1801125703564725</v>
      </c>
      <c r="BI275" s="88">
        <f t="shared" si="273"/>
        <v>10.634146341463415</v>
      </c>
      <c r="BJ275" s="88">
        <f t="shared" si="274"/>
        <v>15.19163763066202</v>
      </c>
      <c r="BK275" s="105">
        <f t="shared" si="275"/>
        <v>7.5229357798165142E-2</v>
      </c>
      <c r="BL275" s="105">
        <f t="shared" si="276"/>
        <v>0.11284403669724771</v>
      </c>
      <c r="BM275" s="105">
        <f t="shared" si="277"/>
        <v>0.12224770642201835</v>
      </c>
      <c r="BN275" s="105">
        <f t="shared" si="278"/>
        <v>9.4036697247706413E-2</v>
      </c>
      <c r="BO275" s="105">
        <f t="shared" si="279"/>
        <v>6.5825688073394492E-2</v>
      </c>
      <c r="BP275" s="105">
        <f t="shared" si="280"/>
        <v>0.47018348623853212</v>
      </c>
      <c r="BQ275" s="79">
        <f t="shared" si="281"/>
        <v>0.16</v>
      </c>
      <c r="BR275" s="79">
        <f t="shared" si="282"/>
        <v>0.24000000000000002</v>
      </c>
      <c r="BS275" s="79">
        <f t="shared" si="283"/>
        <v>0.26</v>
      </c>
      <c r="BT275" s="79">
        <f t="shared" si="284"/>
        <v>0.19999999999999998</v>
      </c>
      <c r="BU275" s="79">
        <f t="shared" si="285"/>
        <v>0.13999999999999999</v>
      </c>
      <c r="BV275" s="90" t="str">
        <f t="array" aca="1" ref="BV275" ca="1">_xlfn.TEXTJOIN(" ",TRUE,
_xlfn.TEXTJOIN(":",TRUE,ROUND(BK275:BO275/MIN(IF(BK275:BO275&gt;0,BK275:BO275)),0)),
"|",
ROUND(SUM(BW275:CA275),0))</f>
        <v>1:2:2:1:1 | 79</v>
      </c>
      <c r="BW275" s="106">
        <f t="shared" ca="1" si="286"/>
        <v>12.64</v>
      </c>
      <c r="BX275" s="106">
        <f t="shared" ca="1" si="232"/>
        <v>18.96</v>
      </c>
      <c r="BY275" s="106">
        <f t="shared" ca="1" si="233"/>
        <v>20.54</v>
      </c>
      <c r="BZ275" s="106">
        <f t="shared" ca="1" si="234"/>
        <v>15.799999999999999</v>
      </c>
      <c r="CA275" s="106">
        <f t="shared" ca="1" si="231"/>
        <v>11.059999999999999</v>
      </c>
    </row>
    <row r="276" spans="1:79" x14ac:dyDescent="0.35">
      <c r="A276" s="25" t="s">
        <v>289</v>
      </c>
      <c r="B276" s="10" t="s">
        <v>334</v>
      </c>
      <c r="C276" s="10" t="s">
        <v>342</v>
      </c>
      <c r="D276" s="10" t="s">
        <v>346</v>
      </c>
      <c r="E276" s="11">
        <v>45920</v>
      </c>
      <c r="F276" s="17">
        <v>45892</v>
      </c>
      <c r="G276" s="14">
        <f t="shared" ca="1" si="235"/>
        <v>207</v>
      </c>
      <c r="H276" s="17">
        <v>999</v>
      </c>
      <c r="I276" s="17">
        <v>435</v>
      </c>
      <c r="J276" s="75">
        <f t="shared" si="236"/>
        <v>900</v>
      </c>
      <c r="K276" s="17">
        <v>900</v>
      </c>
      <c r="L276" s="89">
        <v>0</v>
      </c>
      <c r="M276" s="86">
        <f t="shared" ca="1" si="237"/>
        <v>0</v>
      </c>
      <c r="N276" s="86">
        <f t="shared" si="238"/>
        <v>0.80451009251471861</v>
      </c>
      <c r="O276" s="86">
        <f t="shared" si="239"/>
        <v>0</v>
      </c>
      <c r="P276" s="87">
        <f t="shared" si="240"/>
        <v>0</v>
      </c>
      <c r="Q276" s="104" t="e">
        <f t="shared" si="241"/>
        <v>#DIV/0!</v>
      </c>
      <c r="R276" s="88">
        <f t="shared" si="242"/>
        <v>56.456456456456458</v>
      </c>
      <c r="S276" s="88">
        <f t="shared" si="243"/>
        <v>0</v>
      </c>
      <c r="T276" s="13">
        <f t="shared" si="244"/>
        <v>1</v>
      </c>
      <c r="U276" s="13" t="e">
        <f t="shared" si="245"/>
        <v>#DIV/0!</v>
      </c>
      <c r="V276" s="13">
        <f t="shared" si="246"/>
        <v>2</v>
      </c>
      <c r="W276" s="13">
        <f t="shared" ca="1" si="247"/>
        <v>3</v>
      </c>
      <c r="X276" s="13" t="e">
        <f t="shared" ca="1" si="248"/>
        <v>#DIV/0!</v>
      </c>
      <c r="Y276" s="81" t="str">
        <f t="shared" ca="1" si="249"/>
        <v>EXIT</v>
      </c>
      <c r="Z276" s="13">
        <v>14</v>
      </c>
      <c r="AA276" s="75">
        <v>46059</v>
      </c>
      <c r="AB276" s="75">
        <f t="shared" si="250"/>
        <v>45920</v>
      </c>
      <c r="AC276" s="88">
        <f t="shared" si="251"/>
        <v>19.857142857142858</v>
      </c>
      <c r="AD276" s="89" t="str">
        <f t="shared" ca="1" si="252"/>
        <v>STABLE</v>
      </c>
      <c r="AE276" s="89" t="str">
        <f t="shared" si="253"/>
        <v>SLOW SELLING</v>
      </c>
      <c r="AF276" s="89" t="e">
        <f t="shared" si="254"/>
        <v>#DIV/0!</v>
      </c>
      <c r="AG276" s="89" t="str">
        <f t="shared" si="255"/>
        <v>FEASIBLE</v>
      </c>
      <c r="AH276" s="81" t="str">
        <f t="shared" ca="1" si="256"/>
        <v>MONITOR</v>
      </c>
      <c r="AI276" s="75">
        <f t="shared" ca="1" si="257"/>
        <v>0</v>
      </c>
      <c r="AJ276" s="75">
        <f t="shared" ca="1" si="258"/>
        <v>-900</v>
      </c>
      <c r="AK276" s="13">
        <f t="shared" ca="1" si="259"/>
        <v>-1080</v>
      </c>
      <c r="AL276" s="79">
        <v>0.1</v>
      </c>
      <c r="AM276" s="79">
        <v>0.3</v>
      </c>
      <c r="AN276" s="79">
        <v>0.3</v>
      </c>
      <c r="AO276" s="79">
        <v>0.1</v>
      </c>
      <c r="AP276" s="79">
        <v>0.1</v>
      </c>
      <c r="AQ276" s="75">
        <f t="shared" si="260"/>
        <v>90</v>
      </c>
      <c r="AR276" s="75">
        <f t="shared" si="261"/>
        <v>270</v>
      </c>
      <c r="AS276" s="75">
        <f t="shared" si="262"/>
        <v>270</v>
      </c>
      <c r="AT276" s="75">
        <f t="shared" si="263"/>
        <v>90</v>
      </c>
      <c r="AU276" s="75">
        <f t="shared" si="264"/>
        <v>90</v>
      </c>
      <c r="AV276" s="13">
        <v>0.8</v>
      </c>
      <c r="AW276" s="13">
        <v>1.2</v>
      </c>
      <c r="AX276" s="13">
        <v>1.3</v>
      </c>
      <c r="AY276" s="13">
        <v>1</v>
      </c>
      <c r="AZ276" s="13">
        <v>0.7</v>
      </c>
      <c r="BA276" s="105">
        <f t="shared" si="265"/>
        <v>0</v>
      </c>
      <c r="BB276" s="13">
        <f t="shared" si="266"/>
        <v>0</v>
      </c>
      <c r="BC276" s="13">
        <f t="shared" si="267"/>
        <v>0</v>
      </c>
      <c r="BD276" s="13">
        <f t="shared" si="268"/>
        <v>0</v>
      </c>
      <c r="BE276" s="13">
        <f t="shared" si="269"/>
        <v>0</v>
      </c>
      <c r="BF276" s="88" t="e">
        <f t="shared" si="270"/>
        <v>#DIV/0!</v>
      </c>
      <c r="BG276" s="88" t="e">
        <f t="shared" si="271"/>
        <v>#DIV/0!</v>
      </c>
      <c r="BH276" s="88" t="e">
        <f t="shared" si="272"/>
        <v>#DIV/0!</v>
      </c>
      <c r="BI276" s="88" t="e">
        <f t="shared" si="273"/>
        <v>#DIV/0!</v>
      </c>
      <c r="BJ276" s="88" t="e">
        <f t="shared" si="274"/>
        <v>#DIV/0!</v>
      </c>
      <c r="BK276" s="105" t="e">
        <f t="shared" si="275"/>
        <v>#DIV/0!</v>
      </c>
      <c r="BL276" s="105" t="e">
        <f t="shared" si="276"/>
        <v>#DIV/0!</v>
      </c>
      <c r="BM276" s="105" t="e">
        <f t="shared" si="277"/>
        <v>#DIV/0!</v>
      </c>
      <c r="BN276" s="105" t="e">
        <f t="shared" si="278"/>
        <v>#DIV/0!</v>
      </c>
      <c r="BO276" s="105" t="e">
        <f t="shared" si="279"/>
        <v>#DIV/0!</v>
      </c>
      <c r="BP276" s="105" t="e">
        <f t="shared" si="280"/>
        <v>#DIV/0!</v>
      </c>
      <c r="BQ276" s="79" t="e">
        <f t="shared" si="281"/>
        <v>#DIV/0!</v>
      </c>
      <c r="BR276" s="79" t="e">
        <f t="shared" si="282"/>
        <v>#DIV/0!</v>
      </c>
      <c r="BS276" s="79" t="e">
        <f t="shared" si="283"/>
        <v>#DIV/0!</v>
      </c>
      <c r="BT276" s="79" t="e">
        <f t="shared" si="284"/>
        <v>#DIV/0!</v>
      </c>
      <c r="BU276" s="79" t="e">
        <f t="shared" si="285"/>
        <v>#DIV/0!</v>
      </c>
      <c r="BV276" s="90" t="e">
        <f t="array" aca="1" ref="BV276" ca="1">_xlfn.TEXTJOIN(" ",TRUE,
_xlfn.TEXTJOIN(":",TRUE,ROUND(BK276:BO276/MIN(IF(BK276:BO276&gt;0,BK276:BO276)),0)),
"|",
ROUND(SUM(BW276:CA276),0))</f>
        <v>#DIV/0!</v>
      </c>
      <c r="BW276" s="106" t="e">
        <f t="shared" ca="1" si="286"/>
        <v>#DIV/0!</v>
      </c>
      <c r="BX276" s="106" t="e">
        <f t="shared" ca="1" si="232"/>
        <v>#DIV/0!</v>
      </c>
      <c r="BY276" s="106" t="e">
        <f t="shared" ca="1" si="233"/>
        <v>#DIV/0!</v>
      </c>
      <c r="BZ276" s="106" t="e">
        <f t="shared" ca="1" si="234"/>
        <v>#DIV/0!</v>
      </c>
      <c r="CA276" s="106" t="e">
        <f t="shared" ca="1" si="231"/>
        <v>#DIV/0!</v>
      </c>
    </row>
    <row r="277" spans="1:79" x14ac:dyDescent="0.35">
      <c r="A277" s="25" t="s">
        <v>290</v>
      </c>
      <c r="B277" s="10" t="s">
        <v>334</v>
      </c>
      <c r="C277" s="10" t="s">
        <v>342</v>
      </c>
      <c r="D277" s="10" t="s">
        <v>346</v>
      </c>
      <c r="E277" s="11">
        <v>45920</v>
      </c>
      <c r="F277" s="17">
        <v>45892</v>
      </c>
      <c r="G277" s="14">
        <f t="shared" ca="1" si="235"/>
        <v>207</v>
      </c>
      <c r="H277" s="17">
        <v>999</v>
      </c>
      <c r="I277" s="17">
        <v>435</v>
      </c>
      <c r="J277" s="75">
        <f t="shared" si="236"/>
        <v>734</v>
      </c>
      <c r="K277" s="17">
        <v>900</v>
      </c>
      <c r="L277" s="85">
        <v>166</v>
      </c>
      <c r="M277" s="86">
        <f t="shared" ca="1" si="237"/>
        <v>0.80193236714975846</v>
      </c>
      <c r="N277" s="86">
        <f t="shared" si="238"/>
        <v>0.80451009251471861</v>
      </c>
      <c r="O277" s="86">
        <f t="shared" si="239"/>
        <v>0.50609756097560976</v>
      </c>
      <c r="P277" s="87">
        <f t="shared" si="240"/>
        <v>41.5</v>
      </c>
      <c r="Q277" s="104">
        <f t="shared" si="241"/>
        <v>17.686746987951807</v>
      </c>
      <c r="R277" s="88">
        <f t="shared" si="242"/>
        <v>56.456456456456458</v>
      </c>
      <c r="S277" s="88">
        <f t="shared" si="243"/>
        <v>18.444444444444443</v>
      </c>
      <c r="T277" s="13">
        <f t="shared" si="244"/>
        <v>1</v>
      </c>
      <c r="U277" s="13">
        <f t="shared" si="245"/>
        <v>1</v>
      </c>
      <c r="V277" s="13">
        <f t="shared" si="246"/>
        <v>2</v>
      </c>
      <c r="W277" s="13">
        <f t="shared" ca="1" si="247"/>
        <v>3</v>
      </c>
      <c r="X277" s="13">
        <f t="shared" ca="1" si="248"/>
        <v>7</v>
      </c>
      <c r="Y277" s="81" t="str">
        <f t="shared" ca="1" si="249"/>
        <v>MONITOR</v>
      </c>
      <c r="Z277" s="13">
        <v>14</v>
      </c>
      <c r="AA277" s="75">
        <v>46059</v>
      </c>
      <c r="AB277" s="75">
        <f t="shared" si="250"/>
        <v>45920</v>
      </c>
      <c r="AC277" s="88">
        <f t="shared" si="251"/>
        <v>19.857142857142858</v>
      </c>
      <c r="AD277" s="89" t="str">
        <f t="shared" ca="1" si="252"/>
        <v>STABLE</v>
      </c>
      <c r="AE277" s="89" t="str">
        <f t="shared" si="253"/>
        <v>SLOW SELLING</v>
      </c>
      <c r="AF277" s="89" t="str">
        <f t="shared" si="254"/>
        <v>AT RISK</v>
      </c>
      <c r="AG277" s="89" t="str">
        <f t="shared" si="255"/>
        <v>FEASIBLE</v>
      </c>
      <c r="AH277" s="81" t="str">
        <f t="shared" ca="1" si="256"/>
        <v>MONITOR</v>
      </c>
      <c r="AI277" s="75">
        <f t="shared" ca="1" si="257"/>
        <v>0</v>
      </c>
      <c r="AJ277" s="75">
        <f t="shared" ca="1" si="258"/>
        <v>-734</v>
      </c>
      <c r="AK277" s="13">
        <f t="shared" ca="1" si="259"/>
        <v>-881</v>
      </c>
      <c r="AL277" s="79">
        <v>0.1</v>
      </c>
      <c r="AM277" s="79">
        <v>0.3</v>
      </c>
      <c r="AN277" s="79">
        <v>0.3</v>
      </c>
      <c r="AO277" s="79">
        <v>0.1</v>
      </c>
      <c r="AP277" s="79">
        <v>0.1</v>
      </c>
      <c r="AQ277" s="75">
        <f t="shared" si="260"/>
        <v>73.400000000000006</v>
      </c>
      <c r="AR277" s="75">
        <f t="shared" si="261"/>
        <v>220.2</v>
      </c>
      <c r="AS277" s="75">
        <f t="shared" si="262"/>
        <v>220.2</v>
      </c>
      <c r="AT277" s="75">
        <f t="shared" si="263"/>
        <v>73.400000000000006</v>
      </c>
      <c r="AU277" s="75">
        <f t="shared" si="264"/>
        <v>73.400000000000006</v>
      </c>
      <c r="AV277" s="13">
        <v>0.8</v>
      </c>
      <c r="AW277" s="13">
        <v>1.2</v>
      </c>
      <c r="AX277" s="13">
        <v>1.3</v>
      </c>
      <c r="AY277" s="13">
        <v>1</v>
      </c>
      <c r="AZ277" s="13">
        <v>0.7</v>
      </c>
      <c r="BA277" s="105">
        <f t="shared" si="265"/>
        <v>3.3200000000000003</v>
      </c>
      <c r="BB277" s="13">
        <f t="shared" si="266"/>
        <v>14.939999999999998</v>
      </c>
      <c r="BC277" s="13">
        <f t="shared" si="267"/>
        <v>16.184999999999999</v>
      </c>
      <c r="BD277" s="13">
        <f t="shared" si="268"/>
        <v>4.1500000000000004</v>
      </c>
      <c r="BE277" s="13">
        <f t="shared" si="269"/>
        <v>2.9050000000000002</v>
      </c>
      <c r="BF277" s="88">
        <f t="shared" si="270"/>
        <v>22.108433734939759</v>
      </c>
      <c r="BG277" s="88">
        <f t="shared" si="271"/>
        <v>14.738955823293175</v>
      </c>
      <c r="BH277" s="88">
        <f t="shared" si="272"/>
        <v>13.605189990732161</v>
      </c>
      <c r="BI277" s="88">
        <f t="shared" si="273"/>
        <v>17.686746987951807</v>
      </c>
      <c r="BJ277" s="88">
        <f t="shared" si="274"/>
        <v>25.266781411359723</v>
      </c>
      <c r="BK277" s="105">
        <f t="shared" si="275"/>
        <v>4.5231607629427795E-2</v>
      </c>
      <c r="BL277" s="105">
        <f t="shared" si="276"/>
        <v>6.7847411444141678E-2</v>
      </c>
      <c r="BM277" s="105">
        <f t="shared" si="277"/>
        <v>7.3501362397820152E-2</v>
      </c>
      <c r="BN277" s="105">
        <f t="shared" si="278"/>
        <v>5.6539509536784743E-2</v>
      </c>
      <c r="BO277" s="105">
        <f t="shared" si="279"/>
        <v>3.957765667574932E-2</v>
      </c>
      <c r="BP277" s="105">
        <f t="shared" si="280"/>
        <v>0.28269754768392369</v>
      </c>
      <c r="BQ277" s="79">
        <f t="shared" si="281"/>
        <v>0.16</v>
      </c>
      <c r="BR277" s="79">
        <f t="shared" si="282"/>
        <v>0.23999999999999996</v>
      </c>
      <c r="BS277" s="79">
        <f t="shared" si="283"/>
        <v>0.25999999999999995</v>
      </c>
      <c r="BT277" s="79">
        <f t="shared" si="284"/>
        <v>0.2</v>
      </c>
      <c r="BU277" s="79">
        <f t="shared" si="285"/>
        <v>0.14000000000000001</v>
      </c>
      <c r="BV277" s="90" t="str">
        <f t="array" aca="1" ref="BV277" ca="1">_xlfn.TEXTJOIN(" ",TRUE,
_xlfn.TEXTJOIN(":",TRUE,ROUND(BK277:BO277/MIN(IF(BK277:BO277&gt;0,BK277:BO277)),0)),
"|",
ROUND(SUM(BW277:CA277),0))</f>
        <v>1:2:2:1:1 | -881</v>
      </c>
      <c r="BW277" s="106">
        <f t="shared" ca="1" si="286"/>
        <v>-140.96</v>
      </c>
      <c r="BX277" s="106">
        <f t="shared" ca="1" si="232"/>
        <v>-211.43999999999997</v>
      </c>
      <c r="BY277" s="106">
        <f t="shared" ca="1" si="233"/>
        <v>-229.05999999999995</v>
      </c>
      <c r="BZ277" s="106">
        <f t="shared" ca="1" si="234"/>
        <v>-176.20000000000002</v>
      </c>
      <c r="CA277" s="106">
        <f t="shared" ref="CA277:CA300" ca="1" si="287">AK277*BU277</f>
        <v>-123.34000000000002</v>
      </c>
    </row>
    <row r="278" spans="1:79" x14ac:dyDescent="0.35">
      <c r="A278" s="25" t="s">
        <v>291</v>
      </c>
      <c r="B278" s="10" t="s">
        <v>334</v>
      </c>
      <c r="C278" s="10" t="s">
        <v>342</v>
      </c>
      <c r="D278" s="10" t="s">
        <v>346</v>
      </c>
      <c r="E278" s="11">
        <v>45920</v>
      </c>
      <c r="F278" s="17">
        <v>45892</v>
      </c>
      <c r="G278" s="14">
        <f t="shared" ca="1" si="235"/>
        <v>207</v>
      </c>
      <c r="H278" s="17">
        <v>999</v>
      </c>
      <c r="I278" s="17">
        <v>460</v>
      </c>
      <c r="J278" s="75">
        <f t="shared" si="236"/>
        <v>846</v>
      </c>
      <c r="K278" s="17">
        <v>900</v>
      </c>
      <c r="L278" s="85">
        <v>54</v>
      </c>
      <c r="M278" s="86">
        <f t="shared" ca="1" si="237"/>
        <v>0.2608695652173913</v>
      </c>
      <c r="N278" s="86">
        <f t="shared" si="238"/>
        <v>0.80451009251471861</v>
      </c>
      <c r="O278" s="86">
        <f t="shared" si="239"/>
        <v>0.16463414634146342</v>
      </c>
      <c r="P278" s="87">
        <f t="shared" si="240"/>
        <v>13.5</v>
      </c>
      <c r="Q278" s="104">
        <f t="shared" si="241"/>
        <v>62.666666666666664</v>
      </c>
      <c r="R278" s="88">
        <f t="shared" si="242"/>
        <v>53.953953953953956</v>
      </c>
      <c r="S278" s="88">
        <f t="shared" si="243"/>
        <v>6</v>
      </c>
      <c r="T278" s="13">
        <f t="shared" si="244"/>
        <v>1</v>
      </c>
      <c r="U278" s="13">
        <f t="shared" si="245"/>
        <v>1</v>
      </c>
      <c r="V278" s="13">
        <f t="shared" si="246"/>
        <v>2</v>
      </c>
      <c r="W278" s="13">
        <f t="shared" ca="1" si="247"/>
        <v>3</v>
      </c>
      <c r="X278" s="13">
        <f t="shared" ca="1" si="248"/>
        <v>7</v>
      </c>
      <c r="Y278" s="81" t="str">
        <f t="shared" ca="1" si="249"/>
        <v>MONITOR</v>
      </c>
      <c r="Z278" s="13">
        <v>14</v>
      </c>
      <c r="AA278" s="75">
        <v>46059</v>
      </c>
      <c r="AB278" s="75">
        <f t="shared" si="250"/>
        <v>45920</v>
      </c>
      <c r="AC278" s="88">
        <f t="shared" si="251"/>
        <v>19.857142857142858</v>
      </c>
      <c r="AD278" s="89" t="str">
        <f t="shared" ca="1" si="252"/>
        <v>STABLE</v>
      </c>
      <c r="AE278" s="89" t="str">
        <f t="shared" si="253"/>
        <v>SLOW SELLING</v>
      </c>
      <c r="AF278" s="89" t="str">
        <f t="shared" si="254"/>
        <v>AT RISK</v>
      </c>
      <c r="AG278" s="89" t="str">
        <f t="shared" si="255"/>
        <v>FEASIBLE</v>
      </c>
      <c r="AH278" s="81" t="str">
        <f t="shared" ca="1" si="256"/>
        <v>MONITOR</v>
      </c>
      <c r="AI278" s="75">
        <f t="shared" ca="1" si="257"/>
        <v>0</v>
      </c>
      <c r="AJ278" s="75">
        <f t="shared" ca="1" si="258"/>
        <v>-846</v>
      </c>
      <c r="AK278" s="13">
        <f t="shared" ca="1" si="259"/>
        <v>-1015</v>
      </c>
      <c r="AL278" s="79">
        <v>0.1</v>
      </c>
      <c r="AM278" s="79">
        <v>0.3</v>
      </c>
      <c r="AN278" s="79">
        <v>0.3</v>
      </c>
      <c r="AO278" s="79">
        <v>0.1</v>
      </c>
      <c r="AP278" s="79">
        <v>0.1</v>
      </c>
      <c r="AQ278" s="75">
        <f t="shared" si="260"/>
        <v>84.600000000000009</v>
      </c>
      <c r="AR278" s="75">
        <f t="shared" si="261"/>
        <v>253.79999999999998</v>
      </c>
      <c r="AS278" s="75">
        <f t="shared" si="262"/>
        <v>253.79999999999998</v>
      </c>
      <c r="AT278" s="75">
        <f t="shared" si="263"/>
        <v>84.600000000000009</v>
      </c>
      <c r="AU278" s="75">
        <f t="shared" si="264"/>
        <v>84.600000000000009</v>
      </c>
      <c r="AV278" s="13">
        <v>0.8</v>
      </c>
      <c r="AW278" s="13">
        <v>1.2</v>
      </c>
      <c r="AX278" s="13">
        <v>1.3</v>
      </c>
      <c r="AY278" s="13">
        <v>1</v>
      </c>
      <c r="AZ278" s="13">
        <v>0.7</v>
      </c>
      <c r="BA278" s="105">
        <f t="shared" si="265"/>
        <v>1.08</v>
      </c>
      <c r="BB278" s="13">
        <f t="shared" si="266"/>
        <v>4.8599999999999994</v>
      </c>
      <c r="BC278" s="13">
        <f t="shared" si="267"/>
        <v>5.2649999999999997</v>
      </c>
      <c r="BD278" s="13">
        <f t="shared" si="268"/>
        <v>1.35</v>
      </c>
      <c r="BE278" s="13">
        <f t="shared" si="269"/>
        <v>0.94499999999999995</v>
      </c>
      <c r="BF278" s="88">
        <f t="shared" si="270"/>
        <v>78.333333333333343</v>
      </c>
      <c r="BG278" s="88">
        <f t="shared" si="271"/>
        <v>52.222222222222221</v>
      </c>
      <c r="BH278" s="88">
        <f t="shared" si="272"/>
        <v>48.205128205128204</v>
      </c>
      <c r="BI278" s="88">
        <f t="shared" si="273"/>
        <v>62.666666666666671</v>
      </c>
      <c r="BJ278" s="88">
        <f t="shared" si="274"/>
        <v>89.523809523809533</v>
      </c>
      <c r="BK278" s="105">
        <f t="shared" si="275"/>
        <v>1.2765957446808508E-2</v>
      </c>
      <c r="BL278" s="105">
        <f t="shared" si="276"/>
        <v>1.9148936170212766E-2</v>
      </c>
      <c r="BM278" s="105">
        <f t="shared" si="277"/>
        <v>2.0744680851063829E-2</v>
      </c>
      <c r="BN278" s="105">
        <f t="shared" si="278"/>
        <v>1.5957446808510637E-2</v>
      </c>
      <c r="BO278" s="105">
        <f t="shared" si="279"/>
        <v>1.1170212765957446E-2</v>
      </c>
      <c r="BP278" s="105">
        <f t="shared" si="280"/>
        <v>7.9787234042553182E-2</v>
      </c>
      <c r="BQ278" s="79">
        <f t="shared" si="281"/>
        <v>0.16</v>
      </c>
      <c r="BR278" s="79">
        <f t="shared" si="282"/>
        <v>0.24000000000000002</v>
      </c>
      <c r="BS278" s="79">
        <f t="shared" si="283"/>
        <v>0.26</v>
      </c>
      <c r="BT278" s="79">
        <f t="shared" si="284"/>
        <v>0.2</v>
      </c>
      <c r="BU278" s="79">
        <f t="shared" si="285"/>
        <v>0.14000000000000001</v>
      </c>
      <c r="BV278" s="90" t="str">
        <f t="array" aca="1" ref="BV278" ca="1">_xlfn.TEXTJOIN(" ",TRUE,
_xlfn.TEXTJOIN(":",TRUE,ROUND(BK278:BO278/MIN(IF(BK278:BO278&gt;0,BK278:BO278)),0)),
"|",
ROUND(SUM(BW278:CA278),0))</f>
        <v>1:2:2:1:1 | -1015</v>
      </c>
      <c r="BW278" s="106">
        <f t="shared" ca="1" si="286"/>
        <v>-162.4</v>
      </c>
      <c r="BX278" s="106">
        <f t="shared" ca="1" si="232"/>
        <v>-243.60000000000002</v>
      </c>
      <c r="BY278" s="106">
        <f t="shared" ca="1" si="233"/>
        <v>-263.90000000000003</v>
      </c>
      <c r="BZ278" s="106">
        <f t="shared" ca="1" si="234"/>
        <v>-203</v>
      </c>
      <c r="CA278" s="106">
        <f t="shared" ca="1" si="287"/>
        <v>-142.10000000000002</v>
      </c>
    </row>
    <row r="279" spans="1:79" x14ac:dyDescent="0.35">
      <c r="A279" s="25" t="s">
        <v>292</v>
      </c>
      <c r="B279" s="10" t="s">
        <v>334</v>
      </c>
      <c r="C279" s="10" t="s">
        <v>342</v>
      </c>
      <c r="D279" s="10" t="s">
        <v>346</v>
      </c>
      <c r="E279" s="11">
        <v>45920</v>
      </c>
      <c r="F279" s="17">
        <v>45892</v>
      </c>
      <c r="G279" s="14">
        <f t="shared" ca="1" si="235"/>
        <v>207</v>
      </c>
      <c r="H279" s="17">
        <v>999</v>
      </c>
      <c r="I279" s="17">
        <v>460</v>
      </c>
      <c r="J279" s="75">
        <f t="shared" si="236"/>
        <v>691</v>
      </c>
      <c r="K279" s="17">
        <v>900</v>
      </c>
      <c r="L279" s="85">
        <v>209</v>
      </c>
      <c r="M279" s="86">
        <f t="shared" ca="1" si="237"/>
        <v>1.0096618357487923</v>
      </c>
      <c r="N279" s="86">
        <f t="shared" si="238"/>
        <v>0.80451009251471861</v>
      </c>
      <c r="O279" s="86">
        <f t="shared" si="239"/>
        <v>0.63719512195121952</v>
      </c>
      <c r="P279" s="87">
        <f t="shared" si="240"/>
        <v>52.25</v>
      </c>
      <c r="Q279" s="104">
        <f t="shared" si="241"/>
        <v>13.224880382775119</v>
      </c>
      <c r="R279" s="88">
        <f t="shared" si="242"/>
        <v>53.953953953953956</v>
      </c>
      <c r="S279" s="88">
        <f t="shared" si="243"/>
        <v>23.222222222222221</v>
      </c>
      <c r="T279" s="13">
        <f t="shared" si="244"/>
        <v>1</v>
      </c>
      <c r="U279" s="13">
        <f t="shared" si="245"/>
        <v>1</v>
      </c>
      <c r="V279" s="13">
        <f t="shared" si="246"/>
        <v>2</v>
      </c>
      <c r="W279" s="13">
        <f t="shared" ca="1" si="247"/>
        <v>3</v>
      </c>
      <c r="X279" s="13">
        <f t="shared" ca="1" si="248"/>
        <v>7</v>
      </c>
      <c r="Y279" s="81" t="str">
        <f t="shared" ca="1" si="249"/>
        <v>MONITOR</v>
      </c>
      <c r="Z279" s="13">
        <v>14</v>
      </c>
      <c r="AA279" s="75">
        <v>46059</v>
      </c>
      <c r="AB279" s="75">
        <f t="shared" si="250"/>
        <v>45920</v>
      </c>
      <c r="AC279" s="88">
        <f t="shared" si="251"/>
        <v>19.857142857142858</v>
      </c>
      <c r="AD279" s="89" t="str">
        <f t="shared" ca="1" si="252"/>
        <v>STABLE</v>
      </c>
      <c r="AE279" s="89" t="str">
        <f t="shared" si="253"/>
        <v>SLOW SELLING</v>
      </c>
      <c r="AF279" s="89" t="str">
        <f t="shared" si="254"/>
        <v>AT RISK</v>
      </c>
      <c r="AG279" s="89" t="str">
        <f t="shared" si="255"/>
        <v>FEASIBLE</v>
      </c>
      <c r="AH279" s="81" t="str">
        <f t="shared" ca="1" si="256"/>
        <v>MONITOR</v>
      </c>
      <c r="AI279" s="75">
        <f t="shared" ca="1" si="257"/>
        <v>0</v>
      </c>
      <c r="AJ279" s="75">
        <f t="shared" ca="1" si="258"/>
        <v>-691</v>
      </c>
      <c r="AK279" s="13">
        <f t="shared" ca="1" si="259"/>
        <v>-829</v>
      </c>
      <c r="AL279" s="79">
        <v>0.1</v>
      </c>
      <c r="AM279" s="79">
        <v>0.3</v>
      </c>
      <c r="AN279" s="79">
        <v>0.3</v>
      </c>
      <c r="AO279" s="79">
        <v>0.1</v>
      </c>
      <c r="AP279" s="79">
        <v>0.1</v>
      </c>
      <c r="AQ279" s="75">
        <f t="shared" si="260"/>
        <v>69.100000000000009</v>
      </c>
      <c r="AR279" s="75">
        <f t="shared" si="261"/>
        <v>207.29999999999998</v>
      </c>
      <c r="AS279" s="75">
        <f t="shared" si="262"/>
        <v>207.29999999999998</v>
      </c>
      <c r="AT279" s="75">
        <f t="shared" si="263"/>
        <v>69.100000000000009</v>
      </c>
      <c r="AU279" s="75">
        <f t="shared" si="264"/>
        <v>69.100000000000009</v>
      </c>
      <c r="AV279" s="13">
        <v>0.8</v>
      </c>
      <c r="AW279" s="13">
        <v>1.2</v>
      </c>
      <c r="AX279" s="13">
        <v>1.3</v>
      </c>
      <c r="AY279" s="13">
        <v>1</v>
      </c>
      <c r="AZ279" s="13">
        <v>0.7</v>
      </c>
      <c r="BA279" s="105">
        <f t="shared" si="265"/>
        <v>4.1800000000000006</v>
      </c>
      <c r="BB279" s="13">
        <f t="shared" si="266"/>
        <v>18.809999999999999</v>
      </c>
      <c r="BC279" s="13">
        <f t="shared" si="267"/>
        <v>20.377499999999998</v>
      </c>
      <c r="BD279" s="13">
        <f t="shared" si="268"/>
        <v>5.2250000000000005</v>
      </c>
      <c r="BE279" s="13">
        <f t="shared" si="269"/>
        <v>3.6575000000000002</v>
      </c>
      <c r="BF279" s="88">
        <f t="shared" si="270"/>
        <v>16.5311004784689</v>
      </c>
      <c r="BG279" s="88">
        <f t="shared" si="271"/>
        <v>11.0207336523126</v>
      </c>
      <c r="BH279" s="88">
        <f t="shared" si="272"/>
        <v>10.172984909827015</v>
      </c>
      <c r="BI279" s="88">
        <f t="shared" si="273"/>
        <v>13.224880382775121</v>
      </c>
      <c r="BJ279" s="88">
        <f t="shared" si="274"/>
        <v>18.892686261107315</v>
      </c>
      <c r="BK279" s="105">
        <f t="shared" si="275"/>
        <v>6.0492040520984079E-2</v>
      </c>
      <c r="BL279" s="105">
        <f t="shared" si="276"/>
        <v>9.0738060781476115E-2</v>
      </c>
      <c r="BM279" s="105">
        <f t="shared" si="277"/>
        <v>9.829956584659913E-2</v>
      </c>
      <c r="BN279" s="105">
        <f t="shared" si="278"/>
        <v>7.5615050651230101E-2</v>
      </c>
      <c r="BO279" s="105">
        <f t="shared" si="279"/>
        <v>5.2930535455861065E-2</v>
      </c>
      <c r="BP279" s="105">
        <f t="shared" si="280"/>
        <v>0.37807525325615049</v>
      </c>
      <c r="BQ279" s="79">
        <f t="shared" si="281"/>
        <v>0.16</v>
      </c>
      <c r="BR279" s="79">
        <f t="shared" si="282"/>
        <v>0.24</v>
      </c>
      <c r="BS279" s="79">
        <f t="shared" si="283"/>
        <v>0.26</v>
      </c>
      <c r="BT279" s="79">
        <f t="shared" si="284"/>
        <v>0.2</v>
      </c>
      <c r="BU279" s="79">
        <f t="shared" si="285"/>
        <v>0.13999999999999999</v>
      </c>
      <c r="BV279" s="90" t="str">
        <f t="array" aca="1" ref="BV279" ca="1">_xlfn.TEXTJOIN(" ",TRUE,
_xlfn.TEXTJOIN(":",TRUE,ROUND(BK279:BO279/MIN(IF(BK279:BO279&gt;0,BK279:BO279)),0)),
"|",
ROUND(SUM(BW279:CA279),0))</f>
        <v>1:2:2:1:1 | -829</v>
      </c>
      <c r="BW279" s="106">
        <f t="shared" ca="1" si="286"/>
        <v>-132.64000000000001</v>
      </c>
      <c r="BX279" s="106">
        <f t="shared" ca="1" si="232"/>
        <v>-198.95999999999998</v>
      </c>
      <c r="BY279" s="106">
        <f t="shared" ca="1" si="233"/>
        <v>-215.54000000000002</v>
      </c>
      <c r="BZ279" s="106">
        <f t="shared" ca="1" si="234"/>
        <v>-165.8</v>
      </c>
      <c r="CA279" s="106">
        <f t="shared" ca="1" si="287"/>
        <v>-116.05999999999999</v>
      </c>
    </row>
    <row r="280" spans="1:79" x14ac:dyDescent="0.35">
      <c r="A280" s="25" t="s">
        <v>293</v>
      </c>
      <c r="B280" s="10" t="s">
        <v>338</v>
      </c>
      <c r="C280" s="10" t="s">
        <v>342</v>
      </c>
      <c r="D280" s="10" t="s">
        <v>346</v>
      </c>
      <c r="E280" s="11">
        <v>45976</v>
      </c>
      <c r="F280" s="17">
        <v>45892</v>
      </c>
      <c r="G280" s="14">
        <f t="shared" ca="1" si="235"/>
        <v>207</v>
      </c>
      <c r="H280" s="17">
        <v>799</v>
      </c>
      <c r="I280" s="17">
        <v>360</v>
      </c>
      <c r="J280" s="75">
        <f t="shared" si="236"/>
        <v>800</v>
      </c>
      <c r="K280" s="18">
        <v>800</v>
      </c>
      <c r="L280" s="89">
        <v>0</v>
      </c>
      <c r="M280" s="86">
        <f t="shared" ca="1" si="237"/>
        <v>0</v>
      </c>
      <c r="N280" s="86">
        <f t="shared" si="238"/>
        <v>0.80451009251471861</v>
      </c>
      <c r="O280" s="86">
        <f t="shared" si="239"/>
        <v>0</v>
      </c>
      <c r="P280" s="87">
        <f t="shared" si="240"/>
        <v>0</v>
      </c>
      <c r="Q280" s="104" t="e">
        <f t="shared" si="241"/>
        <v>#DIV/0!</v>
      </c>
      <c r="R280" s="88">
        <f t="shared" si="242"/>
        <v>54.943679599499376</v>
      </c>
      <c r="S280" s="88">
        <f t="shared" si="243"/>
        <v>0</v>
      </c>
      <c r="T280" s="13">
        <f t="shared" si="244"/>
        <v>1</v>
      </c>
      <c r="U280" s="13" t="e">
        <f t="shared" si="245"/>
        <v>#DIV/0!</v>
      </c>
      <c r="V280" s="13">
        <f t="shared" si="246"/>
        <v>2</v>
      </c>
      <c r="W280" s="13">
        <f t="shared" ca="1" si="247"/>
        <v>3</v>
      </c>
      <c r="X280" s="13" t="e">
        <f t="shared" ca="1" si="248"/>
        <v>#DIV/0!</v>
      </c>
      <c r="Y280" s="81" t="str">
        <f t="shared" ca="1" si="249"/>
        <v>EXIT</v>
      </c>
      <c r="Z280" s="13">
        <v>14</v>
      </c>
      <c r="AA280" s="75">
        <v>46059</v>
      </c>
      <c r="AB280" s="75">
        <f t="shared" si="250"/>
        <v>45920</v>
      </c>
      <c r="AC280" s="88">
        <f t="shared" si="251"/>
        <v>19.857142857142858</v>
      </c>
      <c r="AD280" s="89" t="str">
        <f t="shared" ca="1" si="252"/>
        <v>STABLE</v>
      </c>
      <c r="AE280" s="89" t="str">
        <f t="shared" si="253"/>
        <v>SLOW SELLING</v>
      </c>
      <c r="AF280" s="89" t="e">
        <f t="shared" si="254"/>
        <v>#DIV/0!</v>
      </c>
      <c r="AG280" s="89" t="str">
        <f t="shared" si="255"/>
        <v>FEASIBLE</v>
      </c>
      <c r="AH280" s="81" t="str">
        <f t="shared" ca="1" si="256"/>
        <v>MONITOR</v>
      </c>
      <c r="AI280" s="75">
        <f t="shared" ca="1" si="257"/>
        <v>0</v>
      </c>
      <c r="AJ280" s="75">
        <f t="shared" ca="1" si="258"/>
        <v>-800</v>
      </c>
      <c r="AK280" s="13">
        <f t="shared" ca="1" si="259"/>
        <v>-960</v>
      </c>
      <c r="AL280" s="79">
        <v>0.1</v>
      </c>
      <c r="AM280" s="79">
        <v>0.3</v>
      </c>
      <c r="AN280" s="79">
        <v>0.3</v>
      </c>
      <c r="AO280" s="79">
        <v>0.1</v>
      </c>
      <c r="AP280" s="79">
        <v>0.1</v>
      </c>
      <c r="AQ280" s="75">
        <f t="shared" si="260"/>
        <v>80</v>
      </c>
      <c r="AR280" s="75">
        <f t="shared" si="261"/>
        <v>240</v>
      </c>
      <c r="AS280" s="75">
        <f t="shared" si="262"/>
        <v>240</v>
      </c>
      <c r="AT280" s="75">
        <f t="shared" si="263"/>
        <v>80</v>
      </c>
      <c r="AU280" s="75">
        <f t="shared" si="264"/>
        <v>80</v>
      </c>
      <c r="AV280" s="13">
        <v>0.8</v>
      </c>
      <c r="AW280" s="13">
        <v>1.2</v>
      </c>
      <c r="AX280" s="13">
        <v>1.3</v>
      </c>
      <c r="AY280" s="13">
        <v>1</v>
      </c>
      <c r="AZ280" s="13">
        <v>0.7</v>
      </c>
      <c r="BA280" s="105">
        <f t="shared" si="265"/>
        <v>0</v>
      </c>
      <c r="BB280" s="13">
        <f t="shared" si="266"/>
        <v>0</v>
      </c>
      <c r="BC280" s="13">
        <f t="shared" si="267"/>
        <v>0</v>
      </c>
      <c r="BD280" s="13">
        <f t="shared" si="268"/>
        <v>0</v>
      </c>
      <c r="BE280" s="13">
        <f t="shared" si="269"/>
        <v>0</v>
      </c>
      <c r="BF280" s="88" t="e">
        <f t="shared" si="270"/>
        <v>#DIV/0!</v>
      </c>
      <c r="BG280" s="88" t="e">
        <f t="shared" si="271"/>
        <v>#DIV/0!</v>
      </c>
      <c r="BH280" s="88" t="e">
        <f t="shared" si="272"/>
        <v>#DIV/0!</v>
      </c>
      <c r="BI280" s="88" t="e">
        <f t="shared" si="273"/>
        <v>#DIV/0!</v>
      </c>
      <c r="BJ280" s="88" t="e">
        <f t="shared" si="274"/>
        <v>#DIV/0!</v>
      </c>
      <c r="BK280" s="105" t="e">
        <f t="shared" si="275"/>
        <v>#DIV/0!</v>
      </c>
      <c r="BL280" s="105" t="e">
        <f t="shared" si="276"/>
        <v>#DIV/0!</v>
      </c>
      <c r="BM280" s="105" t="e">
        <f t="shared" si="277"/>
        <v>#DIV/0!</v>
      </c>
      <c r="BN280" s="105" t="e">
        <f t="shared" si="278"/>
        <v>#DIV/0!</v>
      </c>
      <c r="BO280" s="105" t="e">
        <f t="shared" si="279"/>
        <v>#DIV/0!</v>
      </c>
      <c r="BP280" s="105" t="e">
        <f t="shared" si="280"/>
        <v>#DIV/0!</v>
      </c>
      <c r="BQ280" s="79" t="e">
        <f t="shared" si="281"/>
        <v>#DIV/0!</v>
      </c>
      <c r="BR280" s="79" t="e">
        <f t="shared" si="282"/>
        <v>#DIV/0!</v>
      </c>
      <c r="BS280" s="79" t="e">
        <f t="shared" si="283"/>
        <v>#DIV/0!</v>
      </c>
      <c r="BT280" s="79" t="e">
        <f t="shared" si="284"/>
        <v>#DIV/0!</v>
      </c>
      <c r="BU280" s="79" t="e">
        <f t="shared" si="285"/>
        <v>#DIV/0!</v>
      </c>
      <c r="BV280" s="90" t="e">
        <f t="array" aca="1" ref="BV280" ca="1">_xlfn.TEXTJOIN(" ",TRUE,
_xlfn.TEXTJOIN(":",TRUE,ROUND(BK280:BO280/MIN(IF(BK280:BO280&gt;0,BK280:BO280)),0)),
"|",
ROUND(SUM(BW280:CA280),0))</f>
        <v>#DIV/0!</v>
      </c>
      <c r="BW280" s="106" t="e">
        <f t="shared" ca="1" si="286"/>
        <v>#DIV/0!</v>
      </c>
      <c r="BX280" s="106" t="e">
        <f t="shared" ca="1" si="232"/>
        <v>#DIV/0!</v>
      </c>
      <c r="BY280" s="106" t="e">
        <f t="shared" ca="1" si="233"/>
        <v>#DIV/0!</v>
      </c>
      <c r="BZ280" s="106" t="e">
        <f t="shared" ca="1" si="234"/>
        <v>#DIV/0!</v>
      </c>
      <c r="CA280" s="106" t="e">
        <f t="shared" ca="1" si="287"/>
        <v>#DIV/0!</v>
      </c>
    </row>
    <row r="281" spans="1:79" x14ac:dyDescent="0.35">
      <c r="A281" s="25" t="s">
        <v>294</v>
      </c>
      <c r="B281" s="10" t="s">
        <v>335</v>
      </c>
      <c r="C281" s="10" t="s">
        <v>342</v>
      </c>
      <c r="D281" s="10" t="s">
        <v>346</v>
      </c>
      <c r="E281" s="11">
        <v>45892</v>
      </c>
      <c r="F281" s="17">
        <v>45892</v>
      </c>
      <c r="G281" s="14">
        <f t="shared" ca="1" si="235"/>
        <v>207</v>
      </c>
      <c r="H281" s="17">
        <v>399</v>
      </c>
      <c r="I281" s="17">
        <v>205</v>
      </c>
      <c r="J281" s="75">
        <f t="shared" si="236"/>
        <v>632</v>
      </c>
      <c r="K281" s="17">
        <v>1000</v>
      </c>
      <c r="L281" s="85">
        <v>368</v>
      </c>
      <c r="M281" s="86">
        <f t="shared" ca="1" si="237"/>
        <v>1.7777777777777777</v>
      </c>
      <c r="N281" s="86">
        <f t="shared" si="238"/>
        <v>0.80451009251471861</v>
      </c>
      <c r="O281" s="86">
        <f t="shared" si="239"/>
        <v>1.1219512195121952</v>
      </c>
      <c r="P281" s="87">
        <f t="shared" si="240"/>
        <v>92.000000000000014</v>
      </c>
      <c r="Q281" s="104">
        <f t="shared" si="241"/>
        <v>6.8695652173913029</v>
      </c>
      <c r="R281" s="88">
        <f t="shared" si="242"/>
        <v>48.62155388471178</v>
      </c>
      <c r="S281" s="88">
        <f t="shared" si="243"/>
        <v>36.799999999999997</v>
      </c>
      <c r="T281" s="13">
        <f t="shared" si="244"/>
        <v>3</v>
      </c>
      <c r="U281" s="13">
        <f t="shared" si="245"/>
        <v>1</v>
      </c>
      <c r="V281" s="13">
        <f t="shared" si="246"/>
        <v>2</v>
      </c>
      <c r="W281" s="13">
        <f t="shared" ca="1" si="247"/>
        <v>3</v>
      </c>
      <c r="X281" s="13">
        <f t="shared" ca="1" si="248"/>
        <v>9</v>
      </c>
      <c r="Y281" s="81" t="str">
        <f t="shared" ca="1" si="249"/>
        <v>RE-BUY</v>
      </c>
      <c r="Z281" s="13">
        <v>14</v>
      </c>
      <c r="AA281" s="75">
        <v>46059</v>
      </c>
      <c r="AB281" s="75">
        <f t="shared" si="250"/>
        <v>45920</v>
      </c>
      <c r="AC281" s="88">
        <f t="shared" si="251"/>
        <v>19.857142857142858</v>
      </c>
      <c r="AD281" s="89" t="str">
        <f t="shared" ca="1" si="252"/>
        <v>STABLE</v>
      </c>
      <c r="AE281" s="89" t="str">
        <f t="shared" si="253"/>
        <v>FAST SELLING</v>
      </c>
      <c r="AF281" s="89" t="str">
        <f t="shared" si="254"/>
        <v>AT RISK</v>
      </c>
      <c r="AG281" s="89" t="str">
        <f t="shared" si="255"/>
        <v>FEASIBLE</v>
      </c>
      <c r="AH281" s="81" t="str">
        <f t="shared" ca="1" si="256"/>
        <v>IMMEDIATE REBUY</v>
      </c>
      <c r="AI281" s="75">
        <f t="shared" ca="1" si="257"/>
        <v>1096.1142857142859</v>
      </c>
      <c r="AJ281" s="75">
        <f t="shared" ca="1" si="258"/>
        <v>464.11428571428587</v>
      </c>
      <c r="AK281" s="13">
        <f t="shared" ca="1" si="259"/>
        <v>557</v>
      </c>
      <c r="AL281" s="79">
        <v>0.1</v>
      </c>
      <c r="AM281" s="79">
        <v>0.3</v>
      </c>
      <c r="AN281" s="79">
        <v>0.3</v>
      </c>
      <c r="AO281" s="79">
        <v>0.1</v>
      </c>
      <c r="AP281" s="79">
        <v>0.1</v>
      </c>
      <c r="AQ281" s="75">
        <f t="shared" si="260"/>
        <v>63.2</v>
      </c>
      <c r="AR281" s="75">
        <f t="shared" si="261"/>
        <v>189.6</v>
      </c>
      <c r="AS281" s="75">
        <f t="shared" si="262"/>
        <v>189.6</v>
      </c>
      <c r="AT281" s="75">
        <f t="shared" si="263"/>
        <v>63.2</v>
      </c>
      <c r="AU281" s="75">
        <f t="shared" si="264"/>
        <v>63.2</v>
      </c>
      <c r="AV281" s="13">
        <v>0.8</v>
      </c>
      <c r="AW281" s="13">
        <v>1.2</v>
      </c>
      <c r="AX281" s="13">
        <v>1.3</v>
      </c>
      <c r="AY281" s="13">
        <v>1</v>
      </c>
      <c r="AZ281" s="13">
        <v>0.7</v>
      </c>
      <c r="BA281" s="105">
        <f t="shared" si="265"/>
        <v>7.3600000000000012</v>
      </c>
      <c r="BB281" s="13">
        <f t="shared" si="266"/>
        <v>33.120000000000005</v>
      </c>
      <c r="BC281" s="13">
        <f t="shared" si="267"/>
        <v>35.88000000000001</v>
      </c>
      <c r="BD281" s="13">
        <f t="shared" si="268"/>
        <v>9.2000000000000011</v>
      </c>
      <c r="BE281" s="13">
        <f t="shared" si="269"/>
        <v>6.44</v>
      </c>
      <c r="BF281" s="88">
        <f t="shared" si="270"/>
        <v>8.586956521739129</v>
      </c>
      <c r="BG281" s="88">
        <f t="shared" si="271"/>
        <v>5.7246376811594191</v>
      </c>
      <c r="BH281" s="88">
        <f t="shared" si="272"/>
        <v>5.2842809364548478</v>
      </c>
      <c r="BI281" s="88">
        <f t="shared" si="273"/>
        <v>6.8695652173913038</v>
      </c>
      <c r="BJ281" s="88">
        <f t="shared" si="274"/>
        <v>9.8136645962732914</v>
      </c>
      <c r="BK281" s="105">
        <f t="shared" si="275"/>
        <v>0.11645569620253167</v>
      </c>
      <c r="BL281" s="105">
        <f t="shared" si="276"/>
        <v>0.17468354430379751</v>
      </c>
      <c r="BM281" s="105">
        <f t="shared" si="277"/>
        <v>0.18924050632911399</v>
      </c>
      <c r="BN281" s="105">
        <f t="shared" si="278"/>
        <v>0.14556962025316456</v>
      </c>
      <c r="BO281" s="105">
        <f t="shared" si="279"/>
        <v>0.10189873417721519</v>
      </c>
      <c r="BP281" s="105">
        <f t="shared" si="280"/>
        <v>0.72784810126582289</v>
      </c>
      <c r="BQ281" s="79">
        <f t="shared" si="281"/>
        <v>0.16</v>
      </c>
      <c r="BR281" s="79">
        <f t="shared" si="282"/>
        <v>0.24000000000000002</v>
      </c>
      <c r="BS281" s="79">
        <f t="shared" si="283"/>
        <v>0.26000000000000006</v>
      </c>
      <c r="BT281" s="79">
        <f t="shared" si="284"/>
        <v>0.19999999999999998</v>
      </c>
      <c r="BU281" s="79">
        <f t="shared" si="285"/>
        <v>0.13999999999999999</v>
      </c>
      <c r="BV281" s="90" t="str">
        <f t="array" aca="1" ref="BV281" ca="1">_xlfn.TEXTJOIN(" ",TRUE,
_xlfn.TEXTJOIN(":",TRUE,ROUND(BK281:BO281/MIN(IF(BK281:BO281&gt;0,BK281:BO281)),0)),
"|",
ROUND(SUM(BW281:CA281),0))</f>
        <v>1:2:2:1:1 | 557</v>
      </c>
      <c r="BW281" s="106">
        <f t="shared" ca="1" si="286"/>
        <v>89.12</v>
      </c>
      <c r="BX281" s="106">
        <f t="shared" ca="1" si="232"/>
        <v>133.68</v>
      </c>
      <c r="BY281" s="106">
        <f t="shared" ca="1" si="233"/>
        <v>144.82000000000005</v>
      </c>
      <c r="BZ281" s="106">
        <f t="shared" ca="1" si="234"/>
        <v>111.39999999999999</v>
      </c>
      <c r="CA281" s="106">
        <f t="shared" ca="1" si="287"/>
        <v>77.97999999999999</v>
      </c>
    </row>
    <row r="282" spans="1:79" x14ac:dyDescent="0.35">
      <c r="A282" s="25" t="s">
        <v>295</v>
      </c>
      <c r="B282" s="10" t="s">
        <v>335</v>
      </c>
      <c r="C282" s="10" t="s">
        <v>342</v>
      </c>
      <c r="D282" s="10" t="s">
        <v>346</v>
      </c>
      <c r="E282" s="11">
        <v>45892</v>
      </c>
      <c r="F282" s="17">
        <v>45892</v>
      </c>
      <c r="G282" s="14">
        <f t="shared" ca="1" si="235"/>
        <v>207</v>
      </c>
      <c r="H282" s="17">
        <v>399</v>
      </c>
      <c r="I282" s="17">
        <v>205</v>
      </c>
      <c r="J282" s="75">
        <f t="shared" si="236"/>
        <v>840</v>
      </c>
      <c r="K282" s="17">
        <v>1000</v>
      </c>
      <c r="L282" s="85">
        <v>160</v>
      </c>
      <c r="M282" s="86">
        <f t="shared" ca="1" si="237"/>
        <v>0.77294685990338163</v>
      </c>
      <c r="N282" s="86">
        <f t="shared" si="238"/>
        <v>0.80451009251471861</v>
      </c>
      <c r="O282" s="86">
        <f t="shared" si="239"/>
        <v>0.48780487804878048</v>
      </c>
      <c r="P282" s="87">
        <f t="shared" si="240"/>
        <v>40</v>
      </c>
      <c r="Q282" s="104">
        <f t="shared" si="241"/>
        <v>21</v>
      </c>
      <c r="R282" s="88">
        <f t="shared" si="242"/>
        <v>48.62155388471178</v>
      </c>
      <c r="S282" s="88">
        <f t="shared" si="243"/>
        <v>16</v>
      </c>
      <c r="T282" s="13">
        <f t="shared" si="244"/>
        <v>1</v>
      </c>
      <c r="U282" s="13">
        <f t="shared" si="245"/>
        <v>1</v>
      </c>
      <c r="V282" s="13">
        <f t="shared" si="246"/>
        <v>2</v>
      </c>
      <c r="W282" s="13">
        <f t="shared" ca="1" si="247"/>
        <v>3</v>
      </c>
      <c r="X282" s="13">
        <f t="shared" ca="1" si="248"/>
        <v>7</v>
      </c>
      <c r="Y282" s="81" t="str">
        <f t="shared" ca="1" si="249"/>
        <v>MONITOR</v>
      </c>
      <c r="Z282" s="13">
        <v>14</v>
      </c>
      <c r="AA282" s="75">
        <v>46059</v>
      </c>
      <c r="AB282" s="75">
        <f t="shared" si="250"/>
        <v>45920</v>
      </c>
      <c r="AC282" s="88">
        <f t="shared" si="251"/>
        <v>19.857142857142858</v>
      </c>
      <c r="AD282" s="89" t="str">
        <f t="shared" ca="1" si="252"/>
        <v>STABLE</v>
      </c>
      <c r="AE282" s="89" t="str">
        <f t="shared" si="253"/>
        <v>SLOW SELLING</v>
      </c>
      <c r="AF282" s="89" t="str">
        <f t="shared" si="254"/>
        <v>AT RISK</v>
      </c>
      <c r="AG282" s="89" t="str">
        <f t="shared" si="255"/>
        <v>FEASIBLE</v>
      </c>
      <c r="AH282" s="81" t="str">
        <f t="shared" ca="1" si="256"/>
        <v>MONITOR</v>
      </c>
      <c r="AI282" s="75">
        <f t="shared" ca="1" si="257"/>
        <v>0</v>
      </c>
      <c r="AJ282" s="75">
        <f t="shared" ca="1" si="258"/>
        <v>-840</v>
      </c>
      <c r="AK282" s="13">
        <f t="shared" ca="1" si="259"/>
        <v>-1008</v>
      </c>
      <c r="AL282" s="79">
        <v>0.1</v>
      </c>
      <c r="AM282" s="79">
        <v>0.3</v>
      </c>
      <c r="AN282" s="79">
        <v>0.3</v>
      </c>
      <c r="AO282" s="79">
        <v>0.1</v>
      </c>
      <c r="AP282" s="79">
        <v>0.1</v>
      </c>
      <c r="AQ282" s="75">
        <f t="shared" si="260"/>
        <v>84</v>
      </c>
      <c r="AR282" s="75">
        <f t="shared" si="261"/>
        <v>252</v>
      </c>
      <c r="AS282" s="75">
        <f t="shared" si="262"/>
        <v>252</v>
      </c>
      <c r="AT282" s="75">
        <f t="shared" si="263"/>
        <v>84</v>
      </c>
      <c r="AU282" s="75">
        <f t="shared" si="264"/>
        <v>84</v>
      </c>
      <c r="AV282" s="13">
        <v>0.8</v>
      </c>
      <c r="AW282" s="13">
        <v>1.2</v>
      </c>
      <c r="AX282" s="13">
        <v>1.3</v>
      </c>
      <c r="AY282" s="13">
        <v>1</v>
      </c>
      <c r="AZ282" s="13">
        <v>0.7</v>
      </c>
      <c r="BA282" s="105">
        <f t="shared" si="265"/>
        <v>3.2</v>
      </c>
      <c r="BB282" s="13">
        <f t="shared" si="266"/>
        <v>14.399999999999999</v>
      </c>
      <c r="BC282" s="13">
        <f t="shared" si="267"/>
        <v>15.600000000000001</v>
      </c>
      <c r="BD282" s="13">
        <f t="shared" si="268"/>
        <v>4</v>
      </c>
      <c r="BE282" s="13">
        <f t="shared" si="269"/>
        <v>2.8</v>
      </c>
      <c r="BF282" s="88">
        <f t="shared" si="270"/>
        <v>26.25</v>
      </c>
      <c r="BG282" s="88">
        <f t="shared" si="271"/>
        <v>17.5</v>
      </c>
      <c r="BH282" s="88">
        <f t="shared" si="272"/>
        <v>16.153846153846153</v>
      </c>
      <c r="BI282" s="88">
        <f t="shared" si="273"/>
        <v>21</v>
      </c>
      <c r="BJ282" s="88">
        <f t="shared" si="274"/>
        <v>30.000000000000004</v>
      </c>
      <c r="BK282" s="105">
        <f t="shared" si="275"/>
        <v>3.8095238095238099E-2</v>
      </c>
      <c r="BL282" s="105">
        <f t="shared" si="276"/>
        <v>5.7142857142857141E-2</v>
      </c>
      <c r="BM282" s="105">
        <f t="shared" si="277"/>
        <v>6.1904761904761907E-2</v>
      </c>
      <c r="BN282" s="105">
        <f t="shared" si="278"/>
        <v>4.7619047619047616E-2</v>
      </c>
      <c r="BO282" s="105">
        <f t="shared" si="279"/>
        <v>3.3333333333333326E-2</v>
      </c>
      <c r="BP282" s="105">
        <f t="shared" si="280"/>
        <v>0.23809523809523808</v>
      </c>
      <c r="BQ282" s="79">
        <f t="shared" si="281"/>
        <v>0.16000000000000003</v>
      </c>
      <c r="BR282" s="79">
        <f t="shared" si="282"/>
        <v>0.24000000000000002</v>
      </c>
      <c r="BS282" s="79">
        <f t="shared" si="283"/>
        <v>0.26</v>
      </c>
      <c r="BT282" s="79">
        <f t="shared" si="284"/>
        <v>0.2</v>
      </c>
      <c r="BU282" s="79">
        <f t="shared" si="285"/>
        <v>0.13999999999999999</v>
      </c>
      <c r="BV282" s="90" t="str">
        <f t="array" aca="1" ref="BV282" ca="1">_xlfn.TEXTJOIN(" ",TRUE,
_xlfn.TEXTJOIN(":",TRUE,ROUND(BK282:BO282/MIN(IF(BK282:BO282&gt;0,BK282:BO282)),0)),
"|",
ROUND(SUM(BW282:CA282),0))</f>
        <v>1:2:2:1:1 | -1008</v>
      </c>
      <c r="BW282" s="106">
        <f t="shared" ca="1" si="286"/>
        <v>-161.28000000000003</v>
      </c>
      <c r="BX282" s="106">
        <f t="shared" ca="1" si="232"/>
        <v>-241.92000000000002</v>
      </c>
      <c r="BY282" s="106">
        <f t="shared" ca="1" si="233"/>
        <v>-262.08</v>
      </c>
      <c r="BZ282" s="106">
        <f t="shared" ca="1" si="234"/>
        <v>-201.60000000000002</v>
      </c>
      <c r="CA282" s="106">
        <f t="shared" ca="1" si="287"/>
        <v>-141.11999999999998</v>
      </c>
    </row>
    <row r="283" spans="1:79" x14ac:dyDescent="0.35">
      <c r="A283" s="25" t="s">
        <v>296</v>
      </c>
      <c r="B283" s="10" t="s">
        <v>335</v>
      </c>
      <c r="C283" s="10" t="s">
        <v>342</v>
      </c>
      <c r="D283" s="10" t="s">
        <v>346</v>
      </c>
      <c r="E283" s="11">
        <v>45920</v>
      </c>
      <c r="F283" s="17">
        <v>45892</v>
      </c>
      <c r="G283" s="14">
        <f t="shared" ca="1" si="235"/>
        <v>207</v>
      </c>
      <c r="H283" s="17">
        <v>399</v>
      </c>
      <c r="I283" s="17">
        <v>295</v>
      </c>
      <c r="J283" s="75">
        <f t="shared" si="236"/>
        <v>603</v>
      </c>
      <c r="K283" s="17">
        <v>1000</v>
      </c>
      <c r="L283" s="85">
        <v>397</v>
      </c>
      <c r="M283" s="86">
        <f t="shared" ca="1" si="237"/>
        <v>1.9178743961352658</v>
      </c>
      <c r="N283" s="86">
        <f t="shared" si="238"/>
        <v>0.80451009251471861</v>
      </c>
      <c r="O283" s="86">
        <f t="shared" si="239"/>
        <v>1.2103658536585367</v>
      </c>
      <c r="P283" s="87">
        <f t="shared" si="240"/>
        <v>99.25</v>
      </c>
      <c r="Q283" s="104">
        <f t="shared" si="241"/>
        <v>6.0755667506297231</v>
      </c>
      <c r="R283" s="88">
        <f t="shared" si="242"/>
        <v>26.065162907268167</v>
      </c>
      <c r="S283" s="88">
        <f t="shared" si="243"/>
        <v>39.700000000000003</v>
      </c>
      <c r="T283" s="13">
        <f t="shared" si="244"/>
        <v>3</v>
      </c>
      <c r="U283" s="13">
        <f t="shared" si="245"/>
        <v>1</v>
      </c>
      <c r="V283" s="13">
        <f t="shared" si="246"/>
        <v>1</v>
      </c>
      <c r="W283" s="13">
        <f t="shared" ca="1" si="247"/>
        <v>3</v>
      </c>
      <c r="X283" s="13">
        <f t="shared" ca="1" si="248"/>
        <v>8</v>
      </c>
      <c r="Y283" s="81" t="str">
        <f t="shared" ca="1" si="249"/>
        <v>MONITOR</v>
      </c>
      <c r="Z283" s="13">
        <v>14</v>
      </c>
      <c r="AA283" s="75">
        <v>46059</v>
      </c>
      <c r="AB283" s="75">
        <f t="shared" si="250"/>
        <v>45920</v>
      </c>
      <c r="AC283" s="88">
        <f t="shared" si="251"/>
        <v>19.857142857142858</v>
      </c>
      <c r="AD283" s="89" t="str">
        <f t="shared" ca="1" si="252"/>
        <v>STABLE</v>
      </c>
      <c r="AE283" s="89" t="str">
        <f t="shared" si="253"/>
        <v>FAST SELLING</v>
      </c>
      <c r="AF283" s="89" t="str">
        <f t="shared" si="254"/>
        <v>AT RISK</v>
      </c>
      <c r="AG283" s="89" t="str">
        <f t="shared" si="255"/>
        <v>FEASIBLE</v>
      </c>
      <c r="AH283" s="81" t="str">
        <f t="shared" ca="1" si="256"/>
        <v>MONITOR</v>
      </c>
      <c r="AI283" s="75">
        <f t="shared" ca="1" si="257"/>
        <v>0</v>
      </c>
      <c r="AJ283" s="75">
        <f t="shared" ca="1" si="258"/>
        <v>-603</v>
      </c>
      <c r="AK283" s="13">
        <f t="shared" ca="1" si="259"/>
        <v>-724</v>
      </c>
      <c r="AL283" s="79">
        <v>0.1</v>
      </c>
      <c r="AM283" s="79">
        <v>0.3</v>
      </c>
      <c r="AN283" s="79">
        <v>0.3</v>
      </c>
      <c r="AO283" s="79">
        <v>0.1</v>
      </c>
      <c r="AP283" s="79">
        <v>0.1</v>
      </c>
      <c r="AQ283" s="75">
        <f t="shared" si="260"/>
        <v>60.300000000000004</v>
      </c>
      <c r="AR283" s="75">
        <f t="shared" si="261"/>
        <v>180.9</v>
      </c>
      <c r="AS283" s="75">
        <f t="shared" si="262"/>
        <v>180.9</v>
      </c>
      <c r="AT283" s="75">
        <f t="shared" si="263"/>
        <v>60.300000000000004</v>
      </c>
      <c r="AU283" s="75">
        <f t="shared" si="264"/>
        <v>60.300000000000004</v>
      </c>
      <c r="AV283" s="13">
        <v>0.8</v>
      </c>
      <c r="AW283" s="13">
        <v>1.2</v>
      </c>
      <c r="AX283" s="13">
        <v>1.3</v>
      </c>
      <c r="AY283" s="13">
        <v>1</v>
      </c>
      <c r="AZ283" s="13">
        <v>0.7</v>
      </c>
      <c r="BA283" s="105">
        <f t="shared" si="265"/>
        <v>7.9400000000000013</v>
      </c>
      <c r="BB283" s="13">
        <f t="shared" si="266"/>
        <v>35.729999999999997</v>
      </c>
      <c r="BC283" s="13">
        <f t="shared" si="267"/>
        <v>38.707499999999996</v>
      </c>
      <c r="BD283" s="13">
        <f t="shared" si="268"/>
        <v>9.9250000000000007</v>
      </c>
      <c r="BE283" s="13">
        <f t="shared" si="269"/>
        <v>6.9474999999999998</v>
      </c>
      <c r="BF283" s="88">
        <f t="shared" si="270"/>
        <v>7.5944584382871527</v>
      </c>
      <c r="BG283" s="88">
        <f t="shared" si="271"/>
        <v>5.0629722921914366</v>
      </c>
      <c r="BH283" s="88">
        <f t="shared" si="272"/>
        <v>4.6735128850997878</v>
      </c>
      <c r="BI283" s="88">
        <f t="shared" si="273"/>
        <v>6.0755667506297231</v>
      </c>
      <c r="BJ283" s="88">
        <f t="shared" si="274"/>
        <v>8.6793810723281766</v>
      </c>
      <c r="BK283" s="105">
        <f t="shared" si="275"/>
        <v>0.13167495854063019</v>
      </c>
      <c r="BL283" s="105">
        <f t="shared" si="276"/>
        <v>0.19751243781094524</v>
      </c>
      <c r="BM283" s="105">
        <f t="shared" si="277"/>
        <v>0.213971807628524</v>
      </c>
      <c r="BN283" s="105">
        <f t="shared" si="278"/>
        <v>0.16459369817578773</v>
      </c>
      <c r="BO283" s="105">
        <f t="shared" si="279"/>
        <v>0.11521558872305139</v>
      </c>
      <c r="BP283" s="105">
        <f t="shared" si="280"/>
        <v>0.82296849087893853</v>
      </c>
      <c r="BQ283" s="79">
        <f t="shared" si="281"/>
        <v>0.16000000000000003</v>
      </c>
      <c r="BR283" s="79">
        <f t="shared" si="282"/>
        <v>0.24</v>
      </c>
      <c r="BS283" s="79">
        <f t="shared" si="283"/>
        <v>0.25999999999999995</v>
      </c>
      <c r="BT283" s="79">
        <f t="shared" si="284"/>
        <v>0.20000000000000004</v>
      </c>
      <c r="BU283" s="79">
        <f t="shared" si="285"/>
        <v>0.13999999999999999</v>
      </c>
      <c r="BV283" s="90" t="str">
        <f t="array" aca="1" ref="BV283" ca="1">_xlfn.TEXTJOIN(" ",TRUE,
_xlfn.TEXTJOIN(":",TRUE,ROUND(BK283:BO283/MIN(IF(BK283:BO283&gt;0,BK283:BO283)),0)),
"|",
ROUND(SUM(BW283:CA283),0))</f>
        <v>1:2:2:1:1 | -724</v>
      </c>
      <c r="BW283" s="106">
        <f t="shared" ca="1" si="286"/>
        <v>-115.84000000000002</v>
      </c>
      <c r="BX283" s="106">
        <f t="shared" ca="1" si="232"/>
        <v>-173.76</v>
      </c>
      <c r="BY283" s="106">
        <f t="shared" ca="1" si="233"/>
        <v>-188.23999999999995</v>
      </c>
      <c r="BZ283" s="106">
        <f t="shared" ca="1" si="234"/>
        <v>-144.80000000000004</v>
      </c>
      <c r="CA283" s="106">
        <f t="shared" ca="1" si="287"/>
        <v>-101.35999999999999</v>
      </c>
    </row>
    <row r="284" spans="1:79" x14ac:dyDescent="0.35">
      <c r="A284" s="25" t="s">
        <v>297</v>
      </c>
      <c r="B284" s="10" t="s">
        <v>335</v>
      </c>
      <c r="C284" s="10" t="s">
        <v>345</v>
      </c>
      <c r="D284" s="10" t="s">
        <v>346</v>
      </c>
      <c r="E284" s="11">
        <v>45892</v>
      </c>
      <c r="F284" s="17">
        <v>45892</v>
      </c>
      <c r="G284" s="14">
        <f t="shared" ca="1" si="235"/>
        <v>207</v>
      </c>
      <c r="H284" s="17">
        <v>599</v>
      </c>
      <c r="I284" s="17">
        <v>300</v>
      </c>
      <c r="J284" s="75">
        <f t="shared" si="236"/>
        <v>519</v>
      </c>
      <c r="K284" s="17">
        <v>750</v>
      </c>
      <c r="L284" s="85">
        <v>231</v>
      </c>
      <c r="M284" s="86">
        <f t="shared" ca="1" si="237"/>
        <v>1.1159420289855073</v>
      </c>
      <c r="N284" s="86">
        <f t="shared" si="238"/>
        <v>0.73224085365853642</v>
      </c>
      <c r="O284" s="86">
        <f t="shared" si="239"/>
        <v>0.70426829268292679</v>
      </c>
      <c r="P284" s="87">
        <f t="shared" si="240"/>
        <v>57.75</v>
      </c>
      <c r="Q284" s="104">
        <f t="shared" si="241"/>
        <v>8.9870129870129869</v>
      </c>
      <c r="R284" s="88">
        <f t="shared" si="242"/>
        <v>49.916527545909851</v>
      </c>
      <c r="S284" s="88">
        <f t="shared" si="243"/>
        <v>30.8</v>
      </c>
      <c r="T284" s="13">
        <f t="shared" si="244"/>
        <v>2</v>
      </c>
      <c r="U284" s="13">
        <f t="shared" si="245"/>
        <v>1</v>
      </c>
      <c r="V284" s="13">
        <f t="shared" si="246"/>
        <v>2</v>
      </c>
      <c r="W284" s="13">
        <f t="shared" ca="1" si="247"/>
        <v>3</v>
      </c>
      <c r="X284" s="13">
        <f t="shared" ca="1" si="248"/>
        <v>8</v>
      </c>
      <c r="Y284" s="81" t="str">
        <f t="shared" ca="1" si="249"/>
        <v>MONITOR</v>
      </c>
      <c r="Z284" s="13">
        <v>14</v>
      </c>
      <c r="AA284" s="75">
        <v>46059</v>
      </c>
      <c r="AB284" s="75">
        <f t="shared" si="250"/>
        <v>45920</v>
      </c>
      <c r="AC284" s="88">
        <f t="shared" si="251"/>
        <v>19.857142857142858</v>
      </c>
      <c r="AD284" s="89" t="str">
        <f t="shared" ca="1" si="252"/>
        <v>STABLE</v>
      </c>
      <c r="AE284" s="89" t="str">
        <f t="shared" si="253"/>
        <v>SLOW SELLING</v>
      </c>
      <c r="AF284" s="89" t="str">
        <f t="shared" si="254"/>
        <v>AT RISK</v>
      </c>
      <c r="AG284" s="89" t="str">
        <f t="shared" si="255"/>
        <v>FEASIBLE</v>
      </c>
      <c r="AH284" s="81" t="str">
        <f t="shared" ca="1" si="256"/>
        <v>MONITOR</v>
      </c>
      <c r="AI284" s="75">
        <f t="shared" ca="1" si="257"/>
        <v>0</v>
      </c>
      <c r="AJ284" s="75">
        <f t="shared" ca="1" si="258"/>
        <v>-519</v>
      </c>
      <c r="AK284" s="13">
        <f t="shared" ca="1" si="259"/>
        <v>-623</v>
      </c>
      <c r="AL284" s="79">
        <v>0.1</v>
      </c>
      <c r="AM284" s="79">
        <v>0.3</v>
      </c>
      <c r="AN284" s="79">
        <v>0.3</v>
      </c>
      <c r="AO284" s="79">
        <v>0.1</v>
      </c>
      <c r="AP284" s="79">
        <v>0.1</v>
      </c>
      <c r="AQ284" s="75">
        <f t="shared" si="260"/>
        <v>51.900000000000006</v>
      </c>
      <c r="AR284" s="75">
        <f t="shared" si="261"/>
        <v>155.69999999999999</v>
      </c>
      <c r="AS284" s="75">
        <f t="shared" si="262"/>
        <v>155.69999999999999</v>
      </c>
      <c r="AT284" s="75">
        <f t="shared" si="263"/>
        <v>51.900000000000006</v>
      </c>
      <c r="AU284" s="75">
        <f t="shared" si="264"/>
        <v>51.900000000000006</v>
      </c>
      <c r="AV284" s="13">
        <v>0.8</v>
      </c>
      <c r="AW284" s="13">
        <v>1.2</v>
      </c>
      <c r="AX284" s="13">
        <v>1.3</v>
      </c>
      <c r="AY284" s="13">
        <v>1</v>
      </c>
      <c r="AZ284" s="13">
        <v>0.7</v>
      </c>
      <c r="BA284" s="105">
        <f t="shared" si="265"/>
        <v>4.62</v>
      </c>
      <c r="BB284" s="13">
        <f t="shared" si="266"/>
        <v>20.79</v>
      </c>
      <c r="BC284" s="13">
        <f t="shared" si="267"/>
        <v>22.522500000000001</v>
      </c>
      <c r="BD284" s="13">
        <f t="shared" si="268"/>
        <v>5.7750000000000004</v>
      </c>
      <c r="BE284" s="13">
        <f t="shared" si="269"/>
        <v>4.0425000000000004</v>
      </c>
      <c r="BF284" s="88">
        <f t="shared" si="270"/>
        <v>11.233766233766234</v>
      </c>
      <c r="BG284" s="88">
        <f t="shared" si="271"/>
        <v>7.4891774891774894</v>
      </c>
      <c r="BH284" s="88">
        <f t="shared" si="272"/>
        <v>6.9130869130869126</v>
      </c>
      <c r="BI284" s="88">
        <f t="shared" si="273"/>
        <v>8.9870129870129869</v>
      </c>
      <c r="BJ284" s="88">
        <f t="shared" si="274"/>
        <v>12.838589981447125</v>
      </c>
      <c r="BK284" s="105">
        <f t="shared" si="275"/>
        <v>8.9017341040462425E-2</v>
      </c>
      <c r="BL284" s="105">
        <f t="shared" si="276"/>
        <v>0.13352601156069363</v>
      </c>
      <c r="BM284" s="105">
        <f t="shared" si="277"/>
        <v>0.14465317919075146</v>
      </c>
      <c r="BN284" s="105">
        <f t="shared" si="278"/>
        <v>0.11127167630057803</v>
      </c>
      <c r="BO284" s="105">
        <f t="shared" si="279"/>
        <v>7.789017341040462E-2</v>
      </c>
      <c r="BP284" s="105">
        <f t="shared" si="280"/>
        <v>0.55635838150289019</v>
      </c>
      <c r="BQ284" s="79">
        <f t="shared" si="281"/>
        <v>0.16</v>
      </c>
      <c r="BR284" s="79">
        <f t="shared" si="282"/>
        <v>0.23999999999999996</v>
      </c>
      <c r="BS284" s="79">
        <f t="shared" si="283"/>
        <v>0.26</v>
      </c>
      <c r="BT284" s="79">
        <f t="shared" si="284"/>
        <v>0.19999999999999998</v>
      </c>
      <c r="BU284" s="79">
        <f t="shared" si="285"/>
        <v>0.13999999999999999</v>
      </c>
      <c r="BV284" s="90" t="str">
        <f t="array" aca="1" ref="BV284" ca="1">_xlfn.TEXTJOIN(" ",TRUE,
_xlfn.TEXTJOIN(":",TRUE,ROUND(BK284:BO284/MIN(IF(BK284:BO284&gt;0,BK284:BO284)),0)),
"|",
ROUND(SUM(BW284:CA284),0))</f>
        <v>1:2:2:1:1 | -623</v>
      </c>
      <c r="BW284" s="106">
        <f t="shared" ca="1" si="286"/>
        <v>-99.68</v>
      </c>
      <c r="BX284" s="106">
        <f t="shared" ca="1" si="232"/>
        <v>-149.51999999999998</v>
      </c>
      <c r="BY284" s="106">
        <f t="shared" ca="1" si="233"/>
        <v>-161.98000000000002</v>
      </c>
      <c r="BZ284" s="106">
        <f t="shared" ca="1" si="234"/>
        <v>-124.6</v>
      </c>
      <c r="CA284" s="106">
        <f t="shared" ca="1" si="287"/>
        <v>-87.219999999999985</v>
      </c>
    </row>
    <row r="285" spans="1:79" x14ac:dyDescent="0.35">
      <c r="A285" s="25" t="s">
        <v>298</v>
      </c>
      <c r="B285" s="10" t="s">
        <v>337</v>
      </c>
      <c r="C285" s="10" t="s">
        <v>345</v>
      </c>
      <c r="D285" s="10" t="s">
        <v>346</v>
      </c>
      <c r="E285" s="11">
        <v>45864</v>
      </c>
      <c r="F285" s="17">
        <v>45892</v>
      </c>
      <c r="G285" s="14">
        <f t="shared" ca="1" si="235"/>
        <v>207</v>
      </c>
      <c r="H285" s="17">
        <v>599</v>
      </c>
      <c r="I285" s="17">
        <v>300</v>
      </c>
      <c r="J285" s="75">
        <f t="shared" si="236"/>
        <v>1328</v>
      </c>
      <c r="K285" s="17">
        <v>1450</v>
      </c>
      <c r="L285" s="85">
        <v>122</v>
      </c>
      <c r="M285" s="86">
        <f t="shared" ca="1" si="237"/>
        <v>0.58937198067632846</v>
      </c>
      <c r="N285" s="86">
        <f t="shared" si="238"/>
        <v>0.73224085365853642</v>
      </c>
      <c r="O285" s="86">
        <f t="shared" si="239"/>
        <v>0.37195121951219512</v>
      </c>
      <c r="P285" s="87">
        <f t="shared" si="240"/>
        <v>30.5</v>
      </c>
      <c r="Q285" s="104">
        <f t="shared" si="241"/>
        <v>43.540983606557376</v>
      </c>
      <c r="R285" s="88">
        <f t="shared" si="242"/>
        <v>49.916527545909851</v>
      </c>
      <c r="S285" s="88">
        <f t="shared" si="243"/>
        <v>8.4137931034482758</v>
      </c>
      <c r="T285" s="13">
        <f t="shared" si="244"/>
        <v>1</v>
      </c>
      <c r="U285" s="13">
        <f t="shared" si="245"/>
        <v>1</v>
      </c>
      <c r="V285" s="13">
        <f t="shared" si="246"/>
        <v>2</v>
      </c>
      <c r="W285" s="13">
        <f t="shared" ca="1" si="247"/>
        <v>3</v>
      </c>
      <c r="X285" s="13">
        <f t="shared" ca="1" si="248"/>
        <v>7</v>
      </c>
      <c r="Y285" s="81" t="str">
        <f t="shared" ca="1" si="249"/>
        <v>MONITOR</v>
      </c>
      <c r="Z285" s="13">
        <v>14</v>
      </c>
      <c r="AA285" s="75">
        <v>46059</v>
      </c>
      <c r="AB285" s="75">
        <f t="shared" si="250"/>
        <v>45920</v>
      </c>
      <c r="AC285" s="88">
        <f t="shared" si="251"/>
        <v>19.857142857142858</v>
      </c>
      <c r="AD285" s="89" t="str">
        <f t="shared" ca="1" si="252"/>
        <v>STABLE</v>
      </c>
      <c r="AE285" s="89" t="str">
        <f t="shared" si="253"/>
        <v>SLOW SELLING</v>
      </c>
      <c r="AF285" s="89" t="str">
        <f t="shared" si="254"/>
        <v>AT RISK</v>
      </c>
      <c r="AG285" s="89" t="str">
        <f t="shared" si="255"/>
        <v>FEASIBLE</v>
      </c>
      <c r="AH285" s="81" t="str">
        <f t="shared" ca="1" si="256"/>
        <v>MONITOR</v>
      </c>
      <c r="AI285" s="75">
        <f t="shared" ca="1" si="257"/>
        <v>0</v>
      </c>
      <c r="AJ285" s="75">
        <f t="shared" ca="1" si="258"/>
        <v>-1328</v>
      </c>
      <c r="AK285" s="13">
        <f t="shared" ca="1" si="259"/>
        <v>-1594</v>
      </c>
      <c r="AL285" s="79">
        <v>0.1</v>
      </c>
      <c r="AM285" s="79">
        <v>0.3</v>
      </c>
      <c r="AN285" s="79">
        <v>0.3</v>
      </c>
      <c r="AO285" s="79">
        <v>0.1</v>
      </c>
      <c r="AP285" s="79">
        <v>0.1</v>
      </c>
      <c r="AQ285" s="75">
        <f t="shared" si="260"/>
        <v>132.80000000000001</v>
      </c>
      <c r="AR285" s="75">
        <f t="shared" si="261"/>
        <v>398.4</v>
      </c>
      <c r="AS285" s="75">
        <f t="shared" si="262"/>
        <v>398.4</v>
      </c>
      <c r="AT285" s="75">
        <f t="shared" si="263"/>
        <v>132.80000000000001</v>
      </c>
      <c r="AU285" s="75">
        <f t="shared" si="264"/>
        <v>132.80000000000001</v>
      </c>
      <c r="AV285" s="13">
        <v>0.8</v>
      </c>
      <c r="AW285" s="13">
        <v>1.2</v>
      </c>
      <c r="AX285" s="13">
        <v>1.3</v>
      </c>
      <c r="AY285" s="13">
        <v>1</v>
      </c>
      <c r="AZ285" s="13">
        <v>0.7</v>
      </c>
      <c r="BA285" s="105">
        <f t="shared" si="265"/>
        <v>2.4400000000000004</v>
      </c>
      <c r="BB285" s="13">
        <f t="shared" si="266"/>
        <v>10.98</v>
      </c>
      <c r="BC285" s="13">
        <f t="shared" si="267"/>
        <v>11.895000000000001</v>
      </c>
      <c r="BD285" s="13">
        <f t="shared" si="268"/>
        <v>3.0500000000000003</v>
      </c>
      <c r="BE285" s="13">
        <f t="shared" si="269"/>
        <v>2.1350000000000002</v>
      </c>
      <c r="BF285" s="88">
        <f t="shared" si="270"/>
        <v>54.42622950819672</v>
      </c>
      <c r="BG285" s="88">
        <f t="shared" si="271"/>
        <v>36.284153005464475</v>
      </c>
      <c r="BH285" s="88">
        <f t="shared" si="272"/>
        <v>33.493064312736436</v>
      </c>
      <c r="BI285" s="88">
        <f t="shared" si="273"/>
        <v>43.540983606557376</v>
      </c>
      <c r="BJ285" s="88">
        <f t="shared" si="274"/>
        <v>62.201405152224822</v>
      </c>
      <c r="BK285" s="105">
        <f t="shared" si="275"/>
        <v>1.8373493975903616E-2</v>
      </c>
      <c r="BL285" s="105">
        <f t="shared" si="276"/>
        <v>2.7560240963855426E-2</v>
      </c>
      <c r="BM285" s="105">
        <f t="shared" si="277"/>
        <v>2.9856927710843379E-2</v>
      </c>
      <c r="BN285" s="105">
        <f t="shared" si="278"/>
        <v>2.2966867469879519E-2</v>
      </c>
      <c r="BO285" s="105">
        <f t="shared" si="279"/>
        <v>1.6076807228915663E-2</v>
      </c>
      <c r="BP285" s="105">
        <f t="shared" si="280"/>
        <v>0.1148343373493976</v>
      </c>
      <c r="BQ285" s="79">
        <f t="shared" si="281"/>
        <v>0.16</v>
      </c>
      <c r="BR285" s="79">
        <f t="shared" si="282"/>
        <v>0.24000000000000002</v>
      </c>
      <c r="BS285" s="79">
        <f t="shared" si="283"/>
        <v>0.26</v>
      </c>
      <c r="BT285" s="79">
        <f t="shared" si="284"/>
        <v>0.19999999999999998</v>
      </c>
      <c r="BU285" s="79">
        <f t="shared" si="285"/>
        <v>0.13999999999999999</v>
      </c>
      <c r="BV285" s="90" t="str">
        <f t="array" aca="1" ref="BV285" ca="1">_xlfn.TEXTJOIN(" ",TRUE,
_xlfn.TEXTJOIN(":",TRUE,ROUND(BK285:BO285/MIN(IF(BK285:BO285&gt;0,BK285:BO285)),0)),
"|",
ROUND(SUM(BW285:CA285),0))</f>
        <v>1:2:2:1:1 | -1594</v>
      </c>
      <c r="BW285" s="106">
        <f t="shared" ca="1" si="286"/>
        <v>-255.04</v>
      </c>
      <c r="BX285" s="106">
        <f t="shared" ca="1" si="232"/>
        <v>-382.56</v>
      </c>
      <c r="BY285" s="106">
        <f t="shared" ca="1" si="233"/>
        <v>-414.44</v>
      </c>
      <c r="BZ285" s="106">
        <f t="shared" ca="1" si="234"/>
        <v>-318.79999999999995</v>
      </c>
      <c r="CA285" s="106">
        <f t="shared" ca="1" si="287"/>
        <v>-223.15999999999997</v>
      </c>
    </row>
    <row r="286" spans="1:79" x14ac:dyDescent="0.35">
      <c r="A286" s="25" t="s">
        <v>299</v>
      </c>
      <c r="B286" s="10" t="s">
        <v>337</v>
      </c>
      <c r="C286" s="10" t="s">
        <v>345</v>
      </c>
      <c r="D286" s="10" t="s">
        <v>346</v>
      </c>
      <c r="E286" s="11">
        <v>45864</v>
      </c>
      <c r="F286" s="17">
        <v>45892</v>
      </c>
      <c r="G286" s="14">
        <f t="shared" ca="1" si="235"/>
        <v>207</v>
      </c>
      <c r="H286" s="17">
        <v>599</v>
      </c>
      <c r="I286" s="17">
        <v>300</v>
      </c>
      <c r="J286" s="75">
        <f t="shared" si="236"/>
        <v>1309</v>
      </c>
      <c r="K286" s="17">
        <v>1450</v>
      </c>
      <c r="L286" s="85">
        <v>141</v>
      </c>
      <c r="M286" s="86">
        <f t="shared" ca="1" si="237"/>
        <v>0.6811594202898551</v>
      </c>
      <c r="N286" s="86">
        <f t="shared" si="238"/>
        <v>0.73224085365853642</v>
      </c>
      <c r="O286" s="86">
        <f t="shared" si="239"/>
        <v>0.4298780487804878</v>
      </c>
      <c r="P286" s="87">
        <f t="shared" si="240"/>
        <v>35.25</v>
      </c>
      <c r="Q286" s="104">
        <f t="shared" si="241"/>
        <v>37.134751773049643</v>
      </c>
      <c r="R286" s="88">
        <f t="shared" si="242"/>
        <v>49.916527545909851</v>
      </c>
      <c r="S286" s="88">
        <f t="shared" si="243"/>
        <v>9.7241379310344822</v>
      </c>
      <c r="T286" s="13">
        <f t="shared" si="244"/>
        <v>1</v>
      </c>
      <c r="U286" s="13">
        <f t="shared" si="245"/>
        <v>1</v>
      </c>
      <c r="V286" s="13">
        <f t="shared" si="246"/>
        <v>2</v>
      </c>
      <c r="W286" s="13">
        <f t="shared" ca="1" si="247"/>
        <v>3</v>
      </c>
      <c r="X286" s="13">
        <f t="shared" ca="1" si="248"/>
        <v>7</v>
      </c>
      <c r="Y286" s="81" t="str">
        <f t="shared" ca="1" si="249"/>
        <v>MONITOR</v>
      </c>
      <c r="Z286" s="13">
        <v>14</v>
      </c>
      <c r="AA286" s="75">
        <v>46059</v>
      </c>
      <c r="AB286" s="75">
        <f t="shared" si="250"/>
        <v>45920</v>
      </c>
      <c r="AC286" s="88">
        <f t="shared" si="251"/>
        <v>19.857142857142858</v>
      </c>
      <c r="AD286" s="89" t="str">
        <f t="shared" ca="1" si="252"/>
        <v>STABLE</v>
      </c>
      <c r="AE286" s="89" t="str">
        <f t="shared" si="253"/>
        <v>SLOW SELLING</v>
      </c>
      <c r="AF286" s="89" t="str">
        <f t="shared" si="254"/>
        <v>AT RISK</v>
      </c>
      <c r="AG286" s="89" t="str">
        <f t="shared" si="255"/>
        <v>FEASIBLE</v>
      </c>
      <c r="AH286" s="81" t="str">
        <f t="shared" ca="1" si="256"/>
        <v>MONITOR</v>
      </c>
      <c r="AI286" s="75">
        <f t="shared" ca="1" si="257"/>
        <v>0</v>
      </c>
      <c r="AJ286" s="75">
        <f t="shared" ca="1" si="258"/>
        <v>-1309</v>
      </c>
      <c r="AK286" s="13">
        <f t="shared" ca="1" si="259"/>
        <v>-1571</v>
      </c>
      <c r="AL286" s="79">
        <v>0.1</v>
      </c>
      <c r="AM286" s="79">
        <v>0.3</v>
      </c>
      <c r="AN286" s="79">
        <v>0.3</v>
      </c>
      <c r="AO286" s="79">
        <v>0.1</v>
      </c>
      <c r="AP286" s="79">
        <v>0.1</v>
      </c>
      <c r="AQ286" s="75">
        <f t="shared" si="260"/>
        <v>130.9</v>
      </c>
      <c r="AR286" s="75">
        <f t="shared" si="261"/>
        <v>392.7</v>
      </c>
      <c r="AS286" s="75">
        <f t="shared" si="262"/>
        <v>392.7</v>
      </c>
      <c r="AT286" s="75">
        <f t="shared" si="263"/>
        <v>130.9</v>
      </c>
      <c r="AU286" s="75">
        <f t="shared" si="264"/>
        <v>130.9</v>
      </c>
      <c r="AV286" s="13">
        <v>0.8</v>
      </c>
      <c r="AW286" s="13">
        <v>1.2</v>
      </c>
      <c r="AX286" s="13">
        <v>1.3</v>
      </c>
      <c r="AY286" s="13">
        <v>1</v>
      </c>
      <c r="AZ286" s="13">
        <v>0.7</v>
      </c>
      <c r="BA286" s="105">
        <f t="shared" si="265"/>
        <v>2.8200000000000003</v>
      </c>
      <c r="BB286" s="13">
        <f t="shared" si="266"/>
        <v>12.69</v>
      </c>
      <c r="BC286" s="13">
        <f t="shared" si="267"/>
        <v>13.747499999999999</v>
      </c>
      <c r="BD286" s="13">
        <f t="shared" si="268"/>
        <v>3.5250000000000004</v>
      </c>
      <c r="BE286" s="13">
        <f t="shared" si="269"/>
        <v>2.4675000000000002</v>
      </c>
      <c r="BF286" s="88">
        <f t="shared" si="270"/>
        <v>46.418439716312051</v>
      </c>
      <c r="BG286" s="88">
        <f t="shared" si="271"/>
        <v>30.945626477541371</v>
      </c>
      <c r="BH286" s="88">
        <f t="shared" si="272"/>
        <v>28.565193671576651</v>
      </c>
      <c r="BI286" s="88">
        <f t="shared" si="273"/>
        <v>37.134751773049643</v>
      </c>
      <c r="BJ286" s="88">
        <f t="shared" si="274"/>
        <v>53.049645390070921</v>
      </c>
      <c r="BK286" s="105">
        <f t="shared" si="275"/>
        <v>2.1543162719633309E-2</v>
      </c>
      <c r="BL286" s="105">
        <f t="shared" si="276"/>
        <v>3.231474407944996E-2</v>
      </c>
      <c r="BM286" s="105">
        <f t="shared" si="277"/>
        <v>3.5007639419404123E-2</v>
      </c>
      <c r="BN286" s="105">
        <f t="shared" si="278"/>
        <v>2.6928953399541638E-2</v>
      </c>
      <c r="BO286" s="105">
        <f t="shared" si="279"/>
        <v>1.8850267379679146E-2</v>
      </c>
      <c r="BP286" s="105">
        <f t="shared" si="280"/>
        <v>0.13464476699770817</v>
      </c>
      <c r="BQ286" s="79">
        <f t="shared" si="281"/>
        <v>0.16000000000000003</v>
      </c>
      <c r="BR286" s="79">
        <f t="shared" si="282"/>
        <v>0.24</v>
      </c>
      <c r="BS286" s="79">
        <f t="shared" si="283"/>
        <v>0.26</v>
      </c>
      <c r="BT286" s="79">
        <f t="shared" si="284"/>
        <v>0.20000000000000004</v>
      </c>
      <c r="BU286" s="79">
        <f t="shared" si="285"/>
        <v>0.14000000000000001</v>
      </c>
      <c r="BV286" s="90" t="str">
        <f t="array" aca="1" ref="BV286" ca="1">_xlfn.TEXTJOIN(" ",TRUE,
_xlfn.TEXTJOIN(":",TRUE,ROUND(BK286:BO286/MIN(IF(BK286:BO286&gt;0,BK286:BO286)),0)),
"|",
ROUND(SUM(BW286:CA286),0))</f>
        <v>1:2:2:1:1 | -1571</v>
      </c>
      <c r="BW286" s="106">
        <f t="shared" ca="1" si="286"/>
        <v>-251.36000000000004</v>
      </c>
      <c r="BX286" s="106">
        <f t="shared" ca="1" si="232"/>
        <v>-377.03999999999996</v>
      </c>
      <c r="BY286" s="106">
        <f t="shared" ca="1" si="233"/>
        <v>-408.46000000000004</v>
      </c>
      <c r="BZ286" s="106">
        <f t="shared" ca="1" si="234"/>
        <v>-314.20000000000005</v>
      </c>
      <c r="CA286" s="106">
        <f t="shared" ca="1" si="287"/>
        <v>-219.94000000000003</v>
      </c>
    </row>
    <row r="287" spans="1:79" x14ac:dyDescent="0.35">
      <c r="A287" s="25" t="s">
        <v>300</v>
      </c>
      <c r="B287" s="10" t="s">
        <v>337</v>
      </c>
      <c r="C287" s="10" t="s">
        <v>345</v>
      </c>
      <c r="D287" s="10" t="s">
        <v>346</v>
      </c>
      <c r="E287" s="11">
        <v>45864</v>
      </c>
      <c r="F287" s="17">
        <v>45892</v>
      </c>
      <c r="G287" s="14">
        <f t="shared" ca="1" si="235"/>
        <v>207</v>
      </c>
      <c r="H287" s="17">
        <v>599</v>
      </c>
      <c r="I287" s="17">
        <v>300</v>
      </c>
      <c r="J287" s="75">
        <f t="shared" si="236"/>
        <v>1212</v>
      </c>
      <c r="K287" s="17">
        <v>1450</v>
      </c>
      <c r="L287" s="85">
        <v>238</v>
      </c>
      <c r="M287" s="86">
        <f t="shared" ca="1" si="237"/>
        <v>1.1497584541062802</v>
      </c>
      <c r="N287" s="86">
        <f t="shared" si="238"/>
        <v>0.73224085365853642</v>
      </c>
      <c r="O287" s="86">
        <f t="shared" si="239"/>
        <v>0.72560975609756095</v>
      </c>
      <c r="P287" s="87">
        <f t="shared" si="240"/>
        <v>59.5</v>
      </c>
      <c r="Q287" s="104">
        <f t="shared" si="241"/>
        <v>20.369747899159663</v>
      </c>
      <c r="R287" s="88">
        <f t="shared" si="242"/>
        <v>49.916527545909851</v>
      </c>
      <c r="S287" s="88">
        <f t="shared" si="243"/>
        <v>16.413793103448278</v>
      </c>
      <c r="T287" s="13">
        <f t="shared" si="244"/>
        <v>2</v>
      </c>
      <c r="U287" s="13">
        <f t="shared" si="245"/>
        <v>1</v>
      </c>
      <c r="V287" s="13">
        <f t="shared" si="246"/>
        <v>2</v>
      </c>
      <c r="W287" s="13">
        <f t="shared" ca="1" si="247"/>
        <v>3</v>
      </c>
      <c r="X287" s="13">
        <f t="shared" ca="1" si="248"/>
        <v>8</v>
      </c>
      <c r="Y287" s="81" t="str">
        <f t="shared" ca="1" si="249"/>
        <v>MONITOR</v>
      </c>
      <c r="Z287" s="13">
        <v>14</v>
      </c>
      <c r="AA287" s="75">
        <v>46059</v>
      </c>
      <c r="AB287" s="75">
        <f t="shared" si="250"/>
        <v>45920</v>
      </c>
      <c r="AC287" s="88">
        <f t="shared" si="251"/>
        <v>19.857142857142858</v>
      </c>
      <c r="AD287" s="89" t="str">
        <f t="shared" ca="1" si="252"/>
        <v>STABLE</v>
      </c>
      <c r="AE287" s="89" t="str">
        <f t="shared" si="253"/>
        <v>SLOW SELLING</v>
      </c>
      <c r="AF287" s="89" t="str">
        <f t="shared" si="254"/>
        <v>AT RISK</v>
      </c>
      <c r="AG287" s="89" t="str">
        <f t="shared" si="255"/>
        <v>FEASIBLE</v>
      </c>
      <c r="AH287" s="81" t="str">
        <f t="shared" ca="1" si="256"/>
        <v>MONITOR</v>
      </c>
      <c r="AI287" s="75">
        <f t="shared" ca="1" si="257"/>
        <v>0</v>
      </c>
      <c r="AJ287" s="75">
        <f t="shared" ca="1" si="258"/>
        <v>-1212</v>
      </c>
      <c r="AK287" s="13">
        <f t="shared" ca="1" si="259"/>
        <v>-1454</v>
      </c>
      <c r="AL287" s="79">
        <v>0.1</v>
      </c>
      <c r="AM287" s="79">
        <v>0.3</v>
      </c>
      <c r="AN287" s="79">
        <v>0.3</v>
      </c>
      <c r="AO287" s="79">
        <v>0.1</v>
      </c>
      <c r="AP287" s="79">
        <v>0.1</v>
      </c>
      <c r="AQ287" s="75">
        <f t="shared" si="260"/>
        <v>121.2</v>
      </c>
      <c r="AR287" s="75">
        <f t="shared" si="261"/>
        <v>363.59999999999997</v>
      </c>
      <c r="AS287" s="75">
        <f t="shared" si="262"/>
        <v>363.59999999999997</v>
      </c>
      <c r="AT287" s="75">
        <f t="shared" si="263"/>
        <v>121.2</v>
      </c>
      <c r="AU287" s="75">
        <f t="shared" si="264"/>
        <v>121.2</v>
      </c>
      <c r="AV287" s="13">
        <v>0.8</v>
      </c>
      <c r="AW287" s="13">
        <v>1.2</v>
      </c>
      <c r="AX287" s="13">
        <v>1.3</v>
      </c>
      <c r="AY287" s="13">
        <v>1</v>
      </c>
      <c r="AZ287" s="13">
        <v>0.7</v>
      </c>
      <c r="BA287" s="105">
        <f t="shared" si="265"/>
        <v>4.7600000000000007</v>
      </c>
      <c r="BB287" s="13">
        <f t="shared" si="266"/>
        <v>21.419999999999998</v>
      </c>
      <c r="BC287" s="13">
        <f t="shared" si="267"/>
        <v>23.204999999999998</v>
      </c>
      <c r="BD287" s="13">
        <f t="shared" si="268"/>
        <v>5.95</v>
      </c>
      <c r="BE287" s="13">
        <f t="shared" si="269"/>
        <v>4.165</v>
      </c>
      <c r="BF287" s="88">
        <f t="shared" si="270"/>
        <v>25.462184873949578</v>
      </c>
      <c r="BG287" s="88">
        <f t="shared" si="271"/>
        <v>16.974789915966387</v>
      </c>
      <c r="BH287" s="88">
        <f t="shared" si="272"/>
        <v>15.669036845507433</v>
      </c>
      <c r="BI287" s="88">
        <f t="shared" si="273"/>
        <v>20.369747899159663</v>
      </c>
      <c r="BJ287" s="88">
        <f t="shared" si="274"/>
        <v>29.099639855942378</v>
      </c>
      <c r="BK287" s="105">
        <f t="shared" si="275"/>
        <v>3.9273927392739279E-2</v>
      </c>
      <c r="BL287" s="105">
        <f t="shared" si="276"/>
        <v>5.8910891089108908E-2</v>
      </c>
      <c r="BM287" s="105">
        <f t="shared" si="277"/>
        <v>6.3820132013201317E-2</v>
      </c>
      <c r="BN287" s="105">
        <f t="shared" si="278"/>
        <v>4.9092409240924097E-2</v>
      </c>
      <c r="BO287" s="105">
        <f t="shared" si="279"/>
        <v>3.4364686468646863E-2</v>
      </c>
      <c r="BP287" s="105">
        <f t="shared" si="280"/>
        <v>0.24546204620462042</v>
      </c>
      <c r="BQ287" s="79">
        <f t="shared" si="281"/>
        <v>0.16000000000000006</v>
      </c>
      <c r="BR287" s="79">
        <f t="shared" si="282"/>
        <v>0.24000000000000002</v>
      </c>
      <c r="BS287" s="79">
        <f t="shared" si="283"/>
        <v>0.26</v>
      </c>
      <c r="BT287" s="79">
        <f t="shared" si="284"/>
        <v>0.20000000000000004</v>
      </c>
      <c r="BU287" s="79">
        <f t="shared" si="285"/>
        <v>0.14000000000000001</v>
      </c>
      <c r="BV287" s="90" t="str">
        <f t="array" aca="1" ref="BV287" ca="1">_xlfn.TEXTJOIN(" ",TRUE,
_xlfn.TEXTJOIN(":",TRUE,ROUND(BK287:BO287/MIN(IF(BK287:BO287&gt;0,BK287:BO287)),0)),
"|",
ROUND(SUM(BW287:CA287),0))</f>
        <v>1:2:2:1:1 | -1454</v>
      </c>
      <c r="BW287" s="106">
        <f t="shared" ca="1" si="286"/>
        <v>-232.64000000000007</v>
      </c>
      <c r="BX287" s="106">
        <f t="shared" ca="1" si="232"/>
        <v>-348.96000000000004</v>
      </c>
      <c r="BY287" s="106">
        <f t="shared" ca="1" si="233"/>
        <v>-378.04</v>
      </c>
      <c r="BZ287" s="106">
        <f t="shared" ca="1" si="234"/>
        <v>-290.80000000000007</v>
      </c>
      <c r="CA287" s="106">
        <f t="shared" ca="1" si="287"/>
        <v>-203.56000000000003</v>
      </c>
    </row>
    <row r="288" spans="1:79" x14ac:dyDescent="0.35">
      <c r="A288" s="25" t="s">
        <v>301</v>
      </c>
      <c r="B288" s="10" t="s">
        <v>337</v>
      </c>
      <c r="C288" s="10" t="s">
        <v>345</v>
      </c>
      <c r="D288" s="10" t="s">
        <v>346</v>
      </c>
      <c r="E288" s="11">
        <v>45864</v>
      </c>
      <c r="F288" s="17">
        <v>45892</v>
      </c>
      <c r="G288" s="14">
        <f t="shared" ca="1" si="235"/>
        <v>207</v>
      </c>
      <c r="H288" s="17">
        <v>599</v>
      </c>
      <c r="I288" s="17">
        <v>275</v>
      </c>
      <c r="J288" s="75">
        <f t="shared" si="236"/>
        <v>1152</v>
      </c>
      <c r="K288" s="17">
        <v>1450</v>
      </c>
      <c r="L288" s="85">
        <v>298</v>
      </c>
      <c r="M288" s="86">
        <f t="shared" ca="1" si="237"/>
        <v>1.4396135265700483</v>
      </c>
      <c r="N288" s="86">
        <f t="shared" si="238"/>
        <v>0.73224085365853642</v>
      </c>
      <c r="O288" s="86">
        <f t="shared" si="239"/>
        <v>0.90853658536585369</v>
      </c>
      <c r="P288" s="87">
        <f t="shared" si="240"/>
        <v>74.5</v>
      </c>
      <c r="Q288" s="104">
        <f t="shared" si="241"/>
        <v>15.463087248322148</v>
      </c>
      <c r="R288" s="88">
        <f t="shared" si="242"/>
        <v>54.090150250417359</v>
      </c>
      <c r="S288" s="88">
        <f t="shared" si="243"/>
        <v>20.551724137931036</v>
      </c>
      <c r="T288" s="13">
        <f t="shared" si="244"/>
        <v>3</v>
      </c>
      <c r="U288" s="13">
        <f t="shared" si="245"/>
        <v>1</v>
      </c>
      <c r="V288" s="13">
        <f t="shared" si="246"/>
        <v>2</v>
      </c>
      <c r="W288" s="13">
        <f t="shared" ca="1" si="247"/>
        <v>3</v>
      </c>
      <c r="X288" s="13">
        <f t="shared" ca="1" si="248"/>
        <v>9</v>
      </c>
      <c r="Y288" s="81" t="str">
        <f t="shared" ca="1" si="249"/>
        <v>RE-BUY</v>
      </c>
      <c r="Z288" s="13">
        <v>14</v>
      </c>
      <c r="AA288" s="75">
        <v>46059</v>
      </c>
      <c r="AB288" s="75">
        <f t="shared" si="250"/>
        <v>45920</v>
      </c>
      <c r="AC288" s="88">
        <f t="shared" si="251"/>
        <v>19.857142857142858</v>
      </c>
      <c r="AD288" s="89" t="str">
        <f t="shared" ca="1" si="252"/>
        <v>STABLE</v>
      </c>
      <c r="AE288" s="89" t="str">
        <f t="shared" si="253"/>
        <v>FAST SELLING</v>
      </c>
      <c r="AF288" s="89" t="str">
        <f t="shared" si="254"/>
        <v>AT RISK</v>
      </c>
      <c r="AG288" s="89" t="str">
        <f t="shared" si="255"/>
        <v>FEASIBLE</v>
      </c>
      <c r="AH288" s="81" t="str">
        <f t="shared" ca="1" si="256"/>
        <v>IMMEDIATE REBUY</v>
      </c>
      <c r="AI288" s="75">
        <f t="shared" ca="1" si="257"/>
        <v>887.61428571428576</v>
      </c>
      <c r="AJ288" s="75">
        <f t="shared" ca="1" si="258"/>
        <v>-264.38571428571424</v>
      </c>
      <c r="AK288" s="13">
        <f t="shared" ca="1" si="259"/>
        <v>-317</v>
      </c>
      <c r="AL288" s="79">
        <v>0.1</v>
      </c>
      <c r="AM288" s="79">
        <v>0.3</v>
      </c>
      <c r="AN288" s="79">
        <v>0.3</v>
      </c>
      <c r="AO288" s="79">
        <v>0.1</v>
      </c>
      <c r="AP288" s="79">
        <v>0.1</v>
      </c>
      <c r="AQ288" s="75">
        <f t="shared" si="260"/>
        <v>115.2</v>
      </c>
      <c r="AR288" s="75">
        <f t="shared" si="261"/>
        <v>345.59999999999997</v>
      </c>
      <c r="AS288" s="75">
        <f t="shared" si="262"/>
        <v>345.59999999999997</v>
      </c>
      <c r="AT288" s="75">
        <f t="shared" si="263"/>
        <v>115.2</v>
      </c>
      <c r="AU288" s="75">
        <f t="shared" si="264"/>
        <v>115.2</v>
      </c>
      <c r="AV288" s="13">
        <v>0.8</v>
      </c>
      <c r="AW288" s="13">
        <v>1.2</v>
      </c>
      <c r="AX288" s="13">
        <v>1.3</v>
      </c>
      <c r="AY288" s="13">
        <v>1</v>
      </c>
      <c r="AZ288" s="13">
        <v>0.7</v>
      </c>
      <c r="BA288" s="105">
        <f t="shared" si="265"/>
        <v>5.9600000000000009</v>
      </c>
      <c r="BB288" s="13">
        <f t="shared" si="266"/>
        <v>26.819999999999997</v>
      </c>
      <c r="BC288" s="13">
        <f t="shared" si="267"/>
        <v>29.055</v>
      </c>
      <c r="BD288" s="13">
        <f t="shared" si="268"/>
        <v>7.45</v>
      </c>
      <c r="BE288" s="13">
        <f t="shared" si="269"/>
        <v>5.2149999999999999</v>
      </c>
      <c r="BF288" s="88">
        <f t="shared" si="270"/>
        <v>19.328859060402682</v>
      </c>
      <c r="BG288" s="88">
        <f t="shared" si="271"/>
        <v>12.885906040268457</v>
      </c>
      <c r="BH288" s="88">
        <f t="shared" si="272"/>
        <v>11.894682498709344</v>
      </c>
      <c r="BI288" s="88">
        <f t="shared" si="273"/>
        <v>15.463087248322148</v>
      </c>
      <c r="BJ288" s="88">
        <f t="shared" si="274"/>
        <v>22.090124640460211</v>
      </c>
      <c r="BK288" s="105">
        <f t="shared" si="275"/>
        <v>5.1736111111111122E-2</v>
      </c>
      <c r="BL288" s="105">
        <f t="shared" si="276"/>
        <v>7.7604166666666655E-2</v>
      </c>
      <c r="BM288" s="105">
        <f t="shared" si="277"/>
        <v>8.4071180555555555E-2</v>
      </c>
      <c r="BN288" s="105">
        <f t="shared" si="278"/>
        <v>6.4670138888888881E-2</v>
      </c>
      <c r="BO288" s="105">
        <f t="shared" si="279"/>
        <v>4.5269097222222221E-2</v>
      </c>
      <c r="BP288" s="105">
        <f t="shared" si="280"/>
        <v>0.32335069444444448</v>
      </c>
      <c r="BQ288" s="79">
        <f t="shared" si="281"/>
        <v>0.16</v>
      </c>
      <c r="BR288" s="79">
        <f t="shared" si="282"/>
        <v>0.23999999999999994</v>
      </c>
      <c r="BS288" s="79">
        <f t="shared" si="283"/>
        <v>0.25999999999999995</v>
      </c>
      <c r="BT288" s="79">
        <f t="shared" si="284"/>
        <v>0.19999999999999996</v>
      </c>
      <c r="BU288" s="79">
        <f t="shared" si="285"/>
        <v>0.13999999999999999</v>
      </c>
      <c r="BV288" s="90" t="str">
        <f t="array" aca="1" ref="BV288" ca="1">_xlfn.TEXTJOIN(" ",TRUE,
_xlfn.TEXTJOIN(":",TRUE,ROUND(BK288:BO288/MIN(IF(BK288:BO288&gt;0,BK288:BO288)),0)),
"|",
ROUND(SUM(BW288:CA288),0))</f>
        <v>1:2:2:1:1 | -317</v>
      </c>
      <c r="BW288" s="106">
        <f t="shared" ca="1" si="286"/>
        <v>-50.72</v>
      </c>
      <c r="BX288" s="106">
        <f t="shared" ca="1" si="232"/>
        <v>-76.079999999999984</v>
      </c>
      <c r="BY288" s="106">
        <f t="shared" ca="1" si="233"/>
        <v>-82.419999999999987</v>
      </c>
      <c r="BZ288" s="106">
        <f t="shared" ca="1" si="234"/>
        <v>-63.399999999999984</v>
      </c>
      <c r="CA288" s="106">
        <f t="shared" ca="1" si="287"/>
        <v>-44.379999999999995</v>
      </c>
    </row>
    <row r="289" spans="1:148" x14ac:dyDescent="0.35">
      <c r="A289" s="25" t="s">
        <v>302</v>
      </c>
      <c r="B289" s="10" t="s">
        <v>339</v>
      </c>
      <c r="C289" s="10" t="s">
        <v>345</v>
      </c>
      <c r="D289" s="10" t="s">
        <v>346</v>
      </c>
      <c r="E289" s="11">
        <v>45892</v>
      </c>
      <c r="F289" s="17">
        <v>45892</v>
      </c>
      <c r="G289" s="14">
        <f t="shared" ca="1" si="235"/>
        <v>207</v>
      </c>
      <c r="H289" s="17">
        <v>499</v>
      </c>
      <c r="I289" s="17">
        <v>275</v>
      </c>
      <c r="J289" s="75">
        <f t="shared" si="236"/>
        <v>1409</v>
      </c>
      <c r="K289" s="17">
        <v>1600</v>
      </c>
      <c r="L289" s="85">
        <v>191</v>
      </c>
      <c r="M289" s="86">
        <f t="shared" ca="1" si="237"/>
        <v>0.92270531400966183</v>
      </c>
      <c r="N289" s="86">
        <f t="shared" si="238"/>
        <v>0.73224085365853642</v>
      </c>
      <c r="O289" s="86">
        <f t="shared" si="239"/>
        <v>0.58231707317073167</v>
      </c>
      <c r="P289" s="87">
        <f t="shared" si="240"/>
        <v>47.75</v>
      </c>
      <c r="Q289" s="104">
        <f t="shared" si="241"/>
        <v>29.507853403141361</v>
      </c>
      <c r="R289" s="88">
        <f t="shared" si="242"/>
        <v>44.889779559118239</v>
      </c>
      <c r="S289" s="88">
        <f t="shared" si="243"/>
        <v>11.9375</v>
      </c>
      <c r="T289" s="13">
        <f t="shared" si="244"/>
        <v>1</v>
      </c>
      <c r="U289" s="13">
        <f t="shared" si="245"/>
        <v>1</v>
      </c>
      <c r="V289" s="13">
        <f t="shared" si="246"/>
        <v>1</v>
      </c>
      <c r="W289" s="13">
        <f t="shared" ca="1" si="247"/>
        <v>3</v>
      </c>
      <c r="X289" s="13">
        <f t="shared" ca="1" si="248"/>
        <v>6</v>
      </c>
      <c r="Y289" s="81" t="str">
        <f t="shared" ca="1" si="249"/>
        <v>MONITOR</v>
      </c>
      <c r="Z289" s="13">
        <v>14</v>
      </c>
      <c r="AA289" s="75">
        <v>46059</v>
      </c>
      <c r="AB289" s="75">
        <f t="shared" si="250"/>
        <v>45920</v>
      </c>
      <c r="AC289" s="88">
        <f t="shared" si="251"/>
        <v>19.857142857142858</v>
      </c>
      <c r="AD289" s="89" t="str">
        <f t="shared" ca="1" si="252"/>
        <v>STABLE</v>
      </c>
      <c r="AE289" s="89" t="str">
        <f t="shared" si="253"/>
        <v>SLOW SELLING</v>
      </c>
      <c r="AF289" s="89" t="str">
        <f t="shared" si="254"/>
        <v>AT RISK</v>
      </c>
      <c r="AG289" s="89" t="str">
        <f t="shared" si="255"/>
        <v>FEASIBLE</v>
      </c>
      <c r="AH289" s="81" t="str">
        <f t="shared" ca="1" si="256"/>
        <v>MONITOR</v>
      </c>
      <c r="AI289" s="75">
        <f t="shared" ca="1" si="257"/>
        <v>0</v>
      </c>
      <c r="AJ289" s="75">
        <f t="shared" ca="1" si="258"/>
        <v>-1409</v>
      </c>
      <c r="AK289" s="13">
        <f t="shared" ca="1" si="259"/>
        <v>-1691</v>
      </c>
      <c r="AL289" s="79">
        <v>0.1</v>
      </c>
      <c r="AM289" s="79">
        <v>0.3</v>
      </c>
      <c r="AN289" s="79">
        <v>0.3</v>
      </c>
      <c r="AO289" s="79">
        <v>0.1</v>
      </c>
      <c r="AP289" s="79">
        <v>0.1</v>
      </c>
      <c r="AQ289" s="75">
        <f t="shared" si="260"/>
        <v>140.9</v>
      </c>
      <c r="AR289" s="75">
        <f t="shared" si="261"/>
        <v>422.7</v>
      </c>
      <c r="AS289" s="75">
        <f t="shared" si="262"/>
        <v>422.7</v>
      </c>
      <c r="AT289" s="75">
        <f t="shared" si="263"/>
        <v>140.9</v>
      </c>
      <c r="AU289" s="75">
        <f t="shared" si="264"/>
        <v>140.9</v>
      </c>
      <c r="AV289" s="13">
        <v>0.8</v>
      </c>
      <c r="AW289" s="13">
        <v>1.2</v>
      </c>
      <c r="AX289" s="13">
        <v>1.3</v>
      </c>
      <c r="AY289" s="13">
        <v>1</v>
      </c>
      <c r="AZ289" s="13">
        <v>0.7</v>
      </c>
      <c r="BA289" s="105">
        <f t="shared" si="265"/>
        <v>3.8200000000000003</v>
      </c>
      <c r="BB289" s="13">
        <f t="shared" si="266"/>
        <v>17.189999999999998</v>
      </c>
      <c r="BC289" s="13">
        <f t="shared" si="267"/>
        <v>18.622499999999999</v>
      </c>
      <c r="BD289" s="13">
        <f t="shared" si="268"/>
        <v>4.7750000000000004</v>
      </c>
      <c r="BE289" s="13">
        <f t="shared" si="269"/>
        <v>3.3425000000000002</v>
      </c>
      <c r="BF289" s="88">
        <f t="shared" si="270"/>
        <v>36.8848167539267</v>
      </c>
      <c r="BG289" s="88">
        <f t="shared" si="271"/>
        <v>24.589877835951135</v>
      </c>
      <c r="BH289" s="88">
        <f t="shared" si="272"/>
        <v>22.698348771647201</v>
      </c>
      <c r="BI289" s="88">
        <f t="shared" si="273"/>
        <v>29.507853403141361</v>
      </c>
      <c r="BJ289" s="88">
        <f t="shared" si="274"/>
        <v>42.154076290201942</v>
      </c>
      <c r="BK289" s="105">
        <f t="shared" si="275"/>
        <v>2.7111426543647978E-2</v>
      </c>
      <c r="BL289" s="105">
        <f t="shared" si="276"/>
        <v>4.0667139815471966E-2</v>
      </c>
      <c r="BM289" s="105">
        <f t="shared" si="277"/>
        <v>4.4056068133427967E-2</v>
      </c>
      <c r="BN289" s="105">
        <f t="shared" si="278"/>
        <v>3.388928317955997E-2</v>
      </c>
      <c r="BO289" s="105">
        <f t="shared" si="279"/>
        <v>2.3722498225691981E-2</v>
      </c>
      <c r="BP289" s="105">
        <f t="shared" si="280"/>
        <v>0.16944641589779985</v>
      </c>
      <c r="BQ289" s="79">
        <f t="shared" si="281"/>
        <v>0.16</v>
      </c>
      <c r="BR289" s="79">
        <f t="shared" si="282"/>
        <v>0.24000000000000002</v>
      </c>
      <c r="BS289" s="79">
        <f t="shared" si="283"/>
        <v>0.26</v>
      </c>
      <c r="BT289" s="79">
        <f t="shared" si="284"/>
        <v>0.2</v>
      </c>
      <c r="BU289" s="79">
        <f t="shared" si="285"/>
        <v>0.14000000000000001</v>
      </c>
      <c r="BV289" s="90" t="str">
        <f t="array" aca="1" ref="BV289" ca="1">_xlfn.TEXTJOIN(" ",TRUE,
_xlfn.TEXTJOIN(":",TRUE,ROUND(BK289:BO289/MIN(IF(BK289:BO289&gt;0,BK289:BO289)),0)),
"|",
ROUND(SUM(BW289:CA289),0))</f>
        <v>1:2:2:1:1 | -1691</v>
      </c>
      <c r="BW289" s="106">
        <f t="shared" ca="1" si="286"/>
        <v>-270.56</v>
      </c>
      <c r="BX289" s="106">
        <f t="shared" ca="1" si="232"/>
        <v>-405.84000000000003</v>
      </c>
      <c r="BY289" s="106">
        <f t="shared" ca="1" si="233"/>
        <v>-439.66</v>
      </c>
      <c r="BZ289" s="106">
        <f t="shared" ca="1" si="234"/>
        <v>-338.20000000000005</v>
      </c>
      <c r="CA289" s="106">
        <f t="shared" ca="1" si="287"/>
        <v>-236.74</v>
      </c>
    </row>
    <row r="290" spans="1:148" x14ac:dyDescent="0.35">
      <c r="A290" s="25" t="s">
        <v>303</v>
      </c>
      <c r="B290" s="10" t="s">
        <v>339</v>
      </c>
      <c r="C290" s="10" t="s">
        <v>345</v>
      </c>
      <c r="D290" s="10" t="s">
        <v>346</v>
      </c>
      <c r="E290" s="11">
        <v>45892</v>
      </c>
      <c r="F290" s="17">
        <v>45892</v>
      </c>
      <c r="G290" s="14">
        <f t="shared" ca="1" si="235"/>
        <v>207</v>
      </c>
      <c r="H290" s="17">
        <v>499</v>
      </c>
      <c r="I290" s="17">
        <v>230</v>
      </c>
      <c r="J290" s="75">
        <f t="shared" si="236"/>
        <v>1378</v>
      </c>
      <c r="K290" s="17">
        <v>1600</v>
      </c>
      <c r="L290" s="85">
        <v>222</v>
      </c>
      <c r="M290" s="86">
        <f t="shared" ca="1" si="237"/>
        <v>1.0724637681159421</v>
      </c>
      <c r="N290" s="86">
        <f t="shared" si="238"/>
        <v>0.73224085365853642</v>
      </c>
      <c r="O290" s="86">
        <f t="shared" si="239"/>
        <v>0.67682926829268297</v>
      </c>
      <c r="P290" s="87">
        <f t="shared" si="240"/>
        <v>55.500000000000007</v>
      </c>
      <c r="Q290" s="104">
        <f t="shared" si="241"/>
        <v>24.828828828828826</v>
      </c>
      <c r="R290" s="88">
        <f t="shared" si="242"/>
        <v>53.907815631262523</v>
      </c>
      <c r="S290" s="88">
        <f t="shared" si="243"/>
        <v>13.875000000000002</v>
      </c>
      <c r="T290" s="13">
        <f t="shared" si="244"/>
        <v>2</v>
      </c>
      <c r="U290" s="13">
        <f t="shared" si="245"/>
        <v>1</v>
      </c>
      <c r="V290" s="13">
        <f t="shared" si="246"/>
        <v>2</v>
      </c>
      <c r="W290" s="13">
        <f t="shared" ca="1" si="247"/>
        <v>3</v>
      </c>
      <c r="X290" s="13">
        <f t="shared" ca="1" si="248"/>
        <v>8</v>
      </c>
      <c r="Y290" s="81" t="str">
        <f t="shared" ca="1" si="249"/>
        <v>MONITOR</v>
      </c>
      <c r="Z290" s="13">
        <v>14</v>
      </c>
      <c r="AA290" s="75">
        <v>46059</v>
      </c>
      <c r="AB290" s="75">
        <f t="shared" si="250"/>
        <v>45920</v>
      </c>
      <c r="AC290" s="88">
        <f t="shared" si="251"/>
        <v>19.857142857142858</v>
      </c>
      <c r="AD290" s="89" t="str">
        <f t="shared" ca="1" si="252"/>
        <v>STABLE</v>
      </c>
      <c r="AE290" s="89" t="str">
        <f t="shared" si="253"/>
        <v>SLOW SELLING</v>
      </c>
      <c r="AF290" s="89" t="str">
        <f t="shared" si="254"/>
        <v>AT RISK</v>
      </c>
      <c r="AG290" s="89" t="str">
        <f t="shared" si="255"/>
        <v>FEASIBLE</v>
      </c>
      <c r="AH290" s="81" t="str">
        <f t="shared" ca="1" si="256"/>
        <v>MONITOR</v>
      </c>
      <c r="AI290" s="75">
        <f t="shared" ca="1" si="257"/>
        <v>0</v>
      </c>
      <c r="AJ290" s="75">
        <f t="shared" ca="1" si="258"/>
        <v>-1378</v>
      </c>
      <c r="AK290" s="13">
        <f t="shared" ca="1" si="259"/>
        <v>-1654</v>
      </c>
      <c r="AL290" s="79">
        <v>0.1</v>
      </c>
      <c r="AM290" s="79">
        <v>0.3</v>
      </c>
      <c r="AN290" s="79">
        <v>0.3</v>
      </c>
      <c r="AO290" s="79">
        <v>0.1</v>
      </c>
      <c r="AP290" s="79">
        <v>0.1</v>
      </c>
      <c r="AQ290" s="75">
        <f t="shared" si="260"/>
        <v>137.80000000000001</v>
      </c>
      <c r="AR290" s="75">
        <f t="shared" si="261"/>
        <v>413.4</v>
      </c>
      <c r="AS290" s="75">
        <f t="shared" si="262"/>
        <v>413.4</v>
      </c>
      <c r="AT290" s="75">
        <f t="shared" si="263"/>
        <v>137.80000000000001</v>
      </c>
      <c r="AU290" s="75">
        <f t="shared" si="264"/>
        <v>137.80000000000001</v>
      </c>
      <c r="AV290" s="13">
        <v>0.8</v>
      </c>
      <c r="AW290" s="13">
        <v>1.2</v>
      </c>
      <c r="AX290" s="13">
        <v>1.3</v>
      </c>
      <c r="AY290" s="13">
        <v>1</v>
      </c>
      <c r="AZ290" s="13">
        <v>0.7</v>
      </c>
      <c r="BA290" s="105">
        <f t="shared" si="265"/>
        <v>4.4400000000000004</v>
      </c>
      <c r="BB290" s="13">
        <f t="shared" si="266"/>
        <v>19.98</v>
      </c>
      <c r="BC290" s="13">
        <f t="shared" si="267"/>
        <v>21.645000000000003</v>
      </c>
      <c r="BD290" s="13">
        <f t="shared" si="268"/>
        <v>5.5500000000000007</v>
      </c>
      <c r="BE290" s="13">
        <f t="shared" si="269"/>
        <v>3.8850000000000002</v>
      </c>
      <c r="BF290" s="88">
        <f t="shared" si="270"/>
        <v>31.036036036036037</v>
      </c>
      <c r="BG290" s="88">
        <f t="shared" si="271"/>
        <v>20.69069069069069</v>
      </c>
      <c r="BH290" s="88">
        <f t="shared" si="272"/>
        <v>19.099099099099096</v>
      </c>
      <c r="BI290" s="88">
        <f t="shared" si="273"/>
        <v>24.828828828828829</v>
      </c>
      <c r="BJ290" s="88">
        <f t="shared" si="274"/>
        <v>35.469755469755469</v>
      </c>
      <c r="BK290" s="105">
        <f t="shared" si="275"/>
        <v>3.2220609579100147E-2</v>
      </c>
      <c r="BL290" s="105">
        <f t="shared" si="276"/>
        <v>4.8330914368650217E-2</v>
      </c>
      <c r="BM290" s="105">
        <f t="shared" si="277"/>
        <v>5.2358490566037745E-2</v>
      </c>
      <c r="BN290" s="105">
        <f t="shared" si="278"/>
        <v>4.0275761973875182E-2</v>
      </c>
      <c r="BO290" s="105">
        <f t="shared" si="279"/>
        <v>2.8193033381712626E-2</v>
      </c>
      <c r="BP290" s="105">
        <f t="shared" si="280"/>
        <v>0.20137880986937595</v>
      </c>
      <c r="BQ290" s="79">
        <f t="shared" si="281"/>
        <v>0.15999999999999998</v>
      </c>
      <c r="BR290" s="79">
        <f t="shared" si="282"/>
        <v>0.23999999999999994</v>
      </c>
      <c r="BS290" s="79">
        <f t="shared" si="283"/>
        <v>0.26</v>
      </c>
      <c r="BT290" s="79">
        <f t="shared" si="284"/>
        <v>0.19999999999999996</v>
      </c>
      <c r="BU290" s="79">
        <f t="shared" si="285"/>
        <v>0.13999999999999996</v>
      </c>
      <c r="BV290" s="90" t="str">
        <f t="array" aca="1" ref="BV290" ca="1">_xlfn.TEXTJOIN(" ",TRUE,
_xlfn.TEXTJOIN(":",TRUE,ROUND(BK290:BO290/MIN(IF(BK290:BO290&gt;0,BK290:BO290)),0)),
"|",
ROUND(SUM(BW290:CA290),0))</f>
        <v>1:2:2:1:1 | -1654</v>
      </c>
      <c r="BW290" s="106">
        <f t="shared" ca="1" si="286"/>
        <v>-264.64</v>
      </c>
      <c r="BX290" s="106">
        <f t="shared" ca="1" si="232"/>
        <v>-396.95999999999987</v>
      </c>
      <c r="BY290" s="106">
        <f t="shared" ca="1" si="233"/>
        <v>-430.04</v>
      </c>
      <c r="BZ290" s="106">
        <f t="shared" ca="1" si="234"/>
        <v>-330.79999999999995</v>
      </c>
      <c r="CA290" s="106">
        <f t="shared" ca="1" si="287"/>
        <v>-231.55999999999992</v>
      </c>
    </row>
    <row r="291" spans="1:148" x14ac:dyDescent="0.35">
      <c r="A291" s="25" t="s">
        <v>304</v>
      </c>
      <c r="B291" s="10" t="s">
        <v>340</v>
      </c>
      <c r="C291" s="10" t="s">
        <v>342</v>
      </c>
      <c r="D291" s="10" t="s">
        <v>346</v>
      </c>
      <c r="E291" s="11">
        <v>45990</v>
      </c>
      <c r="F291" s="17">
        <v>45892</v>
      </c>
      <c r="G291" s="14">
        <f t="shared" ca="1" si="235"/>
        <v>207</v>
      </c>
      <c r="H291" s="10">
        <v>199</v>
      </c>
      <c r="I291" s="10">
        <v>135</v>
      </c>
      <c r="J291" s="75">
        <f t="shared" si="236"/>
        <v>2000</v>
      </c>
      <c r="K291" s="10">
        <v>2000</v>
      </c>
      <c r="L291" s="89">
        <v>0</v>
      </c>
      <c r="M291" s="86">
        <f t="shared" ca="1" si="237"/>
        <v>0</v>
      </c>
      <c r="N291" s="86">
        <f t="shared" si="238"/>
        <v>0.80451009251471861</v>
      </c>
      <c r="O291" s="86">
        <f t="shared" si="239"/>
        <v>0</v>
      </c>
      <c r="P291" s="87">
        <f t="shared" si="240"/>
        <v>0</v>
      </c>
      <c r="Q291" s="104" t="e">
        <f t="shared" si="241"/>
        <v>#DIV/0!</v>
      </c>
      <c r="R291" s="88">
        <f t="shared" si="242"/>
        <v>32.1608040201005</v>
      </c>
      <c r="S291" s="88">
        <f t="shared" si="243"/>
        <v>0</v>
      </c>
      <c r="T291" s="13">
        <f t="shared" si="244"/>
        <v>1</v>
      </c>
      <c r="U291" s="13" t="e">
        <f t="shared" si="245"/>
        <v>#DIV/0!</v>
      </c>
      <c r="V291" s="13">
        <f t="shared" si="246"/>
        <v>1</v>
      </c>
      <c r="W291" s="13">
        <f t="shared" ca="1" si="247"/>
        <v>3</v>
      </c>
      <c r="X291" s="13" t="e">
        <f t="shared" ca="1" si="248"/>
        <v>#DIV/0!</v>
      </c>
      <c r="Y291" s="81" t="str">
        <f t="shared" ca="1" si="249"/>
        <v>EXIT</v>
      </c>
      <c r="Z291" s="13">
        <v>14</v>
      </c>
      <c r="AA291" s="75">
        <v>46059</v>
      </c>
      <c r="AB291" s="75">
        <f t="shared" si="250"/>
        <v>45920</v>
      </c>
      <c r="AC291" s="88">
        <f t="shared" si="251"/>
        <v>19.857142857142858</v>
      </c>
      <c r="AD291" s="89" t="str">
        <f t="shared" ca="1" si="252"/>
        <v>STABLE</v>
      </c>
      <c r="AE291" s="89" t="str">
        <f t="shared" si="253"/>
        <v>SLOW SELLING</v>
      </c>
      <c r="AF291" s="89" t="e">
        <f t="shared" si="254"/>
        <v>#DIV/0!</v>
      </c>
      <c r="AG291" s="89" t="str">
        <f t="shared" si="255"/>
        <v>FEASIBLE</v>
      </c>
      <c r="AH291" s="81" t="str">
        <f t="shared" ca="1" si="256"/>
        <v>MONITOR</v>
      </c>
      <c r="AI291" s="75">
        <f t="shared" ca="1" si="257"/>
        <v>0</v>
      </c>
      <c r="AJ291" s="75">
        <f t="shared" ca="1" si="258"/>
        <v>-2000</v>
      </c>
      <c r="AK291" s="13">
        <f t="shared" ca="1" si="259"/>
        <v>-2400</v>
      </c>
      <c r="AL291" s="79">
        <v>0.1</v>
      </c>
      <c r="AM291" s="79">
        <v>0.3</v>
      </c>
      <c r="AN291" s="79">
        <v>0.3</v>
      </c>
      <c r="AO291" s="79">
        <v>0.1</v>
      </c>
      <c r="AP291" s="79">
        <v>0.1</v>
      </c>
      <c r="AQ291" s="75">
        <f t="shared" si="260"/>
        <v>200</v>
      </c>
      <c r="AR291" s="75">
        <f t="shared" si="261"/>
        <v>600</v>
      </c>
      <c r="AS291" s="75">
        <f t="shared" si="262"/>
        <v>600</v>
      </c>
      <c r="AT291" s="75">
        <f t="shared" si="263"/>
        <v>200</v>
      </c>
      <c r="AU291" s="75">
        <f t="shared" si="264"/>
        <v>200</v>
      </c>
      <c r="AV291" s="13">
        <v>0.8</v>
      </c>
      <c r="AW291" s="13">
        <v>1.2</v>
      </c>
      <c r="AX291" s="13">
        <v>1.3</v>
      </c>
      <c r="AY291" s="13">
        <v>1</v>
      </c>
      <c r="AZ291" s="13">
        <v>0.7</v>
      </c>
      <c r="BA291" s="105">
        <f t="shared" si="265"/>
        <v>0</v>
      </c>
      <c r="BB291" s="13">
        <f t="shared" si="266"/>
        <v>0</v>
      </c>
      <c r="BC291" s="13">
        <f t="shared" si="267"/>
        <v>0</v>
      </c>
      <c r="BD291" s="13">
        <f t="shared" si="268"/>
        <v>0</v>
      </c>
      <c r="BE291" s="13">
        <f t="shared" si="269"/>
        <v>0</v>
      </c>
      <c r="BF291" s="88" t="e">
        <f t="shared" si="270"/>
        <v>#DIV/0!</v>
      </c>
      <c r="BG291" s="88" t="e">
        <f t="shared" si="271"/>
        <v>#DIV/0!</v>
      </c>
      <c r="BH291" s="88" t="e">
        <f t="shared" si="272"/>
        <v>#DIV/0!</v>
      </c>
      <c r="BI291" s="88" t="e">
        <f t="shared" si="273"/>
        <v>#DIV/0!</v>
      </c>
      <c r="BJ291" s="88" t="e">
        <f t="shared" si="274"/>
        <v>#DIV/0!</v>
      </c>
      <c r="BK291" s="105" t="e">
        <f t="shared" si="275"/>
        <v>#DIV/0!</v>
      </c>
      <c r="BL291" s="105" t="e">
        <f t="shared" si="276"/>
        <v>#DIV/0!</v>
      </c>
      <c r="BM291" s="105" t="e">
        <f t="shared" si="277"/>
        <v>#DIV/0!</v>
      </c>
      <c r="BN291" s="105" t="e">
        <f t="shared" si="278"/>
        <v>#DIV/0!</v>
      </c>
      <c r="BO291" s="105" t="e">
        <f t="shared" si="279"/>
        <v>#DIV/0!</v>
      </c>
      <c r="BP291" s="105" t="e">
        <f t="shared" si="280"/>
        <v>#DIV/0!</v>
      </c>
      <c r="BQ291" s="79" t="e">
        <f t="shared" si="281"/>
        <v>#DIV/0!</v>
      </c>
      <c r="BR291" s="79" t="e">
        <f t="shared" si="282"/>
        <v>#DIV/0!</v>
      </c>
      <c r="BS291" s="79" t="e">
        <f t="shared" si="283"/>
        <v>#DIV/0!</v>
      </c>
      <c r="BT291" s="79" t="e">
        <f t="shared" si="284"/>
        <v>#DIV/0!</v>
      </c>
      <c r="BU291" s="79" t="e">
        <f t="shared" si="285"/>
        <v>#DIV/0!</v>
      </c>
      <c r="BV291" s="90" t="e">
        <f t="array" aca="1" ref="BV291" ca="1">_xlfn.TEXTJOIN(" ",TRUE,
_xlfn.TEXTJOIN(":",TRUE,ROUND(BK291:BO291/MIN(IF(BK291:BO291&gt;0,BK291:BO291)),0)),
"|",
ROUND(SUM(BW291:CA291),0))</f>
        <v>#DIV/0!</v>
      </c>
      <c r="BW291" s="106" t="e">
        <f t="shared" ca="1" si="286"/>
        <v>#DIV/0!</v>
      </c>
      <c r="BX291" s="106" t="e">
        <f t="shared" ca="1" si="232"/>
        <v>#DIV/0!</v>
      </c>
      <c r="BY291" s="106" t="e">
        <f t="shared" ca="1" si="233"/>
        <v>#DIV/0!</v>
      </c>
      <c r="BZ291" s="106" t="e">
        <f t="shared" ca="1" si="234"/>
        <v>#DIV/0!</v>
      </c>
      <c r="CA291" s="106" t="e">
        <f t="shared" ca="1" si="287"/>
        <v>#DIV/0!</v>
      </c>
    </row>
    <row r="292" spans="1:148" x14ac:dyDescent="0.35">
      <c r="A292" s="25" t="s">
        <v>305</v>
      </c>
      <c r="B292" s="10" t="s">
        <v>340</v>
      </c>
      <c r="C292" s="10" t="s">
        <v>342</v>
      </c>
      <c r="D292" s="10" t="s">
        <v>346</v>
      </c>
      <c r="E292" s="11">
        <v>45990</v>
      </c>
      <c r="F292" s="17">
        <v>45892</v>
      </c>
      <c r="G292" s="14">
        <f t="shared" ca="1" si="235"/>
        <v>207</v>
      </c>
      <c r="H292" s="10">
        <v>199</v>
      </c>
      <c r="I292" s="10">
        <v>135</v>
      </c>
      <c r="J292" s="75">
        <f t="shared" si="236"/>
        <v>2000</v>
      </c>
      <c r="K292" s="10">
        <v>2000</v>
      </c>
      <c r="L292" s="89">
        <v>0</v>
      </c>
      <c r="M292" s="86">
        <f t="shared" ca="1" si="237"/>
        <v>0</v>
      </c>
      <c r="N292" s="86">
        <f t="shared" si="238"/>
        <v>0.80451009251471861</v>
      </c>
      <c r="O292" s="86">
        <f t="shared" si="239"/>
        <v>0</v>
      </c>
      <c r="P292" s="87">
        <f t="shared" si="240"/>
        <v>0</v>
      </c>
      <c r="Q292" s="104" t="e">
        <f t="shared" si="241"/>
        <v>#DIV/0!</v>
      </c>
      <c r="R292" s="88">
        <f t="shared" si="242"/>
        <v>32.1608040201005</v>
      </c>
      <c r="S292" s="88">
        <f t="shared" si="243"/>
        <v>0</v>
      </c>
      <c r="T292" s="13">
        <f t="shared" si="244"/>
        <v>1</v>
      </c>
      <c r="U292" s="13" t="e">
        <f t="shared" si="245"/>
        <v>#DIV/0!</v>
      </c>
      <c r="V292" s="13">
        <f t="shared" si="246"/>
        <v>1</v>
      </c>
      <c r="W292" s="13">
        <f t="shared" ca="1" si="247"/>
        <v>3</v>
      </c>
      <c r="X292" s="13" t="e">
        <f t="shared" ca="1" si="248"/>
        <v>#DIV/0!</v>
      </c>
      <c r="Y292" s="81" t="str">
        <f t="shared" ca="1" si="249"/>
        <v>EXIT</v>
      </c>
      <c r="Z292" s="13">
        <v>14</v>
      </c>
      <c r="AA292" s="75">
        <v>46059</v>
      </c>
      <c r="AB292" s="75">
        <f t="shared" si="250"/>
        <v>45920</v>
      </c>
      <c r="AC292" s="88">
        <f t="shared" si="251"/>
        <v>19.857142857142858</v>
      </c>
      <c r="AD292" s="89" t="str">
        <f t="shared" ca="1" si="252"/>
        <v>STABLE</v>
      </c>
      <c r="AE292" s="89" t="str">
        <f t="shared" si="253"/>
        <v>SLOW SELLING</v>
      </c>
      <c r="AF292" s="89" t="e">
        <f t="shared" si="254"/>
        <v>#DIV/0!</v>
      </c>
      <c r="AG292" s="89" t="str">
        <f t="shared" si="255"/>
        <v>FEASIBLE</v>
      </c>
      <c r="AH292" s="81" t="str">
        <f t="shared" ca="1" si="256"/>
        <v>MONITOR</v>
      </c>
      <c r="AI292" s="75">
        <f t="shared" ca="1" si="257"/>
        <v>0</v>
      </c>
      <c r="AJ292" s="75">
        <f t="shared" ca="1" si="258"/>
        <v>-2000</v>
      </c>
      <c r="AK292" s="13">
        <f t="shared" ca="1" si="259"/>
        <v>-2400</v>
      </c>
      <c r="AL292" s="79">
        <v>0.1</v>
      </c>
      <c r="AM292" s="79">
        <v>0.3</v>
      </c>
      <c r="AN292" s="79">
        <v>0.3</v>
      </c>
      <c r="AO292" s="79">
        <v>0.1</v>
      </c>
      <c r="AP292" s="79">
        <v>0.1</v>
      </c>
      <c r="AQ292" s="75">
        <f t="shared" si="260"/>
        <v>200</v>
      </c>
      <c r="AR292" s="75">
        <f t="shared" si="261"/>
        <v>600</v>
      </c>
      <c r="AS292" s="75">
        <f t="shared" si="262"/>
        <v>600</v>
      </c>
      <c r="AT292" s="75">
        <f t="shared" si="263"/>
        <v>200</v>
      </c>
      <c r="AU292" s="75">
        <f t="shared" si="264"/>
        <v>200</v>
      </c>
      <c r="AV292" s="13">
        <v>0.8</v>
      </c>
      <c r="AW292" s="13">
        <v>1.2</v>
      </c>
      <c r="AX292" s="13">
        <v>1.3</v>
      </c>
      <c r="AY292" s="13">
        <v>1</v>
      </c>
      <c r="AZ292" s="13">
        <v>0.7</v>
      </c>
      <c r="BA292" s="105">
        <f t="shared" si="265"/>
        <v>0</v>
      </c>
      <c r="BB292" s="13">
        <f t="shared" si="266"/>
        <v>0</v>
      </c>
      <c r="BC292" s="13">
        <f t="shared" si="267"/>
        <v>0</v>
      </c>
      <c r="BD292" s="13">
        <f t="shared" si="268"/>
        <v>0</v>
      </c>
      <c r="BE292" s="13">
        <f t="shared" si="269"/>
        <v>0</v>
      </c>
      <c r="BF292" s="88" t="e">
        <f t="shared" si="270"/>
        <v>#DIV/0!</v>
      </c>
      <c r="BG292" s="88" t="e">
        <f t="shared" si="271"/>
        <v>#DIV/0!</v>
      </c>
      <c r="BH292" s="88" t="e">
        <f t="shared" si="272"/>
        <v>#DIV/0!</v>
      </c>
      <c r="BI292" s="88" t="e">
        <f t="shared" si="273"/>
        <v>#DIV/0!</v>
      </c>
      <c r="BJ292" s="88" t="e">
        <f t="shared" si="274"/>
        <v>#DIV/0!</v>
      </c>
      <c r="BK292" s="105" t="e">
        <f t="shared" si="275"/>
        <v>#DIV/0!</v>
      </c>
      <c r="BL292" s="105" t="e">
        <f t="shared" si="276"/>
        <v>#DIV/0!</v>
      </c>
      <c r="BM292" s="105" t="e">
        <f t="shared" si="277"/>
        <v>#DIV/0!</v>
      </c>
      <c r="BN292" s="105" t="e">
        <f t="shared" si="278"/>
        <v>#DIV/0!</v>
      </c>
      <c r="BO292" s="105" t="e">
        <f t="shared" si="279"/>
        <v>#DIV/0!</v>
      </c>
      <c r="BP292" s="105" t="e">
        <f t="shared" si="280"/>
        <v>#DIV/0!</v>
      </c>
      <c r="BQ292" s="79" t="e">
        <f t="shared" si="281"/>
        <v>#DIV/0!</v>
      </c>
      <c r="BR292" s="79" t="e">
        <f t="shared" si="282"/>
        <v>#DIV/0!</v>
      </c>
      <c r="BS292" s="79" t="e">
        <f t="shared" si="283"/>
        <v>#DIV/0!</v>
      </c>
      <c r="BT292" s="79" t="e">
        <f t="shared" si="284"/>
        <v>#DIV/0!</v>
      </c>
      <c r="BU292" s="79" t="e">
        <f t="shared" si="285"/>
        <v>#DIV/0!</v>
      </c>
      <c r="BV292" s="90" t="e">
        <f t="array" aca="1" ref="BV292" ca="1">_xlfn.TEXTJOIN(" ",TRUE,
_xlfn.TEXTJOIN(":",TRUE,ROUND(BK292:BO292/MIN(IF(BK292:BO292&gt;0,BK292:BO292)),0)),
"|",
ROUND(SUM(BW292:CA292),0))</f>
        <v>#DIV/0!</v>
      </c>
      <c r="BW292" s="106" t="e">
        <f t="shared" ca="1" si="286"/>
        <v>#DIV/0!</v>
      </c>
      <c r="BX292" s="106" t="e">
        <f t="shared" ca="1" si="232"/>
        <v>#DIV/0!</v>
      </c>
      <c r="BY292" s="106" t="e">
        <f t="shared" ca="1" si="233"/>
        <v>#DIV/0!</v>
      </c>
      <c r="BZ292" s="106" t="e">
        <f t="shared" ca="1" si="234"/>
        <v>#DIV/0!</v>
      </c>
      <c r="CA292" s="106" t="e">
        <f t="shared" ca="1" si="287"/>
        <v>#DIV/0!</v>
      </c>
    </row>
    <row r="293" spans="1:148" x14ac:dyDescent="0.35">
      <c r="A293" s="25" t="s">
        <v>306</v>
      </c>
      <c r="B293" s="10" t="s">
        <v>340</v>
      </c>
      <c r="C293" s="10" t="s">
        <v>342</v>
      </c>
      <c r="D293" s="10" t="s">
        <v>346</v>
      </c>
      <c r="E293" s="11">
        <v>45990</v>
      </c>
      <c r="F293" s="17">
        <v>45892</v>
      </c>
      <c r="G293" s="14">
        <f t="shared" ca="1" si="235"/>
        <v>207</v>
      </c>
      <c r="H293" s="10">
        <v>199</v>
      </c>
      <c r="I293" s="10">
        <v>135</v>
      </c>
      <c r="J293" s="75">
        <f t="shared" si="236"/>
        <v>2000</v>
      </c>
      <c r="K293" s="10">
        <v>2000</v>
      </c>
      <c r="L293" s="89">
        <v>0</v>
      </c>
      <c r="M293" s="86">
        <f t="shared" ca="1" si="237"/>
        <v>0</v>
      </c>
      <c r="N293" s="86">
        <f t="shared" si="238"/>
        <v>0.80451009251471861</v>
      </c>
      <c r="O293" s="86">
        <f t="shared" si="239"/>
        <v>0</v>
      </c>
      <c r="P293" s="87">
        <f t="shared" si="240"/>
        <v>0</v>
      </c>
      <c r="Q293" s="104" t="e">
        <f t="shared" si="241"/>
        <v>#DIV/0!</v>
      </c>
      <c r="R293" s="88">
        <f t="shared" si="242"/>
        <v>32.1608040201005</v>
      </c>
      <c r="S293" s="88">
        <f t="shared" si="243"/>
        <v>0</v>
      </c>
      <c r="T293" s="13">
        <f t="shared" si="244"/>
        <v>1</v>
      </c>
      <c r="U293" s="13" t="e">
        <f t="shared" si="245"/>
        <v>#DIV/0!</v>
      </c>
      <c r="V293" s="13">
        <f t="shared" si="246"/>
        <v>1</v>
      </c>
      <c r="W293" s="13">
        <f t="shared" ca="1" si="247"/>
        <v>3</v>
      </c>
      <c r="X293" s="13" t="e">
        <f t="shared" ca="1" si="248"/>
        <v>#DIV/0!</v>
      </c>
      <c r="Y293" s="81" t="str">
        <f t="shared" ca="1" si="249"/>
        <v>EXIT</v>
      </c>
      <c r="Z293" s="13">
        <v>14</v>
      </c>
      <c r="AA293" s="75">
        <v>46059</v>
      </c>
      <c r="AB293" s="75">
        <f t="shared" si="250"/>
        <v>45920</v>
      </c>
      <c r="AC293" s="88">
        <f t="shared" si="251"/>
        <v>19.857142857142858</v>
      </c>
      <c r="AD293" s="89" t="str">
        <f t="shared" ca="1" si="252"/>
        <v>STABLE</v>
      </c>
      <c r="AE293" s="89" t="str">
        <f t="shared" si="253"/>
        <v>SLOW SELLING</v>
      </c>
      <c r="AF293" s="89" t="e">
        <f t="shared" si="254"/>
        <v>#DIV/0!</v>
      </c>
      <c r="AG293" s="89" t="str">
        <f t="shared" si="255"/>
        <v>FEASIBLE</v>
      </c>
      <c r="AH293" s="81" t="str">
        <f t="shared" ca="1" si="256"/>
        <v>MONITOR</v>
      </c>
      <c r="AI293" s="75">
        <f t="shared" ca="1" si="257"/>
        <v>0</v>
      </c>
      <c r="AJ293" s="75">
        <f t="shared" ca="1" si="258"/>
        <v>-2000</v>
      </c>
      <c r="AK293" s="13">
        <f t="shared" ca="1" si="259"/>
        <v>-2400</v>
      </c>
      <c r="AL293" s="79">
        <v>0.1</v>
      </c>
      <c r="AM293" s="79">
        <v>0.3</v>
      </c>
      <c r="AN293" s="79">
        <v>0.3</v>
      </c>
      <c r="AO293" s="79">
        <v>0.1</v>
      </c>
      <c r="AP293" s="79">
        <v>0.1</v>
      </c>
      <c r="AQ293" s="75">
        <f t="shared" si="260"/>
        <v>200</v>
      </c>
      <c r="AR293" s="75">
        <f t="shared" si="261"/>
        <v>600</v>
      </c>
      <c r="AS293" s="75">
        <f t="shared" si="262"/>
        <v>600</v>
      </c>
      <c r="AT293" s="75">
        <f t="shared" si="263"/>
        <v>200</v>
      </c>
      <c r="AU293" s="75">
        <f t="shared" si="264"/>
        <v>200</v>
      </c>
      <c r="AV293" s="13">
        <v>0.8</v>
      </c>
      <c r="AW293" s="13">
        <v>1.2</v>
      </c>
      <c r="AX293" s="13">
        <v>1.3</v>
      </c>
      <c r="AY293" s="13">
        <v>1</v>
      </c>
      <c r="AZ293" s="13">
        <v>0.7</v>
      </c>
      <c r="BA293" s="105">
        <f t="shared" si="265"/>
        <v>0</v>
      </c>
      <c r="BB293" s="13">
        <f t="shared" si="266"/>
        <v>0</v>
      </c>
      <c r="BC293" s="13">
        <f t="shared" si="267"/>
        <v>0</v>
      </c>
      <c r="BD293" s="13">
        <f t="shared" si="268"/>
        <v>0</v>
      </c>
      <c r="BE293" s="13">
        <f t="shared" si="269"/>
        <v>0</v>
      </c>
      <c r="BF293" s="88" t="e">
        <f t="shared" si="270"/>
        <v>#DIV/0!</v>
      </c>
      <c r="BG293" s="88" t="e">
        <f t="shared" si="271"/>
        <v>#DIV/0!</v>
      </c>
      <c r="BH293" s="88" t="e">
        <f t="shared" si="272"/>
        <v>#DIV/0!</v>
      </c>
      <c r="BI293" s="88" t="e">
        <f t="shared" si="273"/>
        <v>#DIV/0!</v>
      </c>
      <c r="BJ293" s="88" t="e">
        <f t="shared" si="274"/>
        <v>#DIV/0!</v>
      </c>
      <c r="BK293" s="105" t="e">
        <f t="shared" si="275"/>
        <v>#DIV/0!</v>
      </c>
      <c r="BL293" s="105" t="e">
        <f t="shared" si="276"/>
        <v>#DIV/0!</v>
      </c>
      <c r="BM293" s="105" t="e">
        <f t="shared" si="277"/>
        <v>#DIV/0!</v>
      </c>
      <c r="BN293" s="105" t="e">
        <f t="shared" si="278"/>
        <v>#DIV/0!</v>
      </c>
      <c r="BO293" s="105" t="e">
        <f t="shared" si="279"/>
        <v>#DIV/0!</v>
      </c>
      <c r="BP293" s="105" t="e">
        <f t="shared" si="280"/>
        <v>#DIV/0!</v>
      </c>
      <c r="BQ293" s="79" t="e">
        <f t="shared" si="281"/>
        <v>#DIV/0!</v>
      </c>
      <c r="BR293" s="79" t="e">
        <f t="shared" si="282"/>
        <v>#DIV/0!</v>
      </c>
      <c r="BS293" s="79" t="e">
        <f t="shared" si="283"/>
        <v>#DIV/0!</v>
      </c>
      <c r="BT293" s="79" t="e">
        <f t="shared" si="284"/>
        <v>#DIV/0!</v>
      </c>
      <c r="BU293" s="79" t="e">
        <f t="shared" si="285"/>
        <v>#DIV/0!</v>
      </c>
      <c r="BV293" s="90" t="e">
        <f t="array" aca="1" ref="BV293" ca="1">_xlfn.TEXTJOIN(" ",TRUE,
_xlfn.TEXTJOIN(":",TRUE,ROUND(BK293:BO293/MIN(IF(BK293:BO293&gt;0,BK293:BO293)),0)),
"|",
ROUND(SUM(BW293:CA293),0))</f>
        <v>#DIV/0!</v>
      </c>
      <c r="BW293" s="106" t="e">
        <f t="shared" ca="1" si="286"/>
        <v>#DIV/0!</v>
      </c>
      <c r="BX293" s="106" t="e">
        <f t="shared" ca="1" si="232"/>
        <v>#DIV/0!</v>
      </c>
      <c r="BY293" s="106" t="e">
        <f t="shared" ca="1" si="233"/>
        <v>#DIV/0!</v>
      </c>
      <c r="BZ293" s="106" t="e">
        <f t="shared" ca="1" si="234"/>
        <v>#DIV/0!</v>
      </c>
      <c r="CA293" s="106" t="e">
        <f t="shared" ca="1" si="287"/>
        <v>#DIV/0!</v>
      </c>
    </row>
    <row r="294" spans="1:148" x14ac:dyDescent="0.35">
      <c r="A294" s="25" t="s">
        <v>307</v>
      </c>
      <c r="B294" s="10" t="s">
        <v>340</v>
      </c>
      <c r="C294" s="10" t="s">
        <v>342</v>
      </c>
      <c r="D294" s="10" t="s">
        <v>346</v>
      </c>
      <c r="E294" s="11">
        <v>45990</v>
      </c>
      <c r="F294" s="17">
        <v>45892</v>
      </c>
      <c r="G294" s="14">
        <f t="shared" ca="1" si="235"/>
        <v>207</v>
      </c>
      <c r="H294" s="10">
        <v>199</v>
      </c>
      <c r="I294" s="10">
        <v>135</v>
      </c>
      <c r="J294" s="75">
        <f t="shared" si="236"/>
        <v>2000</v>
      </c>
      <c r="K294" s="10">
        <v>2000</v>
      </c>
      <c r="L294" s="89">
        <v>0</v>
      </c>
      <c r="M294" s="86">
        <f t="shared" ca="1" si="237"/>
        <v>0</v>
      </c>
      <c r="N294" s="86">
        <f t="shared" si="238"/>
        <v>0.80451009251471861</v>
      </c>
      <c r="O294" s="86">
        <f t="shared" si="239"/>
        <v>0</v>
      </c>
      <c r="P294" s="87">
        <f t="shared" si="240"/>
        <v>0</v>
      </c>
      <c r="Q294" s="104" t="e">
        <f t="shared" si="241"/>
        <v>#DIV/0!</v>
      </c>
      <c r="R294" s="88">
        <f t="shared" si="242"/>
        <v>32.1608040201005</v>
      </c>
      <c r="S294" s="88">
        <f t="shared" si="243"/>
        <v>0</v>
      </c>
      <c r="T294" s="13">
        <f t="shared" si="244"/>
        <v>1</v>
      </c>
      <c r="U294" s="13" t="e">
        <f t="shared" si="245"/>
        <v>#DIV/0!</v>
      </c>
      <c r="V294" s="13">
        <f t="shared" si="246"/>
        <v>1</v>
      </c>
      <c r="W294" s="13">
        <f t="shared" ca="1" si="247"/>
        <v>3</v>
      </c>
      <c r="X294" s="13" t="e">
        <f t="shared" ca="1" si="248"/>
        <v>#DIV/0!</v>
      </c>
      <c r="Y294" s="81" t="str">
        <f t="shared" ca="1" si="249"/>
        <v>EXIT</v>
      </c>
      <c r="Z294" s="13">
        <v>14</v>
      </c>
      <c r="AA294" s="75">
        <v>46059</v>
      </c>
      <c r="AB294" s="75">
        <f t="shared" si="250"/>
        <v>45920</v>
      </c>
      <c r="AC294" s="88">
        <f t="shared" si="251"/>
        <v>19.857142857142858</v>
      </c>
      <c r="AD294" s="89" t="str">
        <f t="shared" ca="1" si="252"/>
        <v>STABLE</v>
      </c>
      <c r="AE294" s="89" t="str">
        <f t="shared" si="253"/>
        <v>SLOW SELLING</v>
      </c>
      <c r="AF294" s="89" t="e">
        <f t="shared" si="254"/>
        <v>#DIV/0!</v>
      </c>
      <c r="AG294" s="89" t="str">
        <f t="shared" si="255"/>
        <v>FEASIBLE</v>
      </c>
      <c r="AH294" s="81" t="str">
        <f t="shared" ca="1" si="256"/>
        <v>MONITOR</v>
      </c>
      <c r="AI294" s="75">
        <f t="shared" ca="1" si="257"/>
        <v>0</v>
      </c>
      <c r="AJ294" s="75">
        <f t="shared" ca="1" si="258"/>
        <v>-2000</v>
      </c>
      <c r="AK294" s="13">
        <f t="shared" ca="1" si="259"/>
        <v>-2400</v>
      </c>
      <c r="AL294" s="79">
        <v>0.1</v>
      </c>
      <c r="AM294" s="79">
        <v>0.3</v>
      </c>
      <c r="AN294" s="79">
        <v>0.3</v>
      </c>
      <c r="AO294" s="79">
        <v>0.1</v>
      </c>
      <c r="AP294" s="79">
        <v>0.1</v>
      </c>
      <c r="AQ294" s="75">
        <f t="shared" si="260"/>
        <v>200</v>
      </c>
      <c r="AR294" s="75">
        <f t="shared" si="261"/>
        <v>600</v>
      </c>
      <c r="AS294" s="75">
        <f t="shared" si="262"/>
        <v>600</v>
      </c>
      <c r="AT294" s="75">
        <f t="shared" si="263"/>
        <v>200</v>
      </c>
      <c r="AU294" s="75">
        <f t="shared" si="264"/>
        <v>200</v>
      </c>
      <c r="AV294" s="13">
        <v>0.8</v>
      </c>
      <c r="AW294" s="13">
        <v>1.2</v>
      </c>
      <c r="AX294" s="13">
        <v>1.3</v>
      </c>
      <c r="AY294" s="13">
        <v>1</v>
      </c>
      <c r="AZ294" s="13">
        <v>0.7</v>
      </c>
      <c r="BA294" s="105">
        <f t="shared" si="265"/>
        <v>0</v>
      </c>
      <c r="BB294" s="13">
        <f t="shared" si="266"/>
        <v>0</v>
      </c>
      <c r="BC294" s="13">
        <f t="shared" si="267"/>
        <v>0</v>
      </c>
      <c r="BD294" s="13">
        <f t="shared" si="268"/>
        <v>0</v>
      </c>
      <c r="BE294" s="13">
        <f t="shared" si="269"/>
        <v>0</v>
      </c>
      <c r="BF294" s="88" t="e">
        <f t="shared" si="270"/>
        <v>#DIV/0!</v>
      </c>
      <c r="BG294" s="88" t="e">
        <f t="shared" si="271"/>
        <v>#DIV/0!</v>
      </c>
      <c r="BH294" s="88" t="e">
        <f t="shared" si="272"/>
        <v>#DIV/0!</v>
      </c>
      <c r="BI294" s="88" t="e">
        <f t="shared" si="273"/>
        <v>#DIV/0!</v>
      </c>
      <c r="BJ294" s="88" t="e">
        <f t="shared" si="274"/>
        <v>#DIV/0!</v>
      </c>
      <c r="BK294" s="105" t="e">
        <f t="shared" si="275"/>
        <v>#DIV/0!</v>
      </c>
      <c r="BL294" s="105" t="e">
        <f t="shared" si="276"/>
        <v>#DIV/0!</v>
      </c>
      <c r="BM294" s="105" t="e">
        <f t="shared" si="277"/>
        <v>#DIV/0!</v>
      </c>
      <c r="BN294" s="105" t="e">
        <f t="shared" si="278"/>
        <v>#DIV/0!</v>
      </c>
      <c r="BO294" s="105" t="e">
        <f t="shared" si="279"/>
        <v>#DIV/0!</v>
      </c>
      <c r="BP294" s="105" t="e">
        <f t="shared" si="280"/>
        <v>#DIV/0!</v>
      </c>
      <c r="BQ294" s="79" t="e">
        <f t="shared" si="281"/>
        <v>#DIV/0!</v>
      </c>
      <c r="BR294" s="79" t="e">
        <f t="shared" si="282"/>
        <v>#DIV/0!</v>
      </c>
      <c r="BS294" s="79" t="e">
        <f t="shared" si="283"/>
        <v>#DIV/0!</v>
      </c>
      <c r="BT294" s="79" t="e">
        <f t="shared" si="284"/>
        <v>#DIV/0!</v>
      </c>
      <c r="BU294" s="79" t="e">
        <f t="shared" si="285"/>
        <v>#DIV/0!</v>
      </c>
      <c r="BV294" s="90" t="e">
        <f t="array" aca="1" ref="BV294" ca="1">_xlfn.TEXTJOIN(" ",TRUE,
_xlfn.TEXTJOIN(":",TRUE,ROUND(BK294:BO294/MIN(IF(BK294:BO294&gt;0,BK294:BO294)),0)),
"|",
ROUND(SUM(BW294:CA294),0))</f>
        <v>#DIV/0!</v>
      </c>
      <c r="BW294" s="106" t="e">
        <f t="shared" ca="1" si="286"/>
        <v>#DIV/0!</v>
      </c>
      <c r="BX294" s="106" t="e">
        <f t="shared" ca="1" si="232"/>
        <v>#DIV/0!</v>
      </c>
      <c r="BY294" s="106" t="e">
        <f t="shared" ca="1" si="233"/>
        <v>#DIV/0!</v>
      </c>
      <c r="BZ294" s="106" t="e">
        <f t="shared" ca="1" si="234"/>
        <v>#DIV/0!</v>
      </c>
      <c r="CA294" s="106" t="e">
        <f t="shared" ca="1" si="287"/>
        <v>#DIV/0!</v>
      </c>
    </row>
    <row r="295" spans="1:148" x14ac:dyDescent="0.35">
      <c r="A295" s="25" t="s">
        <v>308</v>
      </c>
      <c r="B295" s="10" t="s">
        <v>340</v>
      </c>
      <c r="C295" s="10" t="s">
        <v>342</v>
      </c>
      <c r="D295" s="10" t="s">
        <v>346</v>
      </c>
      <c r="E295" s="11">
        <v>45990</v>
      </c>
      <c r="F295" s="17">
        <v>45892</v>
      </c>
      <c r="G295" s="14">
        <f t="shared" ca="1" si="235"/>
        <v>207</v>
      </c>
      <c r="H295" s="10">
        <v>199</v>
      </c>
      <c r="I295" s="10">
        <v>135</v>
      </c>
      <c r="J295" s="75">
        <f t="shared" si="236"/>
        <v>2000</v>
      </c>
      <c r="K295" s="10">
        <v>2000</v>
      </c>
      <c r="L295" s="89">
        <v>0</v>
      </c>
      <c r="M295" s="86">
        <f t="shared" ca="1" si="237"/>
        <v>0</v>
      </c>
      <c r="N295" s="86">
        <f t="shared" si="238"/>
        <v>0.80451009251471861</v>
      </c>
      <c r="O295" s="86">
        <f t="shared" si="239"/>
        <v>0</v>
      </c>
      <c r="P295" s="87">
        <f t="shared" si="240"/>
        <v>0</v>
      </c>
      <c r="Q295" s="104" t="e">
        <f t="shared" si="241"/>
        <v>#DIV/0!</v>
      </c>
      <c r="R295" s="88">
        <f t="shared" si="242"/>
        <v>32.1608040201005</v>
      </c>
      <c r="S295" s="88">
        <f t="shared" si="243"/>
        <v>0</v>
      </c>
      <c r="T295" s="13">
        <f t="shared" si="244"/>
        <v>1</v>
      </c>
      <c r="U295" s="13" t="e">
        <f t="shared" si="245"/>
        <v>#DIV/0!</v>
      </c>
      <c r="V295" s="13">
        <f t="shared" si="246"/>
        <v>1</v>
      </c>
      <c r="W295" s="13">
        <f t="shared" ca="1" si="247"/>
        <v>3</v>
      </c>
      <c r="X295" s="13" t="e">
        <f t="shared" ca="1" si="248"/>
        <v>#DIV/0!</v>
      </c>
      <c r="Y295" s="81" t="str">
        <f t="shared" ca="1" si="249"/>
        <v>EXIT</v>
      </c>
      <c r="Z295" s="13">
        <v>14</v>
      </c>
      <c r="AA295" s="75">
        <v>46059</v>
      </c>
      <c r="AB295" s="75">
        <f t="shared" si="250"/>
        <v>45920</v>
      </c>
      <c r="AC295" s="88">
        <f t="shared" si="251"/>
        <v>19.857142857142858</v>
      </c>
      <c r="AD295" s="89" t="str">
        <f t="shared" ca="1" si="252"/>
        <v>STABLE</v>
      </c>
      <c r="AE295" s="89" t="str">
        <f t="shared" si="253"/>
        <v>SLOW SELLING</v>
      </c>
      <c r="AF295" s="89" t="e">
        <f t="shared" si="254"/>
        <v>#DIV/0!</v>
      </c>
      <c r="AG295" s="89" t="str">
        <f t="shared" si="255"/>
        <v>FEASIBLE</v>
      </c>
      <c r="AH295" s="81" t="str">
        <f t="shared" ca="1" si="256"/>
        <v>MONITOR</v>
      </c>
      <c r="AI295" s="75">
        <f t="shared" ca="1" si="257"/>
        <v>0</v>
      </c>
      <c r="AJ295" s="75">
        <f t="shared" ca="1" si="258"/>
        <v>-2000</v>
      </c>
      <c r="AK295" s="13">
        <f t="shared" ca="1" si="259"/>
        <v>-2400</v>
      </c>
      <c r="AL295" s="79">
        <v>0.1</v>
      </c>
      <c r="AM295" s="79">
        <v>0.3</v>
      </c>
      <c r="AN295" s="79">
        <v>0.3</v>
      </c>
      <c r="AO295" s="79">
        <v>0.1</v>
      </c>
      <c r="AP295" s="79">
        <v>0.1</v>
      </c>
      <c r="AQ295" s="75">
        <f t="shared" si="260"/>
        <v>200</v>
      </c>
      <c r="AR295" s="75">
        <f t="shared" si="261"/>
        <v>600</v>
      </c>
      <c r="AS295" s="75">
        <f t="shared" si="262"/>
        <v>600</v>
      </c>
      <c r="AT295" s="75">
        <f t="shared" si="263"/>
        <v>200</v>
      </c>
      <c r="AU295" s="75">
        <f t="shared" si="264"/>
        <v>200</v>
      </c>
      <c r="AV295" s="13">
        <v>0.8</v>
      </c>
      <c r="AW295" s="13">
        <v>1.2</v>
      </c>
      <c r="AX295" s="13">
        <v>1.3</v>
      </c>
      <c r="AY295" s="13">
        <v>1</v>
      </c>
      <c r="AZ295" s="13">
        <v>0.7</v>
      </c>
      <c r="BA295" s="105">
        <f t="shared" si="265"/>
        <v>0</v>
      </c>
      <c r="BB295" s="13">
        <f t="shared" si="266"/>
        <v>0</v>
      </c>
      <c r="BC295" s="13">
        <f t="shared" si="267"/>
        <v>0</v>
      </c>
      <c r="BD295" s="13">
        <f t="shared" si="268"/>
        <v>0</v>
      </c>
      <c r="BE295" s="13">
        <f t="shared" si="269"/>
        <v>0</v>
      </c>
      <c r="BF295" s="88" t="e">
        <f t="shared" si="270"/>
        <v>#DIV/0!</v>
      </c>
      <c r="BG295" s="88" t="e">
        <f t="shared" si="271"/>
        <v>#DIV/0!</v>
      </c>
      <c r="BH295" s="88" t="e">
        <f t="shared" si="272"/>
        <v>#DIV/0!</v>
      </c>
      <c r="BI295" s="88" t="e">
        <f t="shared" si="273"/>
        <v>#DIV/0!</v>
      </c>
      <c r="BJ295" s="88" t="e">
        <f t="shared" si="274"/>
        <v>#DIV/0!</v>
      </c>
      <c r="BK295" s="105" t="e">
        <f t="shared" si="275"/>
        <v>#DIV/0!</v>
      </c>
      <c r="BL295" s="105" t="e">
        <f t="shared" si="276"/>
        <v>#DIV/0!</v>
      </c>
      <c r="BM295" s="105" t="e">
        <f t="shared" si="277"/>
        <v>#DIV/0!</v>
      </c>
      <c r="BN295" s="105" t="e">
        <f t="shared" si="278"/>
        <v>#DIV/0!</v>
      </c>
      <c r="BO295" s="105" t="e">
        <f t="shared" si="279"/>
        <v>#DIV/0!</v>
      </c>
      <c r="BP295" s="105" t="e">
        <f t="shared" si="280"/>
        <v>#DIV/0!</v>
      </c>
      <c r="BQ295" s="79" t="e">
        <f t="shared" si="281"/>
        <v>#DIV/0!</v>
      </c>
      <c r="BR295" s="79" t="e">
        <f t="shared" si="282"/>
        <v>#DIV/0!</v>
      </c>
      <c r="BS295" s="79" t="e">
        <f t="shared" si="283"/>
        <v>#DIV/0!</v>
      </c>
      <c r="BT295" s="79" t="e">
        <f t="shared" si="284"/>
        <v>#DIV/0!</v>
      </c>
      <c r="BU295" s="79" t="e">
        <f t="shared" si="285"/>
        <v>#DIV/0!</v>
      </c>
      <c r="BV295" s="90" t="e">
        <f t="array" aca="1" ref="BV295" ca="1">_xlfn.TEXTJOIN(" ",TRUE,
_xlfn.TEXTJOIN(":",TRUE,ROUND(BK295:BO295/MIN(IF(BK295:BO295&gt;0,BK295:BO295)),0)),
"|",
ROUND(SUM(BW295:CA295),0))</f>
        <v>#DIV/0!</v>
      </c>
      <c r="BW295" s="106" t="e">
        <f t="shared" ca="1" si="286"/>
        <v>#DIV/0!</v>
      </c>
      <c r="BX295" s="106" t="e">
        <f t="shared" ca="1" si="232"/>
        <v>#DIV/0!</v>
      </c>
      <c r="BY295" s="106" t="e">
        <f t="shared" ca="1" si="233"/>
        <v>#DIV/0!</v>
      </c>
      <c r="BZ295" s="106" t="e">
        <f t="shared" ca="1" si="234"/>
        <v>#DIV/0!</v>
      </c>
      <c r="CA295" s="106" t="e">
        <f t="shared" ca="1" si="287"/>
        <v>#DIV/0!</v>
      </c>
    </row>
    <row r="296" spans="1:148" x14ac:dyDescent="0.35">
      <c r="A296" s="25" t="s">
        <v>309</v>
      </c>
      <c r="B296" s="10" t="s">
        <v>340</v>
      </c>
      <c r="C296" s="10" t="s">
        <v>342</v>
      </c>
      <c r="D296" s="10" t="s">
        <v>346</v>
      </c>
      <c r="E296" s="11">
        <v>45990</v>
      </c>
      <c r="F296" s="17">
        <v>45892</v>
      </c>
      <c r="G296" s="14">
        <f t="shared" ca="1" si="235"/>
        <v>207</v>
      </c>
      <c r="H296" s="10">
        <v>199</v>
      </c>
      <c r="I296" s="10">
        <v>135</v>
      </c>
      <c r="J296" s="75">
        <f t="shared" si="236"/>
        <v>2000</v>
      </c>
      <c r="K296" s="10">
        <v>2000</v>
      </c>
      <c r="L296" s="89">
        <v>0</v>
      </c>
      <c r="M296" s="86">
        <f t="shared" ca="1" si="237"/>
        <v>0</v>
      </c>
      <c r="N296" s="86">
        <f t="shared" si="238"/>
        <v>0.80451009251471861</v>
      </c>
      <c r="O296" s="86">
        <f t="shared" si="239"/>
        <v>0</v>
      </c>
      <c r="P296" s="87">
        <f t="shared" si="240"/>
        <v>0</v>
      </c>
      <c r="Q296" s="104" t="e">
        <f t="shared" si="241"/>
        <v>#DIV/0!</v>
      </c>
      <c r="R296" s="88">
        <f t="shared" si="242"/>
        <v>32.1608040201005</v>
      </c>
      <c r="S296" s="88">
        <f t="shared" si="243"/>
        <v>0</v>
      </c>
      <c r="T296" s="13">
        <f t="shared" si="244"/>
        <v>1</v>
      </c>
      <c r="U296" s="13" t="e">
        <f t="shared" si="245"/>
        <v>#DIV/0!</v>
      </c>
      <c r="V296" s="13">
        <f t="shared" si="246"/>
        <v>1</v>
      </c>
      <c r="W296" s="13">
        <f t="shared" ca="1" si="247"/>
        <v>3</v>
      </c>
      <c r="X296" s="13" t="e">
        <f t="shared" ca="1" si="248"/>
        <v>#DIV/0!</v>
      </c>
      <c r="Y296" s="81" t="str">
        <f t="shared" ca="1" si="249"/>
        <v>EXIT</v>
      </c>
      <c r="Z296" s="13">
        <v>14</v>
      </c>
      <c r="AA296" s="75">
        <v>46059</v>
      </c>
      <c r="AB296" s="75">
        <f t="shared" si="250"/>
        <v>45920</v>
      </c>
      <c r="AC296" s="88">
        <f t="shared" si="251"/>
        <v>19.857142857142858</v>
      </c>
      <c r="AD296" s="89" t="str">
        <f t="shared" ca="1" si="252"/>
        <v>STABLE</v>
      </c>
      <c r="AE296" s="89" t="str">
        <f t="shared" si="253"/>
        <v>SLOW SELLING</v>
      </c>
      <c r="AF296" s="89" t="e">
        <f t="shared" si="254"/>
        <v>#DIV/0!</v>
      </c>
      <c r="AG296" s="89" t="str">
        <f t="shared" si="255"/>
        <v>FEASIBLE</v>
      </c>
      <c r="AH296" s="81" t="str">
        <f t="shared" ca="1" si="256"/>
        <v>MONITOR</v>
      </c>
      <c r="AI296" s="75">
        <f t="shared" ca="1" si="257"/>
        <v>0</v>
      </c>
      <c r="AJ296" s="75">
        <f t="shared" ca="1" si="258"/>
        <v>-2000</v>
      </c>
      <c r="AK296" s="13">
        <f t="shared" ca="1" si="259"/>
        <v>-2400</v>
      </c>
      <c r="AL296" s="79">
        <v>0.1</v>
      </c>
      <c r="AM296" s="79">
        <v>0.3</v>
      </c>
      <c r="AN296" s="79">
        <v>0.3</v>
      </c>
      <c r="AO296" s="79">
        <v>0.1</v>
      </c>
      <c r="AP296" s="79">
        <v>0.1</v>
      </c>
      <c r="AQ296" s="75">
        <f t="shared" si="260"/>
        <v>200</v>
      </c>
      <c r="AR296" s="75">
        <f t="shared" si="261"/>
        <v>600</v>
      </c>
      <c r="AS296" s="75">
        <f t="shared" si="262"/>
        <v>600</v>
      </c>
      <c r="AT296" s="75">
        <f t="shared" si="263"/>
        <v>200</v>
      </c>
      <c r="AU296" s="75">
        <f t="shared" si="264"/>
        <v>200</v>
      </c>
      <c r="AV296" s="13">
        <v>0.8</v>
      </c>
      <c r="AW296" s="13">
        <v>1.2</v>
      </c>
      <c r="AX296" s="13">
        <v>1.3</v>
      </c>
      <c r="AY296" s="13">
        <v>1</v>
      </c>
      <c r="AZ296" s="13">
        <v>0.7</v>
      </c>
      <c r="BA296" s="105">
        <f t="shared" si="265"/>
        <v>0</v>
      </c>
      <c r="BB296" s="13">
        <f t="shared" si="266"/>
        <v>0</v>
      </c>
      <c r="BC296" s="13">
        <f t="shared" si="267"/>
        <v>0</v>
      </c>
      <c r="BD296" s="13">
        <f t="shared" si="268"/>
        <v>0</v>
      </c>
      <c r="BE296" s="13">
        <f t="shared" si="269"/>
        <v>0</v>
      </c>
      <c r="BF296" s="88" t="e">
        <f t="shared" si="270"/>
        <v>#DIV/0!</v>
      </c>
      <c r="BG296" s="88" t="e">
        <f t="shared" si="271"/>
        <v>#DIV/0!</v>
      </c>
      <c r="BH296" s="88" t="e">
        <f t="shared" si="272"/>
        <v>#DIV/0!</v>
      </c>
      <c r="BI296" s="88" t="e">
        <f t="shared" si="273"/>
        <v>#DIV/0!</v>
      </c>
      <c r="BJ296" s="88" t="e">
        <f t="shared" si="274"/>
        <v>#DIV/0!</v>
      </c>
      <c r="BK296" s="105" t="e">
        <f t="shared" si="275"/>
        <v>#DIV/0!</v>
      </c>
      <c r="BL296" s="105" t="e">
        <f t="shared" si="276"/>
        <v>#DIV/0!</v>
      </c>
      <c r="BM296" s="105" t="e">
        <f t="shared" si="277"/>
        <v>#DIV/0!</v>
      </c>
      <c r="BN296" s="105" t="e">
        <f t="shared" si="278"/>
        <v>#DIV/0!</v>
      </c>
      <c r="BO296" s="105" t="e">
        <f t="shared" si="279"/>
        <v>#DIV/0!</v>
      </c>
      <c r="BP296" s="105" t="e">
        <f t="shared" si="280"/>
        <v>#DIV/0!</v>
      </c>
      <c r="BQ296" s="79" t="e">
        <f t="shared" si="281"/>
        <v>#DIV/0!</v>
      </c>
      <c r="BR296" s="79" t="e">
        <f t="shared" si="282"/>
        <v>#DIV/0!</v>
      </c>
      <c r="BS296" s="79" t="e">
        <f t="shared" si="283"/>
        <v>#DIV/0!</v>
      </c>
      <c r="BT296" s="79" t="e">
        <f t="shared" si="284"/>
        <v>#DIV/0!</v>
      </c>
      <c r="BU296" s="79" t="e">
        <f t="shared" si="285"/>
        <v>#DIV/0!</v>
      </c>
      <c r="BV296" s="90" t="e">
        <f t="array" aca="1" ref="BV296" ca="1">_xlfn.TEXTJOIN(" ",TRUE,
_xlfn.TEXTJOIN(":",TRUE,ROUND(BK296:BO296/MIN(IF(BK296:BO296&gt;0,BK296:BO296)),0)),
"|",
ROUND(SUM(BW296:CA296),0))</f>
        <v>#DIV/0!</v>
      </c>
      <c r="BW296" s="106" t="e">
        <f t="shared" ca="1" si="286"/>
        <v>#DIV/0!</v>
      </c>
      <c r="BX296" s="106" t="e">
        <f t="shared" ca="1" si="232"/>
        <v>#DIV/0!</v>
      </c>
      <c r="BY296" s="106" t="e">
        <f t="shared" ca="1" si="233"/>
        <v>#DIV/0!</v>
      </c>
      <c r="BZ296" s="106" t="e">
        <f t="shared" ca="1" si="234"/>
        <v>#DIV/0!</v>
      </c>
      <c r="CA296" s="106" t="e">
        <f t="shared" ca="1" si="287"/>
        <v>#DIV/0!</v>
      </c>
    </row>
    <row r="297" spans="1:148" x14ac:dyDescent="0.35">
      <c r="A297" s="25" t="s">
        <v>310</v>
      </c>
      <c r="B297" s="10" t="s">
        <v>340</v>
      </c>
      <c r="C297" s="10" t="s">
        <v>342</v>
      </c>
      <c r="D297" s="10" t="s">
        <v>346</v>
      </c>
      <c r="E297" s="11">
        <v>45990</v>
      </c>
      <c r="F297" s="17">
        <v>45892</v>
      </c>
      <c r="G297" s="14">
        <f t="shared" ca="1" si="235"/>
        <v>207</v>
      </c>
      <c r="H297" s="10">
        <v>199</v>
      </c>
      <c r="I297" s="10">
        <v>135</v>
      </c>
      <c r="J297" s="75">
        <f t="shared" si="236"/>
        <v>2000</v>
      </c>
      <c r="K297" s="10">
        <v>2000</v>
      </c>
      <c r="L297" s="89">
        <v>0</v>
      </c>
      <c r="M297" s="86">
        <f t="shared" ca="1" si="237"/>
        <v>0</v>
      </c>
      <c r="N297" s="86">
        <f t="shared" si="238"/>
        <v>0.80451009251471861</v>
      </c>
      <c r="O297" s="86">
        <f t="shared" si="239"/>
        <v>0</v>
      </c>
      <c r="P297" s="87">
        <f t="shared" si="240"/>
        <v>0</v>
      </c>
      <c r="Q297" s="104" t="e">
        <f t="shared" si="241"/>
        <v>#DIV/0!</v>
      </c>
      <c r="R297" s="88">
        <f t="shared" si="242"/>
        <v>32.1608040201005</v>
      </c>
      <c r="S297" s="88">
        <f t="shared" si="243"/>
        <v>0</v>
      </c>
      <c r="T297" s="13">
        <f t="shared" si="244"/>
        <v>1</v>
      </c>
      <c r="U297" s="13" t="e">
        <f t="shared" si="245"/>
        <v>#DIV/0!</v>
      </c>
      <c r="V297" s="13">
        <f t="shared" si="246"/>
        <v>1</v>
      </c>
      <c r="W297" s="13">
        <f t="shared" ca="1" si="247"/>
        <v>3</v>
      </c>
      <c r="X297" s="13" t="e">
        <f t="shared" ca="1" si="248"/>
        <v>#DIV/0!</v>
      </c>
      <c r="Y297" s="81" t="str">
        <f t="shared" ca="1" si="249"/>
        <v>EXIT</v>
      </c>
      <c r="Z297" s="13">
        <v>14</v>
      </c>
      <c r="AA297" s="75">
        <v>46059</v>
      </c>
      <c r="AB297" s="75">
        <f t="shared" si="250"/>
        <v>45920</v>
      </c>
      <c r="AC297" s="88">
        <f t="shared" si="251"/>
        <v>19.857142857142858</v>
      </c>
      <c r="AD297" s="89" t="str">
        <f t="shared" ca="1" si="252"/>
        <v>STABLE</v>
      </c>
      <c r="AE297" s="89" t="str">
        <f t="shared" si="253"/>
        <v>SLOW SELLING</v>
      </c>
      <c r="AF297" s="89" t="e">
        <f t="shared" si="254"/>
        <v>#DIV/0!</v>
      </c>
      <c r="AG297" s="89" t="str">
        <f t="shared" si="255"/>
        <v>FEASIBLE</v>
      </c>
      <c r="AH297" s="81" t="str">
        <f t="shared" ca="1" si="256"/>
        <v>MONITOR</v>
      </c>
      <c r="AI297" s="75">
        <f t="shared" ca="1" si="257"/>
        <v>0</v>
      </c>
      <c r="AJ297" s="75">
        <f t="shared" ca="1" si="258"/>
        <v>-2000</v>
      </c>
      <c r="AK297" s="13">
        <f t="shared" ca="1" si="259"/>
        <v>-2400</v>
      </c>
      <c r="AL297" s="79">
        <v>0.1</v>
      </c>
      <c r="AM297" s="79">
        <v>0.3</v>
      </c>
      <c r="AN297" s="79">
        <v>0.3</v>
      </c>
      <c r="AO297" s="79">
        <v>0.1</v>
      </c>
      <c r="AP297" s="79">
        <v>0.1</v>
      </c>
      <c r="AQ297" s="75">
        <f t="shared" si="260"/>
        <v>200</v>
      </c>
      <c r="AR297" s="75">
        <f t="shared" si="261"/>
        <v>600</v>
      </c>
      <c r="AS297" s="75">
        <f t="shared" si="262"/>
        <v>600</v>
      </c>
      <c r="AT297" s="75">
        <f t="shared" si="263"/>
        <v>200</v>
      </c>
      <c r="AU297" s="75">
        <f t="shared" si="264"/>
        <v>200</v>
      </c>
      <c r="AV297" s="13">
        <v>0.8</v>
      </c>
      <c r="AW297" s="13">
        <v>1.2</v>
      </c>
      <c r="AX297" s="13">
        <v>1.3</v>
      </c>
      <c r="AY297" s="13">
        <v>1</v>
      </c>
      <c r="AZ297" s="13">
        <v>0.7</v>
      </c>
      <c r="BA297" s="105">
        <f t="shared" si="265"/>
        <v>0</v>
      </c>
      <c r="BB297" s="13">
        <f t="shared" si="266"/>
        <v>0</v>
      </c>
      <c r="BC297" s="13">
        <f t="shared" si="267"/>
        <v>0</v>
      </c>
      <c r="BD297" s="13">
        <f t="shared" si="268"/>
        <v>0</v>
      </c>
      <c r="BE297" s="13">
        <f t="shared" si="269"/>
        <v>0</v>
      </c>
      <c r="BF297" s="88" t="e">
        <f t="shared" si="270"/>
        <v>#DIV/0!</v>
      </c>
      <c r="BG297" s="88" t="e">
        <f t="shared" si="271"/>
        <v>#DIV/0!</v>
      </c>
      <c r="BH297" s="88" t="e">
        <f t="shared" si="272"/>
        <v>#DIV/0!</v>
      </c>
      <c r="BI297" s="88" t="e">
        <f t="shared" si="273"/>
        <v>#DIV/0!</v>
      </c>
      <c r="BJ297" s="88" t="e">
        <f t="shared" si="274"/>
        <v>#DIV/0!</v>
      </c>
      <c r="BK297" s="105" t="e">
        <f t="shared" si="275"/>
        <v>#DIV/0!</v>
      </c>
      <c r="BL297" s="105" t="e">
        <f t="shared" si="276"/>
        <v>#DIV/0!</v>
      </c>
      <c r="BM297" s="105" t="e">
        <f t="shared" si="277"/>
        <v>#DIV/0!</v>
      </c>
      <c r="BN297" s="105" t="e">
        <f t="shared" si="278"/>
        <v>#DIV/0!</v>
      </c>
      <c r="BO297" s="105" t="e">
        <f t="shared" si="279"/>
        <v>#DIV/0!</v>
      </c>
      <c r="BP297" s="105" t="e">
        <f t="shared" si="280"/>
        <v>#DIV/0!</v>
      </c>
      <c r="BQ297" s="79" t="e">
        <f t="shared" si="281"/>
        <v>#DIV/0!</v>
      </c>
      <c r="BR297" s="79" t="e">
        <f t="shared" si="282"/>
        <v>#DIV/0!</v>
      </c>
      <c r="BS297" s="79" t="e">
        <f t="shared" si="283"/>
        <v>#DIV/0!</v>
      </c>
      <c r="BT297" s="79" t="e">
        <f t="shared" si="284"/>
        <v>#DIV/0!</v>
      </c>
      <c r="BU297" s="79" t="e">
        <f t="shared" si="285"/>
        <v>#DIV/0!</v>
      </c>
      <c r="BV297" s="90" t="e">
        <f t="array" aca="1" ref="BV297" ca="1">_xlfn.TEXTJOIN(" ",TRUE,
_xlfn.TEXTJOIN(":",TRUE,ROUND(BK297:BO297/MIN(IF(BK297:BO297&gt;0,BK297:BO297)),0)),
"|",
ROUND(SUM(BW297:CA297),0))</f>
        <v>#DIV/0!</v>
      </c>
      <c r="BW297" s="106" t="e">
        <f t="shared" ca="1" si="286"/>
        <v>#DIV/0!</v>
      </c>
      <c r="BX297" s="106" t="e">
        <f t="shared" ca="1" si="232"/>
        <v>#DIV/0!</v>
      </c>
      <c r="BY297" s="106" t="e">
        <f t="shared" ca="1" si="233"/>
        <v>#DIV/0!</v>
      </c>
      <c r="BZ297" s="106" t="e">
        <f t="shared" ca="1" si="234"/>
        <v>#DIV/0!</v>
      </c>
      <c r="CA297" s="106" t="e">
        <f t="shared" ca="1" si="287"/>
        <v>#DIV/0!</v>
      </c>
    </row>
    <row r="298" spans="1:148" x14ac:dyDescent="0.35">
      <c r="A298" s="25" t="s">
        <v>311</v>
      </c>
      <c r="B298" s="10" t="s">
        <v>340</v>
      </c>
      <c r="C298" s="10" t="s">
        <v>342</v>
      </c>
      <c r="D298" s="10" t="s">
        <v>346</v>
      </c>
      <c r="E298" s="11">
        <v>45990</v>
      </c>
      <c r="F298" s="17">
        <v>45892</v>
      </c>
      <c r="G298" s="14">
        <f t="shared" ca="1" si="235"/>
        <v>207</v>
      </c>
      <c r="H298" s="10">
        <v>199</v>
      </c>
      <c r="I298" s="10">
        <v>135</v>
      </c>
      <c r="J298" s="75">
        <f t="shared" si="236"/>
        <v>2000</v>
      </c>
      <c r="K298" s="10">
        <v>2000</v>
      </c>
      <c r="L298" s="89">
        <v>0</v>
      </c>
      <c r="M298" s="86">
        <f t="shared" ca="1" si="237"/>
        <v>0</v>
      </c>
      <c r="N298" s="86">
        <f t="shared" si="238"/>
        <v>0.80451009251471861</v>
      </c>
      <c r="O298" s="86">
        <f t="shared" si="239"/>
        <v>0</v>
      </c>
      <c r="P298" s="87">
        <f t="shared" si="240"/>
        <v>0</v>
      </c>
      <c r="Q298" s="104" t="e">
        <f t="shared" si="241"/>
        <v>#DIV/0!</v>
      </c>
      <c r="R298" s="88">
        <f t="shared" si="242"/>
        <v>32.1608040201005</v>
      </c>
      <c r="S298" s="88">
        <f t="shared" si="243"/>
        <v>0</v>
      </c>
      <c r="T298" s="13">
        <f t="shared" si="244"/>
        <v>1</v>
      </c>
      <c r="U298" s="13" t="e">
        <f t="shared" si="245"/>
        <v>#DIV/0!</v>
      </c>
      <c r="V298" s="13">
        <f t="shared" si="246"/>
        <v>1</v>
      </c>
      <c r="W298" s="13">
        <f t="shared" ca="1" si="247"/>
        <v>3</v>
      </c>
      <c r="X298" s="13" t="e">
        <f t="shared" ca="1" si="248"/>
        <v>#DIV/0!</v>
      </c>
      <c r="Y298" s="81" t="str">
        <f t="shared" ca="1" si="249"/>
        <v>EXIT</v>
      </c>
      <c r="Z298" s="13">
        <v>14</v>
      </c>
      <c r="AA298" s="75">
        <v>46059</v>
      </c>
      <c r="AB298" s="75">
        <f t="shared" si="250"/>
        <v>45920</v>
      </c>
      <c r="AC298" s="88">
        <f t="shared" si="251"/>
        <v>19.857142857142858</v>
      </c>
      <c r="AD298" s="89" t="str">
        <f t="shared" ca="1" si="252"/>
        <v>STABLE</v>
      </c>
      <c r="AE298" s="89" t="str">
        <f t="shared" si="253"/>
        <v>SLOW SELLING</v>
      </c>
      <c r="AF298" s="89" t="e">
        <f t="shared" si="254"/>
        <v>#DIV/0!</v>
      </c>
      <c r="AG298" s="89" t="str">
        <f t="shared" si="255"/>
        <v>FEASIBLE</v>
      </c>
      <c r="AH298" s="81" t="str">
        <f t="shared" ca="1" si="256"/>
        <v>MONITOR</v>
      </c>
      <c r="AI298" s="75">
        <f t="shared" ca="1" si="257"/>
        <v>0</v>
      </c>
      <c r="AJ298" s="75">
        <f t="shared" ca="1" si="258"/>
        <v>-2000</v>
      </c>
      <c r="AK298" s="13">
        <f t="shared" ca="1" si="259"/>
        <v>-2400</v>
      </c>
      <c r="AL298" s="79">
        <v>0.1</v>
      </c>
      <c r="AM298" s="79">
        <v>0.3</v>
      </c>
      <c r="AN298" s="79">
        <v>0.3</v>
      </c>
      <c r="AO298" s="79">
        <v>0.1</v>
      </c>
      <c r="AP298" s="79">
        <v>0.1</v>
      </c>
      <c r="AQ298" s="75">
        <f t="shared" si="260"/>
        <v>200</v>
      </c>
      <c r="AR298" s="75">
        <f t="shared" si="261"/>
        <v>600</v>
      </c>
      <c r="AS298" s="75">
        <f t="shared" si="262"/>
        <v>600</v>
      </c>
      <c r="AT298" s="75">
        <f t="shared" si="263"/>
        <v>200</v>
      </c>
      <c r="AU298" s="75">
        <f t="shared" si="264"/>
        <v>200</v>
      </c>
      <c r="AV298" s="13">
        <v>0.8</v>
      </c>
      <c r="AW298" s="13">
        <v>1.2</v>
      </c>
      <c r="AX298" s="13">
        <v>1.3</v>
      </c>
      <c r="AY298" s="13">
        <v>1</v>
      </c>
      <c r="AZ298" s="13">
        <v>0.7</v>
      </c>
      <c r="BA298" s="105">
        <f t="shared" si="265"/>
        <v>0</v>
      </c>
      <c r="BB298" s="13">
        <f t="shared" si="266"/>
        <v>0</v>
      </c>
      <c r="BC298" s="13">
        <f t="shared" si="267"/>
        <v>0</v>
      </c>
      <c r="BD298" s="13">
        <f t="shared" si="268"/>
        <v>0</v>
      </c>
      <c r="BE298" s="13">
        <f t="shared" si="269"/>
        <v>0</v>
      </c>
      <c r="BF298" s="88" t="e">
        <f t="shared" si="270"/>
        <v>#DIV/0!</v>
      </c>
      <c r="BG298" s="88" t="e">
        <f t="shared" si="271"/>
        <v>#DIV/0!</v>
      </c>
      <c r="BH298" s="88" t="e">
        <f t="shared" si="272"/>
        <v>#DIV/0!</v>
      </c>
      <c r="BI298" s="88" t="e">
        <f t="shared" si="273"/>
        <v>#DIV/0!</v>
      </c>
      <c r="BJ298" s="88" t="e">
        <f t="shared" si="274"/>
        <v>#DIV/0!</v>
      </c>
      <c r="BK298" s="105" t="e">
        <f t="shared" si="275"/>
        <v>#DIV/0!</v>
      </c>
      <c r="BL298" s="105" t="e">
        <f t="shared" si="276"/>
        <v>#DIV/0!</v>
      </c>
      <c r="BM298" s="105" t="e">
        <f t="shared" si="277"/>
        <v>#DIV/0!</v>
      </c>
      <c r="BN298" s="105" t="e">
        <f t="shared" si="278"/>
        <v>#DIV/0!</v>
      </c>
      <c r="BO298" s="105" t="e">
        <f t="shared" si="279"/>
        <v>#DIV/0!</v>
      </c>
      <c r="BP298" s="105" t="e">
        <f t="shared" si="280"/>
        <v>#DIV/0!</v>
      </c>
      <c r="BQ298" s="79" t="e">
        <f t="shared" si="281"/>
        <v>#DIV/0!</v>
      </c>
      <c r="BR298" s="79" t="e">
        <f t="shared" si="282"/>
        <v>#DIV/0!</v>
      </c>
      <c r="BS298" s="79" t="e">
        <f t="shared" si="283"/>
        <v>#DIV/0!</v>
      </c>
      <c r="BT298" s="79" t="e">
        <f t="shared" si="284"/>
        <v>#DIV/0!</v>
      </c>
      <c r="BU298" s="79" t="e">
        <f t="shared" si="285"/>
        <v>#DIV/0!</v>
      </c>
      <c r="BV298" s="90" t="e">
        <f t="array" aca="1" ref="BV298" ca="1">_xlfn.TEXTJOIN(" ",TRUE,
_xlfn.TEXTJOIN(":",TRUE,ROUND(BK298:BO298/MIN(IF(BK298:BO298&gt;0,BK298:BO298)),0)),
"|",
ROUND(SUM(BW298:CA298),0))</f>
        <v>#DIV/0!</v>
      </c>
      <c r="BW298" s="106" t="e">
        <f t="shared" ca="1" si="286"/>
        <v>#DIV/0!</v>
      </c>
      <c r="BX298" s="106" t="e">
        <f t="shared" ca="1" si="232"/>
        <v>#DIV/0!</v>
      </c>
      <c r="BY298" s="106" t="e">
        <f t="shared" ca="1" si="233"/>
        <v>#DIV/0!</v>
      </c>
      <c r="BZ298" s="106" t="e">
        <f t="shared" ca="1" si="234"/>
        <v>#DIV/0!</v>
      </c>
      <c r="CA298" s="106" t="e">
        <f t="shared" ca="1" si="287"/>
        <v>#DIV/0!</v>
      </c>
    </row>
    <row r="299" spans="1:148" x14ac:dyDescent="0.35">
      <c r="A299" s="28" t="s">
        <v>312</v>
      </c>
      <c r="B299" s="29" t="s">
        <v>340</v>
      </c>
      <c r="C299" s="29" t="s">
        <v>342</v>
      </c>
      <c r="D299" s="29" t="s">
        <v>346</v>
      </c>
      <c r="E299" s="91">
        <v>45990</v>
      </c>
      <c r="F299" s="17">
        <v>45892</v>
      </c>
      <c r="G299" s="30">
        <f t="shared" ca="1" si="235"/>
        <v>207</v>
      </c>
      <c r="H299" s="29">
        <v>199</v>
      </c>
      <c r="I299" s="29">
        <v>135</v>
      </c>
      <c r="J299" s="75">
        <f t="shared" si="236"/>
        <v>2000</v>
      </c>
      <c r="K299" s="29">
        <v>2000</v>
      </c>
      <c r="L299" s="89">
        <v>0</v>
      </c>
      <c r="M299" s="86">
        <f t="shared" ca="1" si="237"/>
        <v>0</v>
      </c>
      <c r="N299" s="86">
        <f t="shared" si="238"/>
        <v>0.80451009251471861</v>
      </c>
      <c r="O299" s="86">
        <f t="shared" si="239"/>
        <v>0</v>
      </c>
      <c r="P299" s="87">
        <f t="shared" si="240"/>
        <v>0</v>
      </c>
      <c r="Q299" s="104" t="e">
        <f t="shared" si="241"/>
        <v>#DIV/0!</v>
      </c>
      <c r="R299" s="88">
        <f t="shared" si="242"/>
        <v>32.1608040201005</v>
      </c>
      <c r="S299" s="88">
        <f t="shared" si="243"/>
        <v>0</v>
      </c>
      <c r="T299" s="13">
        <f t="shared" si="244"/>
        <v>1</v>
      </c>
      <c r="U299" s="13" t="e">
        <f t="shared" si="245"/>
        <v>#DIV/0!</v>
      </c>
      <c r="V299" s="13">
        <f t="shared" si="246"/>
        <v>1</v>
      </c>
      <c r="W299" s="13">
        <f t="shared" ca="1" si="247"/>
        <v>3</v>
      </c>
      <c r="X299" s="13" t="e">
        <f t="shared" ca="1" si="248"/>
        <v>#DIV/0!</v>
      </c>
      <c r="Y299" s="81" t="str">
        <f t="shared" ca="1" si="249"/>
        <v>EXIT</v>
      </c>
      <c r="Z299" s="13">
        <v>14</v>
      </c>
      <c r="AA299" s="75">
        <v>46059</v>
      </c>
      <c r="AB299" s="75">
        <f t="shared" si="250"/>
        <v>45920</v>
      </c>
      <c r="AC299" s="88">
        <f t="shared" si="251"/>
        <v>19.857142857142858</v>
      </c>
      <c r="AD299" s="89" t="str">
        <f t="shared" ca="1" si="252"/>
        <v>STABLE</v>
      </c>
      <c r="AE299" s="89" t="str">
        <f t="shared" si="253"/>
        <v>SLOW SELLING</v>
      </c>
      <c r="AF299" s="89" t="e">
        <f t="shared" si="254"/>
        <v>#DIV/0!</v>
      </c>
      <c r="AG299" s="89" t="str">
        <f t="shared" si="255"/>
        <v>FEASIBLE</v>
      </c>
      <c r="AH299" s="81" t="str">
        <f t="shared" ca="1" si="256"/>
        <v>MONITOR</v>
      </c>
      <c r="AI299" s="75">
        <f t="shared" ca="1" si="257"/>
        <v>0</v>
      </c>
      <c r="AJ299" s="75">
        <f t="shared" ca="1" si="258"/>
        <v>-2000</v>
      </c>
      <c r="AK299" s="13">
        <f t="shared" ca="1" si="259"/>
        <v>-2400</v>
      </c>
      <c r="AL299" s="79">
        <v>0.1</v>
      </c>
      <c r="AM299" s="79">
        <v>0.3</v>
      </c>
      <c r="AN299" s="79">
        <v>0.3</v>
      </c>
      <c r="AO299" s="79">
        <v>0.1</v>
      </c>
      <c r="AP299" s="79">
        <v>0.1</v>
      </c>
      <c r="AQ299" s="75">
        <f t="shared" si="260"/>
        <v>200</v>
      </c>
      <c r="AR299" s="75">
        <f t="shared" si="261"/>
        <v>600</v>
      </c>
      <c r="AS299" s="75">
        <f t="shared" si="262"/>
        <v>600</v>
      </c>
      <c r="AT299" s="75">
        <f t="shared" si="263"/>
        <v>200</v>
      </c>
      <c r="AU299" s="75">
        <f t="shared" si="264"/>
        <v>200</v>
      </c>
      <c r="AV299" s="13">
        <v>0.8</v>
      </c>
      <c r="AW299" s="13">
        <v>1.2</v>
      </c>
      <c r="AX299" s="13">
        <v>1.3</v>
      </c>
      <c r="AY299" s="13">
        <v>1</v>
      </c>
      <c r="AZ299" s="13">
        <v>0.7</v>
      </c>
      <c r="BA299" s="105">
        <f t="shared" si="265"/>
        <v>0</v>
      </c>
      <c r="BB299" s="13">
        <f t="shared" si="266"/>
        <v>0</v>
      </c>
      <c r="BC299" s="13">
        <f t="shared" si="267"/>
        <v>0</v>
      </c>
      <c r="BD299" s="13">
        <f t="shared" si="268"/>
        <v>0</v>
      </c>
      <c r="BE299" s="13">
        <f t="shared" si="269"/>
        <v>0</v>
      </c>
      <c r="BF299" s="88" t="e">
        <f t="shared" si="270"/>
        <v>#DIV/0!</v>
      </c>
      <c r="BG299" s="88" t="e">
        <f t="shared" si="271"/>
        <v>#DIV/0!</v>
      </c>
      <c r="BH299" s="88" t="e">
        <f t="shared" si="272"/>
        <v>#DIV/0!</v>
      </c>
      <c r="BI299" s="88" t="e">
        <f t="shared" si="273"/>
        <v>#DIV/0!</v>
      </c>
      <c r="BJ299" s="88" t="e">
        <f t="shared" si="274"/>
        <v>#DIV/0!</v>
      </c>
      <c r="BK299" s="105" t="e">
        <f t="shared" si="275"/>
        <v>#DIV/0!</v>
      </c>
      <c r="BL299" s="105" t="e">
        <f t="shared" si="276"/>
        <v>#DIV/0!</v>
      </c>
      <c r="BM299" s="105" t="e">
        <f t="shared" si="277"/>
        <v>#DIV/0!</v>
      </c>
      <c r="BN299" s="105" t="e">
        <f t="shared" si="278"/>
        <v>#DIV/0!</v>
      </c>
      <c r="BO299" s="105" t="e">
        <f t="shared" si="279"/>
        <v>#DIV/0!</v>
      </c>
      <c r="BP299" s="105" t="e">
        <f t="shared" si="280"/>
        <v>#DIV/0!</v>
      </c>
      <c r="BQ299" s="79" t="e">
        <f t="shared" si="281"/>
        <v>#DIV/0!</v>
      </c>
      <c r="BR299" s="79" t="e">
        <f t="shared" si="282"/>
        <v>#DIV/0!</v>
      </c>
      <c r="BS299" s="79" t="e">
        <f t="shared" si="283"/>
        <v>#DIV/0!</v>
      </c>
      <c r="BT299" s="79" t="e">
        <f t="shared" si="284"/>
        <v>#DIV/0!</v>
      </c>
      <c r="BU299" s="79" t="e">
        <f t="shared" si="285"/>
        <v>#DIV/0!</v>
      </c>
      <c r="BV299" s="90" t="e">
        <f t="array" aca="1" ref="BV299" ca="1">_xlfn.TEXTJOIN(" ",TRUE,
_xlfn.TEXTJOIN(":",TRUE,ROUND(BK299:BO299/MIN(IF(BK299:BO299&gt;0,BK299:BO299)),0)),
"|",
ROUND(SUM(BW299:CA299),0))</f>
        <v>#DIV/0!</v>
      </c>
      <c r="BW299" s="106" t="e">
        <f t="shared" ca="1" si="286"/>
        <v>#DIV/0!</v>
      </c>
      <c r="BX299" s="106" t="e">
        <f t="shared" ca="1" si="232"/>
        <v>#DIV/0!</v>
      </c>
      <c r="BY299" s="106" t="e">
        <f t="shared" ca="1" si="233"/>
        <v>#DIV/0!</v>
      </c>
      <c r="BZ299" s="106" t="e">
        <f t="shared" ca="1" si="234"/>
        <v>#DIV/0!</v>
      </c>
      <c r="CA299" s="106" t="e">
        <f t="shared" ca="1" si="287"/>
        <v>#DIV/0!</v>
      </c>
    </row>
    <row r="300" spans="1:148" s="13" customFormat="1" x14ac:dyDescent="0.35">
      <c r="A300" s="25" t="s">
        <v>313</v>
      </c>
      <c r="B300" s="10" t="s">
        <v>340</v>
      </c>
      <c r="C300" s="10" t="s">
        <v>342</v>
      </c>
      <c r="D300" s="10" t="s">
        <v>346</v>
      </c>
      <c r="E300" s="11">
        <v>45990</v>
      </c>
      <c r="F300" s="17">
        <v>45892</v>
      </c>
      <c r="G300" s="14">
        <f t="shared" ca="1" si="235"/>
        <v>207</v>
      </c>
      <c r="H300" s="10">
        <v>199</v>
      </c>
      <c r="I300" s="10">
        <v>135</v>
      </c>
      <c r="J300" s="75">
        <f t="shared" si="236"/>
        <v>2000</v>
      </c>
      <c r="K300" s="10">
        <v>2000</v>
      </c>
      <c r="L300" s="89">
        <v>0</v>
      </c>
      <c r="M300" s="86">
        <f t="shared" ca="1" si="237"/>
        <v>0</v>
      </c>
      <c r="N300" s="86">
        <f t="shared" si="238"/>
        <v>0.80451009251471861</v>
      </c>
      <c r="O300" s="86">
        <f t="shared" si="239"/>
        <v>0</v>
      </c>
      <c r="P300" s="87">
        <f t="shared" si="240"/>
        <v>0</v>
      </c>
      <c r="Q300" s="104" t="e">
        <f t="shared" si="241"/>
        <v>#DIV/0!</v>
      </c>
      <c r="R300" s="88">
        <f t="shared" si="242"/>
        <v>32.1608040201005</v>
      </c>
      <c r="S300" s="88">
        <f>L300/K300*100</f>
        <v>0</v>
      </c>
      <c r="T300" s="13">
        <f t="shared" si="244"/>
        <v>1</v>
      </c>
      <c r="U300" s="13" t="e">
        <f t="shared" si="245"/>
        <v>#DIV/0!</v>
      </c>
      <c r="V300" s="13">
        <f t="shared" si="246"/>
        <v>1</v>
      </c>
      <c r="W300" s="13">
        <f t="shared" ca="1" si="247"/>
        <v>3</v>
      </c>
      <c r="X300" s="13" t="e">
        <f t="shared" ca="1" si="248"/>
        <v>#DIV/0!</v>
      </c>
      <c r="Y300" s="81" t="str">
        <f t="shared" ca="1" si="249"/>
        <v>EXIT</v>
      </c>
      <c r="Z300" s="13">
        <v>14</v>
      </c>
      <c r="AA300" s="75">
        <v>46059</v>
      </c>
      <c r="AB300" s="75">
        <f t="shared" si="250"/>
        <v>45920</v>
      </c>
      <c r="AC300" s="88">
        <f t="shared" si="251"/>
        <v>19.857142857142858</v>
      </c>
      <c r="AD300" s="89" t="str">
        <f t="shared" ca="1" si="252"/>
        <v>STABLE</v>
      </c>
      <c r="AE300" s="89" t="str">
        <f t="shared" si="253"/>
        <v>SLOW SELLING</v>
      </c>
      <c r="AF300" s="89" t="e">
        <f t="shared" si="254"/>
        <v>#DIV/0!</v>
      </c>
      <c r="AG300" s="89" t="str">
        <f t="shared" si="255"/>
        <v>FEASIBLE</v>
      </c>
      <c r="AH300" s="81" t="str">
        <f t="shared" ca="1" si="256"/>
        <v>MONITOR</v>
      </c>
      <c r="AI300" s="75">
        <f t="shared" ca="1" si="257"/>
        <v>0</v>
      </c>
      <c r="AJ300" s="75">
        <f t="shared" ca="1" si="258"/>
        <v>-2000</v>
      </c>
      <c r="AK300" s="13">
        <f t="shared" ca="1" si="259"/>
        <v>-2400</v>
      </c>
      <c r="AL300" s="79">
        <v>0.1</v>
      </c>
      <c r="AM300" s="79">
        <v>0.3</v>
      </c>
      <c r="AN300" s="79">
        <v>0.3</v>
      </c>
      <c r="AO300" s="79">
        <v>0.1</v>
      </c>
      <c r="AP300" s="79">
        <v>0.1</v>
      </c>
      <c r="AQ300" s="75">
        <f t="shared" si="260"/>
        <v>200</v>
      </c>
      <c r="AR300" s="75">
        <f t="shared" si="261"/>
        <v>600</v>
      </c>
      <c r="AS300" s="75">
        <f t="shared" si="262"/>
        <v>600</v>
      </c>
      <c r="AT300" s="75">
        <f t="shared" si="263"/>
        <v>200</v>
      </c>
      <c r="AU300" s="75">
        <f t="shared" si="264"/>
        <v>200</v>
      </c>
      <c r="AV300" s="13">
        <v>0.8</v>
      </c>
      <c r="AW300" s="13">
        <v>1.2</v>
      </c>
      <c r="AX300" s="13">
        <v>1.3</v>
      </c>
      <c r="AY300" s="13">
        <v>1</v>
      </c>
      <c r="AZ300" s="13">
        <v>0.7</v>
      </c>
      <c r="BA300" s="105">
        <f t="shared" si="265"/>
        <v>0</v>
      </c>
      <c r="BB300" s="13">
        <f t="shared" si="266"/>
        <v>0</v>
      </c>
      <c r="BC300" s="13">
        <f t="shared" si="267"/>
        <v>0</v>
      </c>
      <c r="BD300" s="13">
        <f t="shared" si="268"/>
        <v>0</v>
      </c>
      <c r="BE300" s="13">
        <f t="shared" si="269"/>
        <v>0</v>
      </c>
      <c r="BF300" s="88" t="e">
        <f t="shared" si="270"/>
        <v>#DIV/0!</v>
      </c>
      <c r="BG300" s="88" t="e">
        <f t="shared" si="271"/>
        <v>#DIV/0!</v>
      </c>
      <c r="BH300" s="88" t="e">
        <f t="shared" si="272"/>
        <v>#DIV/0!</v>
      </c>
      <c r="BI300" s="88" t="e">
        <f t="shared" si="273"/>
        <v>#DIV/0!</v>
      </c>
      <c r="BJ300" s="88" t="e">
        <f t="shared" si="274"/>
        <v>#DIV/0!</v>
      </c>
      <c r="BK300" s="105" t="e">
        <f t="shared" si="275"/>
        <v>#DIV/0!</v>
      </c>
      <c r="BL300" s="105" t="e">
        <f t="shared" si="276"/>
        <v>#DIV/0!</v>
      </c>
      <c r="BM300" s="105" t="e">
        <f t="shared" si="277"/>
        <v>#DIV/0!</v>
      </c>
      <c r="BN300" s="105" t="e">
        <f t="shared" si="278"/>
        <v>#DIV/0!</v>
      </c>
      <c r="BO300" s="105" t="e">
        <f t="shared" si="279"/>
        <v>#DIV/0!</v>
      </c>
      <c r="BP300" s="105" t="e">
        <f t="shared" si="280"/>
        <v>#DIV/0!</v>
      </c>
      <c r="BQ300" s="79" t="e">
        <f t="shared" si="281"/>
        <v>#DIV/0!</v>
      </c>
      <c r="BR300" s="79" t="e">
        <f t="shared" si="282"/>
        <v>#DIV/0!</v>
      </c>
      <c r="BS300" s="79" t="e">
        <f t="shared" si="283"/>
        <v>#DIV/0!</v>
      </c>
      <c r="BT300" s="79" t="e">
        <f t="shared" si="284"/>
        <v>#DIV/0!</v>
      </c>
      <c r="BU300" s="79" t="e">
        <f t="shared" si="285"/>
        <v>#DIV/0!</v>
      </c>
      <c r="BV300" s="90" t="e">
        <f t="array" aca="1" ref="BV300" ca="1">_xlfn.TEXTJOIN(" ",TRUE,
_xlfn.TEXTJOIN(":",TRUE,ROUND(BK300:BO300/MIN(IF(BK300:BO300&gt;0,BK300:BO300)),0)),
"|",
ROUND(SUM(BW300:CA300),0))</f>
        <v>#DIV/0!</v>
      </c>
      <c r="BW300" s="106" t="e">
        <f t="shared" ca="1" si="286"/>
        <v>#DIV/0!</v>
      </c>
      <c r="BX300" s="106" t="e">
        <f t="shared" ca="1" si="232"/>
        <v>#DIV/0!</v>
      </c>
      <c r="BY300" s="106" t="e">
        <f t="shared" ca="1" si="233"/>
        <v>#DIV/0!</v>
      </c>
      <c r="BZ300" s="106" t="e">
        <f t="shared" ca="1" si="234"/>
        <v>#DIV/0!</v>
      </c>
      <c r="CA300" s="106" t="e">
        <f t="shared" ca="1" si="287"/>
        <v>#DIV/0!</v>
      </c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</row>
    <row r="301" spans="1:148" x14ac:dyDescent="0.35">
      <c r="A301" s="31"/>
      <c r="B301" s="107"/>
      <c r="C301" s="31"/>
      <c r="D301" s="32"/>
      <c r="E301" s="33"/>
      <c r="F301" s="33"/>
      <c r="G301" s="34"/>
      <c r="H301" s="35"/>
      <c r="I301" s="35"/>
      <c r="J301" s="12"/>
      <c r="K301" s="35"/>
      <c r="L301" s="92"/>
      <c r="Y301" s="108"/>
      <c r="Z301" s="76"/>
      <c r="AA301" s="76"/>
      <c r="AB301" s="76"/>
      <c r="AC301" s="76"/>
      <c r="AD301" s="76"/>
      <c r="AE301" s="76"/>
      <c r="AF301" s="76"/>
      <c r="AG301" s="76"/>
      <c r="AH301" s="108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</row>
    <row r="302" spans="1:148" x14ac:dyDescent="0.35">
      <c r="A302" s="31"/>
      <c r="B302" s="107"/>
      <c r="C302" s="31"/>
      <c r="D302" s="32"/>
      <c r="E302" s="33"/>
      <c r="F302" s="33"/>
      <c r="G302" s="34"/>
      <c r="H302" s="35"/>
      <c r="I302" s="35"/>
      <c r="J302" s="12"/>
      <c r="K302" s="35"/>
      <c r="L302" s="92"/>
      <c r="Y302" s="108"/>
      <c r="Z302" s="76"/>
      <c r="AA302" s="76"/>
      <c r="AB302" s="76"/>
      <c r="AC302" s="76"/>
      <c r="AD302" s="76"/>
      <c r="AE302" s="76"/>
      <c r="AF302" s="76"/>
      <c r="AG302" s="76"/>
      <c r="AH302" s="108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</row>
    <row r="303" spans="1:148" x14ac:dyDescent="0.35">
      <c r="A303" s="31"/>
      <c r="B303" s="107"/>
      <c r="C303" s="31"/>
      <c r="D303" s="32"/>
      <c r="E303" s="33"/>
      <c r="F303" s="33"/>
      <c r="G303" s="34"/>
      <c r="H303" s="35"/>
      <c r="I303" s="35"/>
      <c r="J303" s="12"/>
      <c r="K303" s="35"/>
      <c r="L303" s="92"/>
      <c r="Y303" s="108"/>
      <c r="Z303" s="76"/>
      <c r="AA303" s="76"/>
      <c r="AB303" s="76"/>
      <c r="AC303" s="76"/>
      <c r="AD303" s="76"/>
      <c r="AE303" s="76"/>
      <c r="AF303" s="76"/>
      <c r="AG303" s="76"/>
      <c r="AH303" s="108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</row>
    <row r="304" spans="1:148" x14ac:dyDescent="0.35">
      <c r="A304" s="31"/>
      <c r="B304" s="107"/>
      <c r="C304" s="31"/>
      <c r="D304" s="32"/>
      <c r="E304" s="33"/>
      <c r="F304" s="33"/>
      <c r="G304" s="34"/>
      <c r="H304" s="35"/>
      <c r="I304" s="35"/>
      <c r="J304" s="12"/>
      <c r="K304" s="35"/>
      <c r="L304" s="92"/>
      <c r="Y304" s="108"/>
      <c r="Z304" s="76"/>
      <c r="AA304" s="76"/>
      <c r="AB304" s="76"/>
      <c r="AC304" s="76"/>
      <c r="AD304" s="76"/>
      <c r="AE304" s="76"/>
      <c r="AF304" s="76"/>
      <c r="AG304" s="76"/>
      <c r="AH304" s="108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</row>
    <row r="305" spans="1:44" x14ac:dyDescent="0.35">
      <c r="A305" s="31"/>
      <c r="B305" s="107"/>
      <c r="C305" s="31"/>
      <c r="D305" s="32"/>
      <c r="E305" s="33"/>
      <c r="F305" s="33"/>
      <c r="G305" s="34"/>
      <c r="H305" s="35"/>
      <c r="I305" s="35"/>
      <c r="J305" s="12"/>
      <c r="K305" s="35"/>
      <c r="L305" s="92"/>
      <c r="Y305" s="108"/>
      <c r="Z305" s="76"/>
      <c r="AA305" s="76"/>
      <c r="AB305" s="76"/>
      <c r="AC305" s="76"/>
      <c r="AD305" s="76"/>
      <c r="AE305" s="76"/>
      <c r="AF305" s="76"/>
      <c r="AG305" s="76"/>
      <c r="AH305" s="108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</row>
    <row r="306" spans="1:44" x14ac:dyDescent="0.35">
      <c r="A306" s="31"/>
      <c r="B306" s="107"/>
      <c r="C306" s="31"/>
      <c r="D306" s="32"/>
      <c r="E306" s="33"/>
      <c r="F306" s="33"/>
      <c r="G306" s="34"/>
      <c r="H306" s="35"/>
      <c r="I306" s="35"/>
      <c r="J306" s="12"/>
      <c r="K306" s="35"/>
      <c r="L306" s="92"/>
      <c r="Y306" s="108"/>
      <c r="Z306" s="76"/>
      <c r="AA306" s="76"/>
      <c r="AB306" s="76"/>
      <c r="AC306" s="76"/>
      <c r="AD306" s="76"/>
      <c r="AE306" s="76"/>
      <c r="AF306" s="76"/>
      <c r="AG306" s="76"/>
      <c r="AH306" s="108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</row>
    <row r="307" spans="1:44" x14ac:dyDescent="0.35">
      <c r="A307" s="31"/>
      <c r="B307" s="107"/>
      <c r="C307" s="31"/>
      <c r="D307" s="32"/>
      <c r="E307" s="33"/>
      <c r="F307" s="33"/>
      <c r="G307" s="34"/>
      <c r="H307" s="35"/>
      <c r="I307" s="35"/>
      <c r="J307" s="12"/>
      <c r="K307" s="35"/>
      <c r="L307" s="92"/>
      <c r="Y307" s="108"/>
      <c r="Z307" s="76"/>
      <c r="AA307" s="76"/>
      <c r="AB307" s="76"/>
      <c r="AC307" s="76"/>
      <c r="AD307" s="76"/>
      <c r="AE307" s="76"/>
      <c r="AF307" s="76"/>
      <c r="AG307" s="76"/>
      <c r="AH307" s="108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</row>
    <row r="308" spans="1:44" x14ac:dyDescent="0.35">
      <c r="A308" s="31"/>
      <c r="B308" s="107"/>
      <c r="C308" s="31"/>
      <c r="D308" s="32"/>
      <c r="E308" s="33"/>
      <c r="F308" s="33"/>
      <c r="G308" s="34"/>
      <c r="H308" s="35"/>
      <c r="I308" s="35"/>
      <c r="J308" s="12"/>
      <c r="K308" s="35"/>
      <c r="L308" s="92"/>
      <c r="Y308" s="108"/>
      <c r="Z308" s="76"/>
      <c r="AA308" s="76"/>
      <c r="AB308" s="76"/>
      <c r="AC308" s="76"/>
      <c r="AD308" s="76"/>
      <c r="AE308" s="76"/>
      <c r="AF308" s="76"/>
      <c r="AG308" s="76"/>
      <c r="AH308" s="108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</row>
    <row r="309" spans="1:44" x14ac:dyDescent="0.35">
      <c r="A309" s="31"/>
      <c r="B309" s="107"/>
      <c r="C309" s="31"/>
      <c r="D309" s="32"/>
      <c r="E309" s="33"/>
      <c r="F309" s="33"/>
      <c r="G309" s="34"/>
      <c r="H309" s="35"/>
      <c r="I309" s="35"/>
      <c r="J309" s="12"/>
      <c r="K309" s="35"/>
      <c r="L309" s="92"/>
      <c r="Y309" s="108"/>
      <c r="Z309" s="76"/>
      <c r="AA309" s="76"/>
      <c r="AB309" s="76"/>
      <c r="AC309" s="76"/>
      <c r="AD309" s="76"/>
      <c r="AE309" s="76"/>
      <c r="AF309" s="76"/>
      <c r="AG309" s="76"/>
      <c r="AH309" s="108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</row>
    <row r="310" spans="1:44" x14ac:dyDescent="0.35">
      <c r="A310" s="31"/>
      <c r="B310" s="107"/>
      <c r="C310" s="31"/>
      <c r="D310" s="32"/>
      <c r="E310" s="33"/>
      <c r="F310" s="33"/>
      <c r="G310" s="34"/>
      <c r="H310" s="35"/>
      <c r="I310" s="35"/>
      <c r="J310" s="12"/>
      <c r="K310" s="35"/>
      <c r="L310" s="92"/>
      <c r="Y310" s="108"/>
      <c r="Z310" s="76"/>
      <c r="AA310" s="76"/>
      <c r="AB310" s="76"/>
      <c r="AC310" s="76"/>
      <c r="AD310" s="76"/>
      <c r="AE310" s="76"/>
      <c r="AF310" s="76"/>
      <c r="AG310" s="76"/>
      <c r="AH310" s="108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</row>
    <row r="311" spans="1:44" x14ac:dyDescent="0.35">
      <c r="A311" s="31"/>
      <c r="B311" s="107"/>
      <c r="C311" s="31"/>
      <c r="D311" s="32"/>
      <c r="E311" s="33"/>
      <c r="F311" s="33"/>
      <c r="G311" s="34"/>
      <c r="H311" s="35"/>
      <c r="I311" s="35"/>
      <c r="J311" s="12"/>
      <c r="K311" s="39"/>
      <c r="L311" s="92"/>
      <c r="Y311" s="108"/>
      <c r="Z311" s="76"/>
      <c r="AA311" s="76"/>
      <c r="AB311" s="76"/>
      <c r="AC311" s="76"/>
      <c r="AD311" s="76"/>
      <c r="AE311" s="76"/>
      <c r="AF311" s="76"/>
      <c r="AG311" s="76"/>
      <c r="AH311" s="108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</row>
    <row r="312" spans="1:44" x14ac:dyDescent="0.35">
      <c r="A312" s="31"/>
      <c r="B312" s="107"/>
      <c r="C312" s="31"/>
      <c r="D312" s="32"/>
      <c r="E312" s="33"/>
      <c r="F312" s="33"/>
      <c r="G312" s="34"/>
      <c r="H312" s="35"/>
      <c r="I312" s="35"/>
      <c r="J312" s="12"/>
      <c r="K312" s="39"/>
      <c r="L312" s="92"/>
      <c r="Y312" s="108"/>
      <c r="Z312" s="76"/>
      <c r="AA312" s="76"/>
      <c r="AB312" s="76"/>
      <c r="AC312" s="76"/>
      <c r="AD312" s="76"/>
      <c r="AE312" s="76"/>
      <c r="AF312" s="76"/>
      <c r="AG312" s="76"/>
      <c r="AH312" s="108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</row>
    <row r="313" spans="1:44" x14ac:dyDescent="0.35">
      <c r="A313" s="31"/>
      <c r="B313" s="107"/>
      <c r="C313" s="31"/>
      <c r="D313" s="32"/>
      <c r="E313" s="33"/>
      <c r="F313" s="33"/>
      <c r="G313" s="34"/>
      <c r="H313" s="35"/>
      <c r="I313" s="35"/>
      <c r="J313" s="12"/>
      <c r="K313" s="35"/>
      <c r="L313" s="92"/>
      <c r="Y313" s="108"/>
      <c r="Z313" s="76"/>
      <c r="AA313" s="76"/>
      <c r="AB313" s="76"/>
      <c r="AC313" s="76"/>
      <c r="AD313" s="76"/>
      <c r="AE313" s="76"/>
      <c r="AF313" s="76"/>
      <c r="AG313" s="76"/>
      <c r="AH313" s="108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</row>
    <row r="314" spans="1:44" x14ac:dyDescent="0.35">
      <c r="A314" s="31"/>
      <c r="B314" s="107"/>
      <c r="C314" s="31"/>
      <c r="D314" s="32"/>
      <c r="E314" s="33"/>
      <c r="F314" s="33"/>
      <c r="G314" s="34"/>
      <c r="H314" s="35"/>
      <c r="I314" s="35"/>
      <c r="J314" s="12"/>
      <c r="K314" s="39"/>
      <c r="L314" s="92"/>
      <c r="Y314" s="108"/>
      <c r="Z314" s="76"/>
      <c r="AA314" s="76"/>
      <c r="AB314" s="76"/>
      <c r="AC314" s="76"/>
      <c r="AD314" s="76"/>
      <c r="AE314" s="76"/>
      <c r="AF314" s="76"/>
      <c r="AG314" s="76"/>
      <c r="AH314" s="108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</row>
    <row r="315" spans="1:44" x14ac:dyDescent="0.35">
      <c r="A315" s="31"/>
      <c r="B315" s="107"/>
      <c r="C315" s="31"/>
      <c r="D315" s="32"/>
      <c r="E315" s="33"/>
      <c r="F315" s="33"/>
      <c r="G315" s="34"/>
      <c r="H315" s="35"/>
      <c r="I315" s="35"/>
      <c r="J315" s="12"/>
      <c r="K315" s="35"/>
      <c r="L315" s="92"/>
      <c r="Y315" s="108"/>
      <c r="Z315" s="76"/>
      <c r="AA315" s="76"/>
      <c r="AB315" s="76"/>
      <c r="AC315" s="76"/>
      <c r="AD315" s="76"/>
      <c r="AE315" s="76"/>
      <c r="AF315" s="76"/>
      <c r="AG315" s="76"/>
      <c r="AH315" s="108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</row>
    <row r="316" spans="1:44" x14ac:dyDescent="0.35">
      <c r="A316" s="31"/>
      <c r="B316" s="107"/>
      <c r="C316" s="31"/>
      <c r="D316" s="32"/>
      <c r="E316" s="33"/>
      <c r="F316" s="33"/>
      <c r="G316" s="34"/>
      <c r="H316" s="35"/>
      <c r="I316" s="35"/>
      <c r="J316" s="12"/>
      <c r="K316" s="35"/>
      <c r="L316" s="92"/>
      <c r="Y316" s="108"/>
      <c r="Z316" s="76"/>
      <c r="AA316" s="76"/>
      <c r="AB316" s="76"/>
      <c r="AC316" s="76"/>
      <c r="AD316" s="76"/>
      <c r="AE316" s="76"/>
      <c r="AF316" s="76"/>
      <c r="AG316" s="76"/>
      <c r="AH316" s="108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</row>
    <row r="317" spans="1:44" x14ac:dyDescent="0.35">
      <c r="A317" s="31"/>
      <c r="B317" s="107"/>
      <c r="C317" s="31"/>
      <c r="D317" s="32"/>
      <c r="E317" s="33"/>
      <c r="F317" s="33"/>
      <c r="G317" s="34"/>
      <c r="H317" s="35"/>
      <c r="I317" s="35"/>
      <c r="J317" s="12"/>
      <c r="K317" s="35"/>
      <c r="L317" s="92"/>
      <c r="Y317" s="108"/>
      <c r="Z317" s="76"/>
      <c r="AA317" s="76"/>
      <c r="AB317" s="76"/>
      <c r="AC317" s="76"/>
      <c r="AD317" s="76"/>
      <c r="AE317" s="76"/>
      <c r="AF317" s="76"/>
      <c r="AG317" s="76"/>
      <c r="AH317" s="108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</row>
    <row r="318" spans="1:44" x14ac:dyDescent="0.35">
      <c r="A318" s="31"/>
      <c r="B318" s="107"/>
      <c r="C318" s="31"/>
      <c r="D318" s="32"/>
      <c r="E318" s="33"/>
      <c r="F318" s="33"/>
      <c r="G318" s="34"/>
      <c r="H318" s="35"/>
      <c r="I318" s="35"/>
      <c r="J318" s="12"/>
      <c r="K318" s="35"/>
      <c r="L318" s="92"/>
      <c r="Y318" s="108"/>
      <c r="Z318" s="76"/>
      <c r="AA318" s="76"/>
      <c r="AB318" s="76"/>
      <c r="AC318" s="76"/>
      <c r="AD318" s="76"/>
      <c r="AE318" s="76"/>
      <c r="AF318" s="76"/>
      <c r="AG318" s="76"/>
      <c r="AH318" s="108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</row>
    <row r="319" spans="1:44" x14ac:dyDescent="0.35">
      <c r="A319" s="31"/>
      <c r="B319" s="107"/>
      <c r="C319" s="31"/>
      <c r="D319" s="32"/>
      <c r="E319" s="33"/>
      <c r="F319" s="33"/>
      <c r="G319" s="34"/>
      <c r="H319" s="35"/>
      <c r="I319" s="35"/>
      <c r="J319" s="12"/>
      <c r="K319" s="35"/>
      <c r="L319" s="92"/>
      <c r="Y319" s="108"/>
      <c r="Z319" s="76"/>
      <c r="AA319" s="76"/>
      <c r="AB319" s="76"/>
      <c r="AC319" s="76"/>
      <c r="AD319" s="76"/>
      <c r="AE319" s="76"/>
      <c r="AF319" s="76"/>
      <c r="AG319" s="76"/>
      <c r="AH319" s="108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</row>
    <row r="320" spans="1:44" x14ac:dyDescent="0.35">
      <c r="A320" s="31"/>
      <c r="B320" s="107"/>
      <c r="C320" s="31"/>
      <c r="D320" s="32"/>
      <c r="E320" s="33"/>
      <c r="F320" s="33"/>
      <c r="G320" s="34"/>
      <c r="H320" s="35"/>
      <c r="I320" s="35"/>
      <c r="J320" s="12"/>
      <c r="K320" s="35"/>
      <c r="L320" s="92"/>
      <c r="Y320" s="108"/>
      <c r="Z320" s="76"/>
      <c r="AA320" s="76"/>
      <c r="AB320" s="76"/>
      <c r="AC320" s="76"/>
      <c r="AD320" s="76"/>
      <c r="AE320" s="76"/>
      <c r="AF320" s="76"/>
      <c r="AG320" s="76"/>
      <c r="AH320" s="108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</row>
    <row r="321" spans="1:44" x14ac:dyDescent="0.35">
      <c r="A321" s="31"/>
      <c r="B321" s="107"/>
      <c r="C321" s="31"/>
      <c r="D321" s="32"/>
      <c r="E321" s="33"/>
      <c r="F321" s="33"/>
      <c r="G321" s="34"/>
      <c r="H321" s="35"/>
      <c r="I321" s="35"/>
      <c r="J321" s="12"/>
      <c r="K321" s="35"/>
      <c r="L321" s="92"/>
      <c r="Y321" s="108"/>
      <c r="Z321" s="76"/>
      <c r="AA321" s="76"/>
      <c r="AB321" s="76"/>
      <c r="AC321" s="76"/>
      <c r="AD321" s="76"/>
      <c r="AE321" s="76"/>
      <c r="AF321" s="76"/>
      <c r="AG321" s="76"/>
      <c r="AH321" s="108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</row>
    <row r="322" spans="1:44" x14ac:dyDescent="0.35">
      <c r="A322" s="31"/>
      <c r="B322" s="107"/>
      <c r="C322" s="31"/>
      <c r="D322" s="32"/>
      <c r="E322" s="33"/>
      <c r="F322" s="33"/>
      <c r="G322" s="34"/>
      <c r="H322" s="35"/>
      <c r="I322" s="35"/>
      <c r="J322" s="12"/>
      <c r="K322" s="35"/>
      <c r="L322" s="92"/>
      <c r="Y322" s="108"/>
      <c r="Z322" s="76"/>
      <c r="AA322" s="76"/>
      <c r="AB322" s="76"/>
      <c r="AC322" s="76"/>
      <c r="AD322" s="76"/>
      <c r="AE322" s="76"/>
      <c r="AF322" s="76"/>
      <c r="AG322" s="76"/>
      <c r="AH322" s="108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</row>
    <row r="323" spans="1:44" x14ac:dyDescent="0.35">
      <c r="A323" s="31"/>
      <c r="B323" s="107"/>
      <c r="C323" s="31"/>
      <c r="D323" s="32"/>
      <c r="E323" s="33"/>
      <c r="F323" s="33"/>
      <c r="G323" s="34"/>
      <c r="H323" s="35"/>
      <c r="I323" s="35"/>
      <c r="J323" s="12"/>
      <c r="K323" s="35"/>
      <c r="L323" s="92"/>
      <c r="Y323" s="108"/>
      <c r="Z323" s="76"/>
      <c r="AA323" s="76"/>
      <c r="AB323" s="76"/>
      <c r="AC323" s="76"/>
      <c r="AD323" s="76"/>
      <c r="AE323" s="76"/>
      <c r="AF323" s="76"/>
      <c r="AG323" s="76"/>
      <c r="AH323" s="108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</row>
    <row r="324" spans="1:44" x14ac:dyDescent="0.35">
      <c r="A324" s="31"/>
      <c r="B324" s="107"/>
      <c r="C324" s="31"/>
      <c r="D324" s="32"/>
      <c r="E324" s="33"/>
      <c r="F324" s="33"/>
      <c r="G324" s="34"/>
      <c r="H324" s="35"/>
      <c r="I324" s="35"/>
      <c r="J324" s="12"/>
      <c r="K324" s="35"/>
      <c r="L324" s="92"/>
      <c r="Y324" s="108"/>
      <c r="Z324" s="76"/>
      <c r="AA324" s="76"/>
      <c r="AB324" s="76"/>
      <c r="AC324" s="76"/>
      <c r="AD324" s="76"/>
      <c r="AE324" s="76"/>
      <c r="AF324" s="76"/>
      <c r="AG324" s="76"/>
      <c r="AH324" s="108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</row>
    <row r="325" spans="1:44" x14ac:dyDescent="0.35">
      <c r="A325" s="31"/>
      <c r="B325" s="107"/>
      <c r="C325" s="31"/>
      <c r="D325" s="32"/>
      <c r="E325" s="33"/>
      <c r="F325" s="33"/>
      <c r="G325" s="34"/>
      <c r="H325" s="35"/>
      <c r="I325" s="35"/>
      <c r="J325" s="12"/>
      <c r="K325" s="35"/>
      <c r="L325" s="92"/>
      <c r="Y325" s="108"/>
      <c r="Z325" s="76"/>
      <c r="AA325" s="76"/>
      <c r="AB325" s="76"/>
      <c r="AC325" s="76"/>
      <c r="AD325" s="76"/>
      <c r="AE325" s="76"/>
      <c r="AF325" s="76"/>
      <c r="AG325" s="76"/>
      <c r="AH325" s="108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</row>
    <row r="326" spans="1:44" x14ac:dyDescent="0.35">
      <c r="A326" s="31"/>
      <c r="B326" s="107"/>
      <c r="C326" s="31"/>
      <c r="D326" s="32"/>
      <c r="E326" s="33"/>
      <c r="F326" s="33"/>
      <c r="G326" s="34"/>
      <c r="H326" s="35"/>
      <c r="I326" s="35"/>
      <c r="J326" s="12"/>
      <c r="K326" s="35"/>
      <c r="L326" s="92"/>
      <c r="Y326" s="108"/>
      <c r="Z326" s="76"/>
      <c r="AA326" s="76"/>
      <c r="AB326" s="76"/>
      <c r="AC326" s="76"/>
      <c r="AD326" s="76"/>
      <c r="AE326" s="76"/>
      <c r="AF326" s="76"/>
      <c r="AG326" s="76"/>
      <c r="AH326" s="108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</row>
    <row r="327" spans="1:44" x14ac:dyDescent="0.35">
      <c r="A327" s="31"/>
      <c r="B327" s="107"/>
      <c r="C327" s="31"/>
      <c r="D327" s="32"/>
      <c r="E327" s="33"/>
      <c r="F327" s="33"/>
      <c r="G327" s="34"/>
      <c r="H327" s="35"/>
      <c r="I327" s="35"/>
      <c r="J327" s="12"/>
      <c r="K327" s="35"/>
      <c r="L327" s="92"/>
      <c r="Y327" s="108"/>
      <c r="Z327" s="76"/>
      <c r="AA327" s="76"/>
      <c r="AB327" s="76"/>
      <c r="AC327" s="76"/>
      <c r="AD327" s="76"/>
      <c r="AE327" s="76"/>
      <c r="AF327" s="76"/>
      <c r="AG327" s="76"/>
      <c r="AH327" s="108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</row>
    <row r="328" spans="1:44" x14ac:dyDescent="0.35">
      <c r="A328" s="31"/>
      <c r="B328" s="107"/>
      <c r="C328" s="31"/>
      <c r="D328" s="32"/>
      <c r="E328" s="33"/>
      <c r="F328" s="33"/>
      <c r="G328" s="34"/>
      <c r="H328" s="35"/>
      <c r="I328" s="35"/>
      <c r="J328" s="12"/>
      <c r="K328" s="35"/>
      <c r="L328" s="92"/>
      <c r="Y328" s="108"/>
      <c r="Z328" s="76"/>
      <c r="AA328" s="76"/>
      <c r="AB328" s="76"/>
      <c r="AC328" s="76"/>
      <c r="AD328" s="76"/>
      <c r="AE328" s="76"/>
      <c r="AF328" s="76"/>
      <c r="AG328" s="76"/>
      <c r="AH328" s="108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</row>
    <row r="329" spans="1:44" x14ac:dyDescent="0.35">
      <c r="A329" s="31"/>
      <c r="B329" s="107"/>
      <c r="C329" s="31"/>
      <c r="D329" s="32"/>
      <c r="E329" s="33"/>
      <c r="F329" s="33"/>
      <c r="G329" s="34"/>
      <c r="H329" s="32"/>
      <c r="I329" s="35"/>
      <c r="J329" s="12"/>
      <c r="K329" s="32"/>
      <c r="L329" s="92"/>
      <c r="Y329" s="108"/>
      <c r="Z329" s="76"/>
      <c r="AA329" s="76"/>
      <c r="AB329" s="76"/>
      <c r="AC329" s="76"/>
      <c r="AD329" s="76"/>
      <c r="AE329" s="76"/>
      <c r="AF329" s="76"/>
      <c r="AG329" s="76"/>
      <c r="AH329" s="108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</row>
    <row r="330" spans="1:44" x14ac:dyDescent="0.35">
      <c r="A330" s="31"/>
      <c r="B330" s="107"/>
      <c r="C330" s="31"/>
      <c r="D330" s="32"/>
      <c r="E330" s="33"/>
      <c r="F330" s="33"/>
      <c r="G330" s="34"/>
      <c r="H330" s="32"/>
      <c r="I330" s="35"/>
      <c r="J330" s="12"/>
      <c r="K330" s="32"/>
      <c r="L330" s="92"/>
      <c r="Y330" s="108"/>
      <c r="Z330" s="76"/>
      <c r="AA330" s="76"/>
      <c r="AB330" s="76"/>
      <c r="AC330" s="76"/>
      <c r="AD330" s="76"/>
      <c r="AE330" s="76"/>
      <c r="AF330" s="76"/>
      <c r="AG330" s="76"/>
      <c r="AH330" s="108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</row>
    <row r="331" spans="1:44" x14ac:dyDescent="0.35">
      <c r="A331" s="31"/>
      <c r="B331" s="107"/>
      <c r="C331" s="31"/>
      <c r="D331" s="32"/>
      <c r="E331" s="33"/>
      <c r="F331" s="33"/>
      <c r="G331" s="34"/>
      <c r="H331" s="32"/>
      <c r="I331" s="35"/>
      <c r="J331" s="12"/>
      <c r="K331" s="32"/>
      <c r="L331" s="92"/>
      <c r="Y331" s="108"/>
      <c r="Z331" s="76"/>
      <c r="AA331" s="76"/>
      <c r="AB331" s="76"/>
      <c r="AC331" s="76"/>
      <c r="AD331" s="76"/>
      <c r="AE331" s="76"/>
      <c r="AF331" s="76"/>
      <c r="AG331" s="76"/>
      <c r="AH331" s="108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</row>
    <row r="332" spans="1:44" x14ac:dyDescent="0.35">
      <c r="A332" s="31"/>
      <c r="B332" s="107"/>
      <c r="C332" s="31"/>
      <c r="D332" s="32"/>
      <c r="E332" s="33"/>
      <c r="F332" s="33"/>
      <c r="G332" s="34"/>
      <c r="H332" s="32"/>
      <c r="I332" s="35"/>
      <c r="J332" s="12"/>
      <c r="K332" s="32"/>
      <c r="L332" s="92"/>
      <c r="Y332" s="108"/>
      <c r="Z332" s="76"/>
      <c r="AA332" s="76"/>
      <c r="AB332" s="76"/>
      <c r="AC332" s="76"/>
      <c r="AD332" s="76"/>
      <c r="AE332" s="76"/>
      <c r="AF332" s="76"/>
      <c r="AG332" s="76"/>
      <c r="AH332" s="108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</row>
    <row r="333" spans="1:44" x14ac:dyDescent="0.35">
      <c r="A333" s="31"/>
      <c r="B333" s="107"/>
      <c r="C333" s="31"/>
      <c r="D333" s="32"/>
      <c r="E333" s="33"/>
      <c r="F333" s="33"/>
      <c r="G333" s="34"/>
      <c r="H333" s="32"/>
      <c r="I333" s="35"/>
      <c r="J333" s="12"/>
      <c r="K333" s="32"/>
      <c r="L333" s="92"/>
      <c r="Y333" s="108"/>
      <c r="Z333" s="76"/>
      <c r="AA333" s="76"/>
      <c r="AB333" s="76"/>
      <c r="AC333" s="76"/>
      <c r="AD333" s="76"/>
      <c r="AE333" s="76"/>
      <c r="AF333" s="76"/>
      <c r="AG333" s="76"/>
      <c r="AH333" s="108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</row>
    <row r="334" spans="1:44" x14ac:dyDescent="0.35">
      <c r="A334" s="31"/>
      <c r="B334" s="107"/>
      <c r="C334" s="31"/>
      <c r="D334" s="32"/>
      <c r="E334" s="33"/>
      <c r="F334" s="33"/>
      <c r="G334" s="34"/>
      <c r="H334" s="32"/>
      <c r="I334" s="35"/>
      <c r="J334" s="12"/>
      <c r="K334" s="32"/>
      <c r="L334" s="92"/>
      <c r="Y334" s="108"/>
      <c r="Z334" s="76"/>
      <c r="AA334" s="76"/>
      <c r="AB334" s="76"/>
      <c r="AC334" s="76"/>
      <c r="AD334" s="76"/>
      <c r="AE334" s="76"/>
      <c r="AF334" s="76"/>
      <c r="AG334" s="76"/>
      <c r="AH334" s="108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</row>
    <row r="335" spans="1:44" x14ac:dyDescent="0.35">
      <c r="A335" s="31"/>
      <c r="B335" s="107"/>
      <c r="C335" s="31"/>
      <c r="D335" s="32"/>
      <c r="E335" s="33"/>
      <c r="F335" s="33"/>
      <c r="G335" s="34"/>
      <c r="H335" s="32"/>
      <c r="I335" s="35"/>
      <c r="J335" s="12"/>
      <c r="K335" s="32"/>
      <c r="L335" s="92"/>
      <c r="Y335" s="108"/>
      <c r="Z335" s="76"/>
      <c r="AA335" s="76"/>
      <c r="AB335" s="76"/>
      <c r="AC335" s="76"/>
      <c r="AD335" s="76"/>
      <c r="AE335" s="76"/>
      <c r="AF335" s="76"/>
      <c r="AG335" s="76"/>
      <c r="AH335" s="108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</row>
    <row r="336" spans="1:44" x14ac:dyDescent="0.35">
      <c r="A336" s="31"/>
      <c r="B336" s="107"/>
      <c r="C336" s="31"/>
      <c r="D336" s="32"/>
      <c r="E336" s="33"/>
      <c r="F336" s="33"/>
      <c r="G336" s="34"/>
      <c r="H336" s="32"/>
      <c r="I336" s="35"/>
      <c r="J336" s="12"/>
      <c r="K336" s="32"/>
      <c r="L336" s="92"/>
      <c r="Y336" s="108"/>
      <c r="Z336" s="76"/>
      <c r="AA336" s="76"/>
      <c r="AB336" s="76"/>
      <c r="AC336" s="76"/>
      <c r="AD336" s="76"/>
      <c r="AE336" s="76"/>
      <c r="AF336" s="76"/>
      <c r="AG336" s="76"/>
      <c r="AH336" s="108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</row>
    <row r="337" spans="1:44" x14ac:dyDescent="0.35">
      <c r="A337" s="31"/>
      <c r="B337" s="107"/>
      <c r="C337" s="31"/>
      <c r="D337" s="32"/>
      <c r="E337" s="33"/>
      <c r="F337" s="33"/>
      <c r="G337" s="34"/>
      <c r="H337" s="32"/>
      <c r="I337" s="35"/>
      <c r="J337" s="12"/>
      <c r="K337" s="32"/>
      <c r="L337" s="92"/>
      <c r="Y337" s="108"/>
      <c r="Z337" s="76"/>
      <c r="AA337" s="76"/>
      <c r="AB337" s="76"/>
      <c r="AC337" s="76"/>
      <c r="AD337" s="76"/>
      <c r="AE337" s="76"/>
      <c r="AF337" s="76"/>
      <c r="AG337" s="76"/>
      <c r="AH337" s="108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</row>
    <row r="338" spans="1:44" x14ac:dyDescent="0.35">
      <c r="A338" s="31"/>
      <c r="B338" s="107"/>
      <c r="C338" s="31"/>
      <c r="D338" s="32"/>
      <c r="E338" s="33"/>
      <c r="F338" s="33"/>
      <c r="G338" s="34"/>
      <c r="H338" s="32"/>
      <c r="I338" s="35"/>
      <c r="J338" s="12"/>
      <c r="K338" s="32"/>
      <c r="L338" s="92"/>
      <c r="Y338" s="108"/>
      <c r="Z338" s="76"/>
      <c r="AA338" s="76"/>
      <c r="AB338" s="76"/>
      <c r="AC338" s="76"/>
      <c r="AD338" s="76"/>
      <c r="AE338" s="76"/>
      <c r="AF338" s="76"/>
      <c r="AG338" s="76"/>
      <c r="AH338" s="108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</row>
    <row r="339" spans="1:44" x14ac:dyDescent="0.35">
      <c r="A339" s="31"/>
      <c r="B339" s="107"/>
      <c r="C339" s="32"/>
      <c r="D339" s="32"/>
      <c r="E339" s="33"/>
      <c r="F339" s="33"/>
      <c r="G339" s="34"/>
      <c r="H339" s="35"/>
      <c r="I339" s="35"/>
      <c r="J339" s="12"/>
      <c r="K339" s="35"/>
      <c r="L339" s="92"/>
      <c r="Y339" s="108"/>
      <c r="Z339" s="76"/>
      <c r="AA339" s="76"/>
      <c r="AB339" s="76"/>
      <c r="AC339" s="76"/>
      <c r="AD339" s="76"/>
      <c r="AE339" s="76"/>
      <c r="AF339" s="76"/>
      <c r="AG339" s="76"/>
      <c r="AH339" s="108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</row>
    <row r="340" spans="1:44" x14ac:dyDescent="0.35">
      <c r="A340" s="31"/>
      <c r="B340" s="107"/>
      <c r="C340" s="32"/>
      <c r="D340" s="32"/>
      <c r="E340" s="33"/>
      <c r="F340" s="33"/>
      <c r="G340" s="34"/>
      <c r="H340" s="39"/>
      <c r="I340" s="35"/>
      <c r="J340" s="12"/>
      <c r="K340" s="39"/>
      <c r="L340" s="92"/>
      <c r="Y340" s="108"/>
      <c r="Z340" s="76"/>
      <c r="AA340" s="76"/>
      <c r="AB340" s="76"/>
      <c r="AC340" s="76"/>
      <c r="AD340" s="76"/>
      <c r="AE340" s="76"/>
      <c r="AF340" s="76"/>
      <c r="AG340" s="76"/>
      <c r="AH340" s="108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</row>
    <row r="341" spans="1:44" x14ac:dyDescent="0.35">
      <c r="A341" s="31"/>
      <c r="B341" s="107"/>
      <c r="C341" s="32"/>
      <c r="D341" s="32"/>
      <c r="E341" s="33"/>
      <c r="F341" s="33"/>
      <c r="G341" s="34"/>
      <c r="H341" s="35"/>
      <c r="I341" s="35"/>
      <c r="J341" s="12"/>
      <c r="K341" s="35"/>
      <c r="L341" s="92"/>
      <c r="Y341" s="108"/>
      <c r="Z341" s="76"/>
      <c r="AA341" s="76"/>
      <c r="AB341" s="76"/>
      <c r="AC341" s="76"/>
      <c r="AD341" s="76"/>
      <c r="AE341" s="76"/>
      <c r="AF341" s="76"/>
      <c r="AG341" s="76"/>
      <c r="AH341" s="108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</row>
    <row r="342" spans="1:44" x14ac:dyDescent="0.35">
      <c r="A342" s="42"/>
      <c r="B342" s="107"/>
      <c r="C342" s="32"/>
      <c r="D342" s="32"/>
      <c r="E342" s="33"/>
      <c r="F342" s="33"/>
      <c r="G342" s="34"/>
      <c r="H342" s="43"/>
      <c r="I342" s="35"/>
      <c r="J342" s="12"/>
      <c r="K342" s="43"/>
      <c r="L342" s="92"/>
      <c r="Y342" s="108"/>
      <c r="Z342" s="76"/>
      <c r="AA342" s="76"/>
      <c r="AB342" s="76"/>
      <c r="AC342" s="76"/>
      <c r="AD342" s="76"/>
      <c r="AE342" s="76"/>
      <c r="AF342" s="76"/>
      <c r="AG342" s="76"/>
      <c r="AH342" s="108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</row>
    <row r="343" spans="1:44" x14ac:dyDescent="0.35">
      <c r="A343" s="31"/>
      <c r="B343" s="107"/>
      <c r="C343" s="32"/>
      <c r="D343" s="32"/>
      <c r="E343" s="33"/>
      <c r="F343" s="33"/>
      <c r="G343" s="34"/>
      <c r="H343" s="35"/>
      <c r="I343" s="35"/>
      <c r="J343" s="12"/>
      <c r="K343" s="35"/>
      <c r="L343" s="92"/>
      <c r="Y343" s="108"/>
      <c r="Z343" s="76"/>
      <c r="AA343" s="76"/>
      <c r="AB343" s="76"/>
      <c r="AC343" s="76"/>
      <c r="AD343" s="76"/>
      <c r="AE343" s="76"/>
      <c r="AF343" s="76"/>
      <c r="AG343" s="76"/>
      <c r="AH343" s="108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</row>
    <row r="344" spans="1:44" x14ac:dyDescent="0.35">
      <c r="A344" s="42"/>
      <c r="B344" s="107"/>
      <c r="C344" s="32"/>
      <c r="D344" s="32"/>
      <c r="E344" s="33"/>
      <c r="F344" s="33"/>
      <c r="G344" s="34"/>
      <c r="H344" s="43"/>
      <c r="I344" s="35"/>
      <c r="J344" s="12"/>
      <c r="K344" s="43"/>
      <c r="L344" s="92"/>
      <c r="Y344" s="108"/>
      <c r="Z344" s="76"/>
      <c r="AA344" s="76"/>
      <c r="AB344" s="76"/>
      <c r="AC344" s="76"/>
      <c r="AD344" s="76"/>
      <c r="AE344" s="76"/>
      <c r="AF344" s="76"/>
      <c r="AG344" s="76"/>
      <c r="AH344" s="108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</row>
    <row r="345" spans="1:44" x14ac:dyDescent="0.35">
      <c r="A345" s="44"/>
      <c r="B345" s="107"/>
      <c r="C345" s="32"/>
      <c r="D345" s="32"/>
      <c r="E345" s="33"/>
      <c r="F345" s="33"/>
      <c r="G345" s="34"/>
      <c r="H345" s="35"/>
      <c r="I345" s="35"/>
      <c r="J345" s="12"/>
      <c r="K345" s="45"/>
      <c r="L345" s="92"/>
      <c r="Y345" s="108"/>
      <c r="Z345" s="76"/>
      <c r="AA345" s="76"/>
      <c r="AB345" s="76"/>
      <c r="AC345" s="76"/>
      <c r="AD345" s="76"/>
      <c r="AE345" s="76"/>
      <c r="AF345" s="76"/>
      <c r="AG345" s="76"/>
      <c r="AH345" s="108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</row>
    <row r="346" spans="1:44" x14ac:dyDescent="0.35">
      <c r="A346" s="44"/>
      <c r="B346" s="107"/>
      <c r="C346" s="32"/>
      <c r="D346" s="32"/>
      <c r="E346" s="33"/>
      <c r="F346" s="33"/>
      <c r="G346" s="34"/>
      <c r="H346" s="35"/>
      <c r="I346" s="35"/>
      <c r="J346" s="12"/>
      <c r="K346" s="45"/>
      <c r="L346" s="92"/>
      <c r="Y346" s="108"/>
      <c r="Z346" s="76"/>
      <c r="AA346" s="76"/>
      <c r="AB346" s="76"/>
      <c r="AC346" s="76"/>
      <c r="AD346" s="76"/>
      <c r="AE346" s="76"/>
      <c r="AF346" s="76"/>
      <c r="AG346" s="76"/>
      <c r="AH346" s="108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</row>
    <row r="347" spans="1:44" x14ac:dyDescent="0.35">
      <c r="A347" s="44"/>
      <c r="B347" s="107"/>
      <c r="C347" s="32"/>
      <c r="D347" s="32"/>
      <c r="E347" s="33"/>
      <c r="F347" s="33"/>
      <c r="G347" s="34"/>
      <c r="H347" s="35"/>
      <c r="I347" s="35"/>
      <c r="J347" s="12"/>
      <c r="K347" s="45"/>
      <c r="L347" s="92"/>
      <c r="Y347" s="108"/>
      <c r="Z347" s="76"/>
      <c r="AA347" s="76"/>
      <c r="AB347" s="76"/>
      <c r="AC347" s="76"/>
      <c r="AD347" s="76"/>
      <c r="AE347" s="76"/>
      <c r="AF347" s="76"/>
      <c r="AG347" s="76"/>
      <c r="AH347" s="108"/>
      <c r="AI347" s="76"/>
      <c r="AJ347" s="76"/>
      <c r="AK347" s="76"/>
      <c r="AL347" s="76"/>
      <c r="AM347" s="76"/>
      <c r="AN347" s="76"/>
      <c r="AO347" s="76"/>
      <c r="AP347" s="76"/>
      <c r="AQ347" s="76"/>
      <c r="AR347" s="76"/>
    </row>
    <row r="348" spans="1:44" x14ac:dyDescent="0.35">
      <c r="A348" s="44"/>
      <c r="B348" s="107"/>
      <c r="C348" s="32"/>
      <c r="D348" s="32"/>
      <c r="E348" s="33"/>
      <c r="F348" s="33"/>
      <c r="G348" s="34"/>
      <c r="H348" s="35"/>
      <c r="I348" s="35"/>
      <c r="J348" s="12"/>
      <c r="K348" s="45"/>
      <c r="L348" s="92"/>
      <c r="Y348" s="108"/>
      <c r="Z348" s="76"/>
      <c r="AA348" s="76"/>
      <c r="AB348" s="76"/>
      <c r="AC348" s="76"/>
      <c r="AD348" s="76"/>
      <c r="AE348" s="76"/>
      <c r="AF348" s="76"/>
      <c r="AG348" s="76"/>
      <c r="AH348" s="108"/>
      <c r="AI348" s="76"/>
      <c r="AJ348" s="76"/>
      <c r="AK348" s="76"/>
      <c r="AL348" s="76"/>
      <c r="AM348" s="76"/>
      <c r="AN348" s="76"/>
      <c r="AO348" s="76"/>
      <c r="AP348" s="76"/>
      <c r="AQ348" s="76"/>
      <c r="AR348" s="76"/>
    </row>
    <row r="349" spans="1:44" x14ac:dyDescent="0.35">
      <c r="A349" s="31"/>
      <c r="B349" s="107"/>
      <c r="C349" s="32"/>
      <c r="D349" s="32"/>
      <c r="E349" s="33"/>
      <c r="F349" s="33"/>
      <c r="G349" s="34"/>
      <c r="H349" s="35"/>
      <c r="I349" s="35"/>
      <c r="J349" s="12"/>
      <c r="K349" s="39"/>
      <c r="L349" s="92"/>
      <c r="Y349" s="108"/>
      <c r="Z349" s="76"/>
      <c r="AA349" s="76"/>
      <c r="AB349" s="76"/>
      <c r="AC349" s="76"/>
      <c r="AD349" s="76"/>
      <c r="AE349" s="76"/>
      <c r="AF349" s="76"/>
      <c r="AG349" s="76"/>
      <c r="AH349" s="108"/>
      <c r="AI349" s="76"/>
      <c r="AJ349" s="76"/>
      <c r="AK349" s="76"/>
      <c r="AL349" s="76"/>
      <c r="AM349" s="76"/>
      <c r="AN349" s="76"/>
      <c r="AO349" s="76"/>
      <c r="AP349" s="76"/>
      <c r="AQ349" s="76"/>
      <c r="AR349" s="76"/>
    </row>
    <row r="350" spans="1:44" x14ac:dyDescent="0.35">
      <c r="A350" s="31"/>
      <c r="B350" s="107"/>
      <c r="C350" s="32"/>
      <c r="D350" s="32"/>
      <c r="E350" s="33"/>
      <c r="F350" s="33"/>
      <c r="G350" s="34"/>
      <c r="H350" s="35"/>
      <c r="I350" s="35"/>
      <c r="J350" s="12"/>
      <c r="K350" s="35"/>
      <c r="L350" s="92"/>
      <c r="Y350" s="108"/>
      <c r="Z350" s="76"/>
      <c r="AA350" s="76"/>
      <c r="AB350" s="76"/>
      <c r="AC350" s="76"/>
      <c r="AD350" s="76"/>
      <c r="AE350" s="76"/>
      <c r="AF350" s="76"/>
      <c r="AG350" s="76"/>
      <c r="AH350" s="108"/>
      <c r="AI350" s="76"/>
      <c r="AJ350" s="76"/>
      <c r="AK350" s="76"/>
      <c r="AL350" s="76"/>
      <c r="AM350" s="76"/>
      <c r="AN350" s="76"/>
      <c r="AO350" s="76"/>
      <c r="AP350" s="76"/>
      <c r="AQ350" s="76"/>
      <c r="AR350" s="76"/>
    </row>
    <row r="351" spans="1:44" x14ac:dyDescent="0.35">
      <c r="A351" s="31"/>
      <c r="B351" s="107"/>
      <c r="C351" s="32"/>
      <c r="D351" s="32"/>
      <c r="E351" s="33"/>
      <c r="F351" s="33"/>
      <c r="G351" s="34"/>
      <c r="H351" s="35"/>
      <c r="I351" s="35"/>
      <c r="J351" s="12"/>
      <c r="K351" s="35"/>
      <c r="L351" s="92"/>
      <c r="Y351" s="108"/>
      <c r="Z351" s="76"/>
      <c r="AA351" s="76"/>
      <c r="AB351" s="76"/>
      <c r="AC351" s="76"/>
      <c r="AD351" s="76"/>
      <c r="AE351" s="76"/>
      <c r="AF351" s="76"/>
      <c r="AG351" s="76"/>
      <c r="AH351" s="108"/>
      <c r="AI351" s="76"/>
      <c r="AJ351" s="76"/>
      <c r="AK351" s="76"/>
      <c r="AL351" s="76"/>
      <c r="AM351" s="76"/>
      <c r="AN351" s="76"/>
      <c r="AO351" s="76"/>
      <c r="AP351" s="76"/>
      <c r="AQ351" s="76"/>
      <c r="AR351" s="76"/>
    </row>
    <row r="352" spans="1:44" x14ac:dyDescent="0.35">
      <c r="A352" s="31"/>
      <c r="B352" s="107"/>
      <c r="C352" s="32"/>
      <c r="D352" s="32"/>
      <c r="E352" s="33"/>
      <c r="F352" s="33"/>
      <c r="G352" s="34"/>
      <c r="H352" s="35"/>
      <c r="I352" s="32"/>
      <c r="J352" s="12"/>
      <c r="K352" s="35"/>
      <c r="L352" s="92"/>
      <c r="Y352" s="108"/>
      <c r="Z352" s="76"/>
      <c r="AA352" s="76"/>
      <c r="AB352" s="76"/>
      <c r="AC352" s="76"/>
      <c r="AD352" s="76"/>
      <c r="AE352" s="76"/>
      <c r="AF352" s="76"/>
      <c r="AG352" s="76"/>
      <c r="AH352" s="108"/>
      <c r="AI352" s="76"/>
      <c r="AJ352" s="76"/>
      <c r="AK352" s="76"/>
      <c r="AL352" s="76"/>
      <c r="AM352" s="76"/>
      <c r="AN352" s="76"/>
      <c r="AO352" s="76"/>
      <c r="AP352" s="76"/>
      <c r="AQ352" s="76"/>
      <c r="AR352" s="76"/>
    </row>
    <row r="353" spans="1:44" x14ac:dyDescent="0.35">
      <c r="A353" s="31"/>
      <c r="B353" s="107"/>
      <c r="C353" s="32"/>
      <c r="D353" s="32"/>
      <c r="E353" s="33"/>
      <c r="F353" s="33"/>
      <c r="G353" s="34"/>
      <c r="H353" s="35"/>
      <c r="I353" s="32"/>
      <c r="J353" s="12"/>
      <c r="K353" s="35"/>
      <c r="L353" s="92"/>
      <c r="Y353" s="108"/>
      <c r="Z353" s="76"/>
      <c r="AA353" s="76"/>
      <c r="AB353" s="76"/>
      <c r="AC353" s="76"/>
      <c r="AD353" s="76"/>
      <c r="AE353" s="76"/>
      <c r="AF353" s="76"/>
      <c r="AG353" s="76"/>
      <c r="AH353" s="108"/>
      <c r="AI353" s="76"/>
      <c r="AJ353" s="76"/>
      <c r="AK353" s="76"/>
      <c r="AL353" s="76"/>
      <c r="AM353" s="76"/>
      <c r="AN353" s="76"/>
      <c r="AO353" s="76"/>
      <c r="AP353" s="76"/>
      <c r="AQ353" s="76"/>
      <c r="AR353" s="76"/>
    </row>
    <row r="354" spans="1:44" x14ac:dyDescent="0.35">
      <c r="A354" s="31"/>
      <c r="B354" s="107"/>
      <c r="C354" s="32"/>
      <c r="D354" s="32"/>
      <c r="E354" s="33"/>
      <c r="F354" s="33"/>
      <c r="G354" s="34"/>
      <c r="H354" s="35"/>
      <c r="I354" s="32"/>
      <c r="J354" s="12"/>
      <c r="K354" s="35"/>
      <c r="L354" s="92"/>
      <c r="Y354" s="108"/>
      <c r="Z354" s="76"/>
      <c r="AA354" s="76"/>
      <c r="AB354" s="76"/>
      <c r="AC354" s="76"/>
      <c r="AD354" s="76"/>
      <c r="AE354" s="76"/>
      <c r="AF354" s="76"/>
      <c r="AG354" s="76"/>
      <c r="AH354" s="108"/>
      <c r="AI354" s="76"/>
      <c r="AJ354" s="76"/>
      <c r="AK354" s="76"/>
      <c r="AL354" s="76"/>
      <c r="AM354" s="76"/>
      <c r="AN354" s="76"/>
      <c r="AO354" s="76"/>
      <c r="AP354" s="76"/>
      <c r="AQ354" s="76"/>
      <c r="AR354" s="76"/>
    </row>
    <row r="355" spans="1:44" x14ac:dyDescent="0.35">
      <c r="A355" s="31"/>
      <c r="B355" s="107"/>
      <c r="C355" s="32"/>
      <c r="D355" s="32"/>
      <c r="E355" s="33"/>
      <c r="F355" s="33"/>
      <c r="G355" s="34"/>
      <c r="H355" s="35"/>
      <c r="I355" s="32"/>
      <c r="J355" s="12"/>
      <c r="K355" s="35"/>
      <c r="L355" s="92"/>
      <c r="Y355" s="108"/>
      <c r="Z355" s="76"/>
      <c r="AA355" s="76"/>
      <c r="AB355" s="76"/>
      <c r="AC355" s="76"/>
      <c r="AD355" s="76"/>
      <c r="AE355" s="76"/>
      <c r="AF355" s="76"/>
      <c r="AG355" s="76"/>
      <c r="AH355" s="108"/>
      <c r="AI355" s="76"/>
      <c r="AJ355" s="76"/>
      <c r="AK355" s="76"/>
      <c r="AL355" s="76"/>
      <c r="AM355" s="76"/>
      <c r="AN355" s="76"/>
      <c r="AO355" s="76"/>
      <c r="AP355" s="76"/>
      <c r="AQ355" s="76"/>
      <c r="AR355" s="76"/>
    </row>
    <row r="356" spans="1:44" x14ac:dyDescent="0.35">
      <c r="A356" s="31"/>
      <c r="B356" s="107"/>
      <c r="C356" s="32"/>
      <c r="D356" s="32"/>
      <c r="E356" s="33"/>
      <c r="F356" s="33"/>
      <c r="G356" s="34"/>
      <c r="H356" s="35"/>
      <c r="I356" s="32"/>
      <c r="J356" s="12"/>
      <c r="K356" s="35"/>
      <c r="L356" s="92"/>
      <c r="Y356" s="108"/>
      <c r="Z356" s="76"/>
      <c r="AA356" s="76"/>
      <c r="AB356" s="76"/>
      <c r="AC356" s="76"/>
      <c r="AD356" s="76"/>
      <c r="AE356" s="76"/>
      <c r="AF356" s="76"/>
      <c r="AG356" s="76"/>
      <c r="AH356" s="108"/>
      <c r="AI356" s="76"/>
      <c r="AJ356" s="76"/>
      <c r="AK356" s="76"/>
      <c r="AL356" s="76"/>
      <c r="AM356" s="76"/>
      <c r="AN356" s="76"/>
      <c r="AO356" s="76"/>
      <c r="AP356" s="76"/>
      <c r="AQ356" s="76"/>
      <c r="AR356" s="76"/>
    </row>
    <row r="357" spans="1:44" x14ac:dyDescent="0.35">
      <c r="A357" s="31"/>
      <c r="B357" s="107"/>
      <c r="C357" s="32"/>
      <c r="D357" s="32"/>
      <c r="E357" s="33"/>
      <c r="F357" s="33"/>
      <c r="G357" s="34"/>
      <c r="H357" s="35"/>
      <c r="I357" s="32"/>
      <c r="J357" s="12"/>
      <c r="K357" s="35"/>
      <c r="L357" s="92"/>
      <c r="Y357" s="108"/>
      <c r="Z357" s="76"/>
      <c r="AA357" s="76"/>
      <c r="AB357" s="76"/>
      <c r="AC357" s="76"/>
      <c r="AD357" s="76"/>
      <c r="AE357" s="76"/>
      <c r="AF357" s="76"/>
      <c r="AG357" s="76"/>
      <c r="AH357" s="108"/>
      <c r="AI357" s="76"/>
      <c r="AJ357" s="76"/>
      <c r="AK357" s="76"/>
      <c r="AL357" s="76"/>
      <c r="AM357" s="76"/>
      <c r="AN357" s="76"/>
      <c r="AO357" s="76"/>
      <c r="AP357" s="76"/>
      <c r="AQ357" s="76"/>
      <c r="AR357" s="76"/>
    </row>
    <row r="358" spans="1:44" x14ac:dyDescent="0.35">
      <c r="A358" s="31"/>
      <c r="B358" s="107"/>
      <c r="C358" s="32"/>
      <c r="D358" s="32"/>
      <c r="E358" s="33"/>
      <c r="F358" s="33"/>
      <c r="G358" s="34"/>
      <c r="H358" s="35"/>
      <c r="I358" s="32"/>
      <c r="J358" s="12"/>
      <c r="K358" s="35"/>
      <c r="L358" s="92"/>
      <c r="Y358" s="108"/>
      <c r="Z358" s="76"/>
      <c r="AA358" s="76"/>
      <c r="AB358" s="76"/>
      <c r="AC358" s="76"/>
      <c r="AD358" s="76"/>
      <c r="AE358" s="76"/>
      <c r="AF358" s="76"/>
      <c r="AG358" s="76"/>
      <c r="AH358" s="108"/>
      <c r="AI358" s="76"/>
      <c r="AJ358" s="76"/>
      <c r="AK358" s="76"/>
      <c r="AL358" s="76"/>
      <c r="AM358" s="76"/>
      <c r="AN358" s="76"/>
      <c r="AO358" s="76"/>
      <c r="AP358" s="76"/>
      <c r="AQ358" s="76"/>
      <c r="AR358" s="76"/>
    </row>
    <row r="359" spans="1:44" x14ac:dyDescent="0.35">
      <c r="A359" s="31"/>
      <c r="B359" s="107"/>
      <c r="C359" s="32"/>
      <c r="D359" s="32"/>
      <c r="E359" s="33"/>
      <c r="F359" s="33"/>
      <c r="G359" s="34"/>
      <c r="H359" s="35"/>
      <c r="I359" s="32"/>
      <c r="J359" s="12"/>
      <c r="K359" s="35"/>
      <c r="L359" s="92"/>
      <c r="Y359" s="108"/>
      <c r="Z359" s="76"/>
      <c r="AA359" s="76"/>
      <c r="AB359" s="76"/>
      <c r="AC359" s="76"/>
      <c r="AD359" s="76"/>
      <c r="AE359" s="76"/>
      <c r="AF359" s="76"/>
      <c r="AG359" s="76"/>
      <c r="AH359" s="108"/>
      <c r="AI359" s="76"/>
      <c r="AJ359" s="76"/>
      <c r="AK359" s="76"/>
      <c r="AL359" s="76"/>
      <c r="AM359" s="76"/>
      <c r="AN359" s="76"/>
      <c r="AO359" s="76"/>
      <c r="AP359" s="76"/>
      <c r="AQ359" s="76"/>
      <c r="AR359" s="76"/>
    </row>
    <row r="360" spans="1:44" x14ac:dyDescent="0.35">
      <c r="A360" s="31"/>
      <c r="B360" s="107"/>
      <c r="C360" s="32"/>
      <c r="D360" s="32"/>
      <c r="E360" s="33"/>
      <c r="F360" s="33"/>
      <c r="G360" s="34"/>
      <c r="H360" s="35"/>
      <c r="I360" s="32"/>
      <c r="J360" s="12"/>
      <c r="K360" s="35"/>
      <c r="L360" s="92"/>
      <c r="Y360" s="108"/>
      <c r="Z360" s="76"/>
      <c r="AA360" s="76"/>
      <c r="AB360" s="76"/>
      <c r="AC360" s="76"/>
      <c r="AD360" s="76"/>
      <c r="AE360" s="76"/>
      <c r="AF360" s="76"/>
      <c r="AG360" s="76"/>
      <c r="AH360" s="108"/>
      <c r="AI360" s="76"/>
      <c r="AJ360" s="76"/>
      <c r="AK360" s="76"/>
      <c r="AL360" s="76"/>
      <c r="AM360" s="76"/>
      <c r="AN360" s="76"/>
      <c r="AO360" s="76"/>
      <c r="AP360" s="76"/>
      <c r="AQ360" s="76"/>
      <c r="AR360" s="76"/>
    </row>
    <row r="361" spans="1:44" x14ac:dyDescent="0.35">
      <c r="A361" s="31"/>
      <c r="B361" s="107"/>
      <c r="C361" s="32"/>
      <c r="D361" s="32"/>
      <c r="E361" s="33"/>
      <c r="F361" s="33"/>
      <c r="G361" s="34"/>
      <c r="H361" s="35"/>
      <c r="I361" s="32"/>
      <c r="J361" s="12"/>
      <c r="K361" s="35"/>
      <c r="L361" s="92"/>
      <c r="Y361" s="108"/>
      <c r="Z361" s="76"/>
      <c r="AA361" s="76"/>
      <c r="AB361" s="76"/>
      <c r="AC361" s="76"/>
      <c r="AD361" s="76"/>
      <c r="AE361" s="76"/>
      <c r="AF361" s="76"/>
      <c r="AG361" s="76"/>
      <c r="AH361" s="108"/>
      <c r="AI361" s="76"/>
      <c r="AJ361" s="76"/>
      <c r="AK361" s="76"/>
      <c r="AL361" s="76"/>
      <c r="AM361" s="76"/>
      <c r="AN361" s="76"/>
      <c r="AO361" s="76"/>
      <c r="AP361" s="76"/>
      <c r="AQ361" s="76"/>
      <c r="AR361" s="76"/>
    </row>
    <row r="362" spans="1:44" x14ac:dyDescent="0.35">
      <c r="A362" s="31"/>
      <c r="B362" s="107"/>
      <c r="C362" s="32"/>
      <c r="D362" s="32"/>
      <c r="E362" s="33"/>
      <c r="F362" s="33"/>
      <c r="G362" s="34"/>
      <c r="H362" s="35"/>
      <c r="I362" s="46"/>
      <c r="J362" s="12"/>
      <c r="K362" s="35"/>
      <c r="L362" s="92"/>
      <c r="Y362" s="108"/>
      <c r="Z362" s="76"/>
      <c r="AA362" s="76"/>
      <c r="AB362" s="76"/>
      <c r="AC362" s="76"/>
      <c r="AD362" s="76"/>
      <c r="AE362" s="76"/>
      <c r="AF362" s="76"/>
      <c r="AG362" s="76"/>
      <c r="AH362" s="108"/>
      <c r="AI362" s="76"/>
      <c r="AJ362" s="76"/>
      <c r="AK362" s="76"/>
      <c r="AL362" s="76"/>
      <c r="AM362" s="76"/>
      <c r="AN362" s="76"/>
      <c r="AO362" s="76"/>
      <c r="AP362" s="76"/>
      <c r="AQ362" s="76"/>
      <c r="AR362" s="76"/>
    </row>
    <row r="363" spans="1:44" x14ac:dyDescent="0.35">
      <c r="A363" s="31"/>
      <c r="B363" s="107"/>
      <c r="C363" s="32"/>
      <c r="D363" s="32"/>
      <c r="E363" s="33"/>
      <c r="F363" s="33"/>
      <c r="G363" s="34"/>
      <c r="H363" s="35"/>
      <c r="I363" s="46"/>
      <c r="J363" s="12"/>
      <c r="K363" s="35"/>
      <c r="L363" s="92"/>
      <c r="Y363" s="108"/>
      <c r="Z363" s="76"/>
      <c r="AA363" s="76"/>
      <c r="AB363" s="76"/>
      <c r="AC363" s="76"/>
      <c r="AD363" s="76"/>
      <c r="AE363" s="76"/>
      <c r="AF363" s="76"/>
      <c r="AG363" s="76"/>
      <c r="AH363" s="108"/>
      <c r="AI363" s="76"/>
      <c r="AJ363" s="76"/>
      <c r="AK363" s="76"/>
      <c r="AL363" s="76"/>
      <c r="AM363" s="76"/>
      <c r="AN363" s="76"/>
      <c r="AO363" s="76"/>
      <c r="AP363" s="76"/>
      <c r="AQ363" s="76"/>
      <c r="AR363" s="76"/>
    </row>
    <row r="364" spans="1:44" x14ac:dyDescent="0.35">
      <c r="A364" s="31"/>
      <c r="B364" s="107"/>
      <c r="C364" s="32"/>
      <c r="D364" s="32"/>
      <c r="E364" s="33"/>
      <c r="F364" s="33"/>
      <c r="G364" s="34"/>
      <c r="H364" s="35"/>
      <c r="I364" s="46"/>
      <c r="J364" s="12"/>
      <c r="K364" s="35"/>
      <c r="L364" s="92"/>
      <c r="Y364" s="108"/>
      <c r="Z364" s="76"/>
      <c r="AA364" s="76"/>
      <c r="AB364" s="76"/>
      <c r="AC364" s="76"/>
      <c r="AD364" s="76"/>
      <c r="AE364" s="76"/>
      <c r="AF364" s="76"/>
      <c r="AG364" s="76"/>
      <c r="AH364" s="108"/>
      <c r="AI364" s="76"/>
      <c r="AJ364" s="76"/>
      <c r="AK364" s="76"/>
      <c r="AL364" s="76"/>
      <c r="AM364" s="76"/>
      <c r="AN364" s="76"/>
      <c r="AO364" s="76"/>
      <c r="AP364" s="76"/>
      <c r="AQ364" s="76"/>
      <c r="AR364" s="76"/>
    </row>
    <row r="365" spans="1:44" x14ac:dyDescent="0.35">
      <c r="A365" s="31"/>
      <c r="B365" s="107"/>
      <c r="C365" s="32"/>
      <c r="D365" s="32"/>
      <c r="E365" s="33"/>
      <c r="F365" s="33"/>
      <c r="G365" s="34"/>
      <c r="H365" s="35"/>
      <c r="I365" s="46"/>
      <c r="J365" s="12"/>
      <c r="K365" s="35"/>
      <c r="L365" s="92"/>
      <c r="Y365" s="108"/>
      <c r="Z365" s="76"/>
      <c r="AA365" s="76"/>
      <c r="AB365" s="76"/>
      <c r="AC365" s="76"/>
      <c r="AD365" s="76"/>
      <c r="AE365" s="76"/>
      <c r="AF365" s="76"/>
      <c r="AG365" s="76"/>
      <c r="AH365" s="108"/>
      <c r="AI365" s="76"/>
      <c r="AJ365" s="76"/>
      <c r="AK365" s="76"/>
      <c r="AL365" s="76"/>
      <c r="AM365" s="76"/>
      <c r="AN365" s="76"/>
      <c r="AO365" s="76"/>
      <c r="AP365" s="76"/>
      <c r="AQ365" s="76"/>
      <c r="AR365" s="76"/>
    </row>
    <row r="366" spans="1:44" x14ac:dyDescent="0.35">
      <c r="A366" s="31"/>
      <c r="B366" s="107"/>
      <c r="C366" s="32"/>
      <c r="D366" s="32"/>
      <c r="E366" s="33"/>
      <c r="F366" s="33"/>
      <c r="G366" s="34"/>
      <c r="H366" s="35"/>
      <c r="I366" s="46"/>
      <c r="J366" s="12"/>
      <c r="K366" s="35"/>
      <c r="L366" s="92"/>
      <c r="Y366" s="108"/>
      <c r="Z366" s="76"/>
      <c r="AA366" s="76"/>
      <c r="AB366" s="76"/>
      <c r="AC366" s="76"/>
      <c r="AD366" s="76"/>
      <c r="AE366" s="76"/>
      <c r="AF366" s="76"/>
      <c r="AG366" s="76"/>
      <c r="AH366" s="108"/>
      <c r="AI366" s="76"/>
      <c r="AJ366" s="76"/>
      <c r="AK366" s="76"/>
      <c r="AL366" s="76"/>
      <c r="AM366" s="76"/>
      <c r="AN366" s="76"/>
      <c r="AO366" s="76"/>
      <c r="AP366" s="76"/>
      <c r="AQ366" s="76"/>
      <c r="AR366" s="76"/>
    </row>
    <row r="367" spans="1:44" x14ac:dyDescent="0.35">
      <c r="A367" s="31"/>
      <c r="B367" s="107"/>
      <c r="C367" s="32"/>
      <c r="D367" s="32"/>
      <c r="E367" s="33"/>
      <c r="F367" s="33"/>
      <c r="G367" s="34"/>
      <c r="H367" s="35"/>
      <c r="I367" s="46"/>
      <c r="J367" s="12"/>
      <c r="K367" s="35"/>
      <c r="L367" s="92"/>
      <c r="Y367" s="108"/>
      <c r="Z367" s="76"/>
      <c r="AA367" s="76"/>
      <c r="AB367" s="76"/>
      <c r="AC367" s="76"/>
      <c r="AD367" s="76"/>
      <c r="AE367" s="76"/>
      <c r="AF367" s="76"/>
      <c r="AG367" s="76"/>
      <c r="AH367" s="108"/>
      <c r="AI367" s="76"/>
      <c r="AJ367" s="76"/>
      <c r="AK367" s="76"/>
      <c r="AL367" s="76"/>
      <c r="AM367" s="76"/>
      <c r="AN367" s="76"/>
      <c r="AO367" s="76"/>
      <c r="AP367" s="76"/>
      <c r="AQ367" s="76"/>
      <c r="AR367" s="76"/>
    </row>
    <row r="368" spans="1:44" x14ac:dyDescent="0.35">
      <c r="A368" s="31"/>
      <c r="B368" s="107"/>
      <c r="C368" s="32"/>
      <c r="D368" s="32"/>
      <c r="E368" s="33"/>
      <c r="F368" s="33"/>
      <c r="G368" s="34"/>
      <c r="H368" s="35"/>
      <c r="I368" s="46"/>
      <c r="J368" s="12"/>
      <c r="K368" s="35"/>
      <c r="L368" s="92"/>
      <c r="Y368" s="108"/>
      <c r="Z368" s="76"/>
      <c r="AA368" s="76"/>
      <c r="AB368" s="76"/>
      <c r="AC368" s="76"/>
      <c r="AD368" s="76"/>
      <c r="AE368" s="76"/>
      <c r="AF368" s="76"/>
      <c r="AG368" s="76"/>
      <c r="AH368" s="108"/>
      <c r="AI368" s="76"/>
      <c r="AJ368" s="76"/>
      <c r="AK368" s="76"/>
      <c r="AL368" s="76"/>
      <c r="AM368" s="76"/>
      <c r="AN368" s="76"/>
      <c r="AO368" s="76"/>
      <c r="AP368" s="76"/>
      <c r="AQ368" s="76"/>
      <c r="AR368" s="76"/>
    </row>
    <row r="369" spans="1:44" x14ac:dyDescent="0.35">
      <c r="A369" s="31"/>
      <c r="B369" s="107"/>
      <c r="C369" s="32"/>
      <c r="D369" s="32"/>
      <c r="E369" s="33"/>
      <c r="F369" s="33"/>
      <c r="G369" s="34"/>
      <c r="H369" s="35"/>
      <c r="I369" s="46"/>
      <c r="J369" s="12"/>
      <c r="K369" s="35"/>
      <c r="L369" s="92"/>
      <c r="Y369" s="108"/>
      <c r="Z369" s="76"/>
      <c r="AA369" s="76"/>
      <c r="AB369" s="76"/>
      <c r="AC369" s="76"/>
      <c r="AD369" s="76"/>
      <c r="AE369" s="76"/>
      <c r="AF369" s="76"/>
      <c r="AG369" s="76"/>
      <c r="AH369" s="108"/>
      <c r="AI369" s="76"/>
      <c r="AJ369" s="76"/>
      <c r="AK369" s="76"/>
      <c r="AL369" s="76"/>
      <c r="AM369" s="76"/>
      <c r="AN369" s="76"/>
      <c r="AO369" s="76"/>
      <c r="AP369" s="76"/>
      <c r="AQ369" s="76"/>
      <c r="AR369" s="76"/>
    </row>
    <row r="370" spans="1:44" x14ac:dyDescent="0.35">
      <c r="A370" s="31"/>
      <c r="B370" s="107"/>
      <c r="C370" s="32"/>
      <c r="D370" s="32"/>
      <c r="E370" s="33"/>
      <c r="F370" s="33"/>
      <c r="G370" s="34"/>
      <c r="H370" s="35"/>
      <c r="I370" s="46"/>
      <c r="J370" s="12"/>
      <c r="K370" s="35"/>
      <c r="L370" s="92"/>
      <c r="Y370" s="108"/>
      <c r="Z370" s="76"/>
      <c r="AA370" s="76"/>
      <c r="AB370" s="76"/>
      <c r="AC370" s="76"/>
      <c r="AD370" s="76"/>
      <c r="AE370" s="76"/>
      <c r="AF370" s="76"/>
      <c r="AG370" s="76"/>
      <c r="AH370" s="108"/>
      <c r="AI370" s="76"/>
      <c r="AJ370" s="76"/>
      <c r="AK370" s="76"/>
      <c r="AL370" s="76"/>
      <c r="AM370" s="76"/>
      <c r="AN370" s="76"/>
      <c r="AO370" s="76"/>
      <c r="AP370" s="76"/>
      <c r="AQ370" s="76"/>
      <c r="AR370" s="76"/>
    </row>
    <row r="371" spans="1:44" x14ac:dyDescent="0.35">
      <c r="A371" s="31"/>
      <c r="B371" s="107"/>
      <c r="C371" s="32"/>
      <c r="D371" s="32"/>
      <c r="E371" s="33"/>
      <c r="F371" s="33"/>
      <c r="G371" s="34"/>
      <c r="H371" s="35"/>
      <c r="I371" s="46"/>
      <c r="J371" s="12"/>
      <c r="K371" s="35"/>
      <c r="L371" s="92"/>
      <c r="Y371" s="108"/>
      <c r="Z371" s="76"/>
      <c r="AA371" s="76"/>
      <c r="AB371" s="76"/>
      <c r="AC371" s="76"/>
      <c r="AD371" s="76"/>
      <c r="AE371" s="76"/>
      <c r="AF371" s="76"/>
      <c r="AG371" s="76"/>
      <c r="AH371" s="108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</row>
    <row r="372" spans="1:44" x14ac:dyDescent="0.35">
      <c r="A372" s="31"/>
      <c r="B372" s="107"/>
      <c r="C372" s="32"/>
      <c r="D372" s="32"/>
      <c r="E372" s="33"/>
      <c r="F372" s="33"/>
      <c r="G372" s="34"/>
      <c r="H372" s="35"/>
      <c r="I372" s="46"/>
      <c r="J372" s="12"/>
      <c r="K372" s="35"/>
      <c r="L372" s="92"/>
      <c r="Y372" s="108"/>
      <c r="Z372" s="76"/>
      <c r="AA372" s="76"/>
      <c r="AB372" s="76"/>
      <c r="AC372" s="76"/>
      <c r="AD372" s="76"/>
      <c r="AE372" s="76"/>
      <c r="AF372" s="76"/>
      <c r="AG372" s="76"/>
      <c r="AH372" s="108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</row>
    <row r="373" spans="1:44" x14ac:dyDescent="0.35">
      <c r="A373" s="31"/>
      <c r="B373" s="107"/>
      <c r="C373" s="32"/>
      <c r="D373" s="32"/>
      <c r="E373" s="33"/>
      <c r="F373" s="33"/>
      <c r="G373" s="34"/>
      <c r="H373" s="35"/>
      <c r="I373" s="46"/>
      <c r="J373" s="12"/>
      <c r="K373" s="35"/>
      <c r="L373" s="92"/>
      <c r="Y373" s="108"/>
      <c r="Z373" s="76"/>
      <c r="AA373" s="76"/>
      <c r="AB373" s="76"/>
      <c r="AC373" s="76"/>
      <c r="AD373" s="76"/>
      <c r="AE373" s="76"/>
      <c r="AF373" s="76"/>
      <c r="AG373" s="76"/>
      <c r="AH373" s="108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</row>
    <row r="374" spans="1:44" x14ac:dyDescent="0.35">
      <c r="A374" s="31"/>
      <c r="B374" s="107"/>
      <c r="C374" s="32"/>
      <c r="D374" s="32"/>
      <c r="E374" s="33"/>
      <c r="F374" s="33"/>
      <c r="G374" s="34"/>
      <c r="H374" s="35"/>
      <c r="I374" s="46"/>
      <c r="J374" s="12"/>
      <c r="K374" s="35"/>
      <c r="L374" s="92"/>
      <c r="Y374" s="108"/>
      <c r="Z374" s="76"/>
      <c r="AA374" s="76"/>
      <c r="AB374" s="76"/>
      <c r="AC374" s="76"/>
      <c r="AD374" s="76"/>
      <c r="AE374" s="76"/>
      <c r="AF374" s="76"/>
      <c r="AG374" s="76"/>
      <c r="AH374" s="108"/>
      <c r="AI374" s="76"/>
      <c r="AJ374" s="76"/>
      <c r="AK374" s="76"/>
      <c r="AL374" s="76"/>
      <c r="AM374" s="76"/>
      <c r="AN374" s="76"/>
      <c r="AO374" s="76"/>
      <c r="AP374" s="76"/>
      <c r="AQ374" s="76"/>
      <c r="AR374" s="76"/>
    </row>
    <row r="375" spans="1:44" x14ac:dyDescent="0.35">
      <c r="A375" s="31"/>
      <c r="B375" s="107"/>
      <c r="C375" s="32"/>
      <c r="D375" s="32"/>
      <c r="E375" s="33"/>
      <c r="F375" s="33"/>
      <c r="G375" s="34"/>
      <c r="H375" s="35"/>
      <c r="I375" s="46"/>
      <c r="J375" s="12"/>
      <c r="K375" s="35"/>
      <c r="L375" s="92"/>
      <c r="Y375" s="108"/>
      <c r="Z375" s="76"/>
      <c r="AA375" s="76"/>
      <c r="AB375" s="76"/>
      <c r="AC375" s="76"/>
      <c r="AD375" s="76"/>
      <c r="AE375" s="76"/>
      <c r="AF375" s="76"/>
      <c r="AG375" s="76"/>
      <c r="AH375" s="108"/>
      <c r="AI375" s="76"/>
      <c r="AJ375" s="76"/>
      <c r="AK375" s="76"/>
      <c r="AL375" s="76"/>
      <c r="AM375" s="76"/>
      <c r="AN375" s="76"/>
      <c r="AO375" s="76"/>
      <c r="AP375" s="76"/>
      <c r="AQ375" s="76"/>
      <c r="AR375" s="76"/>
    </row>
    <row r="376" spans="1:44" x14ac:dyDescent="0.35">
      <c r="A376" s="31"/>
      <c r="B376" s="107"/>
      <c r="C376" s="32"/>
      <c r="D376" s="32"/>
      <c r="E376" s="33"/>
      <c r="F376" s="33"/>
      <c r="G376" s="34"/>
      <c r="H376" s="35"/>
      <c r="I376" s="46"/>
      <c r="J376" s="12"/>
      <c r="K376" s="35"/>
      <c r="L376" s="92"/>
      <c r="Y376" s="108"/>
      <c r="Z376" s="76"/>
      <c r="AA376" s="76"/>
      <c r="AB376" s="76"/>
      <c r="AC376" s="76"/>
      <c r="AD376" s="76"/>
      <c r="AE376" s="76"/>
      <c r="AF376" s="76"/>
      <c r="AG376" s="76"/>
      <c r="AH376" s="108"/>
      <c r="AI376" s="76"/>
      <c r="AJ376" s="76"/>
      <c r="AK376" s="76"/>
      <c r="AL376" s="76"/>
      <c r="AM376" s="76"/>
      <c r="AN376" s="76"/>
      <c r="AO376" s="76"/>
      <c r="AP376" s="76"/>
      <c r="AQ376" s="76"/>
      <c r="AR376" s="76"/>
    </row>
    <row r="377" spans="1:44" x14ac:dyDescent="0.35">
      <c r="A377" s="31"/>
      <c r="B377" s="107"/>
      <c r="C377" s="32"/>
      <c r="D377" s="32"/>
      <c r="E377" s="33"/>
      <c r="F377" s="33"/>
      <c r="G377" s="34"/>
      <c r="H377" s="35"/>
      <c r="I377" s="46"/>
      <c r="J377" s="12"/>
      <c r="K377" s="35"/>
      <c r="L377" s="92"/>
      <c r="Y377" s="108"/>
      <c r="Z377" s="76"/>
      <c r="AA377" s="76"/>
      <c r="AB377" s="76"/>
      <c r="AC377" s="76"/>
      <c r="AD377" s="76"/>
      <c r="AE377" s="76"/>
      <c r="AF377" s="76"/>
      <c r="AG377" s="76"/>
      <c r="AH377" s="108"/>
      <c r="AI377" s="76"/>
      <c r="AJ377" s="76"/>
      <c r="AK377" s="76"/>
      <c r="AL377" s="76"/>
      <c r="AM377" s="76"/>
      <c r="AN377" s="76"/>
      <c r="AO377" s="76"/>
      <c r="AP377" s="76"/>
      <c r="AQ377" s="76"/>
      <c r="AR377" s="76"/>
    </row>
    <row r="378" spans="1:44" x14ac:dyDescent="0.35">
      <c r="A378" s="31"/>
      <c r="B378" s="107"/>
      <c r="C378" s="32"/>
      <c r="D378" s="32"/>
      <c r="E378" s="33"/>
      <c r="F378" s="33"/>
      <c r="G378" s="34"/>
      <c r="H378" s="35"/>
      <c r="I378" s="46"/>
      <c r="J378" s="12"/>
      <c r="K378" s="35"/>
      <c r="L378" s="92"/>
      <c r="Y378" s="108"/>
      <c r="Z378" s="76"/>
      <c r="AA378" s="76"/>
      <c r="AB378" s="76"/>
      <c r="AC378" s="76"/>
      <c r="AD378" s="76"/>
      <c r="AE378" s="76"/>
      <c r="AF378" s="76"/>
      <c r="AG378" s="76"/>
      <c r="AH378" s="108"/>
      <c r="AI378" s="76"/>
      <c r="AJ378" s="76"/>
      <c r="AK378" s="76"/>
      <c r="AL378" s="76"/>
      <c r="AM378" s="76"/>
      <c r="AN378" s="76"/>
      <c r="AO378" s="76"/>
      <c r="AP378" s="76"/>
      <c r="AQ378" s="76"/>
      <c r="AR378" s="76"/>
    </row>
    <row r="379" spans="1:44" x14ac:dyDescent="0.35">
      <c r="A379" s="31"/>
      <c r="B379" s="107"/>
      <c r="C379" s="32"/>
      <c r="D379" s="32"/>
      <c r="E379" s="33"/>
      <c r="F379" s="33"/>
      <c r="G379" s="34"/>
      <c r="H379" s="35"/>
      <c r="I379" s="46"/>
      <c r="J379" s="12"/>
      <c r="K379" s="35"/>
      <c r="L379" s="92"/>
      <c r="Y379" s="108"/>
      <c r="Z379" s="76"/>
      <c r="AA379" s="76"/>
      <c r="AB379" s="76"/>
      <c r="AC379" s="76"/>
      <c r="AD379" s="76"/>
      <c r="AE379" s="76"/>
      <c r="AF379" s="76"/>
      <c r="AG379" s="76"/>
      <c r="AH379" s="108"/>
      <c r="AI379" s="76"/>
      <c r="AJ379" s="76"/>
      <c r="AK379" s="76"/>
      <c r="AL379" s="76"/>
      <c r="AM379" s="76"/>
      <c r="AN379" s="76"/>
      <c r="AO379" s="76"/>
      <c r="AP379" s="76"/>
      <c r="AQ379" s="76"/>
      <c r="AR379" s="76"/>
    </row>
    <row r="380" spans="1:44" x14ac:dyDescent="0.35">
      <c r="A380" s="31"/>
      <c r="B380" s="107"/>
      <c r="C380" s="32"/>
      <c r="D380" s="32"/>
      <c r="E380" s="33"/>
      <c r="F380" s="33"/>
      <c r="G380" s="34"/>
      <c r="H380" s="35"/>
      <c r="I380" s="46"/>
      <c r="J380" s="12"/>
      <c r="K380" s="35"/>
      <c r="L380" s="92"/>
      <c r="Y380" s="108"/>
      <c r="Z380" s="76"/>
      <c r="AA380" s="76"/>
      <c r="AB380" s="76"/>
      <c r="AC380" s="76"/>
      <c r="AD380" s="76"/>
      <c r="AE380" s="76"/>
      <c r="AF380" s="76"/>
      <c r="AG380" s="76"/>
      <c r="AH380" s="108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</row>
    <row r="381" spans="1:44" x14ac:dyDescent="0.35">
      <c r="A381" s="31"/>
      <c r="B381" s="107"/>
      <c r="C381" s="32"/>
      <c r="D381" s="32"/>
      <c r="E381" s="33"/>
      <c r="F381" s="33"/>
      <c r="G381" s="34"/>
      <c r="H381" s="35"/>
      <c r="I381" s="46"/>
      <c r="J381" s="12"/>
      <c r="K381" s="35"/>
      <c r="L381" s="92"/>
      <c r="Y381" s="108"/>
      <c r="Z381" s="76"/>
      <c r="AA381" s="76"/>
      <c r="AB381" s="76"/>
      <c r="AC381" s="76"/>
      <c r="AD381" s="76"/>
      <c r="AE381" s="76"/>
      <c r="AF381" s="76"/>
      <c r="AG381" s="76"/>
      <c r="AH381" s="108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</row>
    <row r="382" spans="1:44" x14ac:dyDescent="0.35">
      <c r="A382" s="31"/>
      <c r="B382" s="107"/>
      <c r="C382" s="32"/>
      <c r="D382" s="32"/>
      <c r="E382" s="33"/>
      <c r="F382" s="33"/>
      <c r="G382" s="34"/>
      <c r="H382" s="35"/>
      <c r="I382" s="46"/>
      <c r="J382" s="12"/>
      <c r="K382" s="35"/>
      <c r="L382" s="92"/>
      <c r="Y382" s="108"/>
      <c r="Z382" s="76"/>
      <c r="AA382" s="76"/>
      <c r="AB382" s="76"/>
      <c r="AC382" s="76"/>
      <c r="AD382" s="76"/>
      <c r="AE382" s="76"/>
      <c r="AF382" s="76"/>
      <c r="AG382" s="76"/>
      <c r="AH382" s="108"/>
      <c r="AI382" s="76"/>
      <c r="AJ382" s="76"/>
      <c r="AK382" s="76"/>
      <c r="AL382" s="76"/>
      <c r="AM382" s="76"/>
      <c r="AN382" s="76"/>
      <c r="AO382" s="76"/>
      <c r="AP382" s="76"/>
      <c r="AQ382" s="76"/>
      <c r="AR382" s="76"/>
    </row>
    <row r="383" spans="1:44" x14ac:dyDescent="0.35">
      <c r="A383" s="31"/>
      <c r="B383" s="107"/>
      <c r="C383" s="32"/>
      <c r="D383" s="32"/>
      <c r="E383" s="33"/>
      <c r="F383" s="33"/>
      <c r="G383" s="34"/>
      <c r="H383" s="35"/>
      <c r="I383" s="46"/>
      <c r="J383" s="12"/>
      <c r="K383" s="35"/>
      <c r="L383" s="92"/>
      <c r="Y383" s="108"/>
      <c r="Z383" s="76"/>
      <c r="AA383" s="76"/>
      <c r="AB383" s="76"/>
      <c r="AC383" s="76"/>
      <c r="AD383" s="76"/>
      <c r="AE383" s="76"/>
      <c r="AF383" s="76"/>
      <c r="AG383" s="76"/>
      <c r="AH383" s="108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</row>
    <row r="384" spans="1:44" x14ac:dyDescent="0.35">
      <c r="A384" s="31"/>
      <c r="B384" s="107"/>
      <c r="C384" s="32"/>
      <c r="D384" s="32"/>
      <c r="E384" s="33"/>
      <c r="F384" s="33"/>
      <c r="G384" s="34"/>
      <c r="H384" s="35"/>
      <c r="I384" s="46"/>
      <c r="J384" s="12"/>
      <c r="K384" s="35"/>
      <c r="L384" s="92"/>
      <c r="Y384" s="108"/>
      <c r="Z384" s="76"/>
      <c r="AA384" s="76"/>
      <c r="AB384" s="76"/>
      <c r="AC384" s="76"/>
      <c r="AD384" s="76"/>
      <c r="AE384" s="76"/>
      <c r="AF384" s="76"/>
      <c r="AG384" s="76"/>
      <c r="AH384" s="108"/>
      <c r="AI384" s="76"/>
      <c r="AJ384" s="76"/>
      <c r="AK384" s="76"/>
      <c r="AL384" s="76"/>
      <c r="AM384" s="76"/>
      <c r="AN384" s="76"/>
      <c r="AO384" s="76"/>
      <c r="AP384" s="76"/>
      <c r="AQ384" s="76"/>
      <c r="AR384" s="76"/>
    </row>
    <row r="385" spans="1:44" x14ac:dyDescent="0.35">
      <c r="A385" s="31"/>
      <c r="B385" s="107"/>
      <c r="C385" s="32"/>
      <c r="D385" s="32"/>
      <c r="E385" s="33"/>
      <c r="F385" s="33"/>
      <c r="G385" s="34"/>
      <c r="H385" s="35"/>
      <c r="I385" s="46"/>
      <c r="J385" s="12"/>
      <c r="K385" s="35"/>
      <c r="L385" s="92"/>
      <c r="Y385" s="108"/>
      <c r="Z385" s="76"/>
      <c r="AA385" s="76"/>
      <c r="AB385" s="76"/>
      <c r="AC385" s="76"/>
      <c r="AD385" s="76"/>
      <c r="AE385" s="76"/>
      <c r="AF385" s="76"/>
      <c r="AG385" s="76"/>
      <c r="AH385" s="108"/>
      <c r="AI385" s="76"/>
      <c r="AJ385" s="76"/>
      <c r="AK385" s="76"/>
      <c r="AL385" s="76"/>
      <c r="AM385" s="76"/>
      <c r="AN385" s="76"/>
      <c r="AO385" s="76"/>
      <c r="AP385" s="76"/>
      <c r="AQ385" s="76"/>
      <c r="AR385" s="76"/>
    </row>
    <row r="386" spans="1:44" x14ac:dyDescent="0.35">
      <c r="A386" s="31"/>
      <c r="B386" s="107"/>
      <c r="C386" s="32"/>
      <c r="D386" s="32"/>
      <c r="E386" s="33"/>
      <c r="F386" s="33"/>
      <c r="G386" s="34"/>
      <c r="H386" s="35"/>
      <c r="I386" s="46"/>
      <c r="J386" s="12"/>
      <c r="K386" s="35"/>
      <c r="L386" s="92"/>
      <c r="Y386" s="108"/>
      <c r="Z386" s="76"/>
      <c r="AA386" s="76"/>
      <c r="AB386" s="76"/>
      <c r="AC386" s="76"/>
      <c r="AD386" s="76"/>
      <c r="AE386" s="76"/>
      <c r="AF386" s="76"/>
      <c r="AG386" s="76"/>
      <c r="AH386" s="108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</row>
    <row r="387" spans="1:44" x14ac:dyDescent="0.35">
      <c r="A387" s="31"/>
      <c r="B387" s="107"/>
      <c r="C387" s="32"/>
      <c r="E387" s="33"/>
      <c r="F387" s="33"/>
      <c r="G387" s="12"/>
      <c r="H387" s="35"/>
      <c r="J387" s="12"/>
      <c r="K387" s="35"/>
      <c r="L387" s="92"/>
      <c r="Y387" s="108"/>
      <c r="Z387" s="76"/>
      <c r="AA387" s="76"/>
      <c r="AB387" s="76"/>
      <c r="AC387" s="76"/>
      <c r="AD387" s="76"/>
      <c r="AE387" s="76"/>
      <c r="AF387" s="76"/>
      <c r="AG387" s="76"/>
      <c r="AH387" s="108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</row>
    <row r="388" spans="1:44" x14ac:dyDescent="0.35">
      <c r="A388" s="31"/>
      <c r="B388" s="107"/>
      <c r="C388" s="32"/>
      <c r="E388" s="33"/>
      <c r="F388" s="33"/>
      <c r="G388" s="12"/>
      <c r="H388" s="35"/>
      <c r="J388" s="12"/>
      <c r="K388" s="35"/>
      <c r="L388" s="92"/>
      <c r="Y388" s="108"/>
      <c r="Z388" s="76"/>
      <c r="AA388" s="76"/>
      <c r="AB388" s="76"/>
      <c r="AC388" s="76"/>
      <c r="AD388" s="76"/>
      <c r="AE388" s="76"/>
      <c r="AF388" s="76"/>
      <c r="AG388" s="76"/>
      <c r="AH388" s="108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</row>
    <row r="389" spans="1:44" x14ac:dyDescent="0.35">
      <c r="A389" s="31"/>
      <c r="B389" s="107"/>
      <c r="C389" s="32"/>
      <c r="E389" s="33"/>
      <c r="F389" s="33"/>
      <c r="G389" s="12"/>
      <c r="H389" s="35"/>
      <c r="J389" s="12"/>
      <c r="K389" s="35"/>
      <c r="L389" s="92"/>
      <c r="Y389" s="108"/>
      <c r="Z389" s="76"/>
      <c r="AA389" s="76"/>
      <c r="AB389" s="76"/>
      <c r="AC389" s="76"/>
      <c r="AD389" s="76"/>
      <c r="AE389" s="76"/>
      <c r="AF389" s="76"/>
      <c r="AG389" s="76"/>
      <c r="AH389" s="108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</row>
    <row r="390" spans="1:44" x14ac:dyDescent="0.35">
      <c r="A390" s="31"/>
      <c r="B390" s="107"/>
      <c r="C390" s="32"/>
      <c r="E390" s="33"/>
      <c r="F390" s="33"/>
      <c r="G390" s="12"/>
      <c r="H390" s="35"/>
      <c r="J390" s="12"/>
      <c r="K390" s="35"/>
      <c r="L390" s="92"/>
      <c r="Y390" s="108"/>
      <c r="Z390" s="76"/>
      <c r="AA390" s="76"/>
      <c r="AB390" s="76"/>
      <c r="AC390" s="76"/>
      <c r="AD390" s="76"/>
      <c r="AE390" s="76"/>
      <c r="AF390" s="76"/>
      <c r="AG390" s="76"/>
      <c r="AH390" s="108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</row>
    <row r="391" spans="1:44" x14ac:dyDescent="0.35">
      <c r="A391" s="31"/>
      <c r="B391" s="107"/>
      <c r="C391" s="32"/>
      <c r="E391" s="33"/>
      <c r="F391" s="33"/>
      <c r="G391" s="12"/>
      <c r="H391" s="35"/>
      <c r="J391" s="12"/>
      <c r="K391" s="35"/>
      <c r="L391" s="92"/>
      <c r="Y391" s="108"/>
      <c r="Z391" s="76"/>
      <c r="AA391" s="76"/>
      <c r="AB391" s="76"/>
      <c r="AC391" s="76"/>
      <c r="AD391" s="76"/>
      <c r="AE391" s="76"/>
      <c r="AF391" s="76"/>
      <c r="AG391" s="76"/>
      <c r="AH391" s="108"/>
      <c r="AI391" s="76"/>
      <c r="AJ391" s="76"/>
      <c r="AK391" s="76"/>
      <c r="AL391" s="76"/>
      <c r="AM391" s="76"/>
      <c r="AN391" s="76"/>
      <c r="AO391" s="76"/>
      <c r="AP391" s="76"/>
      <c r="AQ391" s="76"/>
      <c r="AR391" s="76"/>
    </row>
    <row r="392" spans="1:44" x14ac:dyDescent="0.35">
      <c r="A392" s="31"/>
      <c r="B392" s="107"/>
      <c r="C392" s="32"/>
      <c r="E392" s="33"/>
      <c r="F392" s="33"/>
      <c r="G392" s="12"/>
      <c r="H392" s="35"/>
      <c r="J392" s="12"/>
      <c r="K392" s="35"/>
      <c r="L392" s="92"/>
      <c r="Y392" s="108"/>
      <c r="Z392" s="76"/>
      <c r="AA392" s="76"/>
      <c r="AB392" s="76"/>
      <c r="AC392" s="76"/>
      <c r="AD392" s="76"/>
      <c r="AE392" s="76"/>
      <c r="AF392" s="76"/>
      <c r="AG392" s="76"/>
      <c r="AH392" s="108"/>
      <c r="AI392" s="76"/>
      <c r="AJ392" s="76"/>
      <c r="AK392" s="76"/>
      <c r="AL392" s="76"/>
      <c r="AM392" s="76"/>
      <c r="AN392" s="76"/>
      <c r="AO392" s="76"/>
      <c r="AP392" s="76"/>
      <c r="AQ392" s="76"/>
      <c r="AR392" s="76"/>
    </row>
    <row r="393" spans="1:44" x14ac:dyDescent="0.35">
      <c r="A393" s="31"/>
      <c r="B393" s="107"/>
      <c r="C393" s="32"/>
      <c r="E393" s="33"/>
      <c r="F393" s="33"/>
      <c r="G393" s="12"/>
      <c r="H393" s="35"/>
      <c r="J393" s="12"/>
      <c r="K393" s="35"/>
      <c r="L393" s="92"/>
      <c r="Y393" s="108"/>
      <c r="Z393" s="76"/>
      <c r="AA393" s="76"/>
      <c r="AB393" s="76"/>
      <c r="AC393" s="76"/>
      <c r="AD393" s="76"/>
      <c r="AE393" s="76"/>
      <c r="AF393" s="76"/>
      <c r="AG393" s="76"/>
      <c r="AH393" s="108"/>
      <c r="AI393" s="76"/>
      <c r="AJ393" s="76"/>
      <c r="AK393" s="76"/>
      <c r="AL393" s="76"/>
      <c r="AM393" s="76"/>
      <c r="AN393" s="76"/>
      <c r="AO393" s="76"/>
      <c r="AP393" s="76"/>
      <c r="AQ393" s="76"/>
      <c r="AR393" s="76"/>
    </row>
    <row r="394" spans="1:44" x14ac:dyDescent="0.35">
      <c r="A394" s="31"/>
      <c r="B394" s="107"/>
      <c r="C394" s="32"/>
      <c r="E394" s="33"/>
      <c r="F394" s="33"/>
      <c r="G394" s="12"/>
      <c r="H394" s="35"/>
      <c r="J394" s="12"/>
      <c r="K394" s="35"/>
      <c r="L394" s="92"/>
      <c r="Y394" s="108"/>
      <c r="Z394" s="76"/>
      <c r="AA394" s="76"/>
      <c r="AB394" s="76"/>
      <c r="AC394" s="76"/>
      <c r="AD394" s="76"/>
      <c r="AE394" s="76"/>
      <c r="AF394" s="76"/>
      <c r="AG394" s="76"/>
      <c r="AH394" s="108"/>
      <c r="AI394" s="76"/>
      <c r="AJ394" s="76"/>
      <c r="AK394" s="76"/>
      <c r="AL394" s="76"/>
      <c r="AM394" s="76"/>
      <c r="AN394" s="76"/>
      <c r="AO394" s="76"/>
      <c r="AP394" s="76"/>
      <c r="AQ394" s="76"/>
      <c r="AR394" s="76"/>
    </row>
    <row r="395" spans="1:44" x14ac:dyDescent="0.35">
      <c r="A395" s="31"/>
      <c r="B395" s="107"/>
      <c r="C395" s="32"/>
      <c r="E395" s="33"/>
      <c r="F395" s="33"/>
      <c r="G395" s="12"/>
      <c r="H395" s="35"/>
      <c r="J395" s="12"/>
      <c r="K395" s="35"/>
      <c r="L395" s="92"/>
      <c r="Y395" s="108"/>
      <c r="Z395" s="76"/>
      <c r="AA395" s="76"/>
      <c r="AB395" s="76"/>
      <c r="AC395" s="76"/>
      <c r="AD395" s="76"/>
      <c r="AE395" s="76"/>
      <c r="AF395" s="76"/>
      <c r="AG395" s="76"/>
      <c r="AH395" s="108"/>
      <c r="AI395" s="76"/>
      <c r="AJ395" s="76"/>
      <c r="AK395" s="76"/>
      <c r="AL395" s="76"/>
      <c r="AM395" s="76"/>
      <c r="AN395" s="76"/>
      <c r="AO395" s="76"/>
      <c r="AP395" s="76"/>
      <c r="AQ395" s="76"/>
      <c r="AR395" s="76"/>
    </row>
    <row r="396" spans="1:44" x14ac:dyDescent="0.35">
      <c r="A396" s="31"/>
      <c r="B396" s="107"/>
      <c r="C396" s="32"/>
      <c r="E396" s="33"/>
      <c r="F396" s="33"/>
      <c r="G396" s="12"/>
      <c r="H396" s="35"/>
      <c r="J396" s="12"/>
      <c r="K396" s="35"/>
      <c r="L396" s="92"/>
      <c r="Y396" s="108"/>
      <c r="Z396" s="76"/>
      <c r="AA396" s="76"/>
      <c r="AB396" s="76"/>
      <c r="AC396" s="76"/>
      <c r="AD396" s="76"/>
      <c r="AE396" s="76"/>
      <c r="AF396" s="76"/>
      <c r="AG396" s="76"/>
      <c r="AH396" s="108"/>
      <c r="AI396" s="76"/>
      <c r="AJ396" s="76"/>
      <c r="AK396" s="76"/>
      <c r="AL396" s="76"/>
      <c r="AM396" s="76"/>
      <c r="AN396" s="76"/>
      <c r="AO396" s="76"/>
      <c r="AP396" s="76"/>
      <c r="AQ396" s="76"/>
      <c r="AR396" s="76"/>
    </row>
    <row r="397" spans="1:44" x14ac:dyDescent="0.35">
      <c r="A397" s="31"/>
      <c r="B397" s="107"/>
      <c r="C397" s="32"/>
      <c r="E397" s="33"/>
      <c r="F397" s="33"/>
      <c r="G397" s="12"/>
      <c r="H397" s="35"/>
      <c r="J397" s="12"/>
      <c r="K397" s="35"/>
      <c r="L397" s="92"/>
      <c r="Y397" s="108"/>
      <c r="Z397" s="76"/>
      <c r="AA397" s="76"/>
      <c r="AB397" s="76"/>
      <c r="AC397" s="76"/>
      <c r="AD397" s="76"/>
      <c r="AE397" s="76"/>
      <c r="AF397" s="76"/>
      <c r="AG397" s="76"/>
      <c r="AH397" s="108"/>
      <c r="AI397" s="76"/>
      <c r="AJ397" s="76"/>
      <c r="AK397" s="76"/>
      <c r="AL397" s="76"/>
      <c r="AM397" s="76"/>
      <c r="AN397" s="76"/>
      <c r="AO397" s="76"/>
      <c r="AP397" s="76"/>
      <c r="AQ397" s="76"/>
      <c r="AR397" s="76"/>
    </row>
    <row r="398" spans="1:44" x14ac:dyDescent="0.35">
      <c r="A398" s="31"/>
      <c r="B398" s="107"/>
      <c r="C398" s="32"/>
      <c r="E398" s="33"/>
      <c r="F398" s="33"/>
      <c r="G398" s="12"/>
      <c r="H398" s="35"/>
      <c r="J398" s="12"/>
      <c r="K398" s="35"/>
      <c r="L398" s="92"/>
      <c r="Y398" s="108"/>
      <c r="Z398" s="76"/>
      <c r="AA398" s="76"/>
      <c r="AB398" s="76"/>
      <c r="AC398" s="76"/>
      <c r="AD398" s="76"/>
      <c r="AE398" s="76"/>
      <c r="AF398" s="76"/>
      <c r="AG398" s="76"/>
      <c r="AH398" s="108"/>
      <c r="AI398" s="76"/>
      <c r="AJ398" s="76"/>
      <c r="AK398" s="76"/>
      <c r="AL398" s="76"/>
      <c r="AM398" s="76"/>
      <c r="AN398" s="76"/>
      <c r="AO398" s="76"/>
      <c r="AP398" s="76"/>
      <c r="AQ398" s="76"/>
      <c r="AR398" s="76"/>
    </row>
    <row r="399" spans="1:44" x14ac:dyDescent="0.35">
      <c r="A399" s="31"/>
      <c r="B399" s="107"/>
      <c r="C399" s="32"/>
      <c r="E399" s="33"/>
      <c r="F399" s="33"/>
      <c r="G399" s="12"/>
      <c r="H399" s="35"/>
      <c r="J399" s="12"/>
      <c r="K399" s="35"/>
      <c r="L399" s="92"/>
      <c r="Y399" s="108"/>
      <c r="Z399" s="76"/>
      <c r="AA399" s="76"/>
      <c r="AB399" s="76"/>
      <c r="AC399" s="76"/>
      <c r="AD399" s="76"/>
      <c r="AE399" s="76"/>
      <c r="AF399" s="76"/>
      <c r="AG399" s="76"/>
      <c r="AH399" s="108"/>
      <c r="AI399" s="76"/>
      <c r="AJ399" s="76"/>
      <c r="AK399" s="76"/>
      <c r="AL399" s="76"/>
      <c r="AM399" s="76"/>
      <c r="AN399" s="76"/>
      <c r="AO399" s="76"/>
      <c r="AP399" s="76"/>
      <c r="AQ399" s="76"/>
      <c r="AR399" s="76"/>
    </row>
    <row r="400" spans="1:44" x14ac:dyDescent="0.35">
      <c r="A400" s="31"/>
      <c r="B400" s="107"/>
      <c r="C400" s="32"/>
      <c r="E400" s="33"/>
      <c r="F400" s="33"/>
      <c r="G400" s="12"/>
      <c r="H400" s="35"/>
      <c r="J400" s="12"/>
      <c r="K400" s="35"/>
      <c r="L400" s="92"/>
      <c r="Y400" s="108"/>
      <c r="Z400" s="76"/>
      <c r="AA400" s="76"/>
      <c r="AB400" s="76"/>
      <c r="AC400" s="76"/>
      <c r="AD400" s="76"/>
      <c r="AE400" s="76"/>
      <c r="AF400" s="76"/>
      <c r="AG400" s="76"/>
      <c r="AH400" s="108"/>
      <c r="AI400" s="76"/>
      <c r="AJ400" s="76"/>
      <c r="AK400" s="76"/>
      <c r="AL400" s="76"/>
      <c r="AM400" s="76"/>
      <c r="AN400" s="76"/>
      <c r="AO400" s="76"/>
      <c r="AP400" s="76"/>
      <c r="AQ400" s="76"/>
      <c r="AR400" s="76"/>
    </row>
    <row r="401" spans="1:44" x14ac:dyDescent="0.35">
      <c r="A401" s="31"/>
      <c r="B401" s="107"/>
      <c r="C401" s="32"/>
      <c r="E401" s="33"/>
      <c r="F401" s="33"/>
      <c r="G401" s="12"/>
      <c r="H401" s="35"/>
      <c r="J401" s="12"/>
      <c r="K401" s="35"/>
      <c r="L401" s="92"/>
      <c r="Y401" s="108"/>
      <c r="Z401" s="76"/>
      <c r="AA401" s="76"/>
      <c r="AB401" s="76"/>
      <c r="AC401" s="76"/>
      <c r="AD401" s="76"/>
      <c r="AE401" s="76"/>
      <c r="AF401" s="76"/>
      <c r="AG401" s="76"/>
      <c r="AH401" s="108"/>
      <c r="AI401" s="76"/>
      <c r="AJ401" s="76"/>
      <c r="AK401" s="76"/>
      <c r="AL401" s="76"/>
      <c r="AM401" s="76"/>
      <c r="AN401" s="76"/>
      <c r="AO401" s="76"/>
      <c r="AP401" s="76"/>
      <c r="AQ401" s="76"/>
      <c r="AR401" s="76"/>
    </row>
    <row r="402" spans="1:44" x14ac:dyDescent="0.35">
      <c r="A402" s="31"/>
      <c r="B402" s="107"/>
      <c r="C402" s="32"/>
      <c r="E402" s="33"/>
      <c r="F402" s="33"/>
      <c r="G402" s="12"/>
      <c r="H402" s="35"/>
      <c r="J402" s="12"/>
      <c r="K402" s="35"/>
      <c r="L402" s="92"/>
      <c r="Y402" s="108"/>
      <c r="Z402" s="76"/>
      <c r="AA402" s="76"/>
      <c r="AB402" s="76"/>
      <c r="AC402" s="76"/>
      <c r="AD402" s="76"/>
      <c r="AE402" s="76"/>
      <c r="AF402" s="76"/>
      <c r="AG402" s="76"/>
      <c r="AH402" s="108"/>
      <c r="AI402" s="76"/>
      <c r="AJ402" s="76"/>
      <c r="AK402" s="76"/>
      <c r="AL402" s="76"/>
      <c r="AM402" s="76"/>
      <c r="AN402" s="76"/>
      <c r="AO402" s="76"/>
      <c r="AP402" s="76"/>
      <c r="AQ402" s="76"/>
      <c r="AR402" s="76"/>
    </row>
    <row r="403" spans="1:44" x14ac:dyDescent="0.35">
      <c r="A403" s="31"/>
      <c r="B403" s="107"/>
      <c r="C403" s="32"/>
      <c r="E403" s="33"/>
      <c r="F403" s="33"/>
      <c r="G403" s="12"/>
      <c r="H403" s="35"/>
      <c r="J403" s="12"/>
      <c r="K403" s="35"/>
      <c r="L403" s="92"/>
      <c r="Y403" s="108"/>
      <c r="Z403" s="76"/>
      <c r="AA403" s="76"/>
      <c r="AB403" s="76"/>
      <c r="AC403" s="76"/>
      <c r="AD403" s="76"/>
      <c r="AE403" s="76"/>
      <c r="AF403" s="76"/>
      <c r="AG403" s="76"/>
      <c r="AH403" s="108"/>
      <c r="AI403" s="76"/>
      <c r="AJ403" s="76"/>
      <c r="AK403" s="76"/>
      <c r="AL403" s="76"/>
      <c r="AM403" s="76"/>
      <c r="AN403" s="76"/>
      <c r="AO403" s="76"/>
      <c r="AP403" s="76"/>
      <c r="AQ403" s="76"/>
      <c r="AR403" s="76"/>
    </row>
    <row r="404" spans="1:44" x14ac:dyDescent="0.35">
      <c r="A404" s="31"/>
      <c r="B404" s="107"/>
      <c r="C404" s="32"/>
      <c r="E404" s="33"/>
      <c r="F404" s="33"/>
      <c r="G404" s="12"/>
      <c r="H404" s="35"/>
      <c r="J404" s="12"/>
      <c r="K404" s="35"/>
      <c r="L404" s="92"/>
      <c r="Y404" s="108"/>
      <c r="Z404" s="76"/>
      <c r="AA404" s="76"/>
      <c r="AB404" s="76"/>
      <c r="AC404" s="76"/>
      <c r="AD404" s="76"/>
      <c r="AE404" s="76"/>
      <c r="AF404" s="76"/>
      <c r="AG404" s="76"/>
      <c r="AH404" s="108"/>
      <c r="AI404" s="76"/>
      <c r="AJ404" s="76"/>
      <c r="AK404" s="76"/>
      <c r="AL404" s="76"/>
      <c r="AM404" s="76"/>
      <c r="AN404" s="76"/>
      <c r="AO404" s="76"/>
      <c r="AP404" s="76"/>
      <c r="AQ404" s="76"/>
      <c r="AR404" s="76"/>
    </row>
    <row r="405" spans="1:44" x14ac:dyDescent="0.35">
      <c r="A405" s="31"/>
      <c r="B405" s="107"/>
      <c r="C405" s="32"/>
      <c r="E405" s="33"/>
      <c r="F405" s="33"/>
      <c r="G405" s="12"/>
      <c r="H405" s="35"/>
      <c r="J405" s="12"/>
      <c r="K405" s="35"/>
      <c r="L405" s="92"/>
      <c r="Y405" s="108"/>
      <c r="Z405" s="76"/>
      <c r="AA405" s="76"/>
      <c r="AB405" s="76"/>
      <c r="AC405" s="76"/>
      <c r="AD405" s="76"/>
      <c r="AE405" s="76"/>
      <c r="AF405" s="76"/>
      <c r="AG405" s="76"/>
      <c r="AH405" s="108"/>
      <c r="AI405" s="76"/>
      <c r="AJ405" s="76"/>
      <c r="AK405" s="76"/>
      <c r="AL405" s="76"/>
      <c r="AM405" s="76"/>
      <c r="AN405" s="76"/>
      <c r="AO405" s="76"/>
      <c r="AP405" s="76"/>
      <c r="AQ405" s="76"/>
      <c r="AR405" s="76"/>
    </row>
    <row r="406" spans="1:44" x14ac:dyDescent="0.35">
      <c r="A406" s="31"/>
      <c r="B406" s="107"/>
      <c r="C406" s="32"/>
      <c r="E406" s="33"/>
      <c r="F406" s="33"/>
      <c r="G406" s="12"/>
      <c r="H406" s="35"/>
      <c r="J406" s="12"/>
      <c r="K406" s="35"/>
      <c r="L406" s="92"/>
      <c r="Y406" s="108"/>
      <c r="Z406" s="76"/>
      <c r="AA406" s="76"/>
      <c r="AB406" s="76"/>
      <c r="AC406" s="76"/>
      <c r="AD406" s="76"/>
      <c r="AE406" s="76"/>
      <c r="AF406" s="76"/>
      <c r="AG406" s="76"/>
      <c r="AH406" s="108"/>
      <c r="AI406" s="76"/>
      <c r="AJ406" s="76"/>
      <c r="AK406" s="76"/>
      <c r="AL406" s="76"/>
      <c r="AM406" s="76"/>
      <c r="AN406" s="76"/>
      <c r="AO406" s="76"/>
      <c r="AP406" s="76"/>
      <c r="AQ406" s="76"/>
      <c r="AR406" s="76"/>
    </row>
    <row r="407" spans="1:44" x14ac:dyDescent="0.35">
      <c r="A407" s="31"/>
      <c r="B407" s="107"/>
      <c r="C407" s="32"/>
      <c r="E407" s="33"/>
      <c r="F407" s="33"/>
      <c r="G407" s="12"/>
      <c r="H407" s="35"/>
      <c r="J407" s="12"/>
      <c r="K407" s="35"/>
      <c r="L407" s="92"/>
      <c r="Y407" s="108"/>
      <c r="Z407" s="76"/>
      <c r="AA407" s="76"/>
      <c r="AB407" s="76"/>
      <c r="AC407" s="76"/>
      <c r="AD407" s="76"/>
      <c r="AE407" s="76"/>
      <c r="AF407" s="76"/>
      <c r="AG407" s="76"/>
      <c r="AH407" s="108"/>
      <c r="AI407" s="76"/>
      <c r="AJ407" s="76"/>
      <c r="AK407" s="76"/>
      <c r="AL407" s="76"/>
      <c r="AM407" s="76"/>
      <c r="AN407" s="76"/>
      <c r="AO407" s="76"/>
      <c r="AP407" s="76"/>
      <c r="AQ407" s="76"/>
      <c r="AR407" s="76"/>
    </row>
    <row r="408" spans="1:44" x14ac:dyDescent="0.35">
      <c r="A408" s="31"/>
      <c r="B408" s="107"/>
      <c r="C408" s="32"/>
      <c r="E408" s="33"/>
      <c r="F408" s="33"/>
      <c r="G408" s="12"/>
      <c r="H408" s="35"/>
      <c r="J408" s="12"/>
      <c r="K408" s="35"/>
      <c r="L408" s="92"/>
      <c r="Y408" s="108"/>
      <c r="Z408" s="76"/>
      <c r="AA408" s="76"/>
      <c r="AB408" s="76"/>
      <c r="AC408" s="76"/>
      <c r="AD408" s="76"/>
      <c r="AE408" s="76"/>
      <c r="AF408" s="76"/>
      <c r="AG408" s="76"/>
      <c r="AH408" s="108"/>
      <c r="AI408" s="76"/>
      <c r="AJ408" s="76"/>
      <c r="AK408" s="76"/>
      <c r="AL408" s="76"/>
      <c r="AM408" s="76"/>
      <c r="AN408" s="76"/>
      <c r="AO408" s="76"/>
      <c r="AP408" s="76"/>
      <c r="AQ408" s="76"/>
      <c r="AR408" s="76"/>
    </row>
    <row r="409" spans="1:44" x14ac:dyDescent="0.35">
      <c r="A409" s="31"/>
      <c r="B409" s="107"/>
      <c r="C409" s="32"/>
      <c r="E409" s="33"/>
      <c r="F409" s="33"/>
      <c r="G409" s="12"/>
      <c r="H409" s="35"/>
      <c r="J409" s="12"/>
      <c r="K409" s="35"/>
      <c r="L409" s="92"/>
      <c r="Y409" s="108"/>
      <c r="Z409" s="76"/>
      <c r="AA409" s="76"/>
      <c r="AB409" s="76"/>
      <c r="AC409" s="76"/>
      <c r="AD409" s="76"/>
      <c r="AE409" s="76"/>
      <c r="AF409" s="76"/>
      <c r="AG409" s="76"/>
      <c r="AH409" s="108"/>
      <c r="AI409" s="76"/>
      <c r="AJ409" s="76"/>
      <c r="AK409" s="76"/>
      <c r="AL409" s="76"/>
      <c r="AM409" s="76"/>
      <c r="AN409" s="76"/>
      <c r="AO409" s="76"/>
      <c r="AP409" s="76"/>
      <c r="AQ409" s="76"/>
      <c r="AR409" s="76"/>
    </row>
    <row r="410" spans="1:44" x14ac:dyDescent="0.35">
      <c r="A410" s="31"/>
      <c r="B410" s="107"/>
      <c r="C410" s="32"/>
      <c r="E410" s="33"/>
      <c r="F410" s="33"/>
      <c r="G410" s="12"/>
      <c r="H410" s="35"/>
      <c r="J410" s="12"/>
      <c r="K410" s="35"/>
      <c r="L410" s="92"/>
      <c r="Y410" s="108"/>
      <c r="Z410" s="76"/>
      <c r="AA410" s="76"/>
      <c r="AB410" s="76"/>
      <c r="AC410" s="76"/>
      <c r="AD410" s="76"/>
      <c r="AE410" s="76"/>
      <c r="AF410" s="76"/>
      <c r="AG410" s="76"/>
      <c r="AH410" s="108"/>
      <c r="AI410" s="76"/>
      <c r="AJ410" s="76"/>
      <c r="AK410" s="76"/>
      <c r="AL410" s="76"/>
      <c r="AM410" s="76"/>
      <c r="AN410" s="76"/>
      <c r="AO410" s="76"/>
      <c r="AP410" s="76"/>
      <c r="AQ410" s="76"/>
      <c r="AR410" s="76"/>
    </row>
    <row r="411" spans="1:44" x14ac:dyDescent="0.35">
      <c r="A411" s="31"/>
      <c r="B411" s="107"/>
      <c r="C411" s="32"/>
      <c r="E411" s="33"/>
      <c r="F411" s="33"/>
      <c r="G411" s="12"/>
      <c r="H411" s="35"/>
      <c r="J411" s="12"/>
      <c r="K411" s="35"/>
      <c r="L411" s="92"/>
      <c r="Y411" s="108"/>
      <c r="Z411" s="76"/>
      <c r="AA411" s="76"/>
      <c r="AB411" s="76"/>
      <c r="AC411" s="76"/>
      <c r="AD411" s="76"/>
      <c r="AE411" s="76"/>
      <c r="AF411" s="76"/>
      <c r="AG411" s="76"/>
      <c r="AH411" s="108"/>
      <c r="AI411" s="76"/>
      <c r="AJ411" s="76"/>
      <c r="AK411" s="76"/>
      <c r="AL411" s="76"/>
      <c r="AM411" s="76"/>
      <c r="AN411" s="76"/>
      <c r="AO411" s="76"/>
      <c r="AP411" s="76"/>
      <c r="AQ411" s="76"/>
      <c r="AR411" s="76"/>
    </row>
    <row r="412" spans="1:44" x14ac:dyDescent="0.35">
      <c r="A412" s="31"/>
      <c r="B412" s="107"/>
      <c r="C412" s="32"/>
      <c r="E412" s="33"/>
      <c r="F412" s="33"/>
      <c r="G412" s="12"/>
      <c r="H412" s="35"/>
      <c r="J412" s="12"/>
      <c r="K412" s="35"/>
      <c r="L412" s="92"/>
      <c r="Y412" s="108"/>
      <c r="Z412" s="76"/>
      <c r="AA412" s="76"/>
      <c r="AB412" s="76"/>
      <c r="AC412" s="76"/>
      <c r="AD412" s="76"/>
      <c r="AE412" s="76"/>
      <c r="AF412" s="76"/>
      <c r="AG412" s="76"/>
      <c r="AH412" s="108"/>
      <c r="AI412" s="76"/>
      <c r="AJ412" s="76"/>
      <c r="AK412" s="76"/>
      <c r="AL412" s="76"/>
      <c r="AM412" s="76"/>
      <c r="AN412" s="76"/>
      <c r="AO412" s="76"/>
      <c r="AP412" s="76"/>
      <c r="AQ412" s="76"/>
      <c r="AR412" s="76"/>
    </row>
    <row r="413" spans="1:44" x14ac:dyDescent="0.35">
      <c r="A413" s="31"/>
      <c r="B413" s="107"/>
      <c r="C413" s="32"/>
      <c r="E413" s="33"/>
      <c r="F413" s="33"/>
      <c r="G413" s="12"/>
      <c r="H413" s="35"/>
      <c r="J413" s="12"/>
      <c r="K413" s="35"/>
      <c r="L413" s="92"/>
      <c r="Y413" s="108"/>
      <c r="Z413" s="76"/>
      <c r="AA413" s="76"/>
      <c r="AB413" s="76"/>
      <c r="AC413" s="76"/>
      <c r="AD413" s="76"/>
      <c r="AE413" s="76"/>
      <c r="AF413" s="76"/>
      <c r="AG413" s="76"/>
      <c r="AH413" s="108"/>
      <c r="AI413" s="76"/>
      <c r="AJ413" s="76"/>
      <c r="AK413" s="76"/>
      <c r="AL413" s="76"/>
      <c r="AM413" s="76"/>
      <c r="AN413" s="76"/>
      <c r="AO413" s="76"/>
      <c r="AP413" s="76"/>
      <c r="AQ413" s="76"/>
      <c r="AR413" s="76"/>
    </row>
    <row r="414" spans="1:44" x14ac:dyDescent="0.35">
      <c r="A414" s="31"/>
      <c r="B414" s="107"/>
      <c r="C414" s="32"/>
      <c r="E414" s="33"/>
      <c r="F414" s="33"/>
      <c r="G414" s="12"/>
      <c r="H414" s="35"/>
      <c r="J414" s="12"/>
      <c r="K414" s="35"/>
      <c r="L414" s="92"/>
      <c r="Y414" s="108"/>
      <c r="Z414" s="76"/>
      <c r="AA414" s="76"/>
      <c r="AB414" s="76"/>
      <c r="AC414" s="76"/>
      <c r="AD414" s="76"/>
      <c r="AE414" s="76"/>
      <c r="AF414" s="76"/>
      <c r="AG414" s="76"/>
      <c r="AH414" s="108"/>
      <c r="AI414" s="76"/>
      <c r="AJ414" s="76"/>
      <c r="AK414" s="76"/>
      <c r="AL414" s="76"/>
      <c r="AM414" s="76"/>
      <c r="AN414" s="76"/>
      <c r="AO414" s="76"/>
      <c r="AP414" s="76"/>
      <c r="AQ414" s="76"/>
      <c r="AR414" s="76"/>
    </row>
    <row r="415" spans="1:44" x14ac:dyDescent="0.35">
      <c r="A415" s="31"/>
      <c r="B415" s="107"/>
      <c r="C415" s="32"/>
      <c r="E415" s="33"/>
      <c r="F415" s="33"/>
      <c r="G415" s="12"/>
      <c r="H415" s="35"/>
      <c r="J415" s="12"/>
      <c r="K415" s="35"/>
      <c r="L415" s="92"/>
      <c r="Y415" s="108"/>
      <c r="Z415" s="76"/>
      <c r="AA415" s="76"/>
      <c r="AB415" s="76"/>
      <c r="AC415" s="76"/>
      <c r="AD415" s="76"/>
      <c r="AE415" s="76"/>
      <c r="AF415" s="76"/>
      <c r="AG415" s="76"/>
      <c r="AH415" s="108"/>
      <c r="AI415" s="76"/>
      <c r="AJ415" s="76"/>
      <c r="AK415" s="76"/>
      <c r="AL415" s="76"/>
      <c r="AM415" s="76"/>
      <c r="AN415" s="76"/>
      <c r="AO415" s="76"/>
      <c r="AP415" s="76"/>
      <c r="AQ415" s="76"/>
      <c r="AR415" s="76"/>
    </row>
    <row r="416" spans="1:44" x14ac:dyDescent="0.35">
      <c r="A416" s="31"/>
      <c r="B416" s="107"/>
      <c r="C416" s="32"/>
      <c r="E416" s="33"/>
      <c r="F416" s="33"/>
      <c r="G416" s="12"/>
      <c r="H416" s="35"/>
      <c r="J416" s="12"/>
      <c r="K416" s="35"/>
      <c r="L416" s="92"/>
      <c r="Y416" s="108"/>
      <c r="Z416" s="76"/>
      <c r="AA416" s="76"/>
      <c r="AB416" s="76"/>
      <c r="AC416" s="76"/>
      <c r="AD416" s="76"/>
      <c r="AE416" s="76"/>
      <c r="AF416" s="76"/>
      <c r="AG416" s="76"/>
      <c r="AH416" s="108"/>
      <c r="AI416" s="76"/>
      <c r="AJ416" s="76"/>
      <c r="AK416" s="76"/>
      <c r="AL416" s="76"/>
      <c r="AM416" s="76"/>
      <c r="AN416" s="76"/>
      <c r="AO416" s="76"/>
      <c r="AP416" s="76"/>
      <c r="AQ416" s="76"/>
      <c r="AR416" s="76"/>
    </row>
    <row r="417" spans="1:44" x14ac:dyDescent="0.35">
      <c r="A417" s="31"/>
      <c r="B417" s="107"/>
      <c r="C417" s="32"/>
      <c r="E417" s="33"/>
      <c r="F417" s="33"/>
      <c r="G417" s="12"/>
      <c r="H417" s="35"/>
      <c r="J417" s="12"/>
      <c r="K417" s="35"/>
      <c r="L417" s="92"/>
      <c r="Y417" s="108"/>
      <c r="Z417" s="76"/>
      <c r="AA417" s="76"/>
      <c r="AB417" s="76"/>
      <c r="AC417" s="76"/>
      <c r="AD417" s="76"/>
      <c r="AE417" s="76"/>
      <c r="AF417" s="76"/>
      <c r="AG417" s="76"/>
      <c r="AH417" s="108"/>
      <c r="AI417" s="76"/>
      <c r="AJ417" s="76"/>
      <c r="AK417" s="76"/>
      <c r="AL417" s="76"/>
      <c r="AM417" s="76"/>
      <c r="AN417" s="76"/>
      <c r="AO417" s="76"/>
      <c r="AP417" s="76"/>
      <c r="AQ417" s="76"/>
      <c r="AR417" s="76"/>
    </row>
    <row r="418" spans="1:44" x14ac:dyDescent="0.35">
      <c r="A418" s="31"/>
      <c r="B418" s="107"/>
      <c r="C418" s="32"/>
      <c r="E418" s="33"/>
      <c r="F418" s="33"/>
      <c r="G418" s="12"/>
      <c r="H418" s="35"/>
      <c r="J418" s="12"/>
      <c r="K418" s="35"/>
      <c r="L418" s="92"/>
      <c r="Y418" s="108"/>
      <c r="Z418" s="76"/>
      <c r="AA418" s="76"/>
      <c r="AB418" s="76"/>
      <c r="AC418" s="76"/>
      <c r="AD418" s="76"/>
      <c r="AE418" s="76"/>
      <c r="AF418" s="76"/>
      <c r="AG418" s="76"/>
      <c r="AH418" s="108"/>
      <c r="AI418" s="76"/>
      <c r="AJ418" s="76"/>
      <c r="AK418" s="76"/>
      <c r="AL418" s="76"/>
      <c r="AM418" s="76"/>
      <c r="AN418" s="76"/>
      <c r="AO418" s="76"/>
      <c r="AP418" s="76"/>
      <c r="AQ418" s="76"/>
      <c r="AR418" s="76"/>
    </row>
    <row r="419" spans="1:44" x14ac:dyDescent="0.35">
      <c r="A419" s="31"/>
      <c r="B419" s="107"/>
      <c r="C419" s="32"/>
      <c r="E419" s="33"/>
      <c r="F419" s="33"/>
      <c r="G419" s="12"/>
      <c r="H419" s="35"/>
      <c r="J419" s="12"/>
      <c r="K419" s="35"/>
      <c r="L419" s="92"/>
      <c r="Y419" s="108"/>
      <c r="Z419" s="76"/>
      <c r="AA419" s="76"/>
      <c r="AB419" s="76"/>
      <c r="AC419" s="76"/>
      <c r="AD419" s="76"/>
      <c r="AE419" s="76"/>
      <c r="AF419" s="76"/>
      <c r="AG419" s="76"/>
      <c r="AH419" s="108"/>
      <c r="AI419" s="76"/>
      <c r="AJ419" s="76"/>
      <c r="AK419" s="76"/>
      <c r="AL419" s="76"/>
      <c r="AM419" s="76"/>
      <c r="AN419" s="76"/>
      <c r="AO419" s="76"/>
      <c r="AP419" s="76"/>
      <c r="AQ419" s="76"/>
      <c r="AR419" s="76"/>
    </row>
    <row r="420" spans="1:44" x14ac:dyDescent="0.35">
      <c r="A420" s="31"/>
      <c r="B420" s="107"/>
      <c r="C420" s="32"/>
      <c r="E420" s="33"/>
      <c r="F420" s="33"/>
      <c r="G420" s="12"/>
      <c r="H420" s="35"/>
      <c r="J420" s="12"/>
      <c r="K420" s="35"/>
      <c r="L420" s="92"/>
      <c r="Y420" s="108"/>
      <c r="Z420" s="76"/>
      <c r="AA420" s="76"/>
      <c r="AB420" s="76"/>
      <c r="AC420" s="76"/>
      <c r="AD420" s="76"/>
      <c r="AE420" s="76"/>
      <c r="AF420" s="76"/>
      <c r="AG420" s="76"/>
      <c r="AH420" s="108"/>
      <c r="AI420" s="76"/>
      <c r="AJ420" s="76"/>
      <c r="AK420" s="76"/>
      <c r="AL420" s="76"/>
      <c r="AM420" s="76"/>
      <c r="AN420" s="76"/>
      <c r="AO420" s="76"/>
      <c r="AP420" s="76"/>
      <c r="AQ420" s="76"/>
      <c r="AR420" s="76"/>
    </row>
    <row r="421" spans="1:44" x14ac:dyDescent="0.35">
      <c r="A421" s="31"/>
      <c r="B421" s="107"/>
      <c r="C421" s="32"/>
      <c r="E421" s="33"/>
      <c r="F421" s="33"/>
      <c r="G421" s="12"/>
      <c r="H421" s="35"/>
      <c r="J421" s="12"/>
      <c r="K421" s="35"/>
      <c r="L421" s="92"/>
      <c r="Y421" s="108"/>
      <c r="Z421" s="76"/>
      <c r="AA421" s="76"/>
      <c r="AB421" s="76"/>
      <c r="AC421" s="76"/>
      <c r="AD421" s="76"/>
      <c r="AE421" s="76"/>
      <c r="AF421" s="76"/>
      <c r="AG421" s="76"/>
      <c r="AH421" s="108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</row>
    <row r="422" spans="1:44" x14ac:dyDescent="0.35">
      <c r="A422" s="31"/>
      <c r="B422" s="107"/>
      <c r="C422" s="32"/>
      <c r="E422" s="33"/>
      <c r="F422" s="33"/>
      <c r="G422" s="12"/>
      <c r="H422" s="35"/>
      <c r="J422" s="12"/>
      <c r="K422" s="35"/>
      <c r="L422" s="92"/>
      <c r="Y422" s="108"/>
      <c r="Z422" s="76"/>
      <c r="AA422" s="76"/>
      <c r="AB422" s="76"/>
      <c r="AC422" s="76"/>
      <c r="AD422" s="76"/>
      <c r="AE422" s="76"/>
      <c r="AF422" s="76"/>
      <c r="AG422" s="76"/>
      <c r="AH422" s="108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</row>
    <row r="423" spans="1:44" x14ac:dyDescent="0.35">
      <c r="A423" s="31"/>
      <c r="B423" s="107"/>
      <c r="C423" s="32"/>
      <c r="E423" s="33"/>
      <c r="F423" s="33"/>
      <c r="G423" s="12"/>
      <c r="H423" s="35"/>
      <c r="J423" s="12"/>
      <c r="K423" s="35"/>
      <c r="L423" s="92"/>
      <c r="Y423" s="108"/>
      <c r="Z423" s="76"/>
      <c r="AA423" s="76"/>
      <c r="AB423" s="76"/>
      <c r="AC423" s="76"/>
      <c r="AD423" s="76"/>
      <c r="AE423" s="76"/>
      <c r="AF423" s="76"/>
      <c r="AG423" s="76"/>
      <c r="AH423" s="108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</row>
    <row r="424" spans="1:44" x14ac:dyDescent="0.35">
      <c r="A424" s="31"/>
      <c r="B424" s="107"/>
      <c r="C424" s="32"/>
      <c r="E424" s="33"/>
      <c r="F424" s="33"/>
      <c r="G424" s="12"/>
      <c r="H424" s="35"/>
      <c r="J424" s="12"/>
      <c r="K424" s="35"/>
      <c r="L424" s="92"/>
      <c r="Y424" s="108"/>
      <c r="Z424" s="76"/>
      <c r="AA424" s="76"/>
      <c r="AB424" s="76"/>
      <c r="AC424" s="76"/>
      <c r="AD424" s="76"/>
      <c r="AE424" s="76"/>
      <c r="AF424" s="76"/>
      <c r="AG424" s="76"/>
      <c r="AH424" s="108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</row>
    <row r="425" spans="1:44" x14ac:dyDescent="0.35">
      <c r="A425" s="31"/>
      <c r="B425" s="107"/>
      <c r="C425" s="32"/>
      <c r="E425" s="33"/>
      <c r="F425" s="33"/>
      <c r="G425" s="12"/>
      <c r="H425" s="35"/>
      <c r="J425" s="12"/>
      <c r="K425" s="35"/>
      <c r="L425" s="92"/>
      <c r="Y425" s="108"/>
      <c r="Z425" s="76"/>
      <c r="AA425" s="76"/>
      <c r="AB425" s="76"/>
      <c r="AC425" s="76"/>
      <c r="AD425" s="76"/>
      <c r="AE425" s="76"/>
      <c r="AF425" s="76"/>
      <c r="AG425" s="76"/>
      <c r="AH425" s="108"/>
      <c r="AI425" s="76"/>
      <c r="AJ425" s="76"/>
      <c r="AK425" s="76"/>
      <c r="AL425" s="76"/>
      <c r="AM425" s="76"/>
      <c r="AN425" s="76"/>
      <c r="AO425" s="76"/>
      <c r="AP425" s="76"/>
      <c r="AQ425" s="76"/>
      <c r="AR425" s="76"/>
    </row>
    <row r="426" spans="1:44" x14ac:dyDescent="0.35">
      <c r="A426" s="31"/>
      <c r="B426" s="107"/>
      <c r="C426" s="32"/>
      <c r="E426" s="33"/>
      <c r="F426" s="33"/>
      <c r="G426" s="12"/>
      <c r="H426" s="35"/>
      <c r="J426" s="12"/>
      <c r="K426" s="35"/>
      <c r="L426" s="92"/>
      <c r="Y426" s="108"/>
      <c r="Z426" s="76"/>
      <c r="AA426" s="76"/>
      <c r="AB426" s="76"/>
      <c r="AC426" s="76"/>
      <c r="AD426" s="76"/>
      <c r="AE426" s="76"/>
      <c r="AF426" s="76"/>
      <c r="AG426" s="76"/>
      <c r="AH426" s="108"/>
      <c r="AI426" s="76"/>
      <c r="AJ426" s="76"/>
      <c r="AK426" s="76"/>
      <c r="AL426" s="76"/>
      <c r="AM426" s="76"/>
      <c r="AN426" s="76"/>
      <c r="AO426" s="76"/>
      <c r="AP426" s="76"/>
      <c r="AQ426" s="76"/>
      <c r="AR426" s="76"/>
    </row>
    <row r="427" spans="1:44" x14ac:dyDescent="0.35">
      <c r="A427" s="31"/>
      <c r="B427" s="107"/>
      <c r="C427" s="32"/>
      <c r="E427" s="33"/>
      <c r="F427" s="33"/>
      <c r="G427" s="12"/>
      <c r="H427" s="35"/>
      <c r="J427" s="12"/>
      <c r="K427" s="35"/>
      <c r="L427" s="92"/>
      <c r="Y427" s="108"/>
      <c r="Z427" s="76"/>
      <c r="AA427" s="76"/>
      <c r="AB427" s="76"/>
      <c r="AC427" s="76"/>
      <c r="AD427" s="76"/>
      <c r="AE427" s="76"/>
      <c r="AF427" s="76"/>
      <c r="AG427" s="76"/>
      <c r="AH427" s="108"/>
      <c r="AI427" s="76"/>
      <c r="AJ427" s="76"/>
      <c r="AK427" s="76"/>
      <c r="AL427" s="76"/>
      <c r="AM427" s="76"/>
      <c r="AN427" s="76"/>
      <c r="AO427" s="76"/>
      <c r="AP427" s="76"/>
      <c r="AQ427" s="76"/>
      <c r="AR427" s="76"/>
    </row>
    <row r="428" spans="1:44" x14ac:dyDescent="0.35">
      <c r="A428" s="31"/>
      <c r="B428" s="107"/>
      <c r="C428" s="32"/>
      <c r="E428" s="33"/>
      <c r="F428" s="33"/>
      <c r="G428" s="12"/>
      <c r="H428" s="35"/>
      <c r="J428" s="12"/>
      <c r="K428" s="35"/>
      <c r="L428" s="92"/>
      <c r="Y428" s="108"/>
      <c r="Z428" s="76"/>
      <c r="AA428" s="76"/>
      <c r="AB428" s="76"/>
      <c r="AC428" s="76"/>
      <c r="AD428" s="76"/>
      <c r="AE428" s="76"/>
      <c r="AF428" s="76"/>
      <c r="AG428" s="76"/>
      <c r="AH428" s="108"/>
      <c r="AI428" s="76"/>
      <c r="AJ428" s="76"/>
      <c r="AK428" s="76"/>
      <c r="AL428" s="76"/>
      <c r="AM428" s="76"/>
      <c r="AN428" s="76"/>
      <c r="AO428" s="76"/>
      <c r="AP428" s="76"/>
      <c r="AQ428" s="76"/>
      <c r="AR428" s="76"/>
    </row>
    <row r="429" spans="1:44" x14ac:dyDescent="0.35">
      <c r="A429" s="31"/>
      <c r="B429" s="107"/>
      <c r="C429" s="32"/>
      <c r="E429" s="33"/>
      <c r="F429" s="33"/>
      <c r="G429" s="12"/>
      <c r="H429" s="35"/>
      <c r="J429" s="12"/>
      <c r="K429" s="35"/>
      <c r="L429" s="92"/>
      <c r="Y429" s="108"/>
      <c r="Z429" s="76"/>
      <c r="AA429" s="76"/>
      <c r="AB429" s="76"/>
      <c r="AC429" s="76"/>
      <c r="AD429" s="76"/>
      <c r="AE429" s="76"/>
      <c r="AF429" s="76"/>
      <c r="AG429" s="76"/>
      <c r="AH429" s="108"/>
      <c r="AI429" s="76"/>
      <c r="AJ429" s="76"/>
      <c r="AK429" s="76"/>
      <c r="AL429" s="76"/>
      <c r="AM429" s="76"/>
      <c r="AN429" s="76"/>
      <c r="AO429" s="76"/>
      <c r="AP429" s="76"/>
      <c r="AQ429" s="76"/>
      <c r="AR429" s="76"/>
    </row>
    <row r="430" spans="1:44" x14ac:dyDescent="0.35">
      <c r="A430" s="31"/>
      <c r="B430" s="107"/>
      <c r="C430" s="32"/>
      <c r="E430" s="33"/>
      <c r="F430" s="33"/>
      <c r="G430" s="12"/>
      <c r="H430" s="35"/>
      <c r="J430" s="12"/>
      <c r="K430" s="35"/>
      <c r="L430" s="92"/>
      <c r="Y430" s="108"/>
      <c r="Z430" s="76"/>
      <c r="AA430" s="76"/>
      <c r="AB430" s="76"/>
      <c r="AC430" s="76"/>
      <c r="AD430" s="76"/>
      <c r="AE430" s="76"/>
      <c r="AF430" s="76"/>
      <c r="AG430" s="76"/>
      <c r="AH430" s="108"/>
      <c r="AI430" s="76"/>
      <c r="AJ430" s="76"/>
      <c r="AK430" s="76"/>
      <c r="AL430" s="76"/>
      <c r="AM430" s="76"/>
      <c r="AN430" s="76"/>
      <c r="AO430" s="76"/>
      <c r="AP430" s="76"/>
      <c r="AQ430" s="76"/>
      <c r="AR430" s="76"/>
    </row>
    <row r="431" spans="1:44" x14ac:dyDescent="0.35">
      <c r="A431" s="31"/>
      <c r="B431" s="107"/>
      <c r="C431" s="32"/>
      <c r="E431" s="33"/>
      <c r="F431" s="33"/>
      <c r="G431" s="12"/>
      <c r="H431" s="35"/>
      <c r="J431" s="12"/>
      <c r="K431" s="35"/>
      <c r="L431" s="92"/>
      <c r="Y431" s="108"/>
      <c r="Z431" s="76"/>
      <c r="AA431" s="76"/>
      <c r="AB431" s="76"/>
      <c r="AC431" s="76"/>
      <c r="AD431" s="76"/>
      <c r="AE431" s="76"/>
      <c r="AF431" s="76"/>
      <c r="AG431" s="76"/>
      <c r="AH431" s="108"/>
      <c r="AI431" s="76"/>
      <c r="AJ431" s="76"/>
      <c r="AK431" s="76"/>
      <c r="AL431" s="76"/>
      <c r="AM431" s="76"/>
      <c r="AN431" s="76"/>
      <c r="AO431" s="76"/>
      <c r="AP431" s="76"/>
      <c r="AQ431" s="76"/>
      <c r="AR431" s="76"/>
    </row>
    <row r="432" spans="1:44" x14ac:dyDescent="0.35">
      <c r="A432" s="31"/>
      <c r="B432" s="107"/>
      <c r="C432" s="32"/>
      <c r="E432" s="33"/>
      <c r="F432" s="33"/>
      <c r="G432" s="12"/>
      <c r="H432" s="35"/>
      <c r="J432" s="12"/>
      <c r="K432" s="35"/>
      <c r="L432" s="92"/>
      <c r="Y432" s="108"/>
      <c r="Z432" s="76"/>
      <c r="AA432" s="76"/>
      <c r="AB432" s="76"/>
      <c r="AC432" s="76"/>
      <c r="AD432" s="76"/>
      <c r="AE432" s="76"/>
      <c r="AF432" s="76"/>
      <c r="AG432" s="76"/>
      <c r="AH432" s="108"/>
      <c r="AI432" s="76"/>
      <c r="AJ432" s="76"/>
      <c r="AK432" s="76"/>
      <c r="AL432" s="76"/>
      <c r="AM432" s="76"/>
      <c r="AN432" s="76"/>
      <c r="AO432" s="76"/>
      <c r="AP432" s="76"/>
      <c r="AQ432" s="76"/>
      <c r="AR432" s="76"/>
    </row>
    <row r="433" spans="1:44" x14ac:dyDescent="0.35">
      <c r="A433" s="31"/>
      <c r="B433" s="107"/>
      <c r="C433" s="32"/>
      <c r="E433" s="33"/>
      <c r="F433" s="33"/>
      <c r="G433" s="12"/>
      <c r="H433" s="35"/>
      <c r="J433" s="12"/>
      <c r="K433" s="35"/>
      <c r="L433" s="92"/>
      <c r="Y433" s="108"/>
      <c r="Z433" s="76"/>
      <c r="AA433" s="76"/>
      <c r="AB433" s="76"/>
      <c r="AC433" s="76"/>
      <c r="AD433" s="76"/>
      <c r="AE433" s="76"/>
      <c r="AF433" s="76"/>
      <c r="AG433" s="76"/>
      <c r="AH433" s="108"/>
      <c r="AI433" s="76"/>
      <c r="AJ433" s="76"/>
      <c r="AK433" s="76"/>
      <c r="AL433" s="76"/>
      <c r="AM433" s="76"/>
      <c r="AN433" s="76"/>
      <c r="AO433" s="76"/>
      <c r="AP433" s="76"/>
      <c r="AQ433" s="76"/>
      <c r="AR433" s="76"/>
    </row>
    <row r="434" spans="1:44" x14ac:dyDescent="0.35">
      <c r="A434" s="31"/>
      <c r="B434" s="107"/>
      <c r="C434" s="32"/>
      <c r="E434" s="33"/>
      <c r="F434" s="33"/>
      <c r="G434" s="12"/>
      <c r="H434" s="35"/>
      <c r="J434" s="12"/>
      <c r="K434" s="35"/>
      <c r="L434" s="92"/>
      <c r="Y434" s="108"/>
      <c r="Z434" s="76"/>
      <c r="AA434" s="76"/>
      <c r="AB434" s="76"/>
      <c r="AC434" s="76"/>
      <c r="AD434" s="76"/>
      <c r="AE434" s="76"/>
      <c r="AF434" s="76"/>
      <c r="AG434" s="76"/>
      <c r="AH434" s="108"/>
      <c r="AI434" s="76"/>
      <c r="AJ434" s="76"/>
      <c r="AK434" s="76"/>
      <c r="AL434" s="76"/>
      <c r="AM434" s="76"/>
      <c r="AN434" s="76"/>
      <c r="AO434" s="76"/>
      <c r="AP434" s="76"/>
      <c r="AQ434" s="76"/>
      <c r="AR434" s="76"/>
    </row>
    <row r="435" spans="1:44" x14ac:dyDescent="0.35">
      <c r="A435" s="31"/>
      <c r="B435" s="107"/>
      <c r="C435" s="32"/>
      <c r="E435" s="33"/>
      <c r="F435" s="33"/>
      <c r="G435" s="12"/>
      <c r="H435" s="35"/>
      <c r="J435" s="12"/>
      <c r="K435" s="35"/>
      <c r="L435" s="92"/>
      <c r="Y435" s="108"/>
      <c r="Z435" s="76"/>
      <c r="AA435" s="76"/>
      <c r="AB435" s="76"/>
      <c r="AC435" s="76"/>
      <c r="AD435" s="76"/>
      <c r="AE435" s="76"/>
      <c r="AF435" s="76"/>
      <c r="AG435" s="76"/>
      <c r="AH435" s="108"/>
      <c r="AI435" s="76"/>
      <c r="AJ435" s="76"/>
      <c r="AK435" s="76"/>
      <c r="AL435" s="76"/>
      <c r="AM435" s="76"/>
      <c r="AN435" s="76"/>
      <c r="AO435" s="76"/>
      <c r="AP435" s="76"/>
      <c r="AQ435" s="76"/>
      <c r="AR435" s="76"/>
    </row>
    <row r="436" spans="1:44" x14ac:dyDescent="0.35">
      <c r="A436" s="31"/>
      <c r="B436" s="107"/>
      <c r="C436" s="32"/>
      <c r="E436" s="33"/>
      <c r="F436" s="33"/>
      <c r="G436" s="12"/>
      <c r="H436" s="35"/>
      <c r="J436" s="12"/>
      <c r="K436" s="35"/>
      <c r="L436" s="92"/>
      <c r="Y436" s="108"/>
      <c r="Z436" s="76"/>
      <c r="AA436" s="76"/>
      <c r="AB436" s="76"/>
      <c r="AC436" s="76"/>
      <c r="AD436" s="76"/>
      <c r="AE436" s="76"/>
      <c r="AF436" s="76"/>
      <c r="AG436" s="76"/>
      <c r="AH436" s="108"/>
      <c r="AI436" s="76"/>
      <c r="AJ436" s="76"/>
      <c r="AK436" s="76"/>
      <c r="AL436" s="76"/>
      <c r="AM436" s="76"/>
      <c r="AN436" s="76"/>
      <c r="AO436" s="76"/>
      <c r="AP436" s="76"/>
      <c r="AQ436" s="76"/>
      <c r="AR436" s="76"/>
    </row>
    <row r="437" spans="1:44" x14ac:dyDescent="0.35">
      <c r="A437" s="31"/>
      <c r="B437" s="107"/>
      <c r="C437" s="32"/>
      <c r="E437" s="33"/>
      <c r="F437" s="33"/>
      <c r="G437" s="12"/>
      <c r="H437" s="35"/>
      <c r="J437" s="12"/>
      <c r="K437" s="35"/>
      <c r="L437" s="92"/>
      <c r="Y437" s="108"/>
      <c r="Z437" s="76"/>
      <c r="AA437" s="76"/>
      <c r="AB437" s="76"/>
      <c r="AC437" s="76"/>
      <c r="AD437" s="76"/>
      <c r="AE437" s="76"/>
      <c r="AF437" s="76"/>
      <c r="AG437" s="76"/>
      <c r="AH437" s="108"/>
      <c r="AI437" s="76"/>
      <c r="AJ437" s="76"/>
      <c r="AK437" s="76"/>
      <c r="AL437" s="76"/>
      <c r="AM437" s="76"/>
      <c r="AN437" s="76"/>
      <c r="AO437" s="76"/>
      <c r="AP437" s="76"/>
      <c r="AQ437" s="76"/>
      <c r="AR437" s="76"/>
    </row>
    <row r="438" spans="1:44" x14ac:dyDescent="0.35">
      <c r="A438" s="31"/>
      <c r="B438" s="107"/>
      <c r="C438" s="32"/>
      <c r="E438" s="33"/>
      <c r="F438" s="33"/>
      <c r="G438" s="12"/>
      <c r="H438" s="35"/>
      <c r="J438" s="12"/>
      <c r="K438" s="35"/>
      <c r="L438" s="92"/>
      <c r="Y438" s="108"/>
      <c r="Z438" s="76"/>
      <c r="AA438" s="76"/>
      <c r="AB438" s="76"/>
      <c r="AC438" s="76"/>
      <c r="AD438" s="76"/>
      <c r="AE438" s="76"/>
      <c r="AF438" s="76"/>
      <c r="AG438" s="76"/>
      <c r="AH438" s="108"/>
      <c r="AI438" s="76"/>
      <c r="AJ438" s="76"/>
      <c r="AK438" s="76"/>
      <c r="AL438" s="76"/>
      <c r="AM438" s="76"/>
      <c r="AN438" s="76"/>
      <c r="AO438" s="76"/>
      <c r="AP438" s="76"/>
      <c r="AQ438" s="76"/>
      <c r="AR438" s="76"/>
    </row>
    <row r="439" spans="1:44" x14ac:dyDescent="0.35">
      <c r="A439" s="31"/>
      <c r="B439" s="107"/>
      <c r="C439" s="32"/>
      <c r="E439" s="33"/>
      <c r="F439" s="33"/>
      <c r="G439" s="12"/>
      <c r="H439" s="35"/>
      <c r="J439" s="12"/>
      <c r="K439" s="35"/>
      <c r="L439" s="92"/>
      <c r="Y439" s="108"/>
      <c r="Z439" s="76"/>
      <c r="AA439" s="76"/>
      <c r="AB439" s="76"/>
      <c r="AC439" s="76"/>
      <c r="AD439" s="76"/>
      <c r="AE439" s="76"/>
      <c r="AF439" s="76"/>
      <c r="AG439" s="76"/>
      <c r="AH439" s="108"/>
      <c r="AI439" s="76"/>
      <c r="AJ439" s="76"/>
      <c r="AK439" s="76"/>
      <c r="AL439" s="76"/>
      <c r="AM439" s="76"/>
      <c r="AN439" s="76"/>
      <c r="AO439" s="76"/>
      <c r="AP439" s="76"/>
      <c r="AQ439" s="76"/>
      <c r="AR439" s="76"/>
    </row>
    <row r="440" spans="1:44" x14ac:dyDescent="0.35">
      <c r="A440" s="31"/>
      <c r="B440" s="107"/>
      <c r="C440" s="32"/>
      <c r="E440" s="33"/>
      <c r="F440" s="33"/>
      <c r="G440" s="12"/>
      <c r="H440" s="35"/>
      <c r="J440" s="12"/>
      <c r="K440" s="35"/>
      <c r="L440" s="92"/>
      <c r="Y440" s="108"/>
      <c r="Z440" s="76"/>
      <c r="AA440" s="76"/>
      <c r="AB440" s="76"/>
      <c r="AC440" s="76"/>
      <c r="AD440" s="76"/>
      <c r="AE440" s="76"/>
      <c r="AF440" s="76"/>
      <c r="AG440" s="76"/>
      <c r="AH440" s="108"/>
      <c r="AI440" s="76"/>
      <c r="AJ440" s="76"/>
      <c r="AK440" s="76"/>
      <c r="AL440" s="76"/>
      <c r="AM440" s="76"/>
      <c r="AN440" s="76"/>
      <c r="AO440" s="76"/>
      <c r="AP440" s="76"/>
      <c r="AQ440" s="76"/>
      <c r="AR440" s="76"/>
    </row>
    <row r="441" spans="1:44" x14ac:dyDescent="0.35">
      <c r="A441" s="31"/>
      <c r="B441" s="107"/>
      <c r="C441" s="32"/>
      <c r="E441" s="33"/>
      <c r="F441" s="33"/>
      <c r="G441" s="12"/>
      <c r="H441" s="35"/>
      <c r="J441" s="12"/>
      <c r="K441" s="35"/>
      <c r="L441" s="92"/>
      <c r="Y441" s="108"/>
      <c r="Z441" s="76"/>
      <c r="AA441" s="76"/>
      <c r="AB441" s="76"/>
      <c r="AC441" s="76"/>
      <c r="AD441" s="76"/>
      <c r="AE441" s="76"/>
      <c r="AF441" s="76"/>
      <c r="AG441" s="76"/>
      <c r="AH441" s="108"/>
      <c r="AI441" s="76"/>
      <c r="AJ441" s="76"/>
      <c r="AK441" s="76"/>
      <c r="AL441" s="76"/>
      <c r="AM441" s="76"/>
      <c r="AN441" s="76"/>
      <c r="AO441" s="76"/>
      <c r="AP441" s="76"/>
      <c r="AQ441" s="76"/>
      <c r="AR441" s="76"/>
    </row>
    <row r="442" spans="1:44" x14ac:dyDescent="0.35">
      <c r="A442" s="31"/>
      <c r="B442" s="107"/>
      <c r="C442" s="32"/>
      <c r="E442" s="33"/>
      <c r="F442" s="33"/>
      <c r="G442" s="12"/>
      <c r="H442" s="35"/>
      <c r="J442" s="12"/>
      <c r="K442" s="35"/>
      <c r="L442" s="92"/>
      <c r="Y442" s="108"/>
      <c r="Z442" s="76"/>
      <c r="AA442" s="76"/>
      <c r="AB442" s="76"/>
      <c r="AC442" s="76"/>
      <c r="AD442" s="76"/>
      <c r="AE442" s="76"/>
      <c r="AF442" s="76"/>
      <c r="AG442" s="76"/>
      <c r="AH442" s="108"/>
      <c r="AI442" s="76"/>
      <c r="AJ442" s="76"/>
      <c r="AK442" s="76"/>
      <c r="AL442" s="76"/>
      <c r="AM442" s="76"/>
      <c r="AN442" s="76"/>
      <c r="AO442" s="76"/>
      <c r="AP442" s="76"/>
      <c r="AQ442" s="76"/>
      <c r="AR442" s="76"/>
    </row>
    <row r="443" spans="1:44" x14ac:dyDescent="0.35">
      <c r="A443" s="31"/>
      <c r="B443" s="107"/>
      <c r="C443" s="32"/>
      <c r="E443" s="33"/>
      <c r="F443" s="33"/>
      <c r="G443" s="12"/>
      <c r="H443" s="35"/>
      <c r="J443" s="12"/>
      <c r="K443" s="35"/>
      <c r="L443" s="92"/>
      <c r="Y443" s="108"/>
      <c r="Z443" s="76"/>
      <c r="AA443" s="76"/>
      <c r="AB443" s="76"/>
      <c r="AC443" s="76"/>
      <c r="AD443" s="76"/>
      <c r="AE443" s="76"/>
      <c r="AF443" s="76"/>
      <c r="AG443" s="76"/>
      <c r="AH443" s="108"/>
      <c r="AI443" s="76"/>
      <c r="AJ443" s="76"/>
      <c r="AK443" s="76"/>
      <c r="AL443" s="76"/>
      <c r="AM443" s="76"/>
      <c r="AN443" s="76"/>
      <c r="AO443" s="76"/>
      <c r="AP443" s="76"/>
      <c r="AQ443" s="76"/>
      <c r="AR443" s="76"/>
    </row>
    <row r="444" spans="1:44" x14ac:dyDescent="0.35">
      <c r="A444" s="31"/>
      <c r="B444" s="107"/>
      <c r="C444" s="32"/>
      <c r="E444" s="33"/>
      <c r="F444" s="33"/>
      <c r="G444" s="12"/>
      <c r="H444" s="35"/>
      <c r="J444" s="12"/>
      <c r="K444" s="35"/>
      <c r="L444" s="92"/>
      <c r="Y444" s="108"/>
      <c r="Z444" s="76"/>
      <c r="AA444" s="76"/>
      <c r="AB444" s="76"/>
      <c r="AC444" s="76"/>
      <c r="AD444" s="76"/>
      <c r="AE444" s="76"/>
      <c r="AF444" s="76"/>
      <c r="AG444" s="76"/>
      <c r="AH444" s="108"/>
      <c r="AI444" s="76"/>
      <c r="AJ444" s="76"/>
      <c r="AK444" s="76"/>
      <c r="AL444" s="76"/>
      <c r="AM444" s="76"/>
      <c r="AN444" s="76"/>
      <c r="AO444" s="76"/>
      <c r="AP444" s="76"/>
      <c r="AQ444" s="76"/>
      <c r="AR444" s="76"/>
    </row>
    <row r="445" spans="1:44" x14ac:dyDescent="0.35">
      <c r="A445" s="31"/>
      <c r="B445" s="107"/>
      <c r="C445" s="32"/>
      <c r="E445" s="33"/>
      <c r="F445" s="33"/>
      <c r="G445" s="12"/>
      <c r="H445" s="35"/>
      <c r="J445" s="12"/>
      <c r="K445" s="35"/>
      <c r="L445" s="92"/>
      <c r="Y445" s="108"/>
      <c r="Z445" s="76"/>
      <c r="AA445" s="76"/>
      <c r="AB445" s="76"/>
      <c r="AC445" s="76"/>
      <c r="AD445" s="76"/>
      <c r="AE445" s="76"/>
      <c r="AF445" s="76"/>
      <c r="AG445" s="76"/>
      <c r="AH445" s="108"/>
      <c r="AI445" s="76"/>
      <c r="AJ445" s="76"/>
      <c r="AK445" s="76"/>
      <c r="AL445" s="76"/>
      <c r="AM445" s="76"/>
      <c r="AN445" s="76"/>
      <c r="AO445" s="76"/>
      <c r="AP445" s="76"/>
      <c r="AQ445" s="76"/>
      <c r="AR445" s="76"/>
    </row>
    <row r="446" spans="1:44" x14ac:dyDescent="0.35">
      <c r="A446" s="31"/>
      <c r="B446" s="107"/>
      <c r="C446" s="32"/>
      <c r="E446" s="33"/>
      <c r="F446" s="33"/>
      <c r="G446" s="12"/>
      <c r="H446" s="35"/>
      <c r="J446" s="12"/>
      <c r="K446" s="35"/>
      <c r="L446" s="92"/>
      <c r="Y446" s="108"/>
      <c r="Z446" s="76"/>
      <c r="AA446" s="76"/>
      <c r="AB446" s="76"/>
      <c r="AC446" s="76"/>
      <c r="AD446" s="76"/>
      <c r="AE446" s="76"/>
      <c r="AF446" s="76"/>
      <c r="AG446" s="76"/>
      <c r="AH446" s="108"/>
      <c r="AI446" s="76"/>
      <c r="AJ446" s="76"/>
      <c r="AK446" s="76"/>
      <c r="AL446" s="76"/>
      <c r="AM446" s="76"/>
      <c r="AN446" s="76"/>
      <c r="AO446" s="76"/>
      <c r="AP446" s="76"/>
      <c r="AQ446" s="76"/>
      <c r="AR446" s="76"/>
    </row>
    <row r="447" spans="1:44" x14ac:dyDescent="0.35">
      <c r="A447" s="31"/>
      <c r="B447" s="107"/>
      <c r="C447" s="32"/>
      <c r="E447" s="33"/>
      <c r="F447" s="33"/>
      <c r="G447" s="12"/>
      <c r="H447" s="35"/>
      <c r="J447" s="12"/>
      <c r="K447" s="35"/>
      <c r="L447" s="92"/>
      <c r="Y447" s="108"/>
      <c r="Z447" s="76"/>
      <c r="AA447" s="76"/>
      <c r="AB447" s="76"/>
      <c r="AC447" s="76"/>
      <c r="AD447" s="76"/>
      <c r="AE447" s="76"/>
      <c r="AF447" s="76"/>
      <c r="AG447" s="76"/>
      <c r="AH447" s="108"/>
      <c r="AI447" s="76"/>
      <c r="AJ447" s="76"/>
      <c r="AK447" s="76"/>
      <c r="AL447" s="76"/>
      <c r="AM447" s="76"/>
      <c r="AN447" s="76"/>
      <c r="AO447" s="76"/>
      <c r="AP447" s="76"/>
      <c r="AQ447" s="76"/>
      <c r="AR447" s="76"/>
    </row>
    <row r="448" spans="1:44" x14ac:dyDescent="0.35">
      <c r="A448" s="31"/>
      <c r="B448" s="107"/>
      <c r="C448" s="32"/>
      <c r="E448" s="33"/>
      <c r="F448" s="33"/>
      <c r="G448" s="12"/>
      <c r="H448" s="35"/>
      <c r="J448" s="12"/>
      <c r="K448" s="35"/>
      <c r="L448" s="92"/>
      <c r="Y448" s="108"/>
      <c r="Z448" s="76"/>
      <c r="AA448" s="76"/>
      <c r="AB448" s="76"/>
      <c r="AC448" s="76"/>
      <c r="AD448" s="76"/>
      <c r="AE448" s="76"/>
      <c r="AF448" s="76"/>
      <c r="AG448" s="76"/>
      <c r="AH448" s="108"/>
      <c r="AI448" s="76"/>
      <c r="AJ448" s="76"/>
      <c r="AK448" s="76"/>
      <c r="AL448" s="76"/>
      <c r="AM448" s="76"/>
      <c r="AN448" s="76"/>
      <c r="AO448" s="76"/>
      <c r="AP448" s="76"/>
      <c r="AQ448" s="76"/>
      <c r="AR448" s="76"/>
    </row>
    <row r="449" spans="1:44" x14ac:dyDescent="0.35">
      <c r="A449" s="31"/>
      <c r="B449" s="107"/>
      <c r="C449" s="32"/>
      <c r="E449" s="33"/>
      <c r="F449" s="33"/>
      <c r="G449" s="12"/>
      <c r="H449" s="35"/>
      <c r="J449" s="12"/>
      <c r="K449" s="35"/>
      <c r="L449" s="92"/>
      <c r="Y449" s="108"/>
      <c r="Z449" s="76"/>
      <c r="AA449" s="76"/>
      <c r="AB449" s="76"/>
      <c r="AC449" s="76"/>
      <c r="AD449" s="76"/>
      <c r="AE449" s="76"/>
      <c r="AF449" s="76"/>
      <c r="AG449" s="76"/>
      <c r="AH449" s="108"/>
      <c r="AI449" s="76"/>
      <c r="AJ449" s="76"/>
      <c r="AK449" s="76"/>
      <c r="AL449" s="76"/>
      <c r="AM449" s="76"/>
      <c r="AN449" s="76"/>
      <c r="AO449" s="76"/>
      <c r="AP449" s="76"/>
      <c r="AQ449" s="76"/>
      <c r="AR449" s="76"/>
    </row>
    <row r="450" spans="1:44" x14ac:dyDescent="0.35">
      <c r="A450" s="31"/>
      <c r="B450" s="107"/>
      <c r="C450" s="32"/>
      <c r="E450" s="33"/>
      <c r="F450" s="33"/>
      <c r="G450" s="12"/>
      <c r="H450" s="35"/>
      <c r="J450" s="12"/>
      <c r="K450" s="35"/>
      <c r="L450" s="92"/>
      <c r="Y450" s="108"/>
      <c r="Z450" s="76"/>
      <c r="AA450" s="76"/>
      <c r="AB450" s="76"/>
      <c r="AC450" s="76"/>
      <c r="AD450" s="76"/>
      <c r="AE450" s="76"/>
      <c r="AF450" s="76"/>
      <c r="AG450" s="76"/>
      <c r="AH450" s="108"/>
      <c r="AI450" s="76"/>
      <c r="AJ450" s="76"/>
      <c r="AK450" s="76"/>
      <c r="AL450" s="76"/>
      <c r="AM450" s="76"/>
      <c r="AN450" s="76"/>
      <c r="AO450" s="76"/>
      <c r="AP450" s="76"/>
      <c r="AQ450" s="76"/>
      <c r="AR450" s="76"/>
    </row>
    <row r="451" spans="1:44" x14ac:dyDescent="0.35">
      <c r="A451" s="31"/>
      <c r="B451" s="107"/>
      <c r="C451" s="32"/>
      <c r="E451" s="33"/>
      <c r="F451" s="33"/>
      <c r="G451" s="12"/>
      <c r="H451" s="35"/>
      <c r="J451" s="12"/>
      <c r="K451" s="39"/>
      <c r="L451" s="92"/>
      <c r="Y451" s="108"/>
      <c r="Z451" s="76"/>
      <c r="AA451" s="76"/>
      <c r="AB451" s="76"/>
      <c r="AC451" s="76"/>
      <c r="AD451" s="76"/>
      <c r="AE451" s="76"/>
      <c r="AF451" s="76"/>
      <c r="AG451" s="76"/>
      <c r="AH451" s="108"/>
      <c r="AI451" s="76"/>
      <c r="AJ451" s="76"/>
      <c r="AK451" s="76"/>
      <c r="AL451" s="76"/>
      <c r="AM451" s="76"/>
      <c r="AN451" s="76"/>
      <c r="AO451" s="76"/>
      <c r="AP451" s="76"/>
      <c r="AQ451" s="76"/>
      <c r="AR451" s="76"/>
    </row>
    <row r="452" spans="1:44" x14ac:dyDescent="0.35">
      <c r="A452" s="31"/>
      <c r="B452" s="107"/>
      <c r="C452" s="32"/>
      <c r="E452" s="33"/>
      <c r="F452" s="33"/>
      <c r="G452" s="12"/>
      <c r="H452" s="35"/>
      <c r="J452" s="12"/>
      <c r="K452" s="39"/>
      <c r="L452" s="92"/>
      <c r="Y452" s="108"/>
      <c r="Z452" s="76"/>
      <c r="AA452" s="76"/>
      <c r="AB452" s="76"/>
      <c r="AC452" s="76"/>
      <c r="AD452" s="76"/>
      <c r="AE452" s="76"/>
      <c r="AF452" s="76"/>
      <c r="AG452" s="76"/>
      <c r="AH452" s="108"/>
      <c r="AI452" s="76"/>
      <c r="AJ452" s="76"/>
      <c r="AK452" s="76"/>
      <c r="AL452" s="76"/>
      <c r="AM452" s="76"/>
      <c r="AN452" s="76"/>
      <c r="AO452" s="76"/>
      <c r="AP452" s="76"/>
      <c r="AQ452" s="76"/>
      <c r="AR452" s="76"/>
    </row>
    <row r="453" spans="1:44" x14ac:dyDescent="0.35">
      <c r="A453" s="31"/>
      <c r="B453" s="107"/>
      <c r="C453" s="32"/>
      <c r="E453" s="33"/>
      <c r="F453" s="33"/>
      <c r="G453" s="12"/>
      <c r="H453" s="35"/>
      <c r="J453" s="12"/>
      <c r="K453" s="35"/>
      <c r="L453" s="92"/>
      <c r="Y453" s="108"/>
      <c r="Z453" s="76"/>
      <c r="AA453" s="76"/>
      <c r="AB453" s="76"/>
      <c r="AC453" s="76"/>
      <c r="AD453" s="76"/>
      <c r="AE453" s="76"/>
      <c r="AF453" s="76"/>
      <c r="AG453" s="76"/>
      <c r="AH453" s="108"/>
      <c r="AI453" s="76"/>
      <c r="AJ453" s="76"/>
      <c r="AK453" s="76"/>
      <c r="AL453" s="76"/>
      <c r="AM453" s="76"/>
      <c r="AN453" s="76"/>
      <c r="AO453" s="76"/>
      <c r="AP453" s="76"/>
      <c r="AQ453" s="76"/>
      <c r="AR453" s="76"/>
    </row>
    <row r="454" spans="1:44" x14ac:dyDescent="0.35">
      <c r="A454" s="31"/>
      <c r="B454" s="107"/>
      <c r="C454" s="32"/>
      <c r="E454" s="33"/>
      <c r="F454" s="33"/>
      <c r="G454" s="12"/>
      <c r="H454" s="35"/>
      <c r="J454" s="12"/>
      <c r="K454" s="35"/>
      <c r="L454" s="92"/>
      <c r="Y454" s="108"/>
      <c r="Z454" s="76"/>
      <c r="AA454" s="76"/>
      <c r="AB454" s="76"/>
      <c r="AC454" s="76"/>
      <c r="AD454" s="76"/>
      <c r="AE454" s="76"/>
      <c r="AF454" s="76"/>
      <c r="AG454" s="76"/>
      <c r="AH454" s="108"/>
      <c r="AI454" s="76"/>
      <c r="AJ454" s="76"/>
      <c r="AK454" s="76"/>
      <c r="AL454" s="76"/>
      <c r="AM454" s="76"/>
      <c r="AN454" s="76"/>
      <c r="AO454" s="76"/>
      <c r="AP454" s="76"/>
      <c r="AQ454" s="76"/>
      <c r="AR454" s="76"/>
    </row>
    <row r="455" spans="1:44" x14ac:dyDescent="0.35">
      <c r="A455" s="31"/>
      <c r="B455" s="107"/>
      <c r="C455" s="32"/>
      <c r="E455" s="33"/>
      <c r="F455" s="33"/>
      <c r="G455" s="12"/>
      <c r="H455" s="35"/>
      <c r="J455" s="12"/>
      <c r="K455" s="35"/>
      <c r="L455" s="92"/>
      <c r="Y455" s="108"/>
      <c r="Z455" s="76"/>
      <c r="AA455" s="76"/>
      <c r="AB455" s="76"/>
      <c r="AC455" s="76"/>
      <c r="AD455" s="76"/>
      <c r="AE455" s="76"/>
      <c r="AF455" s="76"/>
      <c r="AG455" s="76"/>
      <c r="AH455" s="108"/>
      <c r="AI455" s="76"/>
      <c r="AJ455" s="76"/>
      <c r="AK455" s="76"/>
      <c r="AL455" s="76"/>
      <c r="AM455" s="76"/>
      <c r="AN455" s="76"/>
      <c r="AO455" s="76"/>
      <c r="AP455" s="76"/>
      <c r="AQ455" s="76"/>
      <c r="AR455" s="76"/>
    </row>
    <row r="456" spans="1:44" x14ac:dyDescent="0.35">
      <c r="A456" s="31"/>
      <c r="B456" s="107"/>
      <c r="C456" s="32"/>
      <c r="E456" s="33"/>
      <c r="F456" s="33"/>
      <c r="G456" s="12"/>
      <c r="H456" s="35"/>
      <c r="J456" s="12"/>
      <c r="K456" s="35"/>
      <c r="L456" s="92"/>
      <c r="Y456" s="108"/>
      <c r="Z456" s="76"/>
      <c r="AA456" s="76"/>
      <c r="AB456" s="76"/>
      <c r="AC456" s="76"/>
      <c r="AD456" s="76"/>
      <c r="AE456" s="76"/>
      <c r="AF456" s="76"/>
      <c r="AG456" s="76"/>
      <c r="AH456" s="108"/>
      <c r="AI456" s="76"/>
      <c r="AJ456" s="76"/>
      <c r="AK456" s="76"/>
      <c r="AL456" s="76"/>
      <c r="AM456" s="76"/>
      <c r="AN456" s="76"/>
      <c r="AO456" s="76"/>
      <c r="AP456" s="76"/>
      <c r="AQ456" s="76"/>
      <c r="AR456" s="76"/>
    </row>
    <row r="457" spans="1:44" x14ac:dyDescent="0.35">
      <c r="A457" s="31"/>
      <c r="B457" s="107"/>
      <c r="C457" s="32"/>
      <c r="E457" s="33"/>
      <c r="F457" s="33"/>
      <c r="G457" s="12"/>
      <c r="H457" s="35"/>
      <c r="J457" s="12"/>
      <c r="K457" s="35"/>
      <c r="L457" s="92"/>
      <c r="Y457" s="108"/>
      <c r="Z457" s="76"/>
      <c r="AA457" s="76"/>
      <c r="AB457" s="76"/>
      <c r="AC457" s="76"/>
      <c r="AD457" s="76"/>
      <c r="AE457" s="76"/>
      <c r="AF457" s="76"/>
      <c r="AG457" s="76"/>
      <c r="AH457" s="108"/>
      <c r="AI457" s="76"/>
      <c r="AJ457" s="76"/>
      <c r="AK457" s="76"/>
      <c r="AL457" s="76"/>
      <c r="AM457" s="76"/>
      <c r="AN457" s="76"/>
      <c r="AO457" s="76"/>
      <c r="AP457" s="76"/>
      <c r="AQ457" s="76"/>
      <c r="AR457" s="76"/>
    </row>
    <row r="458" spans="1:44" x14ac:dyDescent="0.35">
      <c r="A458" s="31"/>
      <c r="B458" s="107"/>
      <c r="C458" s="32"/>
      <c r="E458" s="33"/>
      <c r="F458" s="33"/>
      <c r="G458" s="12"/>
      <c r="H458" s="35"/>
      <c r="J458" s="12"/>
      <c r="K458" s="35"/>
      <c r="L458" s="92"/>
      <c r="Y458" s="108"/>
      <c r="Z458" s="76"/>
      <c r="AA458" s="76"/>
      <c r="AB458" s="76"/>
      <c r="AC458" s="76"/>
      <c r="AD458" s="76"/>
      <c r="AE458" s="76"/>
      <c r="AF458" s="76"/>
      <c r="AG458" s="76"/>
      <c r="AH458" s="108"/>
      <c r="AI458" s="76"/>
      <c r="AJ458" s="76"/>
      <c r="AK458" s="76"/>
      <c r="AL458" s="76"/>
      <c r="AM458" s="76"/>
      <c r="AN458" s="76"/>
      <c r="AO458" s="76"/>
      <c r="AP458" s="76"/>
      <c r="AQ458" s="76"/>
      <c r="AR458" s="76"/>
    </row>
    <row r="459" spans="1:44" x14ac:dyDescent="0.35">
      <c r="A459" s="31"/>
      <c r="B459" s="107"/>
      <c r="C459" s="32"/>
      <c r="E459" s="33"/>
      <c r="F459" s="33"/>
      <c r="G459" s="12"/>
      <c r="H459" s="35"/>
      <c r="J459" s="12"/>
      <c r="K459" s="35"/>
      <c r="L459" s="92"/>
      <c r="Y459" s="108"/>
      <c r="Z459" s="76"/>
      <c r="AA459" s="76"/>
      <c r="AB459" s="76"/>
      <c r="AC459" s="76"/>
      <c r="AD459" s="76"/>
      <c r="AE459" s="76"/>
      <c r="AF459" s="76"/>
      <c r="AG459" s="76"/>
      <c r="AH459" s="108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</row>
    <row r="460" spans="1:44" x14ac:dyDescent="0.35">
      <c r="A460" s="31"/>
      <c r="B460" s="107"/>
      <c r="C460" s="32"/>
      <c r="E460" s="33"/>
      <c r="F460" s="33"/>
      <c r="G460" s="12"/>
      <c r="H460" s="35"/>
      <c r="J460" s="12"/>
      <c r="K460" s="35"/>
      <c r="L460" s="92"/>
      <c r="Y460" s="108"/>
      <c r="Z460" s="76"/>
      <c r="AA460" s="76"/>
      <c r="AB460" s="76"/>
      <c r="AC460" s="76"/>
      <c r="AD460" s="76"/>
      <c r="AE460" s="76"/>
      <c r="AF460" s="76"/>
      <c r="AG460" s="76"/>
      <c r="AH460" s="108"/>
      <c r="AI460" s="76"/>
      <c r="AJ460" s="76"/>
      <c r="AK460" s="76"/>
      <c r="AL460" s="76"/>
      <c r="AM460" s="76"/>
      <c r="AN460" s="76"/>
      <c r="AO460" s="76"/>
      <c r="AP460" s="76"/>
      <c r="AQ460" s="76"/>
      <c r="AR460" s="76"/>
    </row>
    <row r="461" spans="1:44" x14ac:dyDescent="0.35">
      <c r="A461" s="31"/>
      <c r="B461" s="107"/>
      <c r="C461" s="32"/>
      <c r="E461" s="33"/>
      <c r="F461" s="33"/>
      <c r="G461" s="12"/>
      <c r="H461" s="35"/>
      <c r="J461" s="12"/>
      <c r="K461" s="35"/>
      <c r="L461" s="92"/>
      <c r="Y461" s="108"/>
      <c r="Z461" s="76"/>
      <c r="AA461" s="76"/>
      <c r="AB461" s="76"/>
      <c r="AC461" s="76"/>
      <c r="AD461" s="76"/>
      <c r="AE461" s="76"/>
      <c r="AF461" s="76"/>
      <c r="AG461" s="76"/>
      <c r="AH461" s="108"/>
      <c r="AI461" s="76"/>
      <c r="AJ461" s="76"/>
      <c r="AK461" s="76"/>
      <c r="AL461" s="76"/>
      <c r="AM461" s="76"/>
      <c r="AN461" s="76"/>
      <c r="AO461" s="76"/>
      <c r="AP461" s="76"/>
      <c r="AQ461" s="76"/>
      <c r="AR461" s="76"/>
    </row>
    <row r="462" spans="1:44" x14ac:dyDescent="0.35">
      <c r="A462" s="31"/>
      <c r="B462" s="107"/>
      <c r="C462" s="32"/>
      <c r="E462" s="33"/>
      <c r="F462" s="33"/>
      <c r="G462" s="12"/>
      <c r="H462" s="35"/>
      <c r="J462" s="12"/>
      <c r="K462" s="35"/>
      <c r="L462" s="92"/>
      <c r="Y462" s="108"/>
      <c r="Z462" s="76"/>
      <c r="AA462" s="76"/>
      <c r="AB462" s="76"/>
      <c r="AC462" s="76"/>
      <c r="AD462" s="76"/>
      <c r="AE462" s="76"/>
      <c r="AF462" s="76"/>
      <c r="AG462" s="76"/>
      <c r="AH462" s="108"/>
      <c r="AI462" s="76"/>
      <c r="AJ462" s="76"/>
      <c r="AK462" s="76"/>
      <c r="AL462" s="76"/>
      <c r="AM462" s="76"/>
      <c r="AN462" s="76"/>
      <c r="AO462" s="76"/>
      <c r="AP462" s="76"/>
      <c r="AQ462" s="76"/>
      <c r="AR462" s="76"/>
    </row>
    <row r="463" spans="1:44" x14ac:dyDescent="0.35">
      <c r="A463" s="31"/>
      <c r="B463" s="107"/>
      <c r="C463" s="32"/>
      <c r="E463" s="33"/>
      <c r="F463" s="33"/>
      <c r="G463" s="12"/>
      <c r="H463" s="35"/>
      <c r="J463" s="12"/>
      <c r="K463" s="35"/>
      <c r="L463" s="92"/>
      <c r="Y463" s="108"/>
      <c r="Z463" s="76"/>
      <c r="AA463" s="76"/>
      <c r="AB463" s="76"/>
      <c r="AC463" s="76"/>
      <c r="AD463" s="76"/>
      <c r="AE463" s="76"/>
      <c r="AF463" s="76"/>
      <c r="AG463" s="76"/>
      <c r="AH463" s="108"/>
      <c r="AI463" s="76"/>
      <c r="AJ463" s="76"/>
      <c r="AK463" s="76"/>
      <c r="AL463" s="76"/>
      <c r="AM463" s="76"/>
      <c r="AN463" s="76"/>
      <c r="AO463" s="76"/>
      <c r="AP463" s="76"/>
      <c r="AQ463" s="76"/>
      <c r="AR463" s="76"/>
    </row>
    <row r="464" spans="1:44" x14ac:dyDescent="0.35">
      <c r="A464" s="31"/>
      <c r="B464" s="107"/>
      <c r="C464" s="32"/>
      <c r="E464" s="33"/>
      <c r="F464" s="33"/>
      <c r="G464" s="12"/>
      <c r="H464" s="35"/>
      <c r="J464" s="12"/>
      <c r="K464" s="35"/>
      <c r="L464" s="92"/>
      <c r="Y464" s="108"/>
      <c r="Z464" s="76"/>
      <c r="AA464" s="76"/>
      <c r="AB464" s="76"/>
      <c r="AC464" s="76"/>
      <c r="AD464" s="76"/>
      <c r="AE464" s="76"/>
      <c r="AF464" s="76"/>
      <c r="AG464" s="76"/>
      <c r="AH464" s="108"/>
      <c r="AI464" s="76"/>
      <c r="AJ464" s="76"/>
      <c r="AK464" s="76"/>
      <c r="AL464" s="76"/>
      <c r="AM464" s="76"/>
      <c r="AN464" s="76"/>
      <c r="AO464" s="76"/>
      <c r="AP464" s="76"/>
      <c r="AQ464" s="76"/>
      <c r="AR464" s="76"/>
    </row>
    <row r="465" spans="1:44" x14ac:dyDescent="0.35">
      <c r="A465" s="31"/>
      <c r="B465" s="107"/>
      <c r="C465" s="32"/>
      <c r="E465" s="33"/>
      <c r="F465" s="33"/>
      <c r="G465" s="12"/>
      <c r="H465" s="35"/>
      <c r="J465" s="12"/>
      <c r="K465" s="35"/>
      <c r="L465" s="92"/>
      <c r="Y465" s="108"/>
      <c r="Z465" s="76"/>
      <c r="AA465" s="76"/>
      <c r="AB465" s="76"/>
      <c r="AC465" s="76"/>
      <c r="AD465" s="76"/>
      <c r="AE465" s="76"/>
      <c r="AF465" s="76"/>
      <c r="AG465" s="76"/>
      <c r="AH465" s="108"/>
      <c r="AI465" s="76"/>
      <c r="AJ465" s="76"/>
      <c r="AK465" s="76"/>
      <c r="AL465" s="76"/>
      <c r="AM465" s="76"/>
      <c r="AN465" s="76"/>
      <c r="AO465" s="76"/>
      <c r="AP465" s="76"/>
      <c r="AQ465" s="76"/>
      <c r="AR465" s="76"/>
    </row>
    <row r="466" spans="1:44" x14ac:dyDescent="0.35">
      <c r="A466" s="31"/>
      <c r="B466" s="107"/>
      <c r="C466" s="32"/>
      <c r="E466" s="33"/>
      <c r="F466" s="33"/>
      <c r="G466" s="12"/>
      <c r="H466" s="35"/>
      <c r="J466" s="12"/>
      <c r="K466" s="35"/>
      <c r="L466" s="92"/>
      <c r="Y466" s="108"/>
      <c r="Z466" s="76"/>
      <c r="AA466" s="76"/>
      <c r="AB466" s="76"/>
      <c r="AC466" s="76"/>
      <c r="AD466" s="76"/>
      <c r="AE466" s="76"/>
      <c r="AF466" s="76"/>
      <c r="AG466" s="76"/>
      <c r="AH466" s="108"/>
      <c r="AI466" s="76"/>
      <c r="AJ466" s="76"/>
      <c r="AK466" s="76"/>
      <c r="AL466" s="76"/>
      <c r="AM466" s="76"/>
      <c r="AN466" s="76"/>
      <c r="AO466" s="76"/>
      <c r="AP466" s="76"/>
      <c r="AQ466" s="76"/>
      <c r="AR466" s="76"/>
    </row>
    <row r="467" spans="1:44" x14ac:dyDescent="0.35">
      <c r="A467" s="31"/>
      <c r="B467" s="107"/>
      <c r="C467" s="32"/>
      <c r="E467" s="33"/>
      <c r="F467" s="33"/>
      <c r="G467" s="12"/>
      <c r="H467" s="35"/>
      <c r="J467" s="12"/>
      <c r="K467" s="35"/>
      <c r="L467" s="92"/>
      <c r="Y467" s="108"/>
      <c r="Z467" s="76"/>
      <c r="AA467" s="76"/>
      <c r="AB467" s="76"/>
      <c r="AC467" s="76"/>
      <c r="AD467" s="76"/>
      <c r="AE467" s="76"/>
      <c r="AF467" s="76"/>
      <c r="AG467" s="76"/>
      <c r="AH467" s="108"/>
      <c r="AI467" s="76"/>
      <c r="AJ467" s="76"/>
      <c r="AK467" s="76"/>
      <c r="AL467" s="76"/>
      <c r="AM467" s="76"/>
      <c r="AN467" s="76"/>
      <c r="AO467" s="76"/>
      <c r="AP467" s="76"/>
      <c r="AQ467" s="76"/>
      <c r="AR467" s="76"/>
    </row>
    <row r="468" spans="1:44" x14ac:dyDescent="0.35">
      <c r="A468" s="31"/>
      <c r="B468" s="107"/>
      <c r="C468" s="32"/>
      <c r="E468" s="33"/>
      <c r="F468" s="33"/>
      <c r="G468" s="12"/>
      <c r="H468" s="35"/>
      <c r="J468" s="12"/>
      <c r="K468" s="35"/>
      <c r="L468" s="92"/>
      <c r="Y468" s="108"/>
      <c r="Z468" s="76"/>
      <c r="AA468" s="76"/>
      <c r="AB468" s="76"/>
      <c r="AC468" s="76"/>
      <c r="AD468" s="76"/>
      <c r="AE468" s="76"/>
      <c r="AF468" s="76"/>
      <c r="AG468" s="76"/>
      <c r="AH468" s="108"/>
      <c r="AI468" s="76"/>
      <c r="AJ468" s="76"/>
      <c r="AK468" s="76"/>
      <c r="AL468" s="76"/>
      <c r="AM468" s="76"/>
      <c r="AN468" s="76"/>
      <c r="AO468" s="76"/>
      <c r="AP468" s="76"/>
      <c r="AQ468" s="76"/>
      <c r="AR468" s="76"/>
    </row>
    <row r="469" spans="1:44" x14ac:dyDescent="0.35">
      <c r="A469" s="31"/>
      <c r="B469" s="107"/>
      <c r="C469" s="32"/>
      <c r="E469" s="33"/>
      <c r="F469" s="33"/>
      <c r="G469" s="12"/>
      <c r="H469" s="35"/>
      <c r="J469" s="12"/>
      <c r="K469" s="35"/>
      <c r="L469" s="92"/>
      <c r="Y469" s="108"/>
      <c r="Z469" s="76"/>
      <c r="AA469" s="76"/>
      <c r="AB469" s="76"/>
      <c r="AC469" s="76"/>
      <c r="AD469" s="76"/>
      <c r="AE469" s="76"/>
      <c r="AF469" s="76"/>
      <c r="AG469" s="76"/>
      <c r="AH469" s="108"/>
      <c r="AI469" s="76"/>
      <c r="AJ469" s="76"/>
      <c r="AK469" s="76"/>
      <c r="AL469" s="76"/>
      <c r="AM469" s="76"/>
      <c r="AN469" s="76"/>
      <c r="AO469" s="76"/>
      <c r="AP469" s="76"/>
      <c r="AQ469" s="76"/>
      <c r="AR469" s="76"/>
    </row>
    <row r="470" spans="1:44" x14ac:dyDescent="0.35">
      <c r="A470" s="31"/>
      <c r="B470" s="107"/>
      <c r="C470" s="32"/>
      <c r="E470" s="33"/>
      <c r="F470" s="33"/>
      <c r="G470" s="12"/>
      <c r="H470" s="35"/>
      <c r="J470" s="12"/>
      <c r="K470" s="47"/>
      <c r="L470" s="92"/>
      <c r="Y470" s="108"/>
      <c r="Z470" s="76"/>
      <c r="AA470" s="76"/>
      <c r="AB470" s="76"/>
      <c r="AC470" s="76"/>
      <c r="AD470" s="76"/>
      <c r="AE470" s="76"/>
      <c r="AF470" s="76"/>
      <c r="AG470" s="76"/>
      <c r="AH470" s="108"/>
      <c r="AI470" s="76"/>
      <c r="AJ470" s="76"/>
      <c r="AK470" s="76"/>
      <c r="AL470" s="76"/>
      <c r="AM470" s="76"/>
      <c r="AN470" s="76"/>
      <c r="AO470" s="76"/>
      <c r="AP470" s="76"/>
      <c r="AQ470" s="76"/>
      <c r="AR470" s="76"/>
    </row>
    <row r="471" spans="1:44" x14ac:dyDescent="0.35">
      <c r="A471" s="31"/>
      <c r="B471" s="107"/>
      <c r="C471" s="32"/>
      <c r="E471" s="48"/>
      <c r="F471" s="48"/>
      <c r="G471" s="12"/>
      <c r="H471" s="49"/>
      <c r="J471" s="12"/>
      <c r="K471" s="49"/>
      <c r="L471" s="92"/>
      <c r="Y471" s="108"/>
      <c r="Z471" s="76"/>
      <c r="AA471" s="76"/>
      <c r="AB471" s="76"/>
      <c r="AC471" s="76"/>
      <c r="AD471" s="76"/>
      <c r="AE471" s="76"/>
      <c r="AF471" s="76"/>
      <c r="AG471" s="76"/>
      <c r="AH471" s="108"/>
      <c r="AI471" s="76"/>
      <c r="AJ471" s="76"/>
      <c r="AK471" s="76"/>
      <c r="AL471" s="76"/>
      <c r="AM471" s="76"/>
      <c r="AN471" s="76"/>
      <c r="AO471" s="76"/>
      <c r="AP471" s="76"/>
      <c r="AQ471" s="76"/>
      <c r="AR471" s="76"/>
    </row>
    <row r="472" spans="1:44" x14ac:dyDescent="0.35">
      <c r="A472" s="31"/>
      <c r="B472" s="107"/>
      <c r="C472" s="32"/>
      <c r="E472" s="48"/>
      <c r="F472" s="48"/>
      <c r="G472" s="12"/>
      <c r="H472" s="49"/>
      <c r="J472" s="12"/>
      <c r="K472" s="49"/>
      <c r="L472" s="92"/>
      <c r="Y472" s="108"/>
      <c r="Z472" s="76"/>
      <c r="AA472" s="76"/>
      <c r="AB472" s="76"/>
      <c r="AC472" s="76"/>
      <c r="AD472" s="76"/>
      <c r="AE472" s="76"/>
      <c r="AF472" s="76"/>
      <c r="AG472" s="76"/>
      <c r="AH472" s="108"/>
      <c r="AI472" s="76"/>
      <c r="AJ472" s="76"/>
      <c r="AK472" s="76"/>
      <c r="AL472" s="76"/>
      <c r="AM472" s="76"/>
      <c r="AN472" s="76"/>
      <c r="AO472" s="76"/>
      <c r="AP472" s="76"/>
      <c r="AQ472" s="76"/>
      <c r="AR472" s="76"/>
    </row>
    <row r="473" spans="1:44" x14ac:dyDescent="0.35">
      <c r="A473" s="31"/>
      <c r="B473" s="107"/>
      <c r="C473" s="32"/>
      <c r="E473" s="48"/>
      <c r="F473" s="48"/>
      <c r="G473" s="12"/>
      <c r="H473" s="49"/>
      <c r="J473" s="12"/>
      <c r="K473" s="49"/>
      <c r="L473" s="92"/>
      <c r="Y473" s="108"/>
      <c r="Z473" s="76"/>
      <c r="AA473" s="76"/>
      <c r="AB473" s="76"/>
      <c r="AC473" s="76"/>
      <c r="AD473" s="76"/>
      <c r="AE473" s="76"/>
      <c r="AF473" s="76"/>
      <c r="AG473" s="76"/>
      <c r="AH473" s="108"/>
      <c r="AI473" s="76"/>
      <c r="AJ473" s="76"/>
      <c r="AK473" s="76"/>
      <c r="AL473" s="76"/>
      <c r="AM473" s="76"/>
      <c r="AN473" s="76"/>
      <c r="AO473" s="76"/>
      <c r="AP473" s="76"/>
      <c r="AQ473" s="76"/>
      <c r="AR473" s="76"/>
    </row>
    <row r="474" spans="1:44" x14ac:dyDescent="0.35">
      <c r="A474" s="31"/>
      <c r="B474" s="107"/>
      <c r="C474" s="32"/>
      <c r="E474" s="33"/>
      <c r="F474" s="33"/>
      <c r="G474" s="12"/>
      <c r="H474" s="35"/>
      <c r="J474" s="12"/>
      <c r="K474" s="39"/>
      <c r="L474" s="92"/>
      <c r="Y474" s="108"/>
      <c r="Z474" s="76"/>
      <c r="AA474" s="76"/>
      <c r="AB474" s="76"/>
      <c r="AC474" s="76"/>
      <c r="AD474" s="76"/>
      <c r="AE474" s="76"/>
      <c r="AF474" s="76"/>
      <c r="AG474" s="76"/>
      <c r="AH474" s="108"/>
      <c r="AI474" s="76"/>
      <c r="AJ474" s="76"/>
      <c r="AK474" s="76"/>
      <c r="AL474" s="76"/>
      <c r="AM474" s="76"/>
      <c r="AN474" s="76"/>
      <c r="AO474" s="76"/>
      <c r="AP474" s="76"/>
      <c r="AQ474" s="76"/>
      <c r="AR474" s="76"/>
    </row>
    <row r="475" spans="1:44" x14ac:dyDescent="0.35">
      <c r="A475" s="31"/>
      <c r="B475" s="107"/>
      <c r="C475" s="32"/>
      <c r="E475" s="33"/>
      <c r="F475" s="33"/>
      <c r="G475" s="12"/>
      <c r="H475" s="35"/>
      <c r="J475" s="12"/>
      <c r="K475" s="47"/>
      <c r="L475" s="92"/>
      <c r="Y475" s="108"/>
      <c r="Z475" s="76"/>
      <c r="AA475" s="76"/>
      <c r="AB475" s="76"/>
      <c r="AC475" s="76"/>
      <c r="AD475" s="76"/>
      <c r="AE475" s="76"/>
      <c r="AF475" s="76"/>
      <c r="AG475" s="76"/>
      <c r="AH475" s="108"/>
      <c r="AI475" s="76"/>
      <c r="AJ475" s="76"/>
      <c r="AK475" s="76"/>
      <c r="AL475" s="76"/>
      <c r="AM475" s="76"/>
      <c r="AN475" s="76"/>
      <c r="AO475" s="76"/>
      <c r="AP475" s="76"/>
      <c r="AQ475" s="76"/>
      <c r="AR475" s="76"/>
    </row>
    <row r="476" spans="1:44" x14ac:dyDescent="0.35">
      <c r="A476" s="31"/>
      <c r="B476" s="107"/>
      <c r="C476" s="32"/>
      <c r="E476" s="33"/>
      <c r="F476" s="33"/>
      <c r="G476" s="12"/>
      <c r="H476" s="35"/>
      <c r="J476" s="12"/>
      <c r="K476" s="35"/>
      <c r="L476" s="92"/>
      <c r="Y476" s="108"/>
      <c r="Z476" s="76"/>
      <c r="AA476" s="76"/>
      <c r="AB476" s="76"/>
      <c r="AC476" s="76"/>
      <c r="AD476" s="76"/>
      <c r="AE476" s="76"/>
      <c r="AF476" s="76"/>
      <c r="AG476" s="76"/>
      <c r="AH476" s="108"/>
      <c r="AI476" s="76"/>
      <c r="AJ476" s="76"/>
      <c r="AK476" s="76"/>
      <c r="AL476" s="76"/>
      <c r="AM476" s="76"/>
      <c r="AN476" s="76"/>
      <c r="AO476" s="76"/>
      <c r="AP476" s="76"/>
      <c r="AQ476" s="76"/>
      <c r="AR476" s="76"/>
    </row>
    <row r="477" spans="1:44" x14ac:dyDescent="0.35">
      <c r="A477" s="31"/>
      <c r="B477" s="107"/>
      <c r="C477" s="32"/>
      <c r="E477" s="33"/>
      <c r="F477" s="33"/>
      <c r="G477" s="12"/>
      <c r="H477" s="35"/>
      <c r="J477" s="12"/>
      <c r="K477" s="35"/>
      <c r="L477" s="92"/>
      <c r="Y477" s="108"/>
      <c r="Z477" s="76"/>
      <c r="AA477" s="76"/>
      <c r="AB477" s="76"/>
      <c r="AC477" s="76"/>
      <c r="AD477" s="76"/>
      <c r="AE477" s="76"/>
      <c r="AF477" s="76"/>
      <c r="AG477" s="76"/>
      <c r="AH477" s="108"/>
      <c r="AI477" s="76"/>
      <c r="AJ477" s="76"/>
      <c r="AK477" s="76"/>
      <c r="AL477" s="76"/>
      <c r="AM477" s="76"/>
      <c r="AN477" s="76"/>
      <c r="AO477" s="76"/>
      <c r="AP477" s="76"/>
      <c r="AQ477" s="76"/>
      <c r="AR477" s="76"/>
    </row>
    <row r="478" spans="1:44" x14ac:dyDescent="0.35">
      <c r="A478" s="31"/>
      <c r="B478" s="107"/>
      <c r="C478" s="32"/>
      <c r="E478" s="33"/>
      <c r="F478" s="33"/>
      <c r="G478" s="12"/>
      <c r="H478" s="35"/>
      <c r="J478" s="12"/>
      <c r="K478" s="35"/>
      <c r="L478" s="92"/>
      <c r="Y478" s="108"/>
      <c r="Z478" s="76"/>
      <c r="AA478" s="76"/>
      <c r="AB478" s="76"/>
      <c r="AC478" s="76"/>
      <c r="AD478" s="76"/>
      <c r="AE478" s="76"/>
      <c r="AF478" s="76"/>
      <c r="AG478" s="76"/>
      <c r="AH478" s="108"/>
      <c r="AI478" s="76"/>
      <c r="AJ478" s="76"/>
      <c r="AK478" s="76"/>
      <c r="AL478" s="76"/>
      <c r="AM478" s="76"/>
      <c r="AN478" s="76"/>
      <c r="AO478" s="76"/>
      <c r="AP478" s="76"/>
      <c r="AQ478" s="76"/>
      <c r="AR478" s="76"/>
    </row>
    <row r="479" spans="1:44" x14ac:dyDescent="0.35">
      <c r="A479" s="31"/>
      <c r="B479" s="107"/>
      <c r="C479" s="32"/>
      <c r="E479" s="33"/>
      <c r="F479" s="33"/>
      <c r="G479" s="12"/>
      <c r="H479" s="35"/>
      <c r="J479" s="12"/>
      <c r="K479" s="35"/>
      <c r="L479" s="92"/>
      <c r="Y479" s="108"/>
      <c r="Z479" s="76"/>
      <c r="AA479" s="76"/>
      <c r="AB479" s="76"/>
      <c r="AC479" s="76"/>
      <c r="AD479" s="76"/>
      <c r="AE479" s="76"/>
      <c r="AF479" s="76"/>
      <c r="AG479" s="76"/>
      <c r="AH479" s="108"/>
      <c r="AI479" s="76"/>
      <c r="AJ479" s="76"/>
      <c r="AK479" s="76"/>
      <c r="AL479" s="76"/>
      <c r="AM479" s="76"/>
      <c r="AN479" s="76"/>
      <c r="AO479" s="76"/>
      <c r="AP479" s="76"/>
      <c r="AQ479" s="76"/>
      <c r="AR479" s="76"/>
    </row>
    <row r="480" spans="1:44" x14ac:dyDescent="0.35">
      <c r="A480" s="31"/>
      <c r="B480" s="107"/>
      <c r="C480" s="32"/>
      <c r="E480" s="33"/>
      <c r="F480" s="33"/>
      <c r="G480" s="12"/>
      <c r="H480" s="35"/>
      <c r="J480" s="12"/>
      <c r="K480" s="35"/>
      <c r="L480" s="92"/>
      <c r="Y480" s="108"/>
      <c r="Z480" s="76"/>
      <c r="AA480" s="76"/>
      <c r="AB480" s="76"/>
      <c r="AC480" s="76"/>
      <c r="AD480" s="76"/>
      <c r="AE480" s="76"/>
      <c r="AF480" s="76"/>
      <c r="AG480" s="76"/>
      <c r="AH480" s="108"/>
      <c r="AI480" s="76"/>
      <c r="AJ480" s="76"/>
      <c r="AK480" s="76"/>
      <c r="AL480" s="76"/>
      <c r="AM480" s="76"/>
      <c r="AN480" s="76"/>
      <c r="AO480" s="76"/>
      <c r="AP480" s="76"/>
      <c r="AQ480" s="76"/>
      <c r="AR480" s="76"/>
    </row>
    <row r="481" spans="1:44" x14ac:dyDescent="0.35">
      <c r="A481" s="31"/>
      <c r="B481" s="107"/>
      <c r="C481" s="32"/>
      <c r="E481" s="33"/>
      <c r="F481" s="33"/>
      <c r="G481" s="12"/>
      <c r="H481" s="35"/>
      <c r="J481" s="12"/>
      <c r="K481" s="35"/>
      <c r="L481" s="92"/>
      <c r="Y481" s="108"/>
      <c r="Z481" s="76"/>
      <c r="AA481" s="76"/>
      <c r="AB481" s="76"/>
      <c r="AC481" s="76"/>
      <c r="AD481" s="76"/>
      <c r="AE481" s="76"/>
      <c r="AF481" s="76"/>
      <c r="AG481" s="76"/>
      <c r="AH481" s="108"/>
      <c r="AI481" s="76"/>
      <c r="AJ481" s="76"/>
      <c r="AK481" s="76"/>
      <c r="AL481" s="76"/>
      <c r="AM481" s="76"/>
      <c r="AN481" s="76"/>
      <c r="AO481" s="76"/>
      <c r="AP481" s="76"/>
      <c r="AQ481" s="76"/>
      <c r="AR481" s="76"/>
    </row>
    <row r="482" spans="1:44" x14ac:dyDescent="0.35">
      <c r="A482" s="31"/>
      <c r="B482" s="107"/>
      <c r="C482" s="32"/>
      <c r="E482" s="33"/>
      <c r="F482" s="33"/>
      <c r="G482" s="12"/>
      <c r="H482" s="35"/>
      <c r="J482" s="12"/>
      <c r="K482" s="35"/>
      <c r="L482" s="92"/>
      <c r="Y482" s="108"/>
      <c r="Z482" s="76"/>
      <c r="AA482" s="76"/>
      <c r="AB482" s="76"/>
      <c r="AC482" s="76"/>
      <c r="AD482" s="76"/>
      <c r="AE482" s="76"/>
      <c r="AF482" s="76"/>
      <c r="AG482" s="76"/>
      <c r="AH482" s="108"/>
      <c r="AI482" s="76"/>
      <c r="AJ482" s="76"/>
      <c r="AK482" s="76"/>
      <c r="AL482" s="76"/>
      <c r="AM482" s="76"/>
      <c r="AN482" s="76"/>
      <c r="AO482" s="76"/>
      <c r="AP482" s="76"/>
      <c r="AQ482" s="76"/>
      <c r="AR482" s="76"/>
    </row>
    <row r="483" spans="1:44" x14ac:dyDescent="0.35">
      <c r="A483" s="31"/>
      <c r="B483" s="107"/>
      <c r="C483" s="32"/>
      <c r="E483" s="33"/>
      <c r="F483" s="33"/>
      <c r="G483" s="12"/>
      <c r="H483" s="35"/>
      <c r="J483" s="12"/>
      <c r="K483" s="35"/>
      <c r="L483" s="92"/>
      <c r="Y483" s="108"/>
      <c r="Z483" s="76"/>
      <c r="AA483" s="76"/>
      <c r="AB483" s="76"/>
      <c r="AC483" s="76"/>
      <c r="AD483" s="76"/>
      <c r="AE483" s="76"/>
      <c r="AF483" s="76"/>
      <c r="AG483" s="76"/>
      <c r="AH483" s="108"/>
      <c r="AI483" s="76"/>
      <c r="AJ483" s="76"/>
      <c r="AK483" s="76"/>
      <c r="AL483" s="76"/>
      <c r="AM483" s="76"/>
      <c r="AN483" s="76"/>
      <c r="AO483" s="76"/>
      <c r="AP483" s="76"/>
      <c r="AQ483" s="76"/>
      <c r="AR483" s="76"/>
    </row>
    <row r="484" spans="1:44" x14ac:dyDescent="0.35">
      <c r="A484" s="31"/>
      <c r="B484" s="107"/>
      <c r="C484" s="32"/>
      <c r="E484" s="33"/>
      <c r="F484" s="33"/>
      <c r="G484" s="12"/>
      <c r="H484" s="35"/>
      <c r="J484" s="12"/>
      <c r="K484" s="35"/>
      <c r="L484" s="92"/>
      <c r="Y484" s="108"/>
      <c r="Z484" s="76"/>
      <c r="AA484" s="76"/>
      <c r="AB484" s="76"/>
      <c r="AC484" s="76"/>
      <c r="AD484" s="76"/>
      <c r="AE484" s="76"/>
      <c r="AF484" s="76"/>
      <c r="AG484" s="76"/>
      <c r="AH484" s="108"/>
      <c r="AI484" s="76"/>
      <c r="AJ484" s="76"/>
      <c r="AK484" s="76"/>
      <c r="AL484" s="76"/>
      <c r="AM484" s="76"/>
      <c r="AN484" s="76"/>
      <c r="AO484" s="76"/>
      <c r="AP484" s="76"/>
      <c r="AQ484" s="76"/>
      <c r="AR484" s="76"/>
    </row>
    <row r="485" spans="1:44" x14ac:dyDescent="0.35">
      <c r="A485" s="31"/>
      <c r="B485" s="107"/>
      <c r="C485" s="32"/>
      <c r="E485" s="33"/>
      <c r="F485" s="33"/>
      <c r="G485" s="12"/>
      <c r="H485" s="35"/>
      <c r="J485" s="12"/>
      <c r="K485" s="35"/>
      <c r="L485" s="92"/>
      <c r="Y485" s="108"/>
      <c r="Z485" s="76"/>
      <c r="AA485" s="76"/>
      <c r="AB485" s="76"/>
      <c r="AC485" s="76"/>
      <c r="AD485" s="76"/>
      <c r="AE485" s="76"/>
      <c r="AF485" s="76"/>
      <c r="AG485" s="76"/>
      <c r="AH485" s="108"/>
      <c r="AI485" s="76"/>
      <c r="AJ485" s="76"/>
      <c r="AK485" s="76"/>
      <c r="AL485" s="76"/>
      <c r="AM485" s="76"/>
      <c r="AN485" s="76"/>
      <c r="AO485" s="76"/>
      <c r="AP485" s="76"/>
      <c r="AQ485" s="76"/>
      <c r="AR485" s="76"/>
    </row>
    <row r="486" spans="1:44" x14ac:dyDescent="0.35">
      <c r="A486" s="31"/>
      <c r="B486" s="107"/>
      <c r="C486" s="32"/>
      <c r="E486" s="33"/>
      <c r="F486" s="33"/>
      <c r="G486" s="12"/>
      <c r="H486" s="35"/>
      <c r="J486" s="12"/>
      <c r="K486" s="35"/>
      <c r="L486" s="92"/>
      <c r="Y486" s="108"/>
      <c r="Z486" s="76"/>
      <c r="AA486" s="76"/>
      <c r="AB486" s="76"/>
      <c r="AC486" s="76"/>
      <c r="AD486" s="76"/>
      <c r="AE486" s="76"/>
      <c r="AF486" s="76"/>
      <c r="AG486" s="76"/>
      <c r="AH486" s="108"/>
      <c r="AI486" s="76"/>
      <c r="AJ486" s="76"/>
      <c r="AK486" s="76"/>
      <c r="AL486" s="76"/>
      <c r="AM486" s="76"/>
      <c r="AN486" s="76"/>
      <c r="AO486" s="76"/>
      <c r="AP486" s="76"/>
      <c r="AQ486" s="76"/>
      <c r="AR486" s="76"/>
    </row>
    <row r="487" spans="1:44" x14ac:dyDescent="0.35">
      <c r="A487" s="31"/>
      <c r="B487" s="107"/>
      <c r="C487" s="32"/>
      <c r="E487" s="33"/>
      <c r="F487" s="33"/>
      <c r="G487" s="12"/>
      <c r="H487" s="35"/>
      <c r="J487" s="12"/>
      <c r="K487" s="35"/>
      <c r="L487" s="92"/>
      <c r="Y487" s="108"/>
      <c r="Z487" s="76"/>
      <c r="AA487" s="76"/>
      <c r="AB487" s="76"/>
      <c r="AC487" s="76"/>
      <c r="AD487" s="76"/>
      <c r="AE487" s="76"/>
      <c r="AF487" s="76"/>
      <c r="AG487" s="76"/>
      <c r="AH487" s="108"/>
      <c r="AI487" s="76"/>
      <c r="AJ487" s="76"/>
      <c r="AK487" s="76"/>
      <c r="AL487" s="76"/>
      <c r="AM487" s="76"/>
      <c r="AN487" s="76"/>
      <c r="AO487" s="76"/>
      <c r="AP487" s="76"/>
      <c r="AQ487" s="76"/>
      <c r="AR487" s="76"/>
    </row>
    <row r="488" spans="1:44" x14ac:dyDescent="0.35">
      <c r="A488" s="31"/>
      <c r="B488" s="107"/>
      <c r="C488" s="32"/>
      <c r="E488" s="33"/>
      <c r="F488" s="33"/>
      <c r="G488" s="12"/>
      <c r="H488" s="35"/>
      <c r="J488" s="12"/>
      <c r="K488" s="35"/>
      <c r="L488" s="92"/>
      <c r="Y488" s="108"/>
      <c r="Z488" s="76"/>
      <c r="AA488" s="76"/>
      <c r="AB488" s="76"/>
      <c r="AC488" s="76"/>
      <c r="AD488" s="76"/>
      <c r="AE488" s="76"/>
      <c r="AF488" s="76"/>
      <c r="AG488" s="76"/>
      <c r="AH488" s="108"/>
      <c r="AI488" s="76"/>
      <c r="AJ488" s="76"/>
      <c r="AK488" s="76"/>
      <c r="AL488" s="76"/>
      <c r="AM488" s="76"/>
      <c r="AN488" s="76"/>
      <c r="AO488" s="76"/>
      <c r="AP488" s="76"/>
      <c r="AQ488" s="76"/>
      <c r="AR488" s="76"/>
    </row>
    <row r="489" spans="1:44" x14ac:dyDescent="0.35">
      <c r="A489" s="31"/>
      <c r="B489" s="107"/>
      <c r="C489" s="32"/>
      <c r="E489" s="33"/>
      <c r="F489" s="33"/>
      <c r="G489" s="12"/>
      <c r="H489" s="35"/>
      <c r="J489" s="12"/>
      <c r="K489" s="35"/>
      <c r="L489" s="92"/>
      <c r="Y489" s="108"/>
      <c r="Z489" s="76"/>
      <c r="AA489" s="76"/>
      <c r="AB489" s="76"/>
      <c r="AC489" s="76"/>
      <c r="AD489" s="76"/>
      <c r="AE489" s="76"/>
      <c r="AF489" s="76"/>
      <c r="AG489" s="76"/>
      <c r="AH489" s="108"/>
      <c r="AI489" s="76"/>
      <c r="AJ489" s="76"/>
      <c r="AK489" s="76"/>
      <c r="AL489" s="76"/>
      <c r="AM489" s="76"/>
      <c r="AN489" s="76"/>
      <c r="AO489" s="76"/>
      <c r="AP489" s="76"/>
      <c r="AQ489" s="76"/>
      <c r="AR489" s="76"/>
    </row>
    <row r="490" spans="1:44" x14ac:dyDescent="0.35">
      <c r="A490" s="31"/>
      <c r="B490" s="107"/>
      <c r="C490" s="32"/>
      <c r="E490" s="33"/>
      <c r="F490" s="33"/>
      <c r="G490" s="12"/>
      <c r="H490" s="35"/>
      <c r="J490" s="12"/>
      <c r="K490" s="35"/>
      <c r="L490" s="92"/>
      <c r="Y490" s="108"/>
      <c r="Z490" s="76"/>
      <c r="AA490" s="76"/>
      <c r="AB490" s="76"/>
      <c r="AC490" s="76"/>
      <c r="AD490" s="76"/>
      <c r="AE490" s="76"/>
      <c r="AF490" s="76"/>
      <c r="AG490" s="76"/>
      <c r="AH490" s="108"/>
      <c r="AI490" s="76"/>
      <c r="AJ490" s="76"/>
      <c r="AK490" s="76"/>
      <c r="AL490" s="76"/>
      <c r="AM490" s="76"/>
      <c r="AN490" s="76"/>
      <c r="AO490" s="76"/>
      <c r="AP490" s="76"/>
      <c r="AQ490" s="76"/>
      <c r="AR490" s="76"/>
    </row>
    <row r="491" spans="1:44" x14ac:dyDescent="0.35">
      <c r="A491" s="31"/>
      <c r="B491" s="107"/>
      <c r="C491" s="32"/>
      <c r="E491" s="33"/>
      <c r="F491" s="33"/>
      <c r="G491" s="12"/>
      <c r="H491" s="35"/>
      <c r="J491" s="12"/>
      <c r="K491" s="35"/>
      <c r="L491" s="92"/>
      <c r="Y491" s="108"/>
      <c r="Z491" s="76"/>
      <c r="AA491" s="76"/>
      <c r="AB491" s="76"/>
      <c r="AC491" s="76"/>
      <c r="AD491" s="76"/>
      <c r="AE491" s="76"/>
      <c r="AF491" s="76"/>
      <c r="AG491" s="76"/>
      <c r="AH491" s="108"/>
      <c r="AI491" s="76"/>
      <c r="AJ491" s="76"/>
      <c r="AK491" s="76"/>
      <c r="AL491" s="76"/>
      <c r="AM491" s="76"/>
      <c r="AN491" s="76"/>
      <c r="AO491" s="76"/>
      <c r="AP491" s="76"/>
      <c r="AQ491" s="76"/>
      <c r="AR491" s="76"/>
    </row>
    <row r="492" spans="1:44" x14ac:dyDescent="0.35">
      <c r="A492" s="31"/>
      <c r="B492" s="107"/>
      <c r="C492" s="32"/>
      <c r="E492" s="33"/>
      <c r="F492" s="33"/>
      <c r="G492" s="12"/>
      <c r="H492" s="32"/>
      <c r="J492" s="12"/>
      <c r="K492" s="32"/>
      <c r="L492" s="92"/>
      <c r="Y492" s="108"/>
      <c r="Z492" s="76"/>
      <c r="AA492" s="76"/>
      <c r="AB492" s="76"/>
      <c r="AC492" s="76"/>
      <c r="AD492" s="76"/>
      <c r="AE492" s="76"/>
      <c r="AF492" s="76"/>
      <c r="AG492" s="76"/>
      <c r="AH492" s="108"/>
      <c r="AI492" s="76"/>
      <c r="AJ492" s="76"/>
      <c r="AK492" s="76"/>
      <c r="AL492" s="76"/>
      <c r="AM492" s="76"/>
      <c r="AN492" s="76"/>
      <c r="AO492" s="76"/>
      <c r="AP492" s="76"/>
      <c r="AQ492" s="76"/>
      <c r="AR492" s="76"/>
    </row>
    <row r="493" spans="1:44" x14ac:dyDescent="0.35">
      <c r="A493" s="31"/>
      <c r="B493" s="107"/>
      <c r="C493" s="32"/>
      <c r="E493" s="33"/>
      <c r="F493" s="33"/>
      <c r="G493" s="12"/>
      <c r="H493" s="32"/>
      <c r="J493" s="12"/>
      <c r="K493" s="32"/>
      <c r="L493" s="92"/>
      <c r="Y493" s="108"/>
      <c r="Z493" s="76"/>
      <c r="AA493" s="76"/>
      <c r="AB493" s="76"/>
      <c r="AC493" s="76"/>
      <c r="AD493" s="76"/>
      <c r="AE493" s="76"/>
      <c r="AF493" s="76"/>
      <c r="AG493" s="76"/>
      <c r="AH493" s="108"/>
      <c r="AI493" s="76"/>
      <c r="AJ493" s="76"/>
      <c r="AK493" s="76"/>
      <c r="AL493" s="76"/>
      <c r="AM493" s="76"/>
      <c r="AN493" s="76"/>
      <c r="AO493" s="76"/>
      <c r="AP493" s="76"/>
      <c r="AQ493" s="76"/>
      <c r="AR493" s="76"/>
    </row>
    <row r="494" spans="1:44" x14ac:dyDescent="0.35">
      <c r="A494" s="31"/>
      <c r="B494" s="107"/>
      <c r="C494" s="32"/>
      <c r="E494" s="33"/>
      <c r="F494" s="33"/>
      <c r="G494" s="12"/>
      <c r="H494" s="32"/>
      <c r="J494" s="12"/>
      <c r="K494" s="32"/>
      <c r="L494" s="92"/>
      <c r="Y494" s="108"/>
      <c r="Z494" s="76"/>
      <c r="AA494" s="76"/>
      <c r="AB494" s="76"/>
      <c r="AC494" s="76"/>
      <c r="AD494" s="76"/>
      <c r="AE494" s="76"/>
      <c r="AF494" s="76"/>
      <c r="AG494" s="76"/>
      <c r="AH494" s="108"/>
      <c r="AI494" s="76"/>
      <c r="AJ494" s="76"/>
      <c r="AK494" s="76"/>
      <c r="AL494" s="76"/>
      <c r="AM494" s="76"/>
      <c r="AN494" s="76"/>
      <c r="AO494" s="76"/>
      <c r="AP494" s="76"/>
      <c r="AQ494" s="76"/>
      <c r="AR494" s="76"/>
    </row>
    <row r="495" spans="1:44" x14ac:dyDescent="0.35">
      <c r="A495" s="31"/>
      <c r="B495" s="107"/>
      <c r="C495" s="32"/>
      <c r="E495" s="33"/>
      <c r="F495" s="33"/>
      <c r="G495" s="12"/>
      <c r="H495" s="32"/>
      <c r="J495" s="12"/>
      <c r="K495" s="32"/>
      <c r="L495" s="92"/>
      <c r="Y495" s="108"/>
      <c r="Z495" s="76"/>
      <c r="AA495" s="76"/>
      <c r="AB495" s="76"/>
      <c r="AC495" s="76"/>
      <c r="AD495" s="76"/>
      <c r="AE495" s="76"/>
      <c r="AF495" s="76"/>
      <c r="AG495" s="76"/>
      <c r="AH495" s="108"/>
      <c r="AI495" s="76"/>
      <c r="AJ495" s="76"/>
      <c r="AK495" s="76"/>
      <c r="AL495" s="76"/>
      <c r="AM495" s="76"/>
      <c r="AN495" s="76"/>
      <c r="AO495" s="76"/>
      <c r="AP495" s="76"/>
      <c r="AQ495" s="76"/>
      <c r="AR495" s="76"/>
    </row>
    <row r="496" spans="1:44" x14ac:dyDescent="0.35">
      <c r="A496" s="31"/>
      <c r="B496" s="107"/>
      <c r="C496" s="32"/>
      <c r="E496" s="33"/>
      <c r="F496" s="33"/>
      <c r="G496" s="12"/>
      <c r="H496" s="32"/>
      <c r="J496" s="12"/>
      <c r="K496" s="32"/>
      <c r="L496" s="92"/>
      <c r="Y496" s="108"/>
      <c r="Z496" s="76"/>
      <c r="AA496" s="76"/>
      <c r="AB496" s="76"/>
      <c r="AC496" s="76"/>
      <c r="AD496" s="76"/>
      <c r="AE496" s="76"/>
      <c r="AF496" s="76"/>
      <c r="AG496" s="76"/>
      <c r="AH496" s="108"/>
      <c r="AI496" s="76"/>
      <c r="AJ496" s="76"/>
      <c r="AK496" s="76"/>
      <c r="AL496" s="76"/>
      <c r="AM496" s="76"/>
      <c r="AN496" s="76"/>
      <c r="AO496" s="76"/>
      <c r="AP496" s="76"/>
      <c r="AQ496" s="76"/>
      <c r="AR496" s="76"/>
    </row>
    <row r="497" spans="1:44" x14ac:dyDescent="0.35">
      <c r="A497" s="31"/>
      <c r="B497" s="107"/>
      <c r="C497" s="32"/>
      <c r="E497" s="33"/>
      <c r="F497" s="33"/>
      <c r="G497" s="12"/>
      <c r="H497" s="32"/>
      <c r="J497" s="12"/>
      <c r="K497" s="32"/>
      <c r="L497" s="92"/>
      <c r="Y497" s="108"/>
      <c r="Z497" s="76"/>
      <c r="AA497" s="76"/>
      <c r="AB497" s="76"/>
      <c r="AC497" s="76"/>
      <c r="AD497" s="76"/>
      <c r="AE497" s="76"/>
      <c r="AF497" s="76"/>
      <c r="AG497" s="76"/>
      <c r="AH497" s="108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</row>
    <row r="498" spans="1:44" x14ac:dyDescent="0.35">
      <c r="A498" s="31"/>
      <c r="B498" s="107"/>
      <c r="C498" s="32"/>
      <c r="E498" s="33"/>
      <c r="F498" s="33"/>
      <c r="G498" s="12"/>
      <c r="H498" s="32"/>
      <c r="J498" s="12"/>
      <c r="K498" s="32"/>
      <c r="L498" s="92"/>
      <c r="Y498" s="108"/>
      <c r="Z498" s="76"/>
      <c r="AA498" s="76"/>
      <c r="AB498" s="76"/>
      <c r="AC498" s="76"/>
      <c r="AD498" s="76"/>
      <c r="AE498" s="76"/>
      <c r="AF498" s="76"/>
      <c r="AG498" s="76"/>
      <c r="AH498" s="108"/>
      <c r="AI498" s="76"/>
      <c r="AJ498" s="76"/>
      <c r="AK498" s="76"/>
      <c r="AL498" s="76"/>
      <c r="AM498" s="76"/>
      <c r="AN498" s="76"/>
      <c r="AO498" s="76"/>
      <c r="AP498" s="76"/>
      <c r="AQ498" s="76"/>
      <c r="AR498" s="76"/>
    </row>
    <row r="499" spans="1:44" x14ac:dyDescent="0.35">
      <c r="A499" s="31"/>
      <c r="B499" s="107"/>
      <c r="C499" s="32"/>
      <c r="E499" s="33"/>
      <c r="F499" s="33"/>
      <c r="G499" s="12"/>
      <c r="H499" s="32"/>
      <c r="J499" s="12"/>
      <c r="K499" s="32"/>
      <c r="L499" s="92"/>
      <c r="Y499" s="108"/>
      <c r="Z499" s="76"/>
      <c r="AA499" s="76"/>
      <c r="AB499" s="76"/>
      <c r="AC499" s="76"/>
      <c r="AD499" s="76"/>
      <c r="AE499" s="76"/>
      <c r="AF499" s="76"/>
      <c r="AG499" s="76"/>
      <c r="AH499" s="108"/>
      <c r="AI499" s="76"/>
      <c r="AJ499" s="76"/>
      <c r="AK499" s="76"/>
      <c r="AL499" s="76"/>
      <c r="AM499" s="76"/>
      <c r="AN499" s="76"/>
      <c r="AO499" s="76"/>
      <c r="AP499" s="76"/>
      <c r="AQ499" s="76"/>
      <c r="AR499" s="76"/>
    </row>
    <row r="500" spans="1:44" x14ac:dyDescent="0.35">
      <c r="A500" s="31"/>
      <c r="B500" s="107"/>
      <c r="C500" s="32"/>
      <c r="E500" s="33"/>
      <c r="F500" s="33"/>
      <c r="G500" s="12"/>
      <c r="H500" s="32"/>
      <c r="J500" s="12"/>
      <c r="K500" s="32"/>
      <c r="L500" s="92"/>
      <c r="Y500" s="108"/>
      <c r="Z500" s="76"/>
      <c r="AA500" s="76"/>
      <c r="AB500" s="76"/>
      <c r="AC500" s="76"/>
      <c r="AD500" s="76"/>
      <c r="AE500" s="76"/>
      <c r="AF500" s="76"/>
      <c r="AG500" s="76"/>
      <c r="AH500" s="108"/>
      <c r="AI500" s="76"/>
      <c r="AJ500" s="76"/>
      <c r="AK500" s="76"/>
      <c r="AL500" s="76"/>
      <c r="AM500" s="76"/>
      <c r="AN500" s="76"/>
      <c r="AO500" s="76"/>
      <c r="AP500" s="76"/>
      <c r="AQ500" s="76"/>
      <c r="AR500" s="76"/>
    </row>
    <row r="501" spans="1:44" x14ac:dyDescent="0.35">
      <c r="A501" s="31"/>
      <c r="B501" s="107"/>
      <c r="C501" s="32"/>
      <c r="E501" s="33"/>
      <c r="F501" s="33"/>
      <c r="G501" s="12"/>
      <c r="H501" s="32"/>
      <c r="J501" s="12"/>
      <c r="K501" s="32"/>
      <c r="L501" s="92"/>
      <c r="Y501" s="108"/>
      <c r="Z501" s="76"/>
      <c r="AA501" s="76"/>
      <c r="AB501" s="76"/>
      <c r="AC501" s="76"/>
      <c r="AD501" s="76"/>
      <c r="AE501" s="76"/>
      <c r="AF501" s="76"/>
      <c r="AG501" s="76"/>
      <c r="AH501" s="108"/>
      <c r="AI501" s="76"/>
      <c r="AJ501" s="76"/>
      <c r="AK501" s="76"/>
      <c r="AL501" s="76"/>
      <c r="AM501" s="76"/>
      <c r="AN501" s="76"/>
      <c r="AO501" s="76"/>
      <c r="AP501" s="76"/>
      <c r="AQ501" s="76"/>
      <c r="AR501" s="76"/>
    </row>
    <row r="502" spans="1:44" x14ac:dyDescent="0.35">
      <c r="A502" s="31"/>
      <c r="B502" s="107"/>
      <c r="C502" s="32"/>
      <c r="E502" s="33"/>
      <c r="F502" s="33"/>
      <c r="G502" s="12"/>
      <c r="H502" s="32"/>
      <c r="J502" s="12"/>
      <c r="K502" s="32"/>
      <c r="L502" s="92"/>
      <c r="Y502" s="108"/>
      <c r="Z502" s="76"/>
      <c r="AA502" s="76"/>
      <c r="AB502" s="76"/>
      <c r="AC502" s="76"/>
      <c r="AD502" s="76"/>
      <c r="AE502" s="76"/>
      <c r="AF502" s="76"/>
      <c r="AG502" s="76"/>
      <c r="AH502" s="108"/>
      <c r="AI502" s="76"/>
      <c r="AJ502" s="76"/>
      <c r="AK502" s="76"/>
      <c r="AL502" s="76"/>
      <c r="AM502" s="76"/>
      <c r="AN502" s="76"/>
      <c r="AO502" s="76"/>
      <c r="AP502" s="76"/>
      <c r="AQ502" s="76"/>
      <c r="AR502" s="76"/>
    </row>
    <row r="503" spans="1:44" x14ac:dyDescent="0.35">
      <c r="A503" s="31"/>
      <c r="B503" s="107"/>
      <c r="C503" s="32"/>
      <c r="E503" s="33"/>
      <c r="F503" s="33"/>
      <c r="G503" s="12"/>
      <c r="H503" s="32"/>
      <c r="J503" s="12"/>
      <c r="K503" s="32"/>
      <c r="L503" s="92"/>
      <c r="Y503" s="108"/>
      <c r="Z503" s="76"/>
      <c r="AA503" s="76"/>
      <c r="AB503" s="76"/>
      <c r="AC503" s="76"/>
      <c r="AD503" s="76"/>
      <c r="AE503" s="76"/>
      <c r="AF503" s="76"/>
      <c r="AG503" s="76"/>
      <c r="AH503" s="108"/>
      <c r="AI503" s="76"/>
      <c r="AJ503" s="76"/>
      <c r="AK503" s="76"/>
      <c r="AL503" s="76"/>
      <c r="AM503" s="76"/>
      <c r="AN503" s="76"/>
      <c r="AO503" s="76"/>
      <c r="AP503" s="76"/>
      <c r="AQ503" s="76"/>
      <c r="AR503" s="76"/>
    </row>
    <row r="504" spans="1:44" x14ac:dyDescent="0.35">
      <c r="A504" s="31"/>
      <c r="B504" s="107"/>
      <c r="C504" s="32"/>
      <c r="E504" s="33"/>
      <c r="F504" s="33"/>
      <c r="G504" s="12"/>
      <c r="H504" s="32"/>
      <c r="J504" s="12"/>
      <c r="K504" s="32"/>
      <c r="L504" s="92"/>
      <c r="Y504" s="108"/>
      <c r="Z504" s="76"/>
      <c r="AA504" s="76"/>
      <c r="AB504" s="76"/>
      <c r="AC504" s="76"/>
      <c r="AD504" s="76"/>
      <c r="AE504" s="76"/>
      <c r="AF504" s="76"/>
      <c r="AG504" s="76"/>
      <c r="AH504" s="108"/>
      <c r="AI504" s="76"/>
      <c r="AJ504" s="76"/>
      <c r="AK504" s="76"/>
      <c r="AL504" s="76"/>
      <c r="AM504" s="76"/>
      <c r="AN504" s="76"/>
      <c r="AO504" s="76"/>
      <c r="AP504" s="76"/>
      <c r="AQ504" s="76"/>
      <c r="AR504" s="76"/>
    </row>
    <row r="505" spans="1:44" x14ac:dyDescent="0.35">
      <c r="A505" s="31"/>
      <c r="B505" s="107"/>
      <c r="C505" s="32"/>
      <c r="E505" s="33"/>
      <c r="F505" s="33"/>
      <c r="G505" s="12"/>
      <c r="H505" s="32"/>
      <c r="J505" s="12"/>
      <c r="K505" s="32"/>
      <c r="L505" s="92"/>
      <c r="Y505" s="108"/>
      <c r="Z505" s="76"/>
      <c r="AA505" s="76"/>
      <c r="AB505" s="76"/>
      <c r="AC505" s="76"/>
      <c r="AD505" s="76"/>
      <c r="AE505" s="76"/>
      <c r="AF505" s="76"/>
      <c r="AG505" s="76"/>
      <c r="AH505" s="108"/>
      <c r="AI505" s="76"/>
      <c r="AJ505" s="76"/>
      <c r="AK505" s="76"/>
      <c r="AL505" s="76"/>
      <c r="AM505" s="76"/>
      <c r="AN505" s="76"/>
      <c r="AO505" s="76"/>
      <c r="AP505" s="76"/>
      <c r="AQ505" s="76"/>
      <c r="AR505" s="76"/>
    </row>
    <row r="506" spans="1:44" x14ac:dyDescent="0.35">
      <c r="A506" s="31"/>
      <c r="B506" s="107"/>
      <c r="C506" s="32"/>
      <c r="E506" s="33"/>
      <c r="F506" s="33"/>
      <c r="G506" s="12"/>
      <c r="H506" s="32"/>
      <c r="J506" s="12"/>
      <c r="K506" s="32"/>
      <c r="L506" s="92"/>
      <c r="Y506" s="108"/>
      <c r="Z506" s="76"/>
      <c r="AA506" s="76"/>
      <c r="AB506" s="76"/>
      <c r="AC506" s="76"/>
      <c r="AD506" s="76"/>
      <c r="AE506" s="76"/>
      <c r="AF506" s="76"/>
      <c r="AG506" s="76"/>
      <c r="AH506" s="108"/>
      <c r="AI506" s="76"/>
      <c r="AJ506" s="76"/>
      <c r="AK506" s="76"/>
      <c r="AL506" s="76"/>
      <c r="AM506" s="76"/>
      <c r="AN506" s="76"/>
      <c r="AO506" s="76"/>
      <c r="AP506" s="76"/>
      <c r="AQ506" s="76"/>
      <c r="AR506" s="76"/>
    </row>
    <row r="507" spans="1:44" x14ac:dyDescent="0.35">
      <c r="A507" s="31"/>
      <c r="B507" s="107"/>
      <c r="C507" s="32"/>
      <c r="E507" s="33"/>
      <c r="F507" s="33"/>
      <c r="G507" s="12"/>
      <c r="H507" s="32"/>
      <c r="J507" s="12"/>
      <c r="K507" s="32"/>
      <c r="L507" s="92"/>
      <c r="Y507" s="108"/>
      <c r="Z507" s="76"/>
      <c r="AA507" s="76"/>
      <c r="AB507" s="76"/>
      <c r="AC507" s="76"/>
      <c r="AD507" s="76"/>
      <c r="AE507" s="76"/>
      <c r="AF507" s="76"/>
      <c r="AG507" s="76"/>
      <c r="AH507" s="108"/>
      <c r="AI507" s="76"/>
      <c r="AJ507" s="76"/>
      <c r="AK507" s="76"/>
      <c r="AL507" s="76"/>
      <c r="AM507" s="76"/>
      <c r="AN507" s="76"/>
      <c r="AO507" s="76"/>
      <c r="AP507" s="76"/>
      <c r="AQ507" s="76"/>
      <c r="AR507" s="76"/>
    </row>
    <row r="508" spans="1:44" x14ac:dyDescent="0.35">
      <c r="A508" s="31"/>
      <c r="B508" s="107"/>
      <c r="C508" s="32"/>
      <c r="E508" s="33"/>
      <c r="F508" s="33"/>
      <c r="G508" s="12"/>
      <c r="H508" s="32"/>
      <c r="J508" s="12"/>
      <c r="K508" s="32"/>
      <c r="L508" s="92"/>
      <c r="Y508" s="108"/>
      <c r="Z508" s="76"/>
      <c r="AA508" s="76"/>
      <c r="AB508" s="76"/>
      <c r="AC508" s="76"/>
      <c r="AD508" s="76"/>
      <c r="AE508" s="76"/>
      <c r="AF508" s="76"/>
      <c r="AG508" s="76"/>
      <c r="AH508" s="108"/>
      <c r="AI508" s="76"/>
      <c r="AJ508" s="76"/>
      <c r="AK508" s="76"/>
      <c r="AL508" s="76"/>
      <c r="AM508" s="76"/>
      <c r="AN508" s="76"/>
      <c r="AO508" s="76"/>
      <c r="AP508" s="76"/>
      <c r="AQ508" s="76"/>
      <c r="AR508" s="76"/>
    </row>
    <row r="509" spans="1:44" x14ac:dyDescent="0.35">
      <c r="A509" s="31"/>
      <c r="B509" s="107"/>
      <c r="C509" s="32"/>
      <c r="E509" s="33"/>
      <c r="F509" s="33"/>
      <c r="G509" s="12"/>
      <c r="H509" s="32"/>
      <c r="J509" s="12"/>
      <c r="K509" s="32"/>
      <c r="L509" s="92"/>
      <c r="Y509" s="108"/>
      <c r="Z509" s="76"/>
      <c r="AA509" s="76"/>
      <c r="AB509" s="76"/>
      <c r="AC509" s="76"/>
      <c r="AD509" s="76"/>
      <c r="AE509" s="76"/>
      <c r="AF509" s="76"/>
      <c r="AG509" s="76"/>
      <c r="AH509" s="108"/>
      <c r="AI509" s="76"/>
      <c r="AJ509" s="76"/>
      <c r="AK509" s="76"/>
      <c r="AL509" s="76"/>
      <c r="AM509" s="76"/>
      <c r="AN509" s="76"/>
      <c r="AO509" s="76"/>
      <c r="AP509" s="76"/>
      <c r="AQ509" s="76"/>
      <c r="AR509" s="76"/>
    </row>
    <row r="510" spans="1:44" x14ac:dyDescent="0.35">
      <c r="A510" s="31"/>
      <c r="B510" s="107"/>
      <c r="C510" s="32"/>
      <c r="E510" s="33"/>
      <c r="F510" s="33"/>
      <c r="G510" s="12"/>
      <c r="H510" s="32"/>
      <c r="J510" s="12"/>
      <c r="K510" s="32"/>
      <c r="L510" s="92"/>
      <c r="Y510" s="108"/>
      <c r="Z510" s="76"/>
      <c r="AA510" s="76"/>
      <c r="AB510" s="76"/>
      <c r="AC510" s="76"/>
      <c r="AD510" s="76"/>
      <c r="AE510" s="76"/>
      <c r="AF510" s="76"/>
      <c r="AG510" s="76"/>
      <c r="AH510" s="108"/>
      <c r="AI510" s="76"/>
      <c r="AJ510" s="76"/>
      <c r="AK510" s="76"/>
      <c r="AL510" s="76"/>
      <c r="AM510" s="76"/>
      <c r="AN510" s="76"/>
      <c r="AO510" s="76"/>
      <c r="AP510" s="76"/>
      <c r="AQ510" s="76"/>
      <c r="AR510" s="76"/>
    </row>
    <row r="511" spans="1:44" x14ac:dyDescent="0.35">
      <c r="A511" s="31"/>
      <c r="B511" s="107"/>
      <c r="C511" s="32"/>
      <c r="E511" s="33"/>
      <c r="F511" s="33"/>
      <c r="G511" s="12"/>
      <c r="H511" s="35"/>
      <c r="J511" s="12"/>
      <c r="K511" s="32"/>
      <c r="L511" s="92"/>
      <c r="Y511" s="108"/>
      <c r="Z511" s="76"/>
      <c r="AA511" s="76"/>
      <c r="AB511" s="76"/>
      <c r="AC511" s="76"/>
      <c r="AD511" s="76"/>
      <c r="AE511" s="76"/>
      <c r="AF511" s="76"/>
      <c r="AG511" s="76"/>
      <c r="AH511" s="108"/>
      <c r="AI511" s="76"/>
      <c r="AJ511" s="76"/>
      <c r="AK511" s="76"/>
      <c r="AL511" s="76"/>
      <c r="AM511" s="76"/>
      <c r="AN511" s="76"/>
      <c r="AO511" s="76"/>
      <c r="AP511" s="76"/>
      <c r="AQ511" s="76"/>
      <c r="AR511" s="76"/>
    </row>
    <row r="512" spans="1:44" x14ac:dyDescent="0.35">
      <c r="B512" s="107"/>
      <c r="G512" s="12"/>
      <c r="J512" s="12"/>
      <c r="L512" s="92"/>
      <c r="Y512" s="108"/>
      <c r="Z512" s="76"/>
      <c r="AA512" s="76"/>
      <c r="AB512" s="76"/>
      <c r="AC512" s="76"/>
      <c r="AD512" s="76"/>
      <c r="AE512" s="76"/>
      <c r="AF512" s="76"/>
      <c r="AG512" s="76"/>
      <c r="AH512" s="108"/>
      <c r="AI512" s="76"/>
      <c r="AJ512" s="76"/>
      <c r="AK512" s="76"/>
      <c r="AL512" s="76"/>
      <c r="AM512" s="76"/>
      <c r="AN512" s="76"/>
      <c r="AO512" s="76"/>
      <c r="AP512" s="76"/>
      <c r="AQ512" s="76"/>
      <c r="AR512" s="76"/>
    </row>
    <row r="513" spans="2:44" x14ac:dyDescent="0.35">
      <c r="B513" s="107"/>
      <c r="G513" s="12"/>
      <c r="J513" s="12"/>
      <c r="L513" s="92"/>
      <c r="Y513" s="108"/>
      <c r="Z513" s="76"/>
      <c r="AA513" s="76"/>
      <c r="AB513" s="76"/>
      <c r="AC513" s="76"/>
      <c r="AD513" s="76"/>
      <c r="AE513" s="76"/>
      <c r="AF513" s="76"/>
      <c r="AG513" s="76"/>
      <c r="AH513" s="108"/>
      <c r="AI513" s="76"/>
      <c r="AJ513" s="76"/>
      <c r="AK513" s="76"/>
      <c r="AL513" s="76"/>
      <c r="AM513" s="76"/>
      <c r="AN513" s="76"/>
      <c r="AO513" s="76"/>
      <c r="AP513" s="76"/>
      <c r="AQ513" s="76"/>
      <c r="AR513" s="76"/>
    </row>
    <row r="514" spans="2:44" x14ac:dyDescent="0.35">
      <c r="B514" s="107"/>
      <c r="G514" s="12"/>
      <c r="J514" s="12"/>
      <c r="L514" s="92"/>
      <c r="Y514" s="108"/>
      <c r="Z514" s="76"/>
      <c r="AA514" s="76"/>
      <c r="AB514" s="76"/>
      <c r="AC514" s="76"/>
      <c r="AD514" s="76"/>
      <c r="AE514" s="76"/>
      <c r="AF514" s="76"/>
      <c r="AG514" s="76"/>
      <c r="AH514" s="108"/>
      <c r="AI514" s="76"/>
      <c r="AJ514" s="76"/>
      <c r="AK514" s="76"/>
      <c r="AL514" s="76"/>
      <c r="AM514" s="76"/>
      <c r="AN514" s="76"/>
      <c r="AO514" s="76"/>
      <c r="AP514" s="76"/>
      <c r="AQ514" s="76"/>
      <c r="AR514" s="76"/>
    </row>
    <row r="515" spans="2:44" x14ac:dyDescent="0.35">
      <c r="B515" s="107"/>
      <c r="G515" s="12"/>
      <c r="J515" s="12"/>
      <c r="L515" s="92"/>
      <c r="Y515" s="108"/>
      <c r="Z515" s="76"/>
      <c r="AA515" s="76"/>
      <c r="AB515" s="76"/>
      <c r="AC515" s="76"/>
      <c r="AD515" s="76"/>
      <c r="AE515" s="76"/>
      <c r="AF515" s="76"/>
      <c r="AG515" s="76"/>
      <c r="AH515" s="108"/>
      <c r="AI515" s="76"/>
      <c r="AJ515" s="76"/>
      <c r="AK515" s="76"/>
      <c r="AL515" s="76"/>
      <c r="AM515" s="76"/>
      <c r="AN515" s="76"/>
      <c r="AO515" s="76"/>
      <c r="AP515" s="76"/>
      <c r="AQ515" s="76"/>
      <c r="AR515" s="76"/>
    </row>
    <row r="516" spans="2:44" x14ac:dyDescent="0.35">
      <c r="B516" s="107"/>
      <c r="G516" s="12"/>
      <c r="J516" s="12"/>
      <c r="L516" s="92"/>
      <c r="Y516" s="108"/>
      <c r="Z516" s="76"/>
      <c r="AA516" s="76"/>
      <c r="AB516" s="76"/>
      <c r="AC516" s="76"/>
      <c r="AD516" s="76"/>
      <c r="AE516" s="76"/>
      <c r="AF516" s="76"/>
      <c r="AG516" s="76"/>
      <c r="AH516" s="108"/>
      <c r="AI516" s="76"/>
      <c r="AJ516" s="76"/>
      <c r="AK516" s="76"/>
      <c r="AL516" s="76"/>
      <c r="AM516" s="76"/>
      <c r="AN516" s="76"/>
      <c r="AO516" s="76"/>
      <c r="AP516" s="76"/>
      <c r="AQ516" s="76"/>
      <c r="AR516" s="76"/>
    </row>
    <row r="517" spans="2:44" x14ac:dyDescent="0.35">
      <c r="B517" s="107"/>
      <c r="G517" s="12"/>
      <c r="J517" s="12"/>
      <c r="L517" s="92"/>
      <c r="Y517" s="108"/>
      <c r="Z517" s="76"/>
      <c r="AA517" s="76"/>
      <c r="AB517" s="76"/>
      <c r="AC517" s="76"/>
      <c r="AD517" s="76"/>
      <c r="AE517" s="76"/>
      <c r="AF517" s="76"/>
      <c r="AG517" s="76"/>
      <c r="AH517" s="108"/>
      <c r="AI517" s="76"/>
      <c r="AJ517" s="76"/>
      <c r="AK517" s="76"/>
      <c r="AL517" s="76"/>
      <c r="AM517" s="76"/>
      <c r="AN517" s="76"/>
      <c r="AO517" s="76"/>
      <c r="AP517" s="76"/>
      <c r="AQ517" s="76"/>
      <c r="AR517" s="76"/>
    </row>
    <row r="518" spans="2:44" x14ac:dyDescent="0.35">
      <c r="B518" s="107"/>
      <c r="G518" s="12"/>
      <c r="J518" s="12"/>
      <c r="L518" s="92"/>
      <c r="Y518" s="108"/>
      <c r="Z518" s="76"/>
      <c r="AA518" s="76"/>
      <c r="AB518" s="76"/>
      <c r="AC518" s="76"/>
      <c r="AD518" s="76"/>
      <c r="AE518" s="76"/>
      <c r="AF518" s="76"/>
      <c r="AG518" s="76"/>
      <c r="AH518" s="108"/>
      <c r="AI518" s="76"/>
      <c r="AJ518" s="76"/>
      <c r="AK518" s="76"/>
      <c r="AL518" s="76"/>
      <c r="AM518" s="76"/>
      <c r="AN518" s="76"/>
      <c r="AO518" s="76"/>
      <c r="AP518" s="76"/>
      <c r="AQ518" s="76"/>
      <c r="AR518" s="76"/>
    </row>
    <row r="519" spans="2:44" x14ac:dyDescent="0.35">
      <c r="B519" s="107"/>
      <c r="G519" s="12"/>
      <c r="J519" s="12"/>
      <c r="L519" s="92"/>
      <c r="Y519" s="108"/>
      <c r="Z519" s="76"/>
      <c r="AA519" s="76"/>
      <c r="AB519" s="76"/>
      <c r="AC519" s="76"/>
      <c r="AD519" s="76"/>
      <c r="AE519" s="76"/>
      <c r="AF519" s="76"/>
      <c r="AG519" s="76"/>
      <c r="AH519" s="108"/>
      <c r="AI519" s="76"/>
      <c r="AJ519" s="76"/>
      <c r="AK519" s="76"/>
      <c r="AL519" s="76"/>
      <c r="AM519" s="76"/>
      <c r="AN519" s="76"/>
      <c r="AO519" s="76"/>
      <c r="AP519" s="76"/>
      <c r="AQ519" s="76"/>
      <c r="AR519" s="76"/>
    </row>
    <row r="520" spans="2:44" x14ac:dyDescent="0.35">
      <c r="B520" s="107"/>
      <c r="G520" s="12"/>
      <c r="J520" s="12"/>
      <c r="L520" s="92"/>
      <c r="Y520" s="108"/>
      <c r="Z520" s="76"/>
      <c r="AA520" s="76"/>
      <c r="AB520" s="76"/>
      <c r="AC520" s="76"/>
      <c r="AD520" s="76"/>
      <c r="AE520" s="76"/>
      <c r="AF520" s="76"/>
      <c r="AG520" s="76"/>
      <c r="AH520" s="108"/>
      <c r="AI520" s="76"/>
      <c r="AJ520" s="76"/>
      <c r="AK520" s="76"/>
      <c r="AL520" s="76"/>
      <c r="AM520" s="76"/>
      <c r="AN520" s="76"/>
      <c r="AO520" s="76"/>
      <c r="AP520" s="76"/>
      <c r="AQ520" s="76"/>
      <c r="AR520" s="76"/>
    </row>
    <row r="521" spans="2:44" x14ac:dyDescent="0.35">
      <c r="B521" s="107"/>
      <c r="G521" s="12"/>
      <c r="J521" s="12"/>
      <c r="L521" s="92"/>
      <c r="Y521" s="108"/>
      <c r="Z521" s="76"/>
      <c r="AA521" s="76"/>
      <c r="AB521" s="76"/>
      <c r="AC521" s="76"/>
      <c r="AD521" s="76"/>
      <c r="AE521" s="76"/>
      <c r="AF521" s="76"/>
      <c r="AG521" s="76"/>
      <c r="AH521" s="108"/>
      <c r="AI521" s="76"/>
      <c r="AJ521" s="76"/>
      <c r="AK521" s="76"/>
      <c r="AL521" s="76"/>
      <c r="AM521" s="76"/>
      <c r="AN521" s="76"/>
      <c r="AO521" s="76"/>
      <c r="AP521" s="76"/>
      <c r="AQ521" s="76"/>
      <c r="AR521" s="76"/>
    </row>
    <row r="522" spans="2:44" x14ac:dyDescent="0.35">
      <c r="B522" s="107"/>
      <c r="G522" s="12"/>
      <c r="J522" s="12"/>
      <c r="L522" s="92"/>
      <c r="Y522" s="108"/>
      <c r="Z522" s="76"/>
      <c r="AA522" s="76"/>
      <c r="AB522" s="76"/>
      <c r="AC522" s="76"/>
      <c r="AD522" s="76"/>
      <c r="AE522" s="76"/>
      <c r="AF522" s="76"/>
      <c r="AG522" s="76"/>
      <c r="AH522" s="108"/>
      <c r="AI522" s="76"/>
      <c r="AJ522" s="76"/>
      <c r="AK522" s="76"/>
      <c r="AL522" s="76"/>
      <c r="AM522" s="76"/>
      <c r="AN522" s="76"/>
      <c r="AO522" s="76"/>
      <c r="AP522" s="76"/>
      <c r="AQ522" s="76"/>
      <c r="AR522" s="76"/>
    </row>
    <row r="523" spans="2:44" x14ac:dyDescent="0.35">
      <c r="B523" s="107"/>
      <c r="G523" s="12"/>
      <c r="J523" s="12"/>
      <c r="L523" s="92"/>
      <c r="Y523" s="108"/>
      <c r="Z523" s="76"/>
      <c r="AA523" s="76"/>
      <c r="AB523" s="76"/>
      <c r="AC523" s="76"/>
      <c r="AD523" s="76"/>
      <c r="AE523" s="76"/>
      <c r="AF523" s="76"/>
      <c r="AG523" s="76"/>
      <c r="AH523" s="108"/>
      <c r="AI523" s="76"/>
      <c r="AJ523" s="76"/>
      <c r="AK523" s="76"/>
      <c r="AL523" s="76"/>
      <c r="AM523" s="76"/>
      <c r="AN523" s="76"/>
      <c r="AO523" s="76"/>
      <c r="AP523" s="76"/>
      <c r="AQ523" s="76"/>
      <c r="AR523" s="76"/>
    </row>
    <row r="524" spans="2:44" x14ac:dyDescent="0.35">
      <c r="B524" s="107"/>
      <c r="G524" s="12"/>
      <c r="J524" s="12"/>
      <c r="L524" s="92"/>
      <c r="Y524" s="108"/>
      <c r="Z524" s="76"/>
      <c r="AA524" s="76"/>
      <c r="AB524" s="76"/>
      <c r="AC524" s="76"/>
      <c r="AD524" s="76"/>
      <c r="AE524" s="76"/>
      <c r="AF524" s="76"/>
      <c r="AG524" s="76"/>
      <c r="AH524" s="108"/>
      <c r="AI524" s="76"/>
      <c r="AJ524" s="76"/>
      <c r="AK524" s="76"/>
      <c r="AL524" s="76"/>
      <c r="AM524" s="76"/>
      <c r="AN524" s="76"/>
      <c r="AO524" s="76"/>
      <c r="AP524" s="76"/>
      <c r="AQ524" s="76"/>
      <c r="AR524" s="76"/>
    </row>
    <row r="525" spans="2:44" x14ac:dyDescent="0.35">
      <c r="B525" s="107"/>
      <c r="G525" s="12"/>
      <c r="J525" s="12"/>
      <c r="L525" s="92"/>
      <c r="Y525" s="108"/>
      <c r="Z525" s="76"/>
      <c r="AA525" s="76"/>
      <c r="AB525" s="76"/>
      <c r="AC525" s="76"/>
      <c r="AD525" s="76"/>
      <c r="AE525" s="76"/>
      <c r="AF525" s="76"/>
      <c r="AG525" s="76"/>
      <c r="AH525" s="108"/>
      <c r="AI525" s="76"/>
      <c r="AJ525" s="76"/>
      <c r="AK525" s="76"/>
      <c r="AL525" s="76"/>
      <c r="AM525" s="76"/>
      <c r="AN525" s="76"/>
      <c r="AO525" s="76"/>
      <c r="AP525" s="76"/>
      <c r="AQ525" s="76"/>
      <c r="AR525" s="76"/>
    </row>
    <row r="526" spans="2:44" x14ac:dyDescent="0.35">
      <c r="B526" s="107"/>
      <c r="G526" s="12"/>
      <c r="J526" s="12"/>
      <c r="L526" s="92"/>
      <c r="Y526" s="108"/>
      <c r="Z526" s="76"/>
      <c r="AA526" s="76"/>
      <c r="AB526" s="76"/>
      <c r="AC526" s="76"/>
      <c r="AD526" s="76"/>
      <c r="AE526" s="76"/>
      <c r="AF526" s="76"/>
      <c r="AG526" s="76"/>
      <c r="AH526" s="108"/>
      <c r="AI526" s="76"/>
      <c r="AJ526" s="76"/>
      <c r="AK526" s="76"/>
      <c r="AL526" s="76"/>
      <c r="AM526" s="76"/>
      <c r="AN526" s="76"/>
      <c r="AO526" s="76"/>
      <c r="AP526" s="76"/>
      <c r="AQ526" s="76"/>
      <c r="AR526" s="76"/>
    </row>
    <row r="527" spans="2:44" x14ac:dyDescent="0.35">
      <c r="B527" s="107"/>
      <c r="G527" s="12"/>
      <c r="J527" s="12"/>
      <c r="L527" s="92"/>
      <c r="Y527" s="108"/>
      <c r="Z527" s="76"/>
      <c r="AA527" s="76"/>
      <c r="AB527" s="76"/>
      <c r="AC527" s="76"/>
      <c r="AD527" s="76"/>
      <c r="AE527" s="76"/>
      <c r="AF527" s="76"/>
      <c r="AG527" s="76"/>
      <c r="AH527" s="108"/>
      <c r="AI527" s="76"/>
      <c r="AJ527" s="76"/>
      <c r="AK527" s="76"/>
      <c r="AL527" s="76"/>
      <c r="AM527" s="76"/>
      <c r="AN527" s="76"/>
      <c r="AO527" s="76"/>
      <c r="AP527" s="76"/>
      <c r="AQ527" s="76"/>
      <c r="AR527" s="76"/>
    </row>
    <row r="528" spans="2:44" x14ac:dyDescent="0.35">
      <c r="B528" s="107"/>
      <c r="G528" s="12"/>
      <c r="J528" s="12"/>
      <c r="L528" s="92"/>
      <c r="Y528" s="108"/>
      <c r="Z528" s="76"/>
      <c r="AA528" s="76"/>
      <c r="AB528" s="76"/>
      <c r="AC528" s="76"/>
      <c r="AD528" s="76"/>
      <c r="AE528" s="76"/>
      <c r="AF528" s="76"/>
      <c r="AG528" s="76"/>
      <c r="AH528" s="108"/>
      <c r="AI528" s="76"/>
      <c r="AJ528" s="76"/>
      <c r="AK528" s="76"/>
      <c r="AL528" s="76"/>
      <c r="AM528" s="76"/>
      <c r="AN528" s="76"/>
      <c r="AO528" s="76"/>
      <c r="AP528" s="76"/>
      <c r="AQ528" s="76"/>
      <c r="AR528" s="76"/>
    </row>
    <row r="529" spans="2:44" x14ac:dyDescent="0.35">
      <c r="B529" s="107"/>
      <c r="G529" s="12"/>
      <c r="J529" s="12"/>
      <c r="L529" s="92"/>
      <c r="Y529" s="108"/>
      <c r="Z529" s="76"/>
      <c r="AA529" s="76"/>
      <c r="AB529" s="76"/>
      <c r="AC529" s="76"/>
      <c r="AD529" s="76"/>
      <c r="AE529" s="76"/>
      <c r="AF529" s="76"/>
      <c r="AG529" s="76"/>
      <c r="AH529" s="108"/>
      <c r="AI529" s="76"/>
      <c r="AJ529" s="76"/>
      <c r="AK529" s="76"/>
      <c r="AL529" s="76"/>
      <c r="AM529" s="76"/>
      <c r="AN529" s="76"/>
      <c r="AO529" s="76"/>
      <c r="AP529" s="76"/>
      <c r="AQ529" s="76"/>
      <c r="AR529" s="76"/>
    </row>
    <row r="530" spans="2:44" x14ac:dyDescent="0.35">
      <c r="B530" s="107"/>
      <c r="G530" s="12"/>
      <c r="J530" s="12"/>
      <c r="L530" s="92"/>
      <c r="Y530" s="108"/>
      <c r="Z530" s="76"/>
      <c r="AA530" s="76"/>
      <c r="AB530" s="76"/>
      <c r="AC530" s="76"/>
      <c r="AD530" s="76"/>
      <c r="AE530" s="76"/>
      <c r="AF530" s="76"/>
      <c r="AG530" s="76"/>
      <c r="AH530" s="108"/>
      <c r="AI530" s="76"/>
      <c r="AJ530" s="76"/>
      <c r="AK530" s="76"/>
      <c r="AL530" s="76"/>
      <c r="AM530" s="76"/>
      <c r="AN530" s="76"/>
      <c r="AO530" s="76"/>
      <c r="AP530" s="76"/>
      <c r="AQ530" s="76"/>
      <c r="AR530" s="76"/>
    </row>
    <row r="531" spans="2:44" x14ac:dyDescent="0.35">
      <c r="B531" s="107"/>
      <c r="G531" s="12"/>
      <c r="J531" s="12"/>
      <c r="L531" s="92"/>
      <c r="Y531" s="108"/>
      <c r="Z531" s="76"/>
      <c r="AA531" s="76"/>
      <c r="AB531" s="76"/>
      <c r="AC531" s="76"/>
      <c r="AD531" s="76"/>
      <c r="AE531" s="76"/>
      <c r="AF531" s="76"/>
      <c r="AG531" s="76"/>
      <c r="AH531" s="108"/>
      <c r="AI531" s="76"/>
      <c r="AJ531" s="76"/>
      <c r="AK531" s="76"/>
      <c r="AL531" s="76"/>
      <c r="AM531" s="76"/>
      <c r="AN531" s="76"/>
      <c r="AO531" s="76"/>
      <c r="AP531" s="76"/>
      <c r="AQ531" s="76"/>
      <c r="AR531" s="76"/>
    </row>
    <row r="532" spans="2:44" x14ac:dyDescent="0.35">
      <c r="B532" s="107"/>
      <c r="G532" s="12"/>
      <c r="J532" s="12"/>
      <c r="L532" s="92"/>
      <c r="Y532" s="108"/>
      <c r="Z532" s="76"/>
      <c r="AA532" s="76"/>
      <c r="AB532" s="76"/>
      <c r="AC532" s="76"/>
      <c r="AD532" s="76"/>
      <c r="AE532" s="76"/>
      <c r="AF532" s="76"/>
      <c r="AG532" s="76"/>
      <c r="AH532" s="108"/>
      <c r="AI532" s="76"/>
      <c r="AJ532" s="76"/>
      <c r="AK532" s="76"/>
      <c r="AL532" s="76"/>
      <c r="AM532" s="76"/>
      <c r="AN532" s="76"/>
      <c r="AO532" s="76"/>
      <c r="AP532" s="76"/>
      <c r="AQ532" s="76"/>
      <c r="AR532" s="76"/>
    </row>
    <row r="533" spans="2:44" x14ac:dyDescent="0.35">
      <c r="B533" s="107"/>
      <c r="G533" s="12"/>
      <c r="J533" s="12"/>
      <c r="L533" s="92"/>
      <c r="Y533" s="108"/>
      <c r="Z533" s="76"/>
      <c r="AA533" s="76"/>
      <c r="AB533" s="76"/>
      <c r="AC533" s="76"/>
      <c r="AD533" s="76"/>
      <c r="AE533" s="76"/>
      <c r="AF533" s="76"/>
      <c r="AG533" s="76"/>
      <c r="AH533" s="108"/>
      <c r="AI533" s="76"/>
      <c r="AJ533" s="76"/>
      <c r="AK533" s="76"/>
      <c r="AL533" s="76"/>
      <c r="AM533" s="76"/>
      <c r="AN533" s="76"/>
      <c r="AO533" s="76"/>
      <c r="AP533" s="76"/>
      <c r="AQ533" s="76"/>
      <c r="AR533" s="76"/>
    </row>
    <row r="534" spans="2:44" x14ac:dyDescent="0.35">
      <c r="B534" s="107"/>
      <c r="G534" s="12"/>
      <c r="J534" s="12"/>
      <c r="L534" s="92"/>
      <c r="Y534" s="108"/>
      <c r="Z534" s="76"/>
      <c r="AA534" s="76"/>
      <c r="AB534" s="76"/>
      <c r="AC534" s="76"/>
      <c r="AD534" s="76"/>
      <c r="AE534" s="76"/>
      <c r="AF534" s="76"/>
      <c r="AG534" s="76"/>
      <c r="AH534" s="108"/>
      <c r="AI534" s="76"/>
      <c r="AJ534" s="76"/>
      <c r="AK534" s="76"/>
      <c r="AL534" s="76"/>
      <c r="AM534" s="76"/>
      <c r="AN534" s="76"/>
      <c r="AO534" s="76"/>
      <c r="AP534" s="76"/>
      <c r="AQ534" s="76"/>
      <c r="AR534" s="76"/>
    </row>
    <row r="535" spans="2:44" x14ac:dyDescent="0.35">
      <c r="B535" s="107"/>
      <c r="G535" s="12"/>
      <c r="J535" s="12"/>
      <c r="L535" s="92"/>
      <c r="Y535" s="108"/>
      <c r="Z535" s="76"/>
      <c r="AA535" s="76"/>
      <c r="AB535" s="76"/>
      <c r="AC535" s="76"/>
      <c r="AD535" s="76"/>
      <c r="AE535" s="76"/>
      <c r="AF535" s="76"/>
      <c r="AG535" s="76"/>
      <c r="AH535" s="108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</row>
    <row r="536" spans="2:44" x14ac:dyDescent="0.35">
      <c r="B536" s="107"/>
      <c r="G536" s="12"/>
      <c r="J536" s="12"/>
      <c r="L536" s="92"/>
      <c r="Y536" s="108"/>
      <c r="Z536" s="76"/>
      <c r="AA536" s="76"/>
      <c r="AB536" s="76"/>
      <c r="AC536" s="76"/>
      <c r="AD536" s="76"/>
      <c r="AE536" s="76"/>
      <c r="AF536" s="76"/>
      <c r="AG536" s="76"/>
      <c r="AH536" s="108"/>
      <c r="AI536" s="76"/>
      <c r="AJ536" s="76"/>
      <c r="AK536" s="76"/>
      <c r="AL536" s="76"/>
      <c r="AM536" s="76"/>
      <c r="AN536" s="76"/>
      <c r="AO536" s="76"/>
      <c r="AP536" s="76"/>
      <c r="AQ536" s="76"/>
      <c r="AR536" s="76"/>
    </row>
    <row r="537" spans="2:44" x14ac:dyDescent="0.35">
      <c r="B537" s="107"/>
      <c r="G537" s="12"/>
      <c r="J537" s="12"/>
      <c r="L537" s="92"/>
      <c r="Y537" s="108"/>
      <c r="Z537" s="76"/>
      <c r="AA537" s="76"/>
      <c r="AB537" s="76"/>
      <c r="AC537" s="76"/>
      <c r="AD537" s="76"/>
      <c r="AE537" s="76"/>
      <c r="AF537" s="76"/>
      <c r="AG537" s="76"/>
      <c r="AH537" s="108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</row>
    <row r="538" spans="2:44" x14ac:dyDescent="0.35">
      <c r="B538" s="107"/>
      <c r="G538" s="12"/>
      <c r="J538" s="12"/>
      <c r="L538" s="92"/>
      <c r="Y538" s="108"/>
      <c r="Z538" s="76"/>
      <c r="AA538" s="76"/>
      <c r="AB538" s="76"/>
      <c r="AC538" s="76"/>
      <c r="AD538" s="76"/>
      <c r="AE538" s="76"/>
      <c r="AF538" s="76"/>
      <c r="AG538" s="76"/>
      <c r="AH538" s="108"/>
      <c r="AI538" s="76"/>
      <c r="AJ538" s="76"/>
      <c r="AK538" s="76"/>
      <c r="AL538" s="76"/>
      <c r="AM538" s="76"/>
      <c r="AN538" s="76"/>
      <c r="AO538" s="76"/>
      <c r="AP538" s="76"/>
      <c r="AQ538" s="76"/>
      <c r="AR538" s="76"/>
    </row>
    <row r="539" spans="2:44" x14ac:dyDescent="0.35">
      <c r="B539" s="107"/>
      <c r="G539" s="12"/>
      <c r="J539" s="12"/>
      <c r="L539" s="92"/>
      <c r="Y539" s="108"/>
      <c r="Z539" s="76"/>
      <c r="AA539" s="76"/>
      <c r="AB539" s="76"/>
      <c r="AC539" s="76"/>
      <c r="AD539" s="76"/>
      <c r="AE539" s="76"/>
      <c r="AF539" s="76"/>
      <c r="AG539" s="76"/>
      <c r="AH539" s="108"/>
      <c r="AI539" s="76"/>
      <c r="AJ539" s="76"/>
      <c r="AK539" s="76"/>
      <c r="AL539" s="76"/>
      <c r="AM539" s="76"/>
      <c r="AN539" s="76"/>
      <c r="AO539" s="76"/>
      <c r="AP539" s="76"/>
      <c r="AQ539" s="76"/>
      <c r="AR539" s="76"/>
    </row>
    <row r="540" spans="2:44" x14ac:dyDescent="0.35">
      <c r="B540" s="107"/>
      <c r="G540" s="12"/>
      <c r="J540" s="12"/>
      <c r="L540" s="92"/>
      <c r="Y540" s="108"/>
      <c r="Z540" s="76"/>
      <c r="AA540" s="76"/>
      <c r="AB540" s="76"/>
      <c r="AC540" s="76"/>
      <c r="AD540" s="76"/>
      <c r="AE540" s="76"/>
      <c r="AF540" s="76"/>
      <c r="AG540" s="76"/>
      <c r="AH540" s="108"/>
      <c r="AI540" s="76"/>
      <c r="AJ540" s="76"/>
      <c r="AK540" s="76"/>
      <c r="AL540" s="76"/>
      <c r="AM540" s="76"/>
      <c r="AN540" s="76"/>
      <c r="AO540" s="76"/>
      <c r="AP540" s="76"/>
      <c r="AQ540" s="76"/>
      <c r="AR540" s="76"/>
    </row>
    <row r="541" spans="2:44" x14ac:dyDescent="0.35">
      <c r="B541" s="107"/>
      <c r="G541" s="12"/>
      <c r="J541" s="12"/>
      <c r="L541" s="92"/>
      <c r="Y541" s="108"/>
      <c r="Z541" s="76"/>
      <c r="AA541" s="76"/>
      <c r="AB541" s="76"/>
      <c r="AC541" s="76"/>
      <c r="AD541" s="76"/>
      <c r="AE541" s="76"/>
      <c r="AF541" s="76"/>
      <c r="AG541" s="76"/>
      <c r="AH541" s="108"/>
      <c r="AI541" s="76"/>
      <c r="AJ541" s="76"/>
      <c r="AK541" s="76"/>
      <c r="AL541" s="76"/>
      <c r="AM541" s="76"/>
      <c r="AN541" s="76"/>
      <c r="AO541" s="76"/>
      <c r="AP541" s="76"/>
      <c r="AQ541" s="76"/>
      <c r="AR541" s="76"/>
    </row>
    <row r="542" spans="2:44" x14ac:dyDescent="0.35">
      <c r="B542" s="107"/>
      <c r="G542" s="12"/>
      <c r="J542" s="12"/>
      <c r="L542" s="92"/>
      <c r="Y542" s="108"/>
      <c r="Z542" s="76"/>
      <c r="AA542" s="76"/>
      <c r="AB542" s="76"/>
      <c r="AC542" s="76"/>
      <c r="AD542" s="76"/>
      <c r="AE542" s="76"/>
      <c r="AF542" s="76"/>
      <c r="AG542" s="76"/>
      <c r="AH542" s="108"/>
      <c r="AI542" s="76"/>
      <c r="AJ542" s="76"/>
      <c r="AK542" s="76"/>
      <c r="AL542" s="76"/>
      <c r="AM542" s="76"/>
      <c r="AN542" s="76"/>
      <c r="AO542" s="76"/>
      <c r="AP542" s="76"/>
      <c r="AQ542" s="76"/>
      <c r="AR542" s="76"/>
    </row>
    <row r="543" spans="2:44" x14ac:dyDescent="0.35">
      <c r="B543" s="107"/>
      <c r="G543" s="12"/>
      <c r="J543" s="12"/>
      <c r="L543" s="92"/>
      <c r="Y543" s="108"/>
      <c r="Z543" s="76"/>
      <c r="AA543" s="76"/>
      <c r="AB543" s="76"/>
      <c r="AC543" s="76"/>
      <c r="AD543" s="76"/>
      <c r="AE543" s="76"/>
      <c r="AF543" s="76"/>
      <c r="AG543" s="76"/>
      <c r="AH543" s="108"/>
      <c r="AI543" s="76"/>
      <c r="AJ543" s="76"/>
      <c r="AK543" s="76"/>
      <c r="AL543" s="76"/>
      <c r="AM543" s="76"/>
      <c r="AN543" s="76"/>
      <c r="AO543" s="76"/>
      <c r="AP543" s="76"/>
      <c r="AQ543" s="76"/>
      <c r="AR543" s="76"/>
    </row>
    <row r="544" spans="2:44" x14ac:dyDescent="0.35">
      <c r="B544" s="107"/>
      <c r="G544" s="12"/>
      <c r="J544" s="12"/>
      <c r="L544" s="92"/>
      <c r="Y544" s="108"/>
      <c r="Z544" s="76"/>
      <c r="AA544" s="76"/>
      <c r="AB544" s="76"/>
      <c r="AC544" s="76"/>
      <c r="AD544" s="76"/>
      <c r="AE544" s="76"/>
      <c r="AF544" s="76"/>
      <c r="AG544" s="76"/>
      <c r="AH544" s="108"/>
      <c r="AI544" s="76"/>
      <c r="AJ544" s="76"/>
      <c r="AK544" s="76"/>
      <c r="AL544" s="76"/>
      <c r="AM544" s="76"/>
      <c r="AN544" s="76"/>
      <c r="AO544" s="76"/>
      <c r="AP544" s="76"/>
      <c r="AQ544" s="76"/>
      <c r="AR544" s="76"/>
    </row>
    <row r="545" spans="2:44" x14ac:dyDescent="0.35">
      <c r="B545" s="107"/>
      <c r="G545" s="12"/>
      <c r="J545" s="12"/>
      <c r="L545" s="92"/>
      <c r="Y545" s="108"/>
      <c r="Z545" s="76"/>
      <c r="AA545" s="76"/>
      <c r="AB545" s="76"/>
      <c r="AC545" s="76"/>
      <c r="AD545" s="76"/>
      <c r="AE545" s="76"/>
      <c r="AF545" s="76"/>
      <c r="AG545" s="76"/>
      <c r="AH545" s="108"/>
      <c r="AI545" s="76"/>
      <c r="AJ545" s="76"/>
      <c r="AK545" s="76"/>
      <c r="AL545" s="76"/>
      <c r="AM545" s="76"/>
      <c r="AN545" s="76"/>
      <c r="AO545" s="76"/>
      <c r="AP545" s="76"/>
      <c r="AQ545" s="76"/>
      <c r="AR545" s="76"/>
    </row>
    <row r="546" spans="2:44" x14ac:dyDescent="0.35">
      <c r="B546" s="107"/>
      <c r="G546" s="12"/>
      <c r="J546" s="12"/>
      <c r="L546" s="92"/>
      <c r="Y546" s="108"/>
      <c r="Z546" s="76"/>
      <c r="AA546" s="76"/>
      <c r="AB546" s="76"/>
      <c r="AC546" s="76"/>
      <c r="AD546" s="76"/>
      <c r="AE546" s="76"/>
      <c r="AF546" s="76"/>
      <c r="AG546" s="76"/>
      <c r="AH546" s="108"/>
      <c r="AI546" s="76"/>
      <c r="AJ546" s="76"/>
      <c r="AK546" s="76"/>
      <c r="AL546" s="76"/>
      <c r="AM546" s="76"/>
      <c r="AN546" s="76"/>
      <c r="AO546" s="76"/>
      <c r="AP546" s="76"/>
      <c r="AQ546" s="76"/>
      <c r="AR546" s="76"/>
    </row>
    <row r="547" spans="2:44" x14ac:dyDescent="0.35">
      <c r="B547" s="107"/>
      <c r="G547" s="12"/>
      <c r="J547" s="12"/>
      <c r="L547" s="92"/>
      <c r="Y547" s="108"/>
      <c r="Z547" s="76"/>
      <c r="AA547" s="76"/>
      <c r="AB547" s="76"/>
      <c r="AC547" s="76"/>
      <c r="AD547" s="76"/>
      <c r="AE547" s="76"/>
      <c r="AF547" s="76"/>
      <c r="AG547" s="76"/>
      <c r="AH547" s="108"/>
      <c r="AI547" s="76"/>
      <c r="AJ547" s="76"/>
      <c r="AK547" s="76"/>
      <c r="AL547" s="76"/>
      <c r="AM547" s="76"/>
      <c r="AN547" s="76"/>
      <c r="AO547" s="76"/>
      <c r="AP547" s="76"/>
      <c r="AQ547" s="76"/>
      <c r="AR547" s="76"/>
    </row>
    <row r="548" spans="2:44" x14ac:dyDescent="0.35">
      <c r="B548" s="107"/>
      <c r="G548" s="12"/>
      <c r="J548" s="12"/>
      <c r="L548" s="92"/>
      <c r="Y548" s="108"/>
      <c r="Z548" s="76"/>
      <c r="AA548" s="76"/>
      <c r="AB548" s="76"/>
      <c r="AC548" s="76"/>
      <c r="AD548" s="76"/>
      <c r="AE548" s="76"/>
      <c r="AF548" s="76"/>
      <c r="AG548" s="76"/>
      <c r="AH548" s="108"/>
      <c r="AI548" s="76"/>
      <c r="AJ548" s="76"/>
      <c r="AK548" s="76"/>
      <c r="AL548" s="76"/>
      <c r="AM548" s="76"/>
      <c r="AN548" s="76"/>
      <c r="AO548" s="76"/>
      <c r="AP548" s="76"/>
      <c r="AQ548" s="76"/>
      <c r="AR548" s="76"/>
    </row>
    <row r="549" spans="2:44" x14ac:dyDescent="0.35">
      <c r="B549" s="107"/>
      <c r="G549" s="12"/>
      <c r="J549" s="12"/>
      <c r="L549" s="92"/>
      <c r="Y549" s="108"/>
      <c r="Z549" s="76"/>
      <c r="AA549" s="76"/>
      <c r="AB549" s="76"/>
      <c r="AC549" s="76"/>
      <c r="AD549" s="76"/>
      <c r="AE549" s="76"/>
      <c r="AF549" s="76"/>
      <c r="AG549" s="76"/>
      <c r="AH549" s="108"/>
      <c r="AI549" s="76"/>
      <c r="AJ549" s="76"/>
      <c r="AK549" s="76"/>
      <c r="AL549" s="76"/>
      <c r="AM549" s="76"/>
      <c r="AN549" s="76"/>
      <c r="AO549" s="76"/>
      <c r="AP549" s="76"/>
      <c r="AQ549" s="76"/>
      <c r="AR549" s="76"/>
    </row>
    <row r="550" spans="2:44" x14ac:dyDescent="0.35">
      <c r="B550" s="107"/>
      <c r="G550" s="12"/>
      <c r="J550" s="12"/>
      <c r="L550" s="92"/>
      <c r="Y550" s="108"/>
      <c r="Z550" s="76"/>
      <c r="AA550" s="76"/>
      <c r="AB550" s="76"/>
      <c r="AC550" s="76"/>
      <c r="AD550" s="76"/>
      <c r="AE550" s="76"/>
      <c r="AF550" s="76"/>
      <c r="AG550" s="76"/>
      <c r="AH550" s="108"/>
      <c r="AI550" s="76"/>
      <c r="AJ550" s="76"/>
      <c r="AK550" s="76"/>
      <c r="AL550" s="76"/>
      <c r="AM550" s="76"/>
      <c r="AN550" s="76"/>
      <c r="AO550" s="76"/>
      <c r="AP550" s="76"/>
      <c r="AQ550" s="76"/>
      <c r="AR550" s="76"/>
    </row>
    <row r="551" spans="2:44" x14ac:dyDescent="0.35">
      <c r="B551" s="107"/>
      <c r="G551" s="12"/>
      <c r="J551" s="12"/>
      <c r="L551" s="92"/>
      <c r="Y551" s="108"/>
      <c r="Z551" s="76"/>
      <c r="AA551" s="76"/>
      <c r="AB551" s="76"/>
      <c r="AC551" s="76"/>
      <c r="AD551" s="76"/>
      <c r="AE551" s="76"/>
      <c r="AF551" s="76"/>
      <c r="AG551" s="76"/>
      <c r="AH551" s="108"/>
      <c r="AI551" s="76"/>
      <c r="AJ551" s="76"/>
      <c r="AK551" s="76"/>
      <c r="AL551" s="76"/>
      <c r="AM551" s="76"/>
      <c r="AN551" s="76"/>
      <c r="AO551" s="76"/>
      <c r="AP551" s="76"/>
      <c r="AQ551" s="76"/>
      <c r="AR551" s="76"/>
    </row>
    <row r="552" spans="2:44" x14ac:dyDescent="0.35">
      <c r="G552" s="12"/>
      <c r="J552" s="12"/>
      <c r="L552" s="92"/>
      <c r="Y552" s="108"/>
      <c r="Z552" s="76"/>
      <c r="AA552" s="76"/>
      <c r="AB552" s="76"/>
      <c r="AC552" s="76"/>
      <c r="AD552" s="76"/>
      <c r="AE552" s="76"/>
      <c r="AF552" s="76"/>
      <c r="AG552" s="76"/>
      <c r="AH552" s="108"/>
      <c r="AI552" s="76"/>
      <c r="AJ552" s="76"/>
      <c r="AK552" s="76"/>
      <c r="AL552" s="76"/>
      <c r="AM552" s="76"/>
      <c r="AN552" s="76"/>
      <c r="AO552" s="76"/>
      <c r="AP552" s="76"/>
      <c r="AQ552" s="76"/>
      <c r="AR552" s="76"/>
    </row>
    <row r="553" spans="2:44" x14ac:dyDescent="0.35">
      <c r="G553" s="12"/>
      <c r="J553" s="12"/>
      <c r="L553" s="92"/>
      <c r="Y553" s="108"/>
      <c r="Z553" s="76"/>
      <c r="AA553" s="76"/>
      <c r="AB553" s="76"/>
      <c r="AC553" s="76"/>
      <c r="AD553" s="76"/>
      <c r="AE553" s="76"/>
      <c r="AF553" s="76"/>
      <c r="AG553" s="76"/>
      <c r="AH553" s="108"/>
      <c r="AI553" s="76"/>
      <c r="AJ553" s="76"/>
      <c r="AK553" s="76"/>
      <c r="AL553" s="76"/>
      <c r="AM553" s="76"/>
      <c r="AN553" s="76"/>
      <c r="AO553" s="76"/>
      <c r="AP553" s="76"/>
      <c r="AQ553" s="76"/>
      <c r="AR553" s="76"/>
    </row>
    <row r="554" spans="2:44" x14ac:dyDescent="0.35">
      <c r="G554" s="12"/>
      <c r="J554" s="12"/>
      <c r="L554" s="92"/>
      <c r="Y554" s="108"/>
      <c r="Z554" s="76"/>
      <c r="AA554" s="76"/>
      <c r="AB554" s="76"/>
      <c r="AC554" s="76"/>
      <c r="AD554" s="76"/>
      <c r="AE554" s="76"/>
      <c r="AF554" s="76"/>
      <c r="AG554" s="76"/>
      <c r="AH554" s="108"/>
      <c r="AI554" s="76"/>
      <c r="AJ554" s="76"/>
      <c r="AK554" s="76"/>
      <c r="AL554" s="76"/>
      <c r="AM554" s="76"/>
      <c r="AN554" s="76"/>
      <c r="AO554" s="76"/>
      <c r="AP554" s="76"/>
      <c r="AQ554" s="76"/>
      <c r="AR554" s="76"/>
    </row>
    <row r="555" spans="2:44" x14ac:dyDescent="0.35">
      <c r="G555" s="12"/>
      <c r="J555" s="12"/>
      <c r="L555" s="92"/>
      <c r="Y555" s="108"/>
      <c r="Z555" s="76"/>
      <c r="AA555" s="76"/>
      <c r="AB555" s="76"/>
      <c r="AC555" s="76"/>
      <c r="AD555" s="76"/>
      <c r="AE555" s="76"/>
      <c r="AF555" s="76"/>
      <c r="AG555" s="76"/>
      <c r="AH555" s="108"/>
      <c r="AI555" s="76"/>
      <c r="AJ555" s="76"/>
      <c r="AK555" s="76"/>
      <c r="AL555" s="76"/>
      <c r="AM555" s="76"/>
      <c r="AN555" s="76"/>
      <c r="AO555" s="76"/>
      <c r="AP555" s="76"/>
      <c r="AQ555" s="76"/>
      <c r="AR555" s="76"/>
    </row>
    <row r="556" spans="2:44" x14ac:dyDescent="0.35">
      <c r="G556" s="12"/>
      <c r="J556" s="12"/>
      <c r="L556" s="92"/>
      <c r="Y556" s="108"/>
      <c r="Z556" s="76"/>
      <c r="AA556" s="76"/>
      <c r="AB556" s="76"/>
      <c r="AC556" s="76"/>
      <c r="AD556" s="76"/>
      <c r="AE556" s="76"/>
      <c r="AF556" s="76"/>
      <c r="AG556" s="76"/>
      <c r="AH556" s="108"/>
      <c r="AI556" s="76"/>
      <c r="AJ556" s="76"/>
      <c r="AK556" s="76"/>
      <c r="AL556" s="76"/>
      <c r="AM556" s="76"/>
      <c r="AN556" s="76"/>
      <c r="AO556" s="76"/>
      <c r="AP556" s="76"/>
      <c r="AQ556" s="76"/>
      <c r="AR556" s="76"/>
    </row>
    <row r="557" spans="2:44" x14ac:dyDescent="0.35">
      <c r="G557" s="12"/>
      <c r="J557" s="12"/>
      <c r="L557" s="92"/>
      <c r="Y557" s="108"/>
      <c r="Z557" s="76"/>
      <c r="AA557" s="76"/>
      <c r="AB557" s="76"/>
      <c r="AC557" s="76"/>
      <c r="AD557" s="76"/>
      <c r="AE557" s="76"/>
      <c r="AF557" s="76"/>
      <c r="AG557" s="76"/>
      <c r="AH557" s="108"/>
      <c r="AI557" s="76"/>
      <c r="AJ557" s="76"/>
      <c r="AK557" s="76"/>
      <c r="AL557" s="76"/>
      <c r="AM557" s="76"/>
      <c r="AN557" s="76"/>
      <c r="AO557" s="76"/>
      <c r="AP557" s="76"/>
      <c r="AQ557" s="76"/>
      <c r="AR557" s="76"/>
    </row>
    <row r="558" spans="2:44" x14ac:dyDescent="0.35">
      <c r="G558" s="12"/>
      <c r="J558" s="12"/>
      <c r="L558" s="92"/>
      <c r="Y558" s="108"/>
      <c r="Z558" s="76"/>
      <c r="AA558" s="76"/>
      <c r="AB558" s="76"/>
      <c r="AC558" s="76"/>
      <c r="AD558" s="76"/>
      <c r="AE558" s="76"/>
      <c r="AF558" s="76"/>
      <c r="AG558" s="76"/>
      <c r="AH558" s="108"/>
      <c r="AI558" s="76"/>
      <c r="AJ558" s="76"/>
      <c r="AK558" s="76"/>
      <c r="AL558" s="76"/>
      <c r="AM558" s="76"/>
      <c r="AN558" s="76"/>
      <c r="AO558" s="76"/>
      <c r="AP558" s="76"/>
      <c r="AQ558" s="76"/>
      <c r="AR558" s="76"/>
    </row>
    <row r="559" spans="2:44" x14ac:dyDescent="0.35">
      <c r="G559" s="12"/>
      <c r="J559" s="12"/>
      <c r="L559" s="92"/>
      <c r="Y559" s="108"/>
      <c r="Z559" s="76"/>
      <c r="AA559" s="76"/>
      <c r="AB559" s="76"/>
      <c r="AC559" s="76"/>
      <c r="AD559" s="76"/>
      <c r="AE559" s="76"/>
      <c r="AF559" s="76"/>
      <c r="AG559" s="76"/>
      <c r="AH559" s="108"/>
      <c r="AI559" s="76"/>
      <c r="AJ559" s="76"/>
      <c r="AK559" s="76"/>
      <c r="AL559" s="76"/>
      <c r="AM559" s="76"/>
      <c r="AN559" s="76"/>
      <c r="AO559" s="76"/>
      <c r="AP559" s="76"/>
      <c r="AQ559" s="76"/>
      <c r="AR559" s="76"/>
    </row>
    <row r="560" spans="2:44" x14ac:dyDescent="0.35">
      <c r="G560" s="12"/>
      <c r="J560" s="12"/>
      <c r="L560" s="92"/>
      <c r="Y560" s="108"/>
      <c r="Z560" s="76"/>
      <c r="AA560" s="76"/>
      <c r="AB560" s="76"/>
      <c r="AC560" s="76"/>
      <c r="AD560" s="76"/>
      <c r="AE560" s="76"/>
      <c r="AF560" s="76"/>
      <c r="AG560" s="76"/>
      <c r="AH560" s="108"/>
      <c r="AI560" s="76"/>
      <c r="AJ560" s="76"/>
      <c r="AK560" s="76"/>
      <c r="AL560" s="76"/>
      <c r="AM560" s="76"/>
      <c r="AN560" s="76"/>
      <c r="AO560" s="76"/>
      <c r="AP560" s="76"/>
      <c r="AQ560" s="76"/>
      <c r="AR560" s="76"/>
    </row>
    <row r="561" spans="7:44" x14ac:dyDescent="0.35">
      <c r="G561" s="12"/>
      <c r="J561" s="12"/>
      <c r="L561" s="92"/>
      <c r="Y561" s="108"/>
      <c r="Z561" s="76"/>
      <c r="AA561" s="76"/>
      <c r="AB561" s="76"/>
      <c r="AC561" s="76"/>
      <c r="AD561" s="76"/>
      <c r="AE561" s="76"/>
      <c r="AF561" s="76"/>
      <c r="AG561" s="76"/>
      <c r="AH561" s="108"/>
      <c r="AI561" s="76"/>
      <c r="AJ561" s="76"/>
      <c r="AK561" s="76"/>
      <c r="AL561" s="76"/>
      <c r="AM561" s="76"/>
      <c r="AN561" s="76"/>
      <c r="AO561" s="76"/>
      <c r="AP561" s="76"/>
      <c r="AQ561" s="76"/>
      <c r="AR561" s="76"/>
    </row>
    <row r="562" spans="7:44" x14ac:dyDescent="0.35">
      <c r="G562" s="12"/>
      <c r="J562" s="12"/>
      <c r="L562" s="92"/>
      <c r="Y562" s="108"/>
      <c r="Z562" s="76"/>
      <c r="AA562" s="76"/>
      <c r="AB562" s="76"/>
      <c r="AC562" s="76"/>
      <c r="AD562" s="76"/>
      <c r="AE562" s="76"/>
      <c r="AF562" s="76"/>
      <c r="AG562" s="76"/>
      <c r="AH562" s="108"/>
      <c r="AI562" s="76"/>
      <c r="AJ562" s="76"/>
      <c r="AK562" s="76"/>
      <c r="AL562" s="76"/>
      <c r="AM562" s="76"/>
      <c r="AN562" s="76"/>
      <c r="AO562" s="76"/>
      <c r="AP562" s="76"/>
      <c r="AQ562" s="76"/>
      <c r="AR562" s="76"/>
    </row>
    <row r="563" spans="7:44" x14ac:dyDescent="0.35">
      <c r="G563" s="12"/>
      <c r="J563" s="12"/>
      <c r="L563" s="92"/>
      <c r="Y563" s="108"/>
      <c r="Z563" s="76"/>
      <c r="AA563" s="76"/>
      <c r="AB563" s="76"/>
      <c r="AC563" s="76"/>
      <c r="AD563" s="76"/>
      <c r="AE563" s="76"/>
      <c r="AF563" s="76"/>
      <c r="AG563" s="76"/>
      <c r="AH563" s="108"/>
      <c r="AI563" s="76"/>
      <c r="AJ563" s="76"/>
      <c r="AK563" s="76"/>
      <c r="AL563" s="76"/>
      <c r="AM563" s="76"/>
      <c r="AN563" s="76"/>
      <c r="AO563" s="76"/>
      <c r="AP563" s="76"/>
      <c r="AQ563" s="76"/>
      <c r="AR563" s="76"/>
    </row>
    <row r="564" spans="7:44" x14ac:dyDescent="0.35">
      <c r="G564" s="12"/>
      <c r="J564" s="12"/>
      <c r="L564" s="92"/>
      <c r="Y564" s="108"/>
      <c r="Z564" s="76"/>
      <c r="AA564" s="76"/>
      <c r="AB564" s="76"/>
      <c r="AC564" s="76"/>
      <c r="AD564" s="76"/>
      <c r="AE564" s="76"/>
      <c r="AF564" s="76"/>
      <c r="AG564" s="76"/>
      <c r="AH564" s="108"/>
      <c r="AI564" s="76"/>
      <c r="AJ564" s="76"/>
      <c r="AK564" s="76"/>
      <c r="AL564" s="76"/>
      <c r="AM564" s="76"/>
      <c r="AN564" s="76"/>
      <c r="AO564" s="76"/>
      <c r="AP564" s="76"/>
      <c r="AQ564" s="76"/>
      <c r="AR564" s="76"/>
    </row>
    <row r="565" spans="7:44" x14ac:dyDescent="0.35">
      <c r="G565" s="12"/>
      <c r="J565" s="12"/>
      <c r="L565" s="92"/>
      <c r="Y565" s="108"/>
      <c r="Z565" s="76"/>
      <c r="AA565" s="76"/>
      <c r="AB565" s="76"/>
      <c r="AC565" s="76"/>
      <c r="AD565" s="76"/>
      <c r="AE565" s="76"/>
      <c r="AF565" s="76"/>
      <c r="AG565" s="76"/>
      <c r="AH565" s="108"/>
      <c r="AI565" s="76"/>
      <c r="AJ565" s="76"/>
      <c r="AK565" s="76"/>
      <c r="AL565" s="76"/>
      <c r="AM565" s="76"/>
      <c r="AN565" s="76"/>
      <c r="AO565" s="76"/>
      <c r="AP565" s="76"/>
      <c r="AQ565" s="76"/>
      <c r="AR565" s="76"/>
    </row>
    <row r="566" spans="7:44" x14ac:dyDescent="0.35">
      <c r="G566" s="12"/>
      <c r="J566" s="12"/>
      <c r="L566" s="92"/>
      <c r="Y566" s="108"/>
      <c r="Z566" s="76"/>
      <c r="AA566" s="76"/>
      <c r="AB566" s="76"/>
      <c r="AC566" s="76"/>
      <c r="AD566" s="76"/>
      <c r="AE566" s="76"/>
      <c r="AF566" s="76"/>
      <c r="AG566" s="76"/>
      <c r="AH566" s="108"/>
      <c r="AI566" s="76"/>
      <c r="AJ566" s="76"/>
      <c r="AK566" s="76"/>
      <c r="AL566" s="76"/>
      <c r="AM566" s="76"/>
      <c r="AN566" s="76"/>
      <c r="AO566" s="76"/>
      <c r="AP566" s="76"/>
      <c r="AQ566" s="76"/>
      <c r="AR566" s="76"/>
    </row>
    <row r="567" spans="7:44" x14ac:dyDescent="0.35">
      <c r="G567" s="12"/>
      <c r="J567" s="12"/>
      <c r="L567" s="92"/>
      <c r="Y567" s="108"/>
      <c r="Z567" s="76"/>
      <c r="AA567" s="76"/>
      <c r="AB567" s="76"/>
      <c r="AC567" s="76"/>
      <c r="AD567" s="76"/>
      <c r="AE567" s="76"/>
      <c r="AF567" s="76"/>
      <c r="AG567" s="76"/>
      <c r="AH567" s="108"/>
      <c r="AI567" s="76"/>
      <c r="AJ567" s="76"/>
      <c r="AK567" s="76"/>
      <c r="AL567" s="76"/>
      <c r="AM567" s="76"/>
      <c r="AN567" s="76"/>
      <c r="AO567" s="76"/>
      <c r="AP567" s="76"/>
      <c r="AQ567" s="76"/>
      <c r="AR567" s="76"/>
    </row>
    <row r="568" spans="7:44" x14ac:dyDescent="0.35">
      <c r="G568" s="12"/>
      <c r="J568" s="12"/>
      <c r="L568" s="92"/>
      <c r="Y568" s="108"/>
      <c r="Z568" s="76"/>
      <c r="AA568" s="76"/>
      <c r="AB568" s="76"/>
      <c r="AC568" s="76"/>
      <c r="AD568" s="76"/>
      <c r="AE568" s="76"/>
      <c r="AF568" s="76"/>
      <c r="AG568" s="76"/>
      <c r="AH568" s="108"/>
      <c r="AI568" s="76"/>
      <c r="AJ568" s="76"/>
      <c r="AK568" s="76"/>
      <c r="AL568" s="76"/>
      <c r="AM568" s="76"/>
      <c r="AN568" s="76"/>
      <c r="AO568" s="76"/>
      <c r="AP568" s="76"/>
      <c r="AQ568" s="76"/>
      <c r="AR568" s="76"/>
    </row>
    <row r="569" spans="7:44" x14ac:dyDescent="0.35">
      <c r="G569" s="12"/>
      <c r="J569" s="12"/>
      <c r="L569" s="92"/>
      <c r="Y569" s="108"/>
      <c r="Z569" s="76"/>
      <c r="AA569" s="76"/>
      <c r="AB569" s="76"/>
      <c r="AC569" s="76"/>
      <c r="AD569" s="76"/>
      <c r="AE569" s="76"/>
      <c r="AF569" s="76"/>
      <c r="AG569" s="76"/>
      <c r="AH569" s="108"/>
      <c r="AI569" s="76"/>
      <c r="AJ569" s="76"/>
      <c r="AK569" s="76"/>
      <c r="AL569" s="76"/>
      <c r="AM569" s="76"/>
      <c r="AN569" s="76"/>
      <c r="AO569" s="76"/>
      <c r="AP569" s="76"/>
      <c r="AQ569" s="76"/>
      <c r="AR569" s="76"/>
    </row>
    <row r="570" spans="7:44" x14ac:dyDescent="0.35">
      <c r="G570" s="12"/>
      <c r="J570" s="12"/>
      <c r="L570" s="92"/>
      <c r="Y570" s="108"/>
      <c r="Z570" s="76"/>
      <c r="AA570" s="76"/>
      <c r="AB570" s="76"/>
      <c r="AC570" s="76"/>
      <c r="AD570" s="76"/>
      <c r="AE570" s="76"/>
      <c r="AF570" s="76"/>
      <c r="AG570" s="76"/>
      <c r="AH570" s="108"/>
      <c r="AI570" s="76"/>
      <c r="AJ570" s="76"/>
      <c r="AK570" s="76"/>
      <c r="AL570" s="76"/>
      <c r="AM570" s="76"/>
      <c r="AN570" s="76"/>
      <c r="AO570" s="76"/>
      <c r="AP570" s="76"/>
      <c r="AQ570" s="76"/>
      <c r="AR570" s="76"/>
    </row>
    <row r="571" spans="7:44" x14ac:dyDescent="0.35">
      <c r="G571" s="12"/>
      <c r="J571" s="12"/>
      <c r="L571" s="92"/>
      <c r="Y571" s="108"/>
      <c r="Z571" s="76"/>
      <c r="AA571" s="76"/>
      <c r="AB571" s="76"/>
      <c r="AC571" s="76"/>
      <c r="AD571" s="76"/>
      <c r="AE571" s="76"/>
      <c r="AF571" s="76"/>
      <c r="AG571" s="76"/>
      <c r="AH571" s="108"/>
      <c r="AI571" s="76"/>
      <c r="AJ571" s="76"/>
      <c r="AK571" s="76"/>
      <c r="AL571" s="76"/>
      <c r="AM571" s="76"/>
      <c r="AN571" s="76"/>
      <c r="AO571" s="76"/>
      <c r="AP571" s="76"/>
      <c r="AQ571" s="76"/>
      <c r="AR571" s="76"/>
    </row>
    <row r="572" spans="7:44" x14ac:dyDescent="0.35">
      <c r="G572" s="12"/>
      <c r="J572" s="12"/>
      <c r="L572" s="92"/>
      <c r="Y572" s="108"/>
      <c r="Z572" s="76"/>
      <c r="AA572" s="76"/>
      <c r="AB572" s="76"/>
      <c r="AC572" s="76"/>
      <c r="AD572" s="76"/>
      <c r="AE572" s="76"/>
      <c r="AF572" s="76"/>
      <c r="AG572" s="76"/>
      <c r="AH572" s="108"/>
      <c r="AI572" s="76"/>
      <c r="AJ572" s="76"/>
      <c r="AK572" s="76"/>
      <c r="AL572" s="76"/>
      <c r="AM572" s="76"/>
      <c r="AN572" s="76"/>
      <c r="AO572" s="76"/>
      <c r="AP572" s="76"/>
      <c r="AQ572" s="76"/>
      <c r="AR572" s="76"/>
    </row>
    <row r="573" spans="7:44" x14ac:dyDescent="0.35">
      <c r="G573" s="12"/>
      <c r="J573" s="12"/>
      <c r="L573" s="92"/>
      <c r="Y573" s="108"/>
      <c r="Z573" s="76"/>
      <c r="AA573" s="76"/>
      <c r="AB573" s="76"/>
      <c r="AC573" s="76"/>
      <c r="AD573" s="76"/>
      <c r="AE573" s="76"/>
      <c r="AF573" s="76"/>
      <c r="AG573" s="76"/>
      <c r="AH573" s="108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</row>
    <row r="574" spans="7:44" x14ac:dyDescent="0.35">
      <c r="G574" s="12"/>
      <c r="J574" s="12"/>
      <c r="L574" s="92"/>
      <c r="Y574" s="108"/>
      <c r="Z574" s="76"/>
      <c r="AA574" s="76"/>
      <c r="AB574" s="76"/>
      <c r="AC574" s="76"/>
      <c r="AD574" s="76"/>
      <c r="AE574" s="76"/>
      <c r="AF574" s="76"/>
      <c r="AG574" s="76"/>
      <c r="AH574" s="108"/>
      <c r="AI574" s="76"/>
      <c r="AJ574" s="76"/>
      <c r="AK574" s="76"/>
      <c r="AL574" s="76"/>
      <c r="AM574" s="76"/>
      <c r="AN574" s="76"/>
      <c r="AO574" s="76"/>
      <c r="AP574" s="76"/>
      <c r="AQ574" s="76"/>
      <c r="AR574" s="76"/>
    </row>
    <row r="575" spans="7:44" x14ac:dyDescent="0.35">
      <c r="G575" s="12"/>
      <c r="J575" s="12"/>
      <c r="L575" s="92"/>
      <c r="Y575" s="108"/>
      <c r="Z575" s="76"/>
      <c r="AA575" s="76"/>
      <c r="AB575" s="76"/>
      <c r="AC575" s="76"/>
      <c r="AD575" s="76"/>
      <c r="AE575" s="76"/>
      <c r="AF575" s="76"/>
      <c r="AG575" s="76"/>
      <c r="AH575" s="108"/>
      <c r="AI575" s="76"/>
      <c r="AJ575" s="76"/>
      <c r="AK575" s="76"/>
      <c r="AL575" s="76"/>
      <c r="AM575" s="76"/>
      <c r="AN575" s="76"/>
      <c r="AO575" s="76"/>
      <c r="AP575" s="76"/>
      <c r="AQ575" s="76"/>
      <c r="AR575" s="76"/>
    </row>
    <row r="576" spans="7:44" x14ac:dyDescent="0.35">
      <c r="G576" s="12"/>
      <c r="J576" s="12"/>
      <c r="L576" s="92"/>
      <c r="Y576" s="108"/>
      <c r="Z576" s="76"/>
      <c r="AA576" s="76"/>
      <c r="AB576" s="76"/>
      <c r="AC576" s="76"/>
      <c r="AD576" s="76"/>
      <c r="AE576" s="76"/>
      <c r="AF576" s="76"/>
      <c r="AG576" s="76"/>
      <c r="AH576" s="108"/>
      <c r="AI576" s="76"/>
      <c r="AJ576" s="76"/>
      <c r="AK576" s="76"/>
      <c r="AL576" s="76"/>
      <c r="AM576" s="76"/>
      <c r="AN576" s="76"/>
      <c r="AO576" s="76"/>
      <c r="AP576" s="76"/>
      <c r="AQ576" s="76"/>
      <c r="AR576" s="76"/>
    </row>
    <row r="577" spans="7:44" x14ac:dyDescent="0.35">
      <c r="G577" s="12"/>
      <c r="J577" s="12"/>
      <c r="L577" s="92"/>
      <c r="Y577" s="108"/>
      <c r="Z577" s="76"/>
      <c r="AA577" s="76"/>
      <c r="AB577" s="76"/>
      <c r="AC577" s="76"/>
      <c r="AD577" s="76"/>
      <c r="AE577" s="76"/>
      <c r="AF577" s="76"/>
      <c r="AG577" s="76"/>
      <c r="AH577" s="108"/>
      <c r="AI577" s="76"/>
      <c r="AJ577" s="76"/>
      <c r="AK577" s="76"/>
      <c r="AL577" s="76"/>
      <c r="AM577" s="76"/>
      <c r="AN577" s="76"/>
      <c r="AO577" s="76"/>
      <c r="AP577" s="76"/>
      <c r="AQ577" s="76"/>
      <c r="AR577" s="76"/>
    </row>
    <row r="578" spans="7:44" x14ac:dyDescent="0.35">
      <c r="G578" s="12"/>
      <c r="J578" s="12"/>
      <c r="L578" s="92"/>
      <c r="Y578" s="108"/>
      <c r="Z578" s="76"/>
      <c r="AA578" s="76"/>
      <c r="AB578" s="76"/>
      <c r="AC578" s="76"/>
      <c r="AD578" s="76"/>
      <c r="AE578" s="76"/>
      <c r="AF578" s="76"/>
      <c r="AG578" s="76"/>
      <c r="AH578" s="108"/>
      <c r="AI578" s="76"/>
      <c r="AJ578" s="76"/>
      <c r="AK578" s="76"/>
      <c r="AL578" s="76"/>
      <c r="AM578" s="76"/>
      <c r="AN578" s="76"/>
      <c r="AO578" s="76"/>
      <c r="AP578" s="76"/>
      <c r="AQ578" s="76"/>
      <c r="AR578" s="76"/>
    </row>
    <row r="579" spans="7:44" x14ac:dyDescent="0.35">
      <c r="G579" s="12"/>
      <c r="J579" s="12"/>
      <c r="L579" s="92"/>
      <c r="Y579" s="108"/>
      <c r="Z579" s="76"/>
      <c r="AA579" s="76"/>
      <c r="AB579" s="76"/>
      <c r="AC579" s="76"/>
      <c r="AD579" s="76"/>
      <c r="AE579" s="76"/>
      <c r="AF579" s="76"/>
      <c r="AG579" s="76"/>
      <c r="AH579" s="108"/>
      <c r="AI579" s="76"/>
      <c r="AJ579" s="76"/>
      <c r="AK579" s="76"/>
      <c r="AL579" s="76"/>
      <c r="AM579" s="76"/>
      <c r="AN579" s="76"/>
      <c r="AO579" s="76"/>
      <c r="AP579" s="76"/>
      <c r="AQ579" s="76"/>
      <c r="AR579" s="76"/>
    </row>
    <row r="580" spans="7:44" x14ac:dyDescent="0.35">
      <c r="G580" s="12"/>
      <c r="J580" s="12"/>
      <c r="L580" s="92"/>
      <c r="Y580" s="108"/>
      <c r="Z580" s="76"/>
      <c r="AA580" s="76"/>
      <c r="AB580" s="76"/>
      <c r="AC580" s="76"/>
      <c r="AD580" s="76"/>
      <c r="AE580" s="76"/>
      <c r="AF580" s="76"/>
      <c r="AG580" s="76"/>
      <c r="AH580" s="108"/>
      <c r="AI580" s="76"/>
      <c r="AJ580" s="76"/>
      <c r="AK580" s="76"/>
      <c r="AL580" s="76"/>
      <c r="AM580" s="76"/>
      <c r="AN580" s="76"/>
      <c r="AO580" s="76"/>
      <c r="AP580" s="76"/>
      <c r="AQ580" s="76"/>
      <c r="AR580" s="76"/>
    </row>
    <row r="581" spans="7:44" x14ac:dyDescent="0.35">
      <c r="G581" s="12"/>
      <c r="J581" s="12"/>
      <c r="L581" s="92"/>
      <c r="Y581" s="108"/>
      <c r="Z581" s="76"/>
      <c r="AA581" s="76"/>
      <c r="AB581" s="76"/>
      <c r="AC581" s="76"/>
      <c r="AD581" s="76"/>
      <c r="AE581" s="76"/>
      <c r="AF581" s="76"/>
      <c r="AG581" s="76"/>
      <c r="AH581" s="108"/>
      <c r="AI581" s="76"/>
      <c r="AJ581" s="76"/>
      <c r="AK581" s="76"/>
      <c r="AL581" s="76"/>
      <c r="AM581" s="76"/>
      <c r="AN581" s="76"/>
      <c r="AO581" s="76"/>
      <c r="AP581" s="76"/>
      <c r="AQ581" s="76"/>
      <c r="AR581" s="76"/>
    </row>
    <row r="582" spans="7:44" x14ac:dyDescent="0.35">
      <c r="G582" s="12"/>
      <c r="J582" s="12"/>
      <c r="L582" s="92"/>
      <c r="Y582" s="108"/>
      <c r="Z582" s="76"/>
      <c r="AA582" s="76"/>
      <c r="AB582" s="76"/>
      <c r="AC582" s="76"/>
      <c r="AD582" s="76"/>
      <c r="AE582" s="76"/>
      <c r="AF582" s="76"/>
      <c r="AG582" s="76"/>
      <c r="AH582" s="108"/>
      <c r="AI582" s="76"/>
      <c r="AJ582" s="76"/>
      <c r="AK582" s="76"/>
      <c r="AL582" s="76"/>
      <c r="AM582" s="76"/>
      <c r="AN582" s="76"/>
      <c r="AO582" s="76"/>
      <c r="AP582" s="76"/>
      <c r="AQ582" s="76"/>
      <c r="AR582" s="76"/>
    </row>
    <row r="583" spans="7:44" x14ac:dyDescent="0.35">
      <c r="G583" s="12"/>
      <c r="J583" s="12"/>
      <c r="L583" s="92"/>
      <c r="Y583" s="108"/>
      <c r="Z583" s="76"/>
      <c r="AA583" s="76"/>
      <c r="AB583" s="76"/>
      <c r="AC583" s="76"/>
      <c r="AD583" s="76"/>
      <c r="AE583" s="76"/>
      <c r="AF583" s="76"/>
      <c r="AG583" s="76"/>
      <c r="AH583" s="108"/>
      <c r="AI583" s="76"/>
      <c r="AJ583" s="76"/>
      <c r="AK583" s="76"/>
      <c r="AL583" s="76"/>
      <c r="AM583" s="76"/>
      <c r="AN583" s="76"/>
      <c r="AO583" s="76"/>
      <c r="AP583" s="76"/>
      <c r="AQ583" s="76"/>
      <c r="AR583" s="76"/>
    </row>
    <row r="584" spans="7:44" x14ac:dyDescent="0.35">
      <c r="G584" s="12"/>
      <c r="J584" s="12"/>
      <c r="L584" s="92"/>
      <c r="Y584" s="108"/>
      <c r="Z584" s="76"/>
      <c r="AA584" s="76"/>
      <c r="AB584" s="76"/>
      <c r="AC584" s="76"/>
      <c r="AD584" s="76"/>
      <c r="AE584" s="76"/>
      <c r="AF584" s="76"/>
      <c r="AG584" s="76"/>
      <c r="AH584" s="108"/>
      <c r="AI584" s="76"/>
      <c r="AJ584" s="76"/>
      <c r="AK584" s="76"/>
      <c r="AL584" s="76"/>
      <c r="AM584" s="76"/>
      <c r="AN584" s="76"/>
      <c r="AO584" s="76"/>
      <c r="AP584" s="76"/>
      <c r="AQ584" s="76"/>
      <c r="AR584" s="76"/>
    </row>
    <row r="585" spans="7:44" x14ac:dyDescent="0.35">
      <c r="G585" s="12"/>
      <c r="J585" s="12"/>
      <c r="L585" s="92"/>
      <c r="Y585" s="108"/>
      <c r="Z585" s="76"/>
      <c r="AA585" s="76"/>
      <c r="AB585" s="76"/>
      <c r="AC585" s="76"/>
      <c r="AD585" s="76"/>
      <c r="AE585" s="76"/>
      <c r="AF585" s="76"/>
      <c r="AG585" s="76"/>
      <c r="AH585" s="108"/>
      <c r="AI585" s="76"/>
      <c r="AJ585" s="76"/>
      <c r="AK585" s="76"/>
      <c r="AL585" s="76"/>
      <c r="AM585" s="76"/>
      <c r="AN585" s="76"/>
      <c r="AO585" s="76"/>
      <c r="AP585" s="76"/>
      <c r="AQ585" s="76"/>
      <c r="AR585" s="76"/>
    </row>
    <row r="586" spans="7:44" x14ac:dyDescent="0.35">
      <c r="G586" s="12"/>
      <c r="J586" s="12"/>
      <c r="L586" s="92"/>
      <c r="Y586" s="108"/>
      <c r="Z586" s="76"/>
      <c r="AA586" s="76"/>
      <c r="AB586" s="76"/>
      <c r="AC586" s="76"/>
      <c r="AD586" s="76"/>
      <c r="AE586" s="76"/>
      <c r="AF586" s="76"/>
      <c r="AG586" s="76"/>
      <c r="AH586" s="108"/>
      <c r="AI586" s="76"/>
      <c r="AJ586" s="76"/>
      <c r="AK586" s="76"/>
      <c r="AL586" s="76"/>
      <c r="AM586" s="76"/>
      <c r="AN586" s="76"/>
      <c r="AO586" s="76"/>
      <c r="AP586" s="76"/>
      <c r="AQ586" s="76"/>
      <c r="AR586" s="76"/>
    </row>
    <row r="587" spans="7:44" x14ac:dyDescent="0.35">
      <c r="G587" s="12"/>
      <c r="J587" s="12"/>
      <c r="L587" s="92"/>
      <c r="Y587" s="108"/>
      <c r="Z587" s="76"/>
      <c r="AA587" s="76"/>
      <c r="AB587" s="76"/>
      <c r="AC587" s="76"/>
      <c r="AD587" s="76"/>
      <c r="AE587" s="76"/>
      <c r="AF587" s="76"/>
      <c r="AG587" s="76"/>
      <c r="AH587" s="108"/>
      <c r="AI587" s="76"/>
      <c r="AJ587" s="76"/>
      <c r="AK587" s="76"/>
      <c r="AL587" s="76"/>
      <c r="AM587" s="76"/>
      <c r="AN587" s="76"/>
      <c r="AO587" s="76"/>
      <c r="AP587" s="76"/>
      <c r="AQ587" s="76"/>
      <c r="AR587" s="76"/>
    </row>
    <row r="588" spans="7:44" x14ac:dyDescent="0.35">
      <c r="G588" s="12"/>
      <c r="J588" s="12"/>
      <c r="L588" s="92"/>
      <c r="Y588" s="108"/>
      <c r="Z588" s="76"/>
      <c r="AA588" s="76"/>
      <c r="AB588" s="76"/>
      <c r="AC588" s="76"/>
      <c r="AD588" s="76"/>
      <c r="AE588" s="76"/>
      <c r="AF588" s="76"/>
      <c r="AG588" s="76"/>
      <c r="AH588" s="108"/>
      <c r="AI588" s="76"/>
      <c r="AJ588" s="76"/>
      <c r="AK588" s="76"/>
      <c r="AL588" s="76"/>
      <c r="AM588" s="76"/>
      <c r="AN588" s="76"/>
      <c r="AO588" s="76"/>
      <c r="AP588" s="76"/>
      <c r="AQ588" s="76"/>
      <c r="AR588" s="76"/>
    </row>
    <row r="589" spans="7:44" x14ac:dyDescent="0.35">
      <c r="G589" s="12"/>
      <c r="J589" s="12"/>
      <c r="L589" s="92"/>
      <c r="Y589" s="108"/>
      <c r="Z589" s="76"/>
      <c r="AA589" s="76"/>
      <c r="AB589" s="76"/>
      <c r="AC589" s="76"/>
      <c r="AD589" s="76"/>
      <c r="AE589" s="76"/>
      <c r="AF589" s="76"/>
      <c r="AG589" s="76"/>
      <c r="AH589" s="108"/>
      <c r="AI589" s="76"/>
      <c r="AJ589" s="76"/>
      <c r="AK589" s="76"/>
      <c r="AL589" s="76"/>
      <c r="AM589" s="76"/>
      <c r="AN589" s="76"/>
      <c r="AO589" s="76"/>
      <c r="AP589" s="76"/>
      <c r="AQ589" s="76"/>
      <c r="AR589" s="76"/>
    </row>
    <row r="590" spans="7:44" x14ac:dyDescent="0.35">
      <c r="G590" s="12"/>
      <c r="J590" s="12"/>
      <c r="L590" s="92"/>
      <c r="Y590" s="108"/>
      <c r="Z590" s="76"/>
      <c r="AA590" s="76"/>
      <c r="AB590" s="76"/>
      <c r="AC590" s="76"/>
      <c r="AD590" s="76"/>
      <c r="AE590" s="76"/>
      <c r="AF590" s="76"/>
      <c r="AG590" s="76"/>
      <c r="AH590" s="108"/>
      <c r="AI590" s="76"/>
      <c r="AJ590" s="76"/>
      <c r="AK590" s="76"/>
      <c r="AL590" s="76"/>
      <c r="AM590" s="76"/>
      <c r="AN590" s="76"/>
      <c r="AO590" s="76"/>
      <c r="AP590" s="76"/>
      <c r="AQ590" s="76"/>
      <c r="AR590" s="76"/>
    </row>
    <row r="591" spans="7:44" x14ac:dyDescent="0.35">
      <c r="G591" s="12"/>
      <c r="J591" s="12"/>
      <c r="L591" s="92"/>
      <c r="Y591" s="108"/>
      <c r="Z591" s="76"/>
      <c r="AA591" s="76"/>
      <c r="AB591" s="76"/>
      <c r="AC591" s="76"/>
      <c r="AD591" s="76"/>
      <c r="AE591" s="76"/>
      <c r="AF591" s="76"/>
      <c r="AG591" s="76"/>
      <c r="AH591" s="108"/>
      <c r="AI591" s="76"/>
      <c r="AJ591" s="76"/>
      <c r="AK591" s="76"/>
      <c r="AL591" s="76"/>
      <c r="AM591" s="76"/>
      <c r="AN591" s="76"/>
      <c r="AO591" s="76"/>
      <c r="AP591" s="76"/>
      <c r="AQ591" s="76"/>
      <c r="AR591" s="76"/>
    </row>
    <row r="592" spans="7:44" x14ac:dyDescent="0.35">
      <c r="G592" s="12"/>
      <c r="J592" s="12"/>
      <c r="L592" s="92"/>
      <c r="Y592" s="108"/>
      <c r="Z592" s="76"/>
      <c r="AA592" s="76"/>
      <c r="AB592" s="76"/>
      <c r="AC592" s="76"/>
      <c r="AD592" s="76"/>
      <c r="AE592" s="76"/>
      <c r="AF592" s="76"/>
      <c r="AG592" s="76"/>
      <c r="AH592" s="108"/>
      <c r="AI592" s="76"/>
      <c r="AJ592" s="76"/>
      <c r="AK592" s="76"/>
      <c r="AL592" s="76"/>
      <c r="AM592" s="76"/>
      <c r="AN592" s="76"/>
      <c r="AO592" s="76"/>
      <c r="AP592" s="76"/>
      <c r="AQ592" s="76"/>
      <c r="AR592" s="76"/>
    </row>
    <row r="593" spans="7:44" x14ac:dyDescent="0.35">
      <c r="G593" s="12"/>
      <c r="J593" s="12"/>
      <c r="L593" s="92"/>
      <c r="Y593" s="108"/>
      <c r="Z593" s="76"/>
      <c r="AA593" s="76"/>
      <c r="AB593" s="76"/>
      <c r="AC593" s="76"/>
      <c r="AD593" s="76"/>
      <c r="AE593" s="76"/>
      <c r="AF593" s="76"/>
      <c r="AG593" s="76"/>
      <c r="AH593" s="108"/>
      <c r="AI593" s="76"/>
      <c r="AJ593" s="76"/>
      <c r="AK593" s="76"/>
      <c r="AL593" s="76"/>
      <c r="AM593" s="76"/>
      <c r="AN593" s="76"/>
      <c r="AO593" s="76"/>
      <c r="AP593" s="76"/>
      <c r="AQ593" s="76"/>
      <c r="AR593" s="76"/>
    </row>
    <row r="594" spans="7:44" x14ac:dyDescent="0.35">
      <c r="G594" s="12"/>
      <c r="J594" s="12"/>
      <c r="L594" s="92"/>
      <c r="Y594" s="108"/>
      <c r="Z594" s="76"/>
      <c r="AA594" s="76"/>
      <c r="AB594" s="76"/>
      <c r="AC594" s="76"/>
      <c r="AD594" s="76"/>
      <c r="AE594" s="76"/>
      <c r="AF594" s="76"/>
      <c r="AG594" s="76"/>
      <c r="AH594" s="108"/>
      <c r="AI594" s="76"/>
      <c r="AJ594" s="76"/>
      <c r="AK594" s="76"/>
      <c r="AL594" s="76"/>
      <c r="AM594" s="76"/>
      <c r="AN594" s="76"/>
      <c r="AO594" s="76"/>
      <c r="AP594" s="76"/>
      <c r="AQ594" s="76"/>
      <c r="AR594" s="76"/>
    </row>
    <row r="595" spans="7:44" x14ac:dyDescent="0.35">
      <c r="G595" s="12"/>
      <c r="J595" s="12"/>
      <c r="L595" s="92"/>
      <c r="Y595" s="108"/>
      <c r="Z595" s="76"/>
      <c r="AA595" s="76"/>
      <c r="AB595" s="76"/>
      <c r="AC595" s="76"/>
      <c r="AD595" s="76"/>
      <c r="AE595" s="76"/>
      <c r="AF595" s="76"/>
      <c r="AG595" s="76"/>
      <c r="AH595" s="108"/>
      <c r="AI595" s="76"/>
      <c r="AJ595" s="76"/>
      <c r="AK595" s="76"/>
      <c r="AL595" s="76"/>
      <c r="AM595" s="76"/>
      <c r="AN595" s="76"/>
      <c r="AO595" s="76"/>
      <c r="AP595" s="76"/>
      <c r="AQ595" s="76"/>
      <c r="AR595" s="76"/>
    </row>
    <row r="596" spans="7:44" x14ac:dyDescent="0.35">
      <c r="G596" s="12"/>
      <c r="J596" s="12"/>
      <c r="L596" s="92"/>
      <c r="Y596" s="108"/>
      <c r="Z596" s="76"/>
      <c r="AA596" s="76"/>
      <c r="AB596" s="76"/>
      <c r="AC596" s="76"/>
      <c r="AD596" s="76"/>
      <c r="AE596" s="76"/>
      <c r="AF596" s="76"/>
      <c r="AG596" s="76"/>
      <c r="AH596" s="108"/>
      <c r="AI596" s="76"/>
      <c r="AJ596" s="76"/>
      <c r="AK596" s="76"/>
      <c r="AL596" s="76"/>
      <c r="AM596" s="76"/>
      <c r="AN596" s="76"/>
      <c r="AO596" s="76"/>
      <c r="AP596" s="76"/>
      <c r="AQ596" s="76"/>
      <c r="AR596" s="76"/>
    </row>
    <row r="597" spans="7:44" x14ac:dyDescent="0.35">
      <c r="G597" s="12"/>
      <c r="J597" s="12"/>
      <c r="L597" s="92"/>
      <c r="Y597" s="108"/>
      <c r="Z597" s="76"/>
      <c r="AA597" s="76"/>
      <c r="AB597" s="76"/>
      <c r="AC597" s="76"/>
      <c r="AD597" s="76"/>
      <c r="AE597" s="76"/>
      <c r="AF597" s="76"/>
      <c r="AG597" s="76"/>
      <c r="AH597" s="108"/>
      <c r="AI597" s="76"/>
      <c r="AJ597" s="76"/>
      <c r="AK597" s="76"/>
      <c r="AL597" s="76"/>
      <c r="AM597" s="76"/>
      <c r="AN597" s="76"/>
      <c r="AO597" s="76"/>
      <c r="AP597" s="76"/>
      <c r="AQ597" s="76"/>
      <c r="AR597" s="76"/>
    </row>
    <row r="598" spans="7:44" x14ac:dyDescent="0.35">
      <c r="G598" s="12"/>
      <c r="J598" s="12"/>
      <c r="L598" s="92"/>
      <c r="Y598" s="108"/>
      <c r="Z598" s="76"/>
      <c r="AA598" s="76"/>
      <c r="AB598" s="76"/>
      <c r="AC598" s="76"/>
      <c r="AD598" s="76"/>
      <c r="AE598" s="76"/>
      <c r="AF598" s="76"/>
      <c r="AG598" s="76"/>
      <c r="AH598" s="108"/>
      <c r="AI598" s="76"/>
      <c r="AJ598" s="76"/>
      <c r="AK598" s="76"/>
      <c r="AL598" s="76"/>
      <c r="AM598" s="76"/>
      <c r="AN598" s="76"/>
      <c r="AO598" s="76"/>
      <c r="AP598" s="76"/>
      <c r="AQ598" s="76"/>
      <c r="AR598" s="76"/>
    </row>
    <row r="599" spans="7:44" x14ac:dyDescent="0.35">
      <c r="G599" s="12"/>
      <c r="J599" s="12"/>
      <c r="L599" s="92"/>
      <c r="Y599" s="108"/>
      <c r="Z599" s="76"/>
      <c r="AA599" s="76"/>
      <c r="AB599" s="76"/>
      <c r="AC599" s="76"/>
      <c r="AD599" s="76"/>
      <c r="AE599" s="76"/>
      <c r="AF599" s="76"/>
      <c r="AG599" s="76"/>
      <c r="AH599" s="108"/>
      <c r="AI599" s="76"/>
      <c r="AJ599" s="76"/>
      <c r="AK599" s="76"/>
      <c r="AL599" s="76"/>
      <c r="AM599" s="76"/>
      <c r="AN599" s="76"/>
      <c r="AO599" s="76"/>
      <c r="AP599" s="76"/>
      <c r="AQ599" s="76"/>
      <c r="AR599" s="76"/>
    </row>
    <row r="600" spans="7:44" x14ac:dyDescent="0.35">
      <c r="G600" s="12"/>
      <c r="J600" s="12"/>
      <c r="L600" s="92"/>
      <c r="Y600" s="108"/>
      <c r="Z600" s="76"/>
      <c r="AA600" s="76"/>
      <c r="AB600" s="76"/>
      <c r="AC600" s="76"/>
      <c r="AD600" s="76"/>
      <c r="AE600" s="76"/>
      <c r="AF600" s="76"/>
      <c r="AG600" s="76"/>
      <c r="AH600" s="108"/>
      <c r="AI600" s="76"/>
      <c r="AJ600" s="76"/>
      <c r="AK600" s="76"/>
      <c r="AL600" s="76"/>
      <c r="AM600" s="76"/>
      <c r="AN600" s="76"/>
      <c r="AO600" s="76"/>
      <c r="AP600" s="76"/>
      <c r="AQ600" s="76"/>
      <c r="AR600" s="76"/>
    </row>
    <row r="601" spans="7:44" x14ac:dyDescent="0.35">
      <c r="G601" s="12"/>
      <c r="J601" s="12"/>
      <c r="L601" s="92"/>
      <c r="Y601" s="108"/>
      <c r="Z601" s="76"/>
      <c r="AA601" s="76"/>
      <c r="AB601" s="76"/>
      <c r="AC601" s="76"/>
      <c r="AD601" s="76"/>
      <c r="AE601" s="76"/>
      <c r="AF601" s="76"/>
      <c r="AG601" s="76"/>
      <c r="AH601" s="108"/>
      <c r="AI601" s="76"/>
      <c r="AJ601" s="76"/>
      <c r="AK601" s="76"/>
      <c r="AL601" s="76"/>
      <c r="AM601" s="76"/>
      <c r="AN601" s="76"/>
      <c r="AO601" s="76"/>
      <c r="AP601" s="76"/>
      <c r="AQ601" s="76"/>
      <c r="AR601" s="76"/>
    </row>
    <row r="602" spans="7:44" x14ac:dyDescent="0.35">
      <c r="G602" s="12"/>
      <c r="J602" s="12"/>
      <c r="L602" s="92"/>
      <c r="Y602" s="108"/>
      <c r="Z602" s="76"/>
      <c r="AA602" s="76"/>
      <c r="AB602" s="76"/>
      <c r="AC602" s="76"/>
      <c r="AD602" s="76"/>
      <c r="AE602" s="76"/>
      <c r="AF602" s="76"/>
      <c r="AG602" s="76"/>
      <c r="AH602" s="108"/>
      <c r="AI602" s="76"/>
      <c r="AJ602" s="76"/>
      <c r="AK602" s="76"/>
      <c r="AL602" s="76"/>
      <c r="AM602" s="76"/>
      <c r="AN602" s="76"/>
      <c r="AO602" s="76"/>
      <c r="AP602" s="76"/>
      <c r="AQ602" s="76"/>
      <c r="AR602" s="76"/>
    </row>
    <row r="603" spans="7:44" x14ac:dyDescent="0.35">
      <c r="G603" s="12"/>
      <c r="J603" s="12"/>
      <c r="L603" s="92"/>
      <c r="Y603" s="108"/>
      <c r="Z603" s="76"/>
      <c r="AA603" s="76"/>
      <c r="AB603" s="76"/>
      <c r="AC603" s="76"/>
      <c r="AD603" s="76"/>
      <c r="AE603" s="76"/>
      <c r="AF603" s="76"/>
      <c r="AG603" s="76"/>
      <c r="AH603" s="108"/>
      <c r="AI603" s="76"/>
      <c r="AJ603" s="76"/>
      <c r="AK603" s="76"/>
      <c r="AL603" s="76"/>
      <c r="AM603" s="76"/>
      <c r="AN603" s="76"/>
      <c r="AO603" s="76"/>
      <c r="AP603" s="76"/>
      <c r="AQ603" s="76"/>
      <c r="AR603" s="76"/>
    </row>
    <row r="604" spans="7:44" x14ac:dyDescent="0.35">
      <c r="G604" s="12"/>
      <c r="J604" s="12"/>
      <c r="L604" s="92"/>
      <c r="Y604" s="108"/>
      <c r="Z604" s="76"/>
      <c r="AA604" s="76"/>
      <c r="AB604" s="76"/>
      <c r="AC604" s="76"/>
      <c r="AD604" s="76"/>
      <c r="AE604" s="76"/>
      <c r="AF604" s="76"/>
      <c r="AG604" s="76"/>
      <c r="AH604" s="108"/>
      <c r="AI604" s="76"/>
      <c r="AJ604" s="76"/>
      <c r="AK604" s="76"/>
      <c r="AL604" s="76"/>
      <c r="AM604" s="76"/>
      <c r="AN604" s="76"/>
      <c r="AO604" s="76"/>
      <c r="AP604" s="76"/>
      <c r="AQ604" s="76"/>
      <c r="AR604" s="76"/>
    </row>
    <row r="605" spans="7:44" x14ac:dyDescent="0.35">
      <c r="G605" s="12"/>
      <c r="J605" s="12"/>
      <c r="L605" s="92"/>
      <c r="Y605" s="108"/>
      <c r="Z605" s="76"/>
      <c r="AA605" s="76"/>
      <c r="AB605" s="76"/>
      <c r="AC605" s="76"/>
      <c r="AD605" s="76"/>
      <c r="AE605" s="76"/>
      <c r="AF605" s="76"/>
      <c r="AG605" s="76"/>
      <c r="AH605" s="108"/>
      <c r="AI605" s="76"/>
      <c r="AJ605" s="76"/>
      <c r="AK605" s="76"/>
      <c r="AL605" s="76"/>
      <c r="AM605" s="76"/>
      <c r="AN605" s="76"/>
      <c r="AO605" s="76"/>
      <c r="AP605" s="76"/>
      <c r="AQ605" s="76"/>
      <c r="AR605" s="76"/>
    </row>
    <row r="606" spans="7:44" x14ac:dyDescent="0.35">
      <c r="G606" s="12"/>
      <c r="J606" s="12"/>
      <c r="L606" s="92"/>
      <c r="Y606" s="108"/>
      <c r="Z606" s="76"/>
      <c r="AA606" s="76"/>
      <c r="AB606" s="76"/>
      <c r="AC606" s="76"/>
      <c r="AD606" s="76"/>
      <c r="AE606" s="76"/>
      <c r="AF606" s="76"/>
      <c r="AG606" s="76"/>
      <c r="AH606" s="108"/>
      <c r="AI606" s="76"/>
      <c r="AJ606" s="76"/>
      <c r="AK606" s="76"/>
      <c r="AL606" s="76"/>
      <c r="AM606" s="76"/>
      <c r="AN606" s="76"/>
      <c r="AO606" s="76"/>
      <c r="AP606" s="76"/>
      <c r="AQ606" s="76"/>
      <c r="AR606" s="76"/>
    </row>
    <row r="607" spans="7:44" x14ac:dyDescent="0.35">
      <c r="G607" s="12"/>
      <c r="J607" s="12"/>
      <c r="L607" s="92"/>
      <c r="Y607" s="108"/>
      <c r="Z607" s="76"/>
      <c r="AA607" s="76"/>
      <c r="AB607" s="76"/>
      <c r="AC607" s="76"/>
      <c r="AD607" s="76"/>
      <c r="AE607" s="76"/>
      <c r="AF607" s="76"/>
      <c r="AG607" s="76"/>
      <c r="AH607" s="108"/>
      <c r="AI607" s="76"/>
      <c r="AJ607" s="76"/>
      <c r="AK607" s="76"/>
      <c r="AL607" s="76"/>
      <c r="AM607" s="76"/>
      <c r="AN607" s="76"/>
      <c r="AO607" s="76"/>
      <c r="AP607" s="76"/>
      <c r="AQ607" s="76"/>
      <c r="AR607" s="76"/>
    </row>
    <row r="608" spans="7:44" x14ac:dyDescent="0.35">
      <c r="G608" s="12"/>
      <c r="J608" s="12"/>
      <c r="L608" s="92"/>
      <c r="Y608" s="108"/>
      <c r="Z608" s="76"/>
      <c r="AA608" s="76"/>
      <c r="AB608" s="76"/>
      <c r="AC608" s="76"/>
      <c r="AD608" s="76"/>
      <c r="AE608" s="76"/>
      <c r="AF608" s="76"/>
      <c r="AG608" s="76"/>
      <c r="AH608" s="108"/>
      <c r="AI608" s="76"/>
      <c r="AJ608" s="76"/>
      <c r="AK608" s="76"/>
      <c r="AL608" s="76"/>
      <c r="AM608" s="76"/>
      <c r="AN608" s="76"/>
      <c r="AO608" s="76"/>
      <c r="AP608" s="76"/>
      <c r="AQ608" s="76"/>
      <c r="AR608" s="76"/>
    </row>
    <row r="609" spans="7:44" x14ac:dyDescent="0.35">
      <c r="G609" s="12"/>
      <c r="J609" s="12"/>
      <c r="L609" s="92"/>
      <c r="Y609" s="108"/>
      <c r="Z609" s="76"/>
      <c r="AA609" s="76"/>
      <c r="AB609" s="76"/>
      <c r="AC609" s="76"/>
      <c r="AD609" s="76"/>
      <c r="AE609" s="76"/>
      <c r="AF609" s="76"/>
      <c r="AG609" s="76"/>
      <c r="AH609" s="108"/>
      <c r="AI609" s="76"/>
      <c r="AJ609" s="76"/>
      <c r="AK609" s="76"/>
      <c r="AL609" s="76"/>
      <c r="AM609" s="76"/>
      <c r="AN609" s="76"/>
      <c r="AO609" s="76"/>
      <c r="AP609" s="76"/>
      <c r="AQ609" s="76"/>
      <c r="AR609" s="76"/>
    </row>
    <row r="610" spans="7:44" x14ac:dyDescent="0.35">
      <c r="G610" s="12"/>
      <c r="J610" s="12"/>
      <c r="L610" s="92"/>
      <c r="Y610" s="108"/>
      <c r="Z610" s="76"/>
      <c r="AA610" s="76"/>
      <c r="AB610" s="76"/>
      <c r="AC610" s="76"/>
      <c r="AD610" s="76"/>
      <c r="AE610" s="76"/>
      <c r="AF610" s="76"/>
      <c r="AG610" s="76"/>
      <c r="AH610" s="108"/>
      <c r="AI610" s="76"/>
      <c r="AJ610" s="76"/>
      <c r="AK610" s="76"/>
      <c r="AL610" s="76"/>
      <c r="AM610" s="76"/>
      <c r="AN610" s="76"/>
      <c r="AO610" s="76"/>
      <c r="AP610" s="76"/>
      <c r="AQ610" s="76"/>
      <c r="AR610" s="76"/>
    </row>
    <row r="611" spans="7:44" x14ac:dyDescent="0.35">
      <c r="G611" s="12"/>
      <c r="J611" s="12"/>
      <c r="L611" s="92"/>
      <c r="Y611" s="108"/>
      <c r="Z611" s="76"/>
      <c r="AA611" s="76"/>
      <c r="AB611" s="76"/>
      <c r="AC611" s="76"/>
      <c r="AD611" s="76"/>
      <c r="AE611" s="76"/>
      <c r="AF611" s="76"/>
      <c r="AG611" s="76"/>
      <c r="AH611" s="108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</row>
    <row r="612" spans="7:44" x14ac:dyDescent="0.35">
      <c r="G612" s="12"/>
      <c r="J612" s="12"/>
      <c r="L612" s="92"/>
      <c r="Y612" s="108"/>
      <c r="Z612" s="76"/>
      <c r="AA612" s="76"/>
      <c r="AB612" s="76"/>
      <c r="AC612" s="76"/>
      <c r="AD612" s="76"/>
      <c r="AE612" s="76"/>
      <c r="AF612" s="76"/>
      <c r="AG612" s="76"/>
      <c r="AH612" s="108"/>
      <c r="AI612" s="76"/>
      <c r="AJ612" s="76"/>
      <c r="AK612" s="76"/>
      <c r="AL612" s="76"/>
      <c r="AM612" s="76"/>
      <c r="AN612" s="76"/>
      <c r="AO612" s="76"/>
      <c r="AP612" s="76"/>
      <c r="AQ612" s="76"/>
      <c r="AR612" s="76"/>
    </row>
    <row r="613" spans="7:44" x14ac:dyDescent="0.35">
      <c r="G613" s="12"/>
      <c r="J613" s="12"/>
      <c r="L613" s="92"/>
      <c r="Y613" s="108"/>
      <c r="Z613" s="76"/>
      <c r="AA613" s="76"/>
      <c r="AB613" s="76"/>
      <c r="AC613" s="76"/>
      <c r="AD613" s="76"/>
      <c r="AE613" s="76"/>
      <c r="AF613" s="76"/>
      <c r="AG613" s="76"/>
      <c r="AH613" s="108"/>
      <c r="AI613" s="76"/>
      <c r="AJ613" s="76"/>
      <c r="AK613" s="76"/>
      <c r="AL613" s="76"/>
      <c r="AM613" s="76"/>
      <c r="AN613" s="76"/>
      <c r="AO613" s="76"/>
      <c r="AP613" s="76"/>
      <c r="AQ613" s="76"/>
      <c r="AR613" s="76"/>
    </row>
    <row r="614" spans="7:44" x14ac:dyDescent="0.35">
      <c r="G614" s="12"/>
      <c r="J614" s="12"/>
      <c r="L614" s="92"/>
      <c r="Y614" s="108"/>
      <c r="Z614" s="76"/>
      <c r="AA614" s="76"/>
      <c r="AB614" s="76"/>
      <c r="AC614" s="76"/>
      <c r="AD614" s="76"/>
      <c r="AE614" s="76"/>
      <c r="AF614" s="76"/>
      <c r="AG614" s="76"/>
      <c r="AH614" s="108"/>
      <c r="AI614" s="76"/>
      <c r="AJ614" s="76"/>
      <c r="AK614" s="76"/>
      <c r="AL614" s="76"/>
      <c r="AM614" s="76"/>
      <c r="AN614" s="76"/>
      <c r="AO614" s="76"/>
      <c r="AP614" s="76"/>
      <c r="AQ614" s="76"/>
      <c r="AR614" s="76"/>
    </row>
    <row r="615" spans="7:44" x14ac:dyDescent="0.35">
      <c r="G615" s="12"/>
      <c r="J615" s="12"/>
      <c r="L615" s="92"/>
      <c r="Y615" s="108"/>
      <c r="Z615" s="76"/>
      <c r="AA615" s="76"/>
      <c r="AB615" s="76"/>
      <c r="AC615" s="76"/>
      <c r="AD615" s="76"/>
      <c r="AE615" s="76"/>
      <c r="AF615" s="76"/>
      <c r="AG615" s="76"/>
      <c r="AH615" s="108"/>
      <c r="AI615" s="76"/>
      <c r="AJ615" s="76"/>
      <c r="AK615" s="76"/>
      <c r="AL615" s="76"/>
      <c r="AM615" s="76"/>
      <c r="AN615" s="76"/>
      <c r="AO615" s="76"/>
      <c r="AP615" s="76"/>
      <c r="AQ615" s="76"/>
      <c r="AR615" s="76"/>
    </row>
    <row r="616" spans="7:44" x14ac:dyDescent="0.35">
      <c r="G616" s="12"/>
      <c r="J616" s="12"/>
      <c r="L616" s="92"/>
      <c r="Y616" s="108"/>
      <c r="Z616" s="76"/>
      <c r="AA616" s="76"/>
      <c r="AB616" s="76"/>
      <c r="AC616" s="76"/>
      <c r="AD616" s="76"/>
      <c r="AE616" s="76"/>
      <c r="AF616" s="76"/>
      <c r="AG616" s="76"/>
      <c r="AH616" s="108"/>
      <c r="AI616" s="76"/>
      <c r="AJ616" s="76"/>
      <c r="AK616" s="76"/>
      <c r="AL616" s="76"/>
      <c r="AM616" s="76"/>
      <c r="AN616" s="76"/>
      <c r="AO616" s="76"/>
      <c r="AP616" s="76"/>
      <c r="AQ616" s="76"/>
      <c r="AR616" s="76"/>
    </row>
    <row r="617" spans="7:44" x14ac:dyDescent="0.35">
      <c r="G617" s="12"/>
      <c r="J617" s="12"/>
      <c r="L617" s="92"/>
      <c r="Y617" s="108"/>
      <c r="Z617" s="76"/>
      <c r="AA617" s="76"/>
      <c r="AB617" s="76"/>
      <c r="AC617" s="76"/>
      <c r="AD617" s="76"/>
      <c r="AE617" s="76"/>
      <c r="AF617" s="76"/>
      <c r="AG617" s="76"/>
      <c r="AH617" s="108"/>
      <c r="AI617" s="76"/>
      <c r="AJ617" s="76"/>
      <c r="AK617" s="76"/>
      <c r="AL617" s="76"/>
      <c r="AM617" s="76"/>
      <c r="AN617" s="76"/>
      <c r="AO617" s="76"/>
      <c r="AP617" s="76"/>
      <c r="AQ617" s="76"/>
      <c r="AR617" s="76"/>
    </row>
    <row r="618" spans="7:44" x14ac:dyDescent="0.35">
      <c r="G618" s="12"/>
      <c r="J618" s="12"/>
      <c r="L618" s="92"/>
      <c r="Y618" s="108"/>
      <c r="Z618" s="76"/>
      <c r="AA618" s="76"/>
      <c r="AB618" s="76"/>
      <c r="AC618" s="76"/>
      <c r="AD618" s="76"/>
      <c r="AE618" s="76"/>
      <c r="AF618" s="76"/>
      <c r="AG618" s="76"/>
      <c r="AH618" s="108"/>
      <c r="AI618" s="76"/>
      <c r="AJ618" s="76"/>
      <c r="AK618" s="76"/>
      <c r="AL618" s="76"/>
      <c r="AM618" s="76"/>
      <c r="AN618" s="76"/>
      <c r="AO618" s="76"/>
      <c r="AP618" s="76"/>
      <c r="AQ618" s="76"/>
      <c r="AR618" s="76"/>
    </row>
    <row r="619" spans="7:44" x14ac:dyDescent="0.35">
      <c r="G619" s="12"/>
      <c r="J619" s="12"/>
      <c r="L619" s="92"/>
      <c r="Y619" s="108"/>
      <c r="Z619" s="76"/>
      <c r="AA619" s="76"/>
      <c r="AB619" s="76"/>
      <c r="AC619" s="76"/>
      <c r="AD619" s="76"/>
      <c r="AE619" s="76"/>
      <c r="AF619" s="76"/>
      <c r="AG619" s="76"/>
      <c r="AH619" s="108"/>
      <c r="AI619" s="76"/>
      <c r="AJ619" s="76"/>
      <c r="AK619" s="76"/>
      <c r="AL619" s="76"/>
      <c r="AM619" s="76"/>
      <c r="AN619" s="76"/>
      <c r="AO619" s="76"/>
      <c r="AP619" s="76"/>
      <c r="AQ619" s="76"/>
      <c r="AR619" s="76"/>
    </row>
    <row r="620" spans="7:44" x14ac:dyDescent="0.35">
      <c r="G620" s="12"/>
      <c r="J620" s="12"/>
      <c r="L620" s="92"/>
      <c r="Y620" s="108"/>
      <c r="Z620" s="76"/>
      <c r="AA620" s="76"/>
      <c r="AB620" s="76"/>
      <c r="AC620" s="76"/>
      <c r="AD620" s="76"/>
      <c r="AE620" s="76"/>
      <c r="AF620" s="76"/>
      <c r="AG620" s="76"/>
      <c r="AH620" s="108"/>
      <c r="AI620" s="76"/>
      <c r="AJ620" s="76"/>
      <c r="AK620" s="76"/>
      <c r="AL620" s="76"/>
      <c r="AM620" s="76"/>
      <c r="AN620" s="76"/>
      <c r="AO620" s="76"/>
      <c r="AP620" s="76"/>
      <c r="AQ620" s="76"/>
      <c r="AR620" s="76"/>
    </row>
    <row r="621" spans="7:44" x14ac:dyDescent="0.35">
      <c r="G621" s="12"/>
      <c r="J621" s="12"/>
      <c r="L621" s="92"/>
      <c r="Y621" s="108"/>
      <c r="Z621" s="76"/>
      <c r="AA621" s="76"/>
      <c r="AB621" s="76"/>
      <c r="AC621" s="76"/>
      <c r="AD621" s="76"/>
      <c r="AE621" s="76"/>
      <c r="AF621" s="76"/>
      <c r="AG621" s="76"/>
      <c r="AH621" s="108"/>
      <c r="AI621" s="76"/>
      <c r="AJ621" s="76"/>
      <c r="AK621" s="76"/>
      <c r="AL621" s="76"/>
      <c r="AM621" s="76"/>
      <c r="AN621" s="76"/>
      <c r="AO621" s="76"/>
      <c r="AP621" s="76"/>
      <c r="AQ621" s="76"/>
      <c r="AR621" s="76"/>
    </row>
    <row r="622" spans="7:44" x14ac:dyDescent="0.35">
      <c r="G622" s="12"/>
      <c r="J622" s="12"/>
      <c r="L622" s="92"/>
      <c r="Y622" s="108"/>
      <c r="Z622" s="76"/>
      <c r="AA622" s="76"/>
      <c r="AB622" s="76"/>
      <c r="AC622" s="76"/>
      <c r="AD622" s="76"/>
      <c r="AE622" s="76"/>
      <c r="AF622" s="76"/>
      <c r="AG622" s="76"/>
      <c r="AH622" s="108"/>
      <c r="AI622" s="76"/>
      <c r="AJ622" s="76"/>
      <c r="AK622" s="76"/>
      <c r="AL622" s="76"/>
      <c r="AM622" s="76"/>
      <c r="AN622" s="76"/>
      <c r="AO622" s="76"/>
      <c r="AP622" s="76"/>
      <c r="AQ622" s="76"/>
      <c r="AR622" s="76"/>
    </row>
    <row r="623" spans="7:44" x14ac:dyDescent="0.35">
      <c r="G623" s="12"/>
      <c r="J623" s="12"/>
      <c r="L623" s="92"/>
      <c r="Y623" s="108"/>
      <c r="Z623" s="76"/>
      <c r="AA623" s="76"/>
      <c r="AB623" s="76"/>
      <c r="AC623" s="76"/>
      <c r="AD623" s="76"/>
      <c r="AE623" s="76"/>
      <c r="AF623" s="76"/>
      <c r="AG623" s="76"/>
      <c r="AH623" s="108"/>
      <c r="AI623" s="76"/>
      <c r="AJ623" s="76"/>
      <c r="AK623" s="76"/>
      <c r="AL623" s="76"/>
      <c r="AM623" s="76"/>
      <c r="AN623" s="76"/>
      <c r="AO623" s="76"/>
      <c r="AP623" s="76"/>
      <c r="AQ623" s="76"/>
      <c r="AR623" s="76"/>
    </row>
    <row r="624" spans="7:44" x14ac:dyDescent="0.35">
      <c r="G624" s="12"/>
      <c r="J624" s="12"/>
      <c r="L624" s="92"/>
      <c r="Y624" s="108"/>
      <c r="Z624" s="76"/>
      <c r="AA624" s="76"/>
      <c r="AB624" s="76"/>
      <c r="AC624" s="76"/>
      <c r="AD624" s="76"/>
      <c r="AE624" s="76"/>
      <c r="AF624" s="76"/>
      <c r="AG624" s="76"/>
      <c r="AH624" s="108"/>
      <c r="AI624" s="76"/>
      <c r="AJ624" s="76"/>
      <c r="AK624" s="76"/>
      <c r="AL624" s="76"/>
      <c r="AM624" s="76"/>
      <c r="AN624" s="76"/>
      <c r="AO624" s="76"/>
      <c r="AP624" s="76"/>
      <c r="AQ624" s="76"/>
      <c r="AR624" s="76"/>
    </row>
    <row r="625" spans="7:44" x14ac:dyDescent="0.35">
      <c r="G625" s="12"/>
      <c r="J625" s="12"/>
      <c r="L625" s="92"/>
      <c r="Y625" s="108"/>
      <c r="Z625" s="76"/>
      <c r="AA625" s="76"/>
      <c r="AB625" s="76"/>
      <c r="AC625" s="76"/>
      <c r="AD625" s="76"/>
      <c r="AE625" s="76"/>
      <c r="AF625" s="76"/>
      <c r="AG625" s="76"/>
      <c r="AH625" s="108"/>
      <c r="AI625" s="76"/>
      <c r="AJ625" s="76"/>
      <c r="AK625" s="76"/>
      <c r="AL625" s="76"/>
      <c r="AM625" s="76"/>
      <c r="AN625" s="76"/>
      <c r="AO625" s="76"/>
      <c r="AP625" s="76"/>
      <c r="AQ625" s="76"/>
      <c r="AR625" s="76"/>
    </row>
    <row r="626" spans="7:44" x14ac:dyDescent="0.35">
      <c r="G626" s="12"/>
      <c r="J626" s="12"/>
      <c r="L626" s="92"/>
      <c r="Y626" s="108"/>
      <c r="Z626" s="76"/>
      <c r="AA626" s="76"/>
      <c r="AB626" s="76"/>
      <c r="AC626" s="76"/>
      <c r="AD626" s="76"/>
      <c r="AE626" s="76"/>
      <c r="AF626" s="76"/>
      <c r="AG626" s="76"/>
      <c r="AH626" s="108"/>
      <c r="AI626" s="76"/>
      <c r="AJ626" s="76"/>
      <c r="AK626" s="76"/>
      <c r="AL626" s="76"/>
      <c r="AM626" s="76"/>
      <c r="AN626" s="76"/>
      <c r="AO626" s="76"/>
      <c r="AP626" s="76"/>
      <c r="AQ626" s="76"/>
      <c r="AR626" s="76"/>
    </row>
    <row r="627" spans="7:44" x14ac:dyDescent="0.35">
      <c r="G627" s="12"/>
      <c r="J627" s="12"/>
      <c r="L627" s="92"/>
      <c r="Y627" s="108"/>
      <c r="Z627" s="76"/>
      <c r="AA627" s="76"/>
      <c r="AB627" s="76"/>
      <c r="AC627" s="76"/>
      <c r="AD627" s="76"/>
      <c r="AE627" s="76"/>
      <c r="AF627" s="76"/>
      <c r="AG627" s="76"/>
      <c r="AH627" s="108"/>
      <c r="AI627" s="76"/>
      <c r="AJ627" s="76"/>
      <c r="AK627" s="76"/>
      <c r="AL627" s="76"/>
      <c r="AM627" s="76"/>
      <c r="AN627" s="76"/>
      <c r="AO627" s="76"/>
      <c r="AP627" s="76"/>
      <c r="AQ627" s="76"/>
      <c r="AR627" s="76"/>
    </row>
    <row r="628" spans="7:44" x14ac:dyDescent="0.35">
      <c r="G628" s="12"/>
      <c r="J628" s="12"/>
      <c r="L628" s="92"/>
      <c r="Y628" s="108"/>
      <c r="Z628" s="76"/>
      <c r="AA628" s="76"/>
      <c r="AB628" s="76"/>
      <c r="AC628" s="76"/>
      <c r="AD628" s="76"/>
      <c r="AE628" s="76"/>
      <c r="AF628" s="76"/>
      <c r="AG628" s="76"/>
      <c r="AH628" s="108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</row>
    <row r="629" spans="7:44" x14ac:dyDescent="0.35">
      <c r="G629" s="12"/>
      <c r="J629" s="12"/>
      <c r="L629" s="92"/>
      <c r="Y629" s="108"/>
      <c r="Z629" s="76"/>
      <c r="AA629" s="76"/>
      <c r="AB629" s="76"/>
      <c r="AC629" s="76"/>
      <c r="AD629" s="76"/>
      <c r="AE629" s="76"/>
      <c r="AF629" s="76"/>
      <c r="AG629" s="76"/>
      <c r="AH629" s="108"/>
      <c r="AI629" s="76"/>
      <c r="AJ629" s="76"/>
      <c r="AK629" s="76"/>
      <c r="AL629" s="76"/>
      <c r="AM629" s="76"/>
      <c r="AN629" s="76"/>
      <c r="AO629" s="76"/>
      <c r="AP629" s="76"/>
      <c r="AQ629" s="76"/>
      <c r="AR629" s="76"/>
    </row>
    <row r="630" spans="7:44" x14ac:dyDescent="0.35">
      <c r="G630" s="12"/>
      <c r="J630" s="12"/>
      <c r="L630" s="92"/>
      <c r="Y630" s="108"/>
      <c r="Z630" s="76"/>
      <c r="AA630" s="76"/>
      <c r="AB630" s="76"/>
      <c r="AC630" s="76"/>
      <c r="AD630" s="76"/>
      <c r="AE630" s="76"/>
      <c r="AF630" s="76"/>
      <c r="AG630" s="76"/>
      <c r="AH630" s="108"/>
      <c r="AI630" s="76"/>
      <c r="AJ630" s="76"/>
      <c r="AK630" s="76"/>
      <c r="AL630" s="76"/>
      <c r="AM630" s="76"/>
      <c r="AN630" s="76"/>
      <c r="AO630" s="76"/>
      <c r="AP630" s="76"/>
      <c r="AQ630" s="76"/>
      <c r="AR630" s="76"/>
    </row>
    <row r="631" spans="7:44" x14ac:dyDescent="0.35">
      <c r="G631" s="12"/>
      <c r="J631" s="12"/>
      <c r="L631" s="92"/>
      <c r="Y631" s="108"/>
      <c r="Z631" s="76"/>
      <c r="AA631" s="76"/>
      <c r="AB631" s="76"/>
      <c r="AC631" s="76"/>
      <c r="AD631" s="76"/>
      <c r="AE631" s="76"/>
      <c r="AF631" s="76"/>
      <c r="AG631" s="76"/>
      <c r="AH631" s="108"/>
      <c r="AI631" s="76"/>
      <c r="AJ631" s="76"/>
      <c r="AK631" s="76"/>
      <c r="AL631" s="76"/>
      <c r="AM631" s="76"/>
      <c r="AN631" s="76"/>
      <c r="AO631" s="76"/>
      <c r="AP631" s="76"/>
      <c r="AQ631" s="76"/>
      <c r="AR631" s="76"/>
    </row>
    <row r="632" spans="7:44" x14ac:dyDescent="0.35">
      <c r="G632" s="12"/>
      <c r="J632" s="12"/>
      <c r="L632" s="92"/>
      <c r="Y632" s="108"/>
      <c r="Z632" s="76"/>
      <c r="AA632" s="76"/>
      <c r="AB632" s="76"/>
      <c r="AC632" s="76"/>
      <c r="AD632" s="76"/>
      <c r="AE632" s="76"/>
      <c r="AF632" s="76"/>
      <c r="AG632" s="76"/>
      <c r="AH632" s="108"/>
      <c r="AI632" s="76"/>
      <c r="AJ632" s="76"/>
      <c r="AK632" s="76"/>
      <c r="AL632" s="76"/>
      <c r="AM632" s="76"/>
      <c r="AN632" s="76"/>
      <c r="AO632" s="76"/>
      <c r="AP632" s="76"/>
      <c r="AQ632" s="76"/>
      <c r="AR632" s="76"/>
    </row>
    <row r="633" spans="7:44" x14ac:dyDescent="0.35">
      <c r="G633" s="12"/>
      <c r="J633" s="12"/>
      <c r="L633" s="92"/>
      <c r="Y633" s="108"/>
      <c r="Z633" s="76"/>
      <c r="AA633" s="76"/>
      <c r="AB633" s="76"/>
      <c r="AC633" s="76"/>
      <c r="AD633" s="76"/>
      <c r="AE633" s="76"/>
      <c r="AF633" s="76"/>
      <c r="AG633" s="76"/>
      <c r="AH633" s="108"/>
      <c r="AI633" s="76"/>
      <c r="AJ633" s="76"/>
      <c r="AK633" s="76"/>
      <c r="AL633" s="76"/>
      <c r="AM633" s="76"/>
      <c r="AN633" s="76"/>
      <c r="AO633" s="76"/>
      <c r="AP633" s="76"/>
      <c r="AQ633" s="76"/>
      <c r="AR633" s="76"/>
    </row>
    <row r="634" spans="7:44" x14ac:dyDescent="0.35">
      <c r="G634" s="12"/>
      <c r="J634" s="12"/>
      <c r="L634" s="92"/>
      <c r="Y634" s="108"/>
      <c r="Z634" s="76"/>
      <c r="AA634" s="76"/>
      <c r="AB634" s="76"/>
      <c r="AC634" s="76"/>
      <c r="AD634" s="76"/>
      <c r="AE634" s="76"/>
      <c r="AF634" s="76"/>
      <c r="AG634" s="76"/>
      <c r="AH634" s="108"/>
      <c r="AI634" s="76"/>
      <c r="AJ634" s="76"/>
      <c r="AK634" s="76"/>
      <c r="AL634" s="76"/>
      <c r="AM634" s="76"/>
      <c r="AN634" s="76"/>
      <c r="AO634" s="76"/>
      <c r="AP634" s="76"/>
      <c r="AQ634" s="76"/>
      <c r="AR634" s="76"/>
    </row>
    <row r="635" spans="7:44" x14ac:dyDescent="0.35">
      <c r="G635" s="12"/>
      <c r="J635" s="12"/>
      <c r="L635" s="92"/>
      <c r="Y635" s="108"/>
      <c r="Z635" s="76"/>
      <c r="AA635" s="76"/>
      <c r="AB635" s="76"/>
      <c r="AC635" s="76"/>
      <c r="AD635" s="76"/>
      <c r="AE635" s="76"/>
      <c r="AF635" s="76"/>
      <c r="AG635" s="76"/>
      <c r="AH635" s="108"/>
      <c r="AI635" s="76"/>
      <c r="AJ635" s="76"/>
      <c r="AK635" s="76"/>
      <c r="AL635" s="76"/>
      <c r="AM635" s="76"/>
      <c r="AN635" s="76"/>
      <c r="AO635" s="76"/>
      <c r="AP635" s="76"/>
      <c r="AQ635" s="76"/>
      <c r="AR635" s="76"/>
    </row>
    <row r="636" spans="7:44" x14ac:dyDescent="0.35">
      <c r="G636" s="12"/>
      <c r="J636" s="12"/>
      <c r="L636" s="92"/>
      <c r="Y636" s="108"/>
      <c r="Z636" s="76"/>
      <c r="AA636" s="76"/>
      <c r="AB636" s="76"/>
      <c r="AC636" s="76"/>
      <c r="AD636" s="76"/>
      <c r="AE636" s="76"/>
      <c r="AF636" s="76"/>
      <c r="AG636" s="76"/>
      <c r="AH636" s="108"/>
      <c r="AI636" s="76"/>
      <c r="AJ636" s="76"/>
      <c r="AK636" s="76"/>
      <c r="AL636" s="76"/>
      <c r="AM636" s="76"/>
      <c r="AN636" s="76"/>
      <c r="AO636" s="76"/>
      <c r="AP636" s="76"/>
      <c r="AQ636" s="76"/>
      <c r="AR636" s="76"/>
    </row>
    <row r="637" spans="7:44" x14ac:dyDescent="0.35">
      <c r="G637" s="12"/>
      <c r="J637" s="12"/>
      <c r="L637" s="92"/>
      <c r="Y637" s="108"/>
      <c r="Z637" s="76"/>
      <c r="AA637" s="76"/>
      <c r="AB637" s="76"/>
      <c r="AC637" s="76"/>
      <c r="AD637" s="76"/>
      <c r="AE637" s="76"/>
      <c r="AF637" s="76"/>
      <c r="AG637" s="76"/>
      <c r="AH637" s="108"/>
      <c r="AI637" s="76"/>
      <c r="AJ637" s="76"/>
      <c r="AK637" s="76"/>
      <c r="AL637" s="76"/>
      <c r="AM637" s="76"/>
      <c r="AN637" s="76"/>
      <c r="AO637" s="76"/>
      <c r="AP637" s="76"/>
      <c r="AQ637" s="76"/>
      <c r="AR637" s="76"/>
    </row>
    <row r="638" spans="7:44" x14ac:dyDescent="0.35">
      <c r="G638" s="12"/>
      <c r="J638" s="12"/>
      <c r="L638" s="92"/>
      <c r="Y638" s="108"/>
      <c r="Z638" s="76"/>
      <c r="AA638" s="76"/>
      <c r="AB638" s="76"/>
      <c r="AC638" s="76"/>
      <c r="AD638" s="76"/>
      <c r="AE638" s="76"/>
      <c r="AF638" s="76"/>
      <c r="AG638" s="76"/>
      <c r="AH638" s="108"/>
      <c r="AI638" s="76"/>
      <c r="AJ638" s="76"/>
      <c r="AK638" s="76"/>
      <c r="AL638" s="76"/>
      <c r="AM638" s="76"/>
      <c r="AN638" s="76"/>
      <c r="AO638" s="76"/>
      <c r="AP638" s="76"/>
      <c r="AQ638" s="76"/>
      <c r="AR638" s="76"/>
    </row>
    <row r="639" spans="7:44" x14ac:dyDescent="0.35">
      <c r="G639" s="12"/>
      <c r="J639" s="12"/>
      <c r="L639" s="92"/>
      <c r="Y639" s="108"/>
      <c r="Z639" s="76"/>
      <c r="AA639" s="76"/>
      <c r="AB639" s="76"/>
      <c r="AC639" s="76"/>
      <c r="AD639" s="76"/>
      <c r="AE639" s="76"/>
      <c r="AF639" s="76"/>
      <c r="AG639" s="76"/>
      <c r="AH639" s="108"/>
      <c r="AI639" s="76"/>
      <c r="AJ639" s="76"/>
      <c r="AK639" s="76"/>
      <c r="AL639" s="76"/>
      <c r="AM639" s="76"/>
      <c r="AN639" s="76"/>
      <c r="AO639" s="76"/>
      <c r="AP639" s="76"/>
      <c r="AQ639" s="76"/>
      <c r="AR639" s="76"/>
    </row>
    <row r="640" spans="7:44" x14ac:dyDescent="0.35">
      <c r="G640" s="12"/>
      <c r="J640" s="12"/>
      <c r="L640" s="92"/>
      <c r="Y640" s="108"/>
      <c r="Z640" s="76"/>
      <c r="AA640" s="76"/>
      <c r="AB640" s="76"/>
      <c r="AC640" s="76"/>
      <c r="AD640" s="76"/>
      <c r="AE640" s="76"/>
      <c r="AF640" s="76"/>
      <c r="AG640" s="76"/>
      <c r="AH640" s="108"/>
      <c r="AI640" s="76"/>
      <c r="AJ640" s="76"/>
      <c r="AK640" s="76"/>
      <c r="AL640" s="76"/>
      <c r="AM640" s="76"/>
      <c r="AN640" s="76"/>
      <c r="AO640" s="76"/>
      <c r="AP640" s="76"/>
      <c r="AQ640" s="76"/>
      <c r="AR640" s="76"/>
    </row>
    <row r="641" spans="7:44" x14ac:dyDescent="0.35">
      <c r="G641" s="12"/>
      <c r="J641" s="12"/>
      <c r="L641" s="92"/>
      <c r="Y641" s="108"/>
      <c r="Z641" s="76"/>
      <c r="AA641" s="76"/>
      <c r="AB641" s="76"/>
      <c r="AC641" s="76"/>
      <c r="AD641" s="76"/>
      <c r="AE641" s="76"/>
      <c r="AF641" s="76"/>
      <c r="AG641" s="76"/>
      <c r="AH641" s="108"/>
      <c r="AI641" s="76"/>
      <c r="AJ641" s="76"/>
      <c r="AK641" s="76"/>
      <c r="AL641" s="76"/>
      <c r="AM641" s="76"/>
      <c r="AN641" s="76"/>
      <c r="AO641" s="76"/>
      <c r="AP641" s="76"/>
      <c r="AQ641" s="76"/>
      <c r="AR641" s="76"/>
    </row>
    <row r="642" spans="7:44" x14ac:dyDescent="0.35">
      <c r="G642" s="12"/>
      <c r="J642" s="12"/>
      <c r="L642" s="92"/>
      <c r="Y642" s="108"/>
      <c r="Z642" s="76"/>
      <c r="AA642" s="76"/>
      <c r="AB642" s="76"/>
      <c r="AC642" s="76"/>
      <c r="AD642" s="76"/>
      <c r="AE642" s="76"/>
      <c r="AF642" s="76"/>
      <c r="AG642" s="76"/>
      <c r="AH642" s="108"/>
      <c r="AI642" s="76"/>
      <c r="AJ642" s="76"/>
      <c r="AK642" s="76"/>
      <c r="AL642" s="76"/>
      <c r="AM642" s="76"/>
      <c r="AN642" s="76"/>
      <c r="AO642" s="76"/>
      <c r="AP642" s="76"/>
      <c r="AQ642" s="76"/>
      <c r="AR642" s="76"/>
    </row>
    <row r="643" spans="7:44" x14ac:dyDescent="0.35">
      <c r="G643" s="12"/>
      <c r="J643" s="12"/>
      <c r="L643" s="92"/>
      <c r="Y643" s="108"/>
      <c r="Z643" s="76"/>
      <c r="AA643" s="76"/>
      <c r="AB643" s="76"/>
      <c r="AC643" s="76"/>
      <c r="AD643" s="76"/>
      <c r="AE643" s="76"/>
      <c r="AF643" s="76"/>
      <c r="AG643" s="76"/>
      <c r="AH643" s="108"/>
      <c r="AI643" s="76"/>
      <c r="AJ643" s="76"/>
      <c r="AK643" s="76"/>
      <c r="AL643" s="76"/>
      <c r="AM643" s="76"/>
      <c r="AN643" s="76"/>
      <c r="AO643" s="76"/>
      <c r="AP643" s="76"/>
      <c r="AQ643" s="76"/>
      <c r="AR643" s="76"/>
    </row>
    <row r="644" spans="7:44" x14ac:dyDescent="0.35">
      <c r="G644" s="12"/>
      <c r="J644" s="12"/>
      <c r="L644" s="92"/>
      <c r="Y644" s="108"/>
      <c r="Z644" s="76"/>
      <c r="AA644" s="76"/>
      <c r="AB644" s="76"/>
      <c r="AC644" s="76"/>
      <c r="AD644" s="76"/>
      <c r="AE644" s="76"/>
      <c r="AF644" s="76"/>
      <c r="AG644" s="76"/>
      <c r="AH644" s="108"/>
      <c r="AI644" s="76"/>
      <c r="AJ644" s="76"/>
      <c r="AK644" s="76"/>
      <c r="AL644" s="76"/>
      <c r="AM644" s="76"/>
      <c r="AN644" s="76"/>
      <c r="AO644" s="76"/>
      <c r="AP644" s="76"/>
      <c r="AQ644" s="76"/>
      <c r="AR644" s="76"/>
    </row>
    <row r="645" spans="7:44" x14ac:dyDescent="0.35">
      <c r="G645" s="12"/>
      <c r="J645" s="12"/>
      <c r="L645" s="92"/>
      <c r="Y645" s="108"/>
      <c r="Z645" s="76"/>
      <c r="AA645" s="76"/>
      <c r="AB645" s="76"/>
      <c r="AC645" s="76"/>
      <c r="AD645" s="76"/>
      <c r="AE645" s="76"/>
      <c r="AF645" s="76"/>
      <c r="AG645" s="76"/>
      <c r="AH645" s="108"/>
      <c r="AI645" s="76"/>
      <c r="AJ645" s="76"/>
      <c r="AK645" s="76"/>
      <c r="AL645" s="76"/>
      <c r="AM645" s="76"/>
      <c r="AN645" s="76"/>
      <c r="AO645" s="76"/>
      <c r="AP645" s="76"/>
      <c r="AQ645" s="76"/>
      <c r="AR645" s="76"/>
    </row>
    <row r="646" spans="7:44" x14ac:dyDescent="0.35">
      <c r="G646" s="12"/>
      <c r="J646" s="12"/>
      <c r="L646" s="92"/>
      <c r="Y646" s="108"/>
      <c r="Z646" s="76"/>
      <c r="AA646" s="76"/>
      <c r="AB646" s="76"/>
      <c r="AC646" s="76"/>
      <c r="AD646" s="76"/>
      <c r="AE646" s="76"/>
      <c r="AF646" s="76"/>
      <c r="AG646" s="76"/>
      <c r="AH646" s="108"/>
      <c r="AI646" s="76"/>
      <c r="AJ646" s="76"/>
      <c r="AK646" s="76"/>
      <c r="AL646" s="76"/>
      <c r="AM646" s="76"/>
      <c r="AN646" s="76"/>
      <c r="AO646" s="76"/>
      <c r="AP646" s="76"/>
      <c r="AQ646" s="76"/>
      <c r="AR646" s="76"/>
    </row>
    <row r="647" spans="7:44" x14ac:dyDescent="0.35">
      <c r="G647" s="12"/>
      <c r="J647" s="12"/>
      <c r="L647" s="92"/>
      <c r="Y647" s="108"/>
      <c r="Z647" s="76"/>
      <c r="AA647" s="76"/>
      <c r="AB647" s="76"/>
      <c r="AC647" s="76"/>
      <c r="AD647" s="76"/>
      <c r="AE647" s="76"/>
      <c r="AF647" s="76"/>
      <c r="AG647" s="76"/>
      <c r="AH647" s="108"/>
      <c r="AI647" s="76"/>
      <c r="AJ647" s="76"/>
      <c r="AK647" s="76"/>
      <c r="AL647" s="76"/>
      <c r="AM647" s="76"/>
      <c r="AN647" s="76"/>
      <c r="AO647" s="76"/>
      <c r="AP647" s="76"/>
      <c r="AQ647" s="76"/>
      <c r="AR647" s="76"/>
    </row>
    <row r="648" spans="7:44" x14ac:dyDescent="0.35">
      <c r="G648" s="12"/>
      <c r="J648" s="12"/>
      <c r="L648" s="92"/>
      <c r="Y648" s="108"/>
      <c r="Z648" s="76"/>
      <c r="AA648" s="76"/>
      <c r="AB648" s="76"/>
      <c r="AC648" s="76"/>
      <c r="AD648" s="76"/>
      <c r="AE648" s="76"/>
      <c r="AF648" s="76"/>
      <c r="AG648" s="76"/>
      <c r="AH648" s="108"/>
      <c r="AI648" s="76"/>
      <c r="AJ648" s="76"/>
      <c r="AK648" s="76"/>
      <c r="AL648" s="76"/>
      <c r="AM648" s="76"/>
      <c r="AN648" s="76"/>
      <c r="AO648" s="76"/>
      <c r="AP648" s="76"/>
      <c r="AQ648" s="76"/>
      <c r="AR648" s="76"/>
    </row>
    <row r="649" spans="7:44" x14ac:dyDescent="0.35">
      <c r="G649" s="12"/>
      <c r="J649" s="12"/>
      <c r="L649" s="92"/>
      <c r="Y649" s="108"/>
      <c r="Z649" s="76"/>
      <c r="AA649" s="76"/>
      <c r="AB649" s="76"/>
      <c r="AC649" s="76"/>
      <c r="AD649" s="76"/>
      <c r="AE649" s="76"/>
      <c r="AF649" s="76"/>
      <c r="AG649" s="76"/>
      <c r="AH649" s="108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</row>
    <row r="650" spans="7:44" x14ac:dyDescent="0.35">
      <c r="G650" s="12"/>
      <c r="J650" s="12"/>
      <c r="L650" s="92"/>
      <c r="Y650" s="108"/>
      <c r="Z650" s="76"/>
      <c r="AA650" s="76"/>
      <c r="AB650" s="76"/>
      <c r="AC650" s="76"/>
      <c r="AD650" s="76"/>
      <c r="AE650" s="76"/>
      <c r="AF650" s="76"/>
      <c r="AG650" s="76"/>
      <c r="AH650" s="108"/>
      <c r="AI650" s="76"/>
      <c r="AJ650" s="76"/>
      <c r="AK650" s="76"/>
      <c r="AL650" s="76"/>
      <c r="AM650" s="76"/>
      <c r="AN650" s="76"/>
      <c r="AO650" s="76"/>
      <c r="AP650" s="76"/>
      <c r="AQ650" s="76"/>
      <c r="AR650" s="76"/>
    </row>
    <row r="651" spans="7:44" x14ac:dyDescent="0.35">
      <c r="G651" s="12"/>
      <c r="J651" s="12"/>
      <c r="L651" s="92"/>
      <c r="Y651" s="108"/>
      <c r="Z651" s="76"/>
      <c r="AA651" s="76"/>
      <c r="AB651" s="76"/>
      <c r="AC651" s="76"/>
      <c r="AD651" s="76"/>
      <c r="AE651" s="76"/>
      <c r="AF651" s="76"/>
      <c r="AG651" s="76"/>
      <c r="AH651" s="108"/>
      <c r="AI651" s="76"/>
      <c r="AJ651" s="76"/>
      <c r="AK651" s="76"/>
      <c r="AL651" s="76"/>
      <c r="AM651" s="76"/>
      <c r="AN651" s="76"/>
      <c r="AO651" s="76"/>
      <c r="AP651" s="76"/>
      <c r="AQ651" s="76"/>
      <c r="AR651" s="76"/>
    </row>
    <row r="652" spans="7:44" x14ac:dyDescent="0.35">
      <c r="G652" s="12"/>
      <c r="J652" s="12"/>
      <c r="L652" s="92"/>
      <c r="Y652" s="108"/>
      <c r="Z652" s="76"/>
      <c r="AA652" s="76"/>
      <c r="AB652" s="76"/>
      <c r="AC652" s="76"/>
      <c r="AD652" s="76"/>
      <c r="AE652" s="76"/>
      <c r="AF652" s="76"/>
      <c r="AG652" s="76"/>
      <c r="AH652" s="108"/>
      <c r="AI652" s="76"/>
      <c r="AJ652" s="76"/>
      <c r="AK652" s="76"/>
      <c r="AL652" s="76"/>
      <c r="AM652" s="76"/>
      <c r="AN652" s="76"/>
      <c r="AO652" s="76"/>
      <c r="AP652" s="76"/>
      <c r="AQ652" s="76"/>
      <c r="AR652" s="76"/>
    </row>
    <row r="653" spans="7:44" x14ac:dyDescent="0.35">
      <c r="G653" s="12"/>
      <c r="J653" s="12"/>
      <c r="L653" s="92"/>
      <c r="Y653" s="108"/>
      <c r="Z653" s="76"/>
      <c r="AA653" s="76"/>
      <c r="AB653" s="76"/>
      <c r="AC653" s="76"/>
      <c r="AD653" s="76"/>
      <c r="AE653" s="76"/>
      <c r="AF653" s="76"/>
      <c r="AG653" s="76"/>
      <c r="AH653" s="108"/>
      <c r="AI653" s="76"/>
      <c r="AJ653" s="76"/>
      <c r="AK653" s="76"/>
      <c r="AL653" s="76"/>
      <c r="AM653" s="76"/>
      <c r="AN653" s="76"/>
      <c r="AO653" s="76"/>
      <c r="AP653" s="76"/>
      <c r="AQ653" s="76"/>
      <c r="AR653" s="76"/>
    </row>
    <row r="654" spans="7:44" x14ac:dyDescent="0.35">
      <c r="G654" s="12"/>
      <c r="J654" s="12"/>
      <c r="L654" s="92"/>
      <c r="Y654" s="108"/>
      <c r="Z654" s="76"/>
      <c r="AA654" s="76"/>
      <c r="AB654" s="76"/>
      <c r="AC654" s="76"/>
      <c r="AD654" s="76"/>
      <c r="AE654" s="76"/>
      <c r="AF654" s="76"/>
      <c r="AG654" s="76"/>
      <c r="AH654" s="108"/>
      <c r="AI654" s="76"/>
      <c r="AJ654" s="76"/>
      <c r="AK654" s="76"/>
      <c r="AL654" s="76"/>
      <c r="AM654" s="76"/>
      <c r="AN654" s="76"/>
      <c r="AO654" s="76"/>
      <c r="AP654" s="76"/>
      <c r="AQ654" s="76"/>
      <c r="AR654" s="76"/>
    </row>
    <row r="655" spans="7:44" x14ac:dyDescent="0.35">
      <c r="G655" s="12"/>
      <c r="J655" s="12"/>
      <c r="L655" s="92"/>
      <c r="Y655" s="108"/>
      <c r="Z655" s="76"/>
      <c r="AA655" s="76"/>
      <c r="AB655" s="76"/>
      <c r="AC655" s="76"/>
      <c r="AD655" s="76"/>
      <c r="AE655" s="76"/>
      <c r="AF655" s="76"/>
      <c r="AG655" s="76"/>
      <c r="AH655" s="108"/>
      <c r="AI655" s="76"/>
      <c r="AJ655" s="76"/>
      <c r="AK655" s="76"/>
      <c r="AL655" s="76"/>
      <c r="AM655" s="76"/>
      <c r="AN655" s="76"/>
      <c r="AO655" s="76"/>
      <c r="AP655" s="76"/>
      <c r="AQ655" s="76"/>
      <c r="AR655" s="76"/>
    </row>
    <row r="656" spans="7:44" x14ac:dyDescent="0.35">
      <c r="G656" s="12"/>
      <c r="J656" s="12"/>
      <c r="L656" s="92"/>
      <c r="Y656" s="108"/>
      <c r="Z656" s="76"/>
      <c r="AA656" s="76"/>
      <c r="AB656" s="76"/>
      <c r="AC656" s="76"/>
      <c r="AD656" s="76"/>
      <c r="AE656" s="76"/>
      <c r="AF656" s="76"/>
      <c r="AG656" s="76"/>
      <c r="AH656" s="108"/>
      <c r="AI656" s="76"/>
      <c r="AJ656" s="76"/>
      <c r="AK656" s="76"/>
      <c r="AL656" s="76"/>
      <c r="AM656" s="76"/>
      <c r="AN656" s="76"/>
      <c r="AO656" s="76"/>
      <c r="AP656" s="76"/>
      <c r="AQ656" s="76"/>
      <c r="AR656" s="76"/>
    </row>
    <row r="657" spans="7:44" x14ac:dyDescent="0.35">
      <c r="G657" s="12"/>
      <c r="J657" s="12"/>
      <c r="L657" s="92"/>
      <c r="Y657" s="108"/>
      <c r="Z657" s="76"/>
      <c r="AA657" s="76"/>
      <c r="AB657" s="76"/>
      <c r="AC657" s="76"/>
      <c r="AD657" s="76"/>
      <c r="AE657" s="76"/>
      <c r="AF657" s="76"/>
      <c r="AG657" s="76"/>
      <c r="AH657" s="108"/>
      <c r="AI657" s="76"/>
      <c r="AJ657" s="76"/>
      <c r="AK657" s="76"/>
      <c r="AL657" s="76"/>
      <c r="AM657" s="76"/>
      <c r="AN657" s="76"/>
      <c r="AO657" s="76"/>
      <c r="AP657" s="76"/>
      <c r="AQ657" s="76"/>
      <c r="AR657" s="76"/>
    </row>
    <row r="658" spans="7:44" x14ac:dyDescent="0.35">
      <c r="G658" s="12"/>
      <c r="J658" s="12"/>
      <c r="L658" s="92"/>
      <c r="Y658" s="108"/>
      <c r="Z658" s="76"/>
      <c r="AA658" s="76"/>
      <c r="AB658" s="76"/>
      <c r="AC658" s="76"/>
      <c r="AD658" s="76"/>
      <c r="AE658" s="76"/>
      <c r="AF658" s="76"/>
      <c r="AG658" s="76"/>
      <c r="AH658" s="108"/>
      <c r="AI658" s="76"/>
      <c r="AJ658" s="76"/>
      <c r="AK658" s="76"/>
      <c r="AL658" s="76"/>
      <c r="AM658" s="76"/>
      <c r="AN658" s="76"/>
      <c r="AO658" s="76"/>
      <c r="AP658" s="76"/>
      <c r="AQ658" s="76"/>
      <c r="AR658" s="76"/>
    </row>
    <row r="659" spans="7:44" x14ac:dyDescent="0.35">
      <c r="G659" s="12"/>
      <c r="J659" s="12"/>
      <c r="L659" s="92"/>
      <c r="Y659" s="108"/>
      <c r="Z659" s="76"/>
      <c r="AA659" s="76"/>
      <c r="AB659" s="76"/>
      <c r="AC659" s="76"/>
      <c r="AD659" s="76"/>
      <c r="AE659" s="76"/>
      <c r="AF659" s="76"/>
      <c r="AG659" s="76"/>
      <c r="AH659" s="108"/>
      <c r="AI659" s="76"/>
      <c r="AJ659" s="76"/>
      <c r="AK659" s="76"/>
      <c r="AL659" s="76"/>
      <c r="AM659" s="76"/>
      <c r="AN659" s="76"/>
      <c r="AO659" s="76"/>
      <c r="AP659" s="76"/>
      <c r="AQ659" s="76"/>
      <c r="AR659" s="76"/>
    </row>
    <row r="660" spans="7:44" x14ac:dyDescent="0.35">
      <c r="G660" s="12"/>
      <c r="J660" s="12"/>
      <c r="L660" s="92"/>
      <c r="Y660" s="108"/>
      <c r="Z660" s="76"/>
      <c r="AA660" s="76"/>
      <c r="AB660" s="76"/>
      <c r="AC660" s="76"/>
      <c r="AD660" s="76"/>
      <c r="AE660" s="76"/>
      <c r="AF660" s="76"/>
      <c r="AG660" s="76"/>
      <c r="AH660" s="108"/>
      <c r="AI660" s="76"/>
      <c r="AJ660" s="76"/>
      <c r="AK660" s="76"/>
      <c r="AL660" s="76"/>
      <c r="AM660" s="76"/>
      <c r="AN660" s="76"/>
      <c r="AO660" s="76"/>
      <c r="AP660" s="76"/>
      <c r="AQ660" s="76"/>
      <c r="AR660" s="76"/>
    </row>
    <row r="661" spans="7:44" x14ac:dyDescent="0.35">
      <c r="G661" s="12"/>
      <c r="J661" s="12"/>
      <c r="L661" s="92"/>
      <c r="Y661" s="108"/>
      <c r="Z661" s="76"/>
      <c r="AA661" s="76"/>
      <c r="AB661" s="76"/>
      <c r="AC661" s="76"/>
      <c r="AD661" s="76"/>
      <c r="AE661" s="76"/>
      <c r="AF661" s="76"/>
      <c r="AG661" s="76"/>
      <c r="AH661" s="108"/>
      <c r="AI661" s="76"/>
      <c r="AJ661" s="76"/>
      <c r="AK661" s="76"/>
      <c r="AL661" s="76"/>
      <c r="AM661" s="76"/>
      <c r="AN661" s="76"/>
      <c r="AO661" s="76"/>
      <c r="AP661" s="76"/>
      <c r="AQ661" s="76"/>
      <c r="AR661" s="76"/>
    </row>
    <row r="662" spans="7:44" x14ac:dyDescent="0.35">
      <c r="G662" s="12"/>
      <c r="J662" s="12"/>
      <c r="L662" s="92"/>
      <c r="Y662" s="108"/>
      <c r="Z662" s="76"/>
      <c r="AA662" s="76"/>
      <c r="AB662" s="76"/>
      <c r="AC662" s="76"/>
      <c r="AD662" s="76"/>
      <c r="AE662" s="76"/>
      <c r="AF662" s="76"/>
      <c r="AG662" s="76"/>
      <c r="AH662" s="108"/>
      <c r="AI662" s="76"/>
      <c r="AJ662" s="76"/>
      <c r="AK662" s="76"/>
      <c r="AL662" s="76"/>
      <c r="AM662" s="76"/>
      <c r="AN662" s="76"/>
      <c r="AO662" s="76"/>
      <c r="AP662" s="76"/>
      <c r="AQ662" s="76"/>
      <c r="AR662" s="76"/>
    </row>
    <row r="663" spans="7:44" x14ac:dyDescent="0.35">
      <c r="G663" s="12"/>
      <c r="J663" s="12"/>
      <c r="L663" s="92"/>
      <c r="Y663" s="108"/>
      <c r="Z663" s="76"/>
      <c r="AA663" s="76"/>
      <c r="AB663" s="76"/>
      <c r="AC663" s="76"/>
      <c r="AD663" s="76"/>
      <c r="AE663" s="76"/>
      <c r="AF663" s="76"/>
      <c r="AG663" s="76"/>
      <c r="AH663" s="108"/>
      <c r="AI663" s="76"/>
      <c r="AJ663" s="76"/>
      <c r="AK663" s="76"/>
      <c r="AL663" s="76"/>
      <c r="AM663" s="76"/>
      <c r="AN663" s="76"/>
      <c r="AO663" s="76"/>
      <c r="AP663" s="76"/>
      <c r="AQ663" s="76"/>
      <c r="AR663" s="76"/>
    </row>
    <row r="664" spans="7:44" x14ac:dyDescent="0.35">
      <c r="G664" s="12"/>
      <c r="J664" s="12"/>
      <c r="L664" s="92"/>
      <c r="Y664" s="108"/>
      <c r="Z664" s="76"/>
      <c r="AA664" s="76"/>
      <c r="AB664" s="76"/>
      <c r="AC664" s="76"/>
      <c r="AD664" s="76"/>
      <c r="AE664" s="76"/>
      <c r="AF664" s="76"/>
      <c r="AG664" s="76"/>
      <c r="AH664" s="108"/>
      <c r="AI664" s="76"/>
      <c r="AJ664" s="76"/>
      <c r="AK664" s="76"/>
      <c r="AL664" s="76"/>
      <c r="AM664" s="76"/>
      <c r="AN664" s="76"/>
      <c r="AO664" s="76"/>
      <c r="AP664" s="76"/>
      <c r="AQ664" s="76"/>
      <c r="AR664" s="76"/>
    </row>
    <row r="665" spans="7:44" x14ac:dyDescent="0.35">
      <c r="G665" s="12"/>
      <c r="J665" s="12"/>
      <c r="L665" s="92"/>
      <c r="Y665" s="108"/>
      <c r="Z665" s="76"/>
      <c r="AA665" s="76"/>
      <c r="AB665" s="76"/>
      <c r="AC665" s="76"/>
      <c r="AD665" s="76"/>
      <c r="AE665" s="76"/>
      <c r="AF665" s="76"/>
      <c r="AG665" s="76"/>
      <c r="AH665" s="108"/>
      <c r="AI665" s="76"/>
      <c r="AJ665" s="76"/>
      <c r="AK665" s="76"/>
      <c r="AL665" s="76"/>
      <c r="AM665" s="76"/>
      <c r="AN665" s="76"/>
      <c r="AO665" s="76"/>
      <c r="AP665" s="76"/>
      <c r="AQ665" s="76"/>
      <c r="AR665" s="76"/>
    </row>
    <row r="666" spans="7:44" x14ac:dyDescent="0.35">
      <c r="G666" s="12"/>
      <c r="J666" s="12"/>
      <c r="L666" s="92"/>
      <c r="Y666" s="108"/>
      <c r="Z666" s="76"/>
      <c r="AA666" s="76"/>
      <c r="AB666" s="76"/>
      <c r="AC666" s="76"/>
      <c r="AD666" s="76"/>
      <c r="AE666" s="76"/>
      <c r="AF666" s="76"/>
      <c r="AG666" s="76"/>
      <c r="AH666" s="108"/>
      <c r="AI666" s="76"/>
      <c r="AJ666" s="76"/>
      <c r="AK666" s="76"/>
      <c r="AL666" s="76"/>
      <c r="AM666" s="76"/>
      <c r="AN666" s="76"/>
      <c r="AO666" s="76"/>
      <c r="AP666" s="76"/>
      <c r="AQ666" s="76"/>
      <c r="AR666" s="76"/>
    </row>
    <row r="667" spans="7:44" x14ac:dyDescent="0.35">
      <c r="G667" s="12"/>
      <c r="J667" s="12"/>
      <c r="L667" s="92"/>
      <c r="Y667" s="108"/>
      <c r="Z667" s="76"/>
      <c r="AA667" s="76"/>
      <c r="AB667" s="76"/>
      <c r="AC667" s="76"/>
      <c r="AD667" s="76"/>
      <c r="AE667" s="76"/>
      <c r="AF667" s="76"/>
      <c r="AG667" s="76"/>
      <c r="AH667" s="108"/>
      <c r="AI667" s="76"/>
      <c r="AJ667" s="76"/>
      <c r="AK667" s="76"/>
      <c r="AL667" s="76"/>
      <c r="AM667" s="76"/>
      <c r="AN667" s="76"/>
      <c r="AO667" s="76"/>
      <c r="AP667" s="76"/>
      <c r="AQ667" s="76"/>
      <c r="AR667" s="76"/>
    </row>
    <row r="668" spans="7:44" x14ac:dyDescent="0.35">
      <c r="G668" s="12"/>
      <c r="J668" s="12"/>
      <c r="L668" s="92"/>
      <c r="Y668" s="108"/>
      <c r="Z668" s="76"/>
      <c r="AA668" s="76"/>
      <c r="AB668" s="76"/>
      <c r="AC668" s="76"/>
      <c r="AD668" s="76"/>
      <c r="AE668" s="76"/>
      <c r="AF668" s="76"/>
      <c r="AG668" s="76"/>
      <c r="AH668" s="108"/>
      <c r="AI668" s="76"/>
      <c r="AJ668" s="76"/>
      <c r="AK668" s="76"/>
      <c r="AL668" s="76"/>
      <c r="AM668" s="76"/>
      <c r="AN668" s="76"/>
      <c r="AO668" s="76"/>
      <c r="AP668" s="76"/>
      <c r="AQ668" s="76"/>
      <c r="AR668" s="76"/>
    </row>
    <row r="669" spans="7:44" x14ac:dyDescent="0.35">
      <c r="G669" s="12"/>
      <c r="J669" s="12"/>
      <c r="L669" s="92"/>
      <c r="Y669" s="108"/>
      <c r="Z669" s="76"/>
      <c r="AA669" s="76"/>
      <c r="AB669" s="76"/>
      <c r="AC669" s="76"/>
      <c r="AD669" s="76"/>
      <c r="AE669" s="76"/>
      <c r="AF669" s="76"/>
      <c r="AG669" s="76"/>
      <c r="AH669" s="108"/>
      <c r="AI669" s="76"/>
      <c r="AJ669" s="76"/>
      <c r="AK669" s="76"/>
      <c r="AL669" s="76"/>
      <c r="AM669" s="76"/>
      <c r="AN669" s="76"/>
      <c r="AO669" s="76"/>
      <c r="AP669" s="76"/>
      <c r="AQ669" s="76"/>
      <c r="AR669" s="76"/>
    </row>
    <row r="670" spans="7:44" x14ac:dyDescent="0.35">
      <c r="G670" s="12"/>
      <c r="J670" s="12"/>
      <c r="L670" s="92"/>
    </row>
    <row r="671" spans="7:44" x14ac:dyDescent="0.35">
      <c r="G671" s="12"/>
      <c r="J671" s="12"/>
      <c r="L671" s="92"/>
    </row>
    <row r="672" spans="7:44" x14ac:dyDescent="0.35">
      <c r="G672" s="12"/>
      <c r="J672" s="12"/>
      <c r="L672" s="92"/>
    </row>
    <row r="673" spans="7:12" x14ac:dyDescent="0.35">
      <c r="G673" s="12"/>
      <c r="J673" s="12"/>
      <c r="L673" s="92"/>
    </row>
    <row r="674" spans="7:12" x14ac:dyDescent="0.35">
      <c r="G674" s="12"/>
      <c r="J674" s="12"/>
      <c r="L674" s="92"/>
    </row>
    <row r="675" spans="7:12" x14ac:dyDescent="0.35">
      <c r="G675" s="12"/>
      <c r="J675" s="12"/>
      <c r="L675" s="92"/>
    </row>
    <row r="676" spans="7:12" x14ac:dyDescent="0.35">
      <c r="G676" s="12"/>
      <c r="J676" s="12"/>
      <c r="L676" s="92"/>
    </row>
    <row r="677" spans="7:12" x14ac:dyDescent="0.35">
      <c r="G677" s="12"/>
      <c r="J677" s="12"/>
      <c r="L677" s="92"/>
    </row>
    <row r="678" spans="7:12" x14ac:dyDescent="0.35">
      <c r="G678" s="12"/>
      <c r="J678" s="12"/>
      <c r="L678" s="92"/>
    </row>
    <row r="679" spans="7:12" x14ac:dyDescent="0.35">
      <c r="G679" s="12"/>
      <c r="J679" s="12"/>
      <c r="L679" s="92"/>
    </row>
    <row r="680" spans="7:12" x14ac:dyDescent="0.35">
      <c r="G680" s="12"/>
      <c r="J680" s="12"/>
      <c r="L680" s="92"/>
    </row>
    <row r="681" spans="7:12" x14ac:dyDescent="0.35">
      <c r="G681" s="12"/>
      <c r="J681" s="12"/>
      <c r="L681" s="92"/>
    </row>
    <row r="682" spans="7:12" x14ac:dyDescent="0.35">
      <c r="G682" s="12"/>
      <c r="J682" s="12"/>
      <c r="L682" s="92"/>
    </row>
    <row r="683" spans="7:12" x14ac:dyDescent="0.35">
      <c r="G683" s="12"/>
      <c r="J683" s="12"/>
      <c r="L683" s="92"/>
    </row>
    <row r="684" spans="7:12" x14ac:dyDescent="0.35">
      <c r="G684" s="12"/>
      <c r="J684" s="12"/>
      <c r="L684" s="92"/>
    </row>
    <row r="685" spans="7:12" x14ac:dyDescent="0.35">
      <c r="G685" s="12"/>
      <c r="J685" s="12"/>
      <c r="L685" s="92"/>
    </row>
    <row r="686" spans="7:12" x14ac:dyDescent="0.35">
      <c r="G686" s="12"/>
      <c r="J686" s="12"/>
      <c r="L686" s="92"/>
    </row>
    <row r="687" spans="7:12" x14ac:dyDescent="0.35">
      <c r="G687" s="12"/>
      <c r="J687" s="12"/>
      <c r="L687" s="92"/>
    </row>
    <row r="688" spans="7:12" x14ac:dyDescent="0.35">
      <c r="G688" s="12"/>
      <c r="J688" s="12"/>
      <c r="L688" s="92"/>
    </row>
    <row r="689" spans="7:12" x14ac:dyDescent="0.35">
      <c r="G689" s="12"/>
      <c r="J689" s="12"/>
      <c r="L689" s="92"/>
    </row>
    <row r="690" spans="7:12" x14ac:dyDescent="0.35">
      <c r="G690" s="12"/>
      <c r="J690" s="12"/>
      <c r="L690" s="92"/>
    </row>
    <row r="691" spans="7:12" x14ac:dyDescent="0.35">
      <c r="G691" s="12"/>
      <c r="J691" s="12"/>
      <c r="L691" s="92"/>
    </row>
    <row r="692" spans="7:12" x14ac:dyDescent="0.35">
      <c r="G692" s="12"/>
      <c r="J692" s="12"/>
      <c r="L692" s="92"/>
    </row>
    <row r="693" spans="7:12" x14ac:dyDescent="0.35">
      <c r="G693" s="12"/>
      <c r="J693" s="12"/>
      <c r="L693" s="92"/>
    </row>
    <row r="694" spans="7:12" x14ac:dyDescent="0.35">
      <c r="G694" s="12"/>
      <c r="J694" s="12"/>
      <c r="L694" s="92"/>
    </row>
    <row r="695" spans="7:12" x14ac:dyDescent="0.35">
      <c r="G695" s="12"/>
      <c r="J695" s="12"/>
      <c r="L695" s="92"/>
    </row>
    <row r="696" spans="7:12" x14ac:dyDescent="0.35">
      <c r="G696" s="12"/>
      <c r="J696" s="12"/>
      <c r="L696" s="92"/>
    </row>
    <row r="697" spans="7:12" x14ac:dyDescent="0.35">
      <c r="G697" s="12"/>
      <c r="J697" s="12"/>
      <c r="L697" s="92"/>
    </row>
    <row r="698" spans="7:12" x14ac:dyDescent="0.35">
      <c r="G698" s="12"/>
      <c r="J698" s="12"/>
      <c r="L698" s="92"/>
    </row>
    <row r="699" spans="7:12" x14ac:dyDescent="0.35">
      <c r="G699" s="12"/>
      <c r="J699" s="12"/>
      <c r="L699" s="92"/>
    </row>
    <row r="700" spans="7:12" x14ac:dyDescent="0.35">
      <c r="G700" s="12"/>
      <c r="J700" s="12"/>
      <c r="L700" s="92"/>
    </row>
    <row r="701" spans="7:12" x14ac:dyDescent="0.35">
      <c r="G701" s="12"/>
      <c r="J701" s="12"/>
      <c r="L701" s="92"/>
    </row>
    <row r="702" spans="7:12" x14ac:dyDescent="0.35">
      <c r="G702" s="12"/>
      <c r="J702" s="12"/>
      <c r="L702" s="92"/>
    </row>
    <row r="703" spans="7:12" x14ac:dyDescent="0.35">
      <c r="G703" s="12"/>
      <c r="J703" s="12"/>
      <c r="L703" s="92"/>
    </row>
    <row r="704" spans="7:12" x14ac:dyDescent="0.35">
      <c r="G704" s="12"/>
      <c r="J704" s="12"/>
      <c r="L704" s="92"/>
    </row>
    <row r="705" spans="7:12" x14ac:dyDescent="0.35">
      <c r="G705" s="12"/>
      <c r="J705" s="12"/>
      <c r="L705" s="92"/>
    </row>
    <row r="706" spans="7:12" x14ac:dyDescent="0.35">
      <c r="G706" s="12"/>
      <c r="J706" s="12"/>
      <c r="L706" s="92"/>
    </row>
    <row r="707" spans="7:12" x14ac:dyDescent="0.35">
      <c r="G707" s="12"/>
      <c r="J707" s="12"/>
      <c r="L707" s="92"/>
    </row>
    <row r="708" spans="7:12" x14ac:dyDescent="0.35">
      <c r="G708" s="12"/>
      <c r="J708" s="12"/>
      <c r="L708" s="92"/>
    </row>
    <row r="709" spans="7:12" x14ac:dyDescent="0.35">
      <c r="G709" s="12"/>
      <c r="J709" s="12"/>
      <c r="L709" s="92"/>
    </row>
    <row r="710" spans="7:12" x14ac:dyDescent="0.35">
      <c r="G710" s="12"/>
      <c r="J710" s="12"/>
      <c r="L710" s="92"/>
    </row>
    <row r="711" spans="7:12" x14ac:dyDescent="0.35">
      <c r="G711" s="12"/>
      <c r="J711" s="12"/>
      <c r="L711" s="92"/>
    </row>
    <row r="712" spans="7:12" x14ac:dyDescent="0.35">
      <c r="G712" s="12"/>
      <c r="J712" s="12"/>
      <c r="L712" s="92"/>
    </row>
    <row r="713" spans="7:12" x14ac:dyDescent="0.35">
      <c r="G713" s="12"/>
      <c r="J713" s="12"/>
      <c r="L713" s="92"/>
    </row>
    <row r="714" spans="7:12" x14ac:dyDescent="0.35">
      <c r="G714" s="12"/>
      <c r="J714" s="12"/>
      <c r="L714" s="92"/>
    </row>
    <row r="715" spans="7:12" x14ac:dyDescent="0.35">
      <c r="G715" s="12"/>
      <c r="J715" s="12"/>
      <c r="L715" s="92"/>
    </row>
    <row r="716" spans="7:12" x14ac:dyDescent="0.35">
      <c r="G716" s="12"/>
      <c r="J716" s="12"/>
      <c r="L716" s="92"/>
    </row>
    <row r="717" spans="7:12" x14ac:dyDescent="0.35">
      <c r="G717" s="12"/>
      <c r="J717" s="12"/>
      <c r="L717" s="92"/>
    </row>
    <row r="718" spans="7:12" x14ac:dyDescent="0.35">
      <c r="G718" s="12"/>
      <c r="J718" s="12"/>
      <c r="L718" s="92"/>
    </row>
    <row r="719" spans="7:12" x14ac:dyDescent="0.35">
      <c r="G719" s="12"/>
      <c r="J719" s="12"/>
      <c r="L719" s="92"/>
    </row>
    <row r="720" spans="7:12" x14ac:dyDescent="0.35">
      <c r="G720" s="12"/>
      <c r="J720" s="12"/>
      <c r="L720" s="92"/>
    </row>
    <row r="721" spans="7:12" x14ac:dyDescent="0.35">
      <c r="G721" s="12"/>
      <c r="J721" s="12"/>
      <c r="L721" s="92"/>
    </row>
    <row r="722" spans="7:12" x14ac:dyDescent="0.35">
      <c r="G722" s="12"/>
      <c r="J722" s="12"/>
      <c r="L722" s="92"/>
    </row>
    <row r="723" spans="7:12" x14ac:dyDescent="0.35">
      <c r="G723" s="12"/>
      <c r="J723" s="12"/>
      <c r="L723" s="92"/>
    </row>
    <row r="724" spans="7:12" x14ac:dyDescent="0.35">
      <c r="G724" s="12"/>
      <c r="J724" s="12"/>
      <c r="L724" s="92"/>
    </row>
    <row r="725" spans="7:12" x14ac:dyDescent="0.35">
      <c r="G725" s="12"/>
      <c r="J725" s="12"/>
      <c r="L725" s="92"/>
    </row>
    <row r="726" spans="7:12" x14ac:dyDescent="0.35">
      <c r="G726" s="12"/>
      <c r="J726" s="12"/>
      <c r="L726" s="92"/>
    </row>
    <row r="727" spans="7:12" x14ac:dyDescent="0.35">
      <c r="G727" s="12"/>
      <c r="J727" s="12"/>
      <c r="L727" s="92"/>
    </row>
    <row r="728" spans="7:12" x14ac:dyDescent="0.35">
      <c r="G728" s="12"/>
      <c r="J728" s="12"/>
      <c r="L728" s="92"/>
    </row>
    <row r="729" spans="7:12" x14ac:dyDescent="0.35">
      <c r="G729" s="12"/>
      <c r="J729" s="12"/>
      <c r="L729" s="92"/>
    </row>
    <row r="730" spans="7:12" x14ac:dyDescent="0.35">
      <c r="G730" s="12"/>
      <c r="J730" s="12"/>
      <c r="L730" s="92"/>
    </row>
    <row r="731" spans="7:12" x14ac:dyDescent="0.35">
      <c r="G731" s="12"/>
      <c r="J731" s="12"/>
      <c r="L731" s="92"/>
    </row>
    <row r="732" spans="7:12" x14ac:dyDescent="0.35">
      <c r="G732" s="12"/>
      <c r="J732" s="12"/>
      <c r="L732" s="92"/>
    </row>
    <row r="733" spans="7:12" x14ac:dyDescent="0.35">
      <c r="G733" s="12"/>
      <c r="J733" s="12"/>
      <c r="L733" s="92"/>
    </row>
    <row r="734" spans="7:12" x14ac:dyDescent="0.35">
      <c r="G734" s="12"/>
      <c r="J734" s="12"/>
      <c r="L734" s="92"/>
    </row>
    <row r="735" spans="7:12" x14ac:dyDescent="0.35">
      <c r="G735" s="12"/>
      <c r="J735" s="12"/>
      <c r="L735" s="92"/>
    </row>
    <row r="736" spans="7:12" x14ac:dyDescent="0.35">
      <c r="G736" s="12"/>
      <c r="J736" s="12"/>
      <c r="L736" s="92"/>
    </row>
    <row r="737" spans="7:12" x14ac:dyDescent="0.35">
      <c r="G737" s="12"/>
      <c r="J737" s="12"/>
      <c r="L737" s="92"/>
    </row>
    <row r="738" spans="7:12" x14ac:dyDescent="0.35">
      <c r="G738" s="12"/>
      <c r="J738" s="12"/>
      <c r="L738" s="92"/>
    </row>
    <row r="739" spans="7:12" x14ac:dyDescent="0.35">
      <c r="G739" s="12"/>
      <c r="J739" s="12"/>
      <c r="L739" s="92"/>
    </row>
    <row r="740" spans="7:12" x14ac:dyDescent="0.35">
      <c r="G740" s="12"/>
      <c r="J740" s="12"/>
      <c r="L740" s="92"/>
    </row>
    <row r="741" spans="7:12" x14ac:dyDescent="0.35">
      <c r="G741" s="12"/>
      <c r="J741" s="12"/>
      <c r="L741" s="92"/>
    </row>
    <row r="742" spans="7:12" x14ac:dyDescent="0.35">
      <c r="G742" s="12"/>
      <c r="J742" s="12"/>
      <c r="L742" s="92"/>
    </row>
    <row r="743" spans="7:12" x14ac:dyDescent="0.35">
      <c r="G743" s="12"/>
      <c r="J743" s="12"/>
      <c r="L743" s="92"/>
    </row>
    <row r="744" spans="7:12" x14ac:dyDescent="0.35">
      <c r="G744" s="12"/>
      <c r="J744" s="12"/>
      <c r="L744" s="92"/>
    </row>
    <row r="745" spans="7:12" x14ac:dyDescent="0.35">
      <c r="G745" s="12"/>
      <c r="J745" s="12"/>
      <c r="L745" s="92"/>
    </row>
    <row r="746" spans="7:12" x14ac:dyDescent="0.35">
      <c r="G746" s="12"/>
      <c r="J746" s="12"/>
      <c r="L746" s="92"/>
    </row>
    <row r="747" spans="7:12" x14ac:dyDescent="0.35">
      <c r="G747" s="12"/>
      <c r="J747" s="12"/>
      <c r="L747" s="92"/>
    </row>
    <row r="748" spans="7:12" x14ac:dyDescent="0.35">
      <c r="G748" s="12"/>
      <c r="J748" s="12"/>
      <c r="L748" s="92"/>
    </row>
    <row r="749" spans="7:12" x14ac:dyDescent="0.35">
      <c r="G749" s="12"/>
      <c r="J749" s="12"/>
      <c r="L749" s="92"/>
    </row>
    <row r="750" spans="7:12" x14ac:dyDescent="0.35">
      <c r="G750" s="12"/>
      <c r="J750" s="12"/>
      <c r="L750" s="92"/>
    </row>
    <row r="751" spans="7:12" x14ac:dyDescent="0.35">
      <c r="G751" s="12"/>
      <c r="J751" s="12"/>
      <c r="L751" s="92"/>
    </row>
    <row r="752" spans="7:12" x14ac:dyDescent="0.35">
      <c r="G752" s="12"/>
      <c r="J752" s="12"/>
      <c r="L752" s="92"/>
    </row>
    <row r="753" spans="7:12" x14ac:dyDescent="0.35">
      <c r="G753" s="12"/>
      <c r="J753" s="12"/>
      <c r="L753" s="92"/>
    </row>
    <row r="754" spans="7:12" x14ac:dyDescent="0.35">
      <c r="G754" s="12"/>
      <c r="J754" s="12"/>
      <c r="L754" s="92"/>
    </row>
    <row r="755" spans="7:12" x14ac:dyDescent="0.35">
      <c r="G755" s="12"/>
      <c r="J755" s="12"/>
      <c r="L755" s="92"/>
    </row>
    <row r="756" spans="7:12" x14ac:dyDescent="0.35">
      <c r="G756" s="12"/>
      <c r="J756" s="12"/>
      <c r="L756" s="92"/>
    </row>
    <row r="757" spans="7:12" x14ac:dyDescent="0.35">
      <c r="G757" s="12"/>
      <c r="J757" s="12"/>
      <c r="L757" s="92"/>
    </row>
    <row r="758" spans="7:12" x14ac:dyDescent="0.35">
      <c r="G758" s="12"/>
      <c r="J758" s="12"/>
      <c r="L758" s="92"/>
    </row>
    <row r="759" spans="7:12" x14ac:dyDescent="0.35">
      <c r="G759" s="12"/>
      <c r="J759" s="12"/>
      <c r="L759" s="92"/>
    </row>
    <row r="760" spans="7:12" x14ac:dyDescent="0.35">
      <c r="G760" s="12"/>
      <c r="J760" s="12"/>
      <c r="L760" s="92"/>
    </row>
    <row r="761" spans="7:12" x14ac:dyDescent="0.35">
      <c r="G761" s="12"/>
      <c r="J761" s="12"/>
      <c r="L761" s="92"/>
    </row>
    <row r="762" spans="7:12" x14ac:dyDescent="0.35">
      <c r="G762" s="12"/>
      <c r="J762" s="12"/>
      <c r="L762" s="92"/>
    </row>
    <row r="763" spans="7:12" x14ac:dyDescent="0.35">
      <c r="G763" s="12"/>
      <c r="J763" s="12"/>
      <c r="L763" s="92"/>
    </row>
    <row r="764" spans="7:12" x14ac:dyDescent="0.35">
      <c r="G764" s="12"/>
      <c r="J764" s="12"/>
      <c r="L764" s="92"/>
    </row>
    <row r="765" spans="7:12" x14ac:dyDescent="0.35">
      <c r="G765" s="12"/>
      <c r="J765" s="12"/>
      <c r="L765" s="92"/>
    </row>
    <row r="766" spans="7:12" x14ac:dyDescent="0.35">
      <c r="G766" s="12"/>
      <c r="J766" s="12"/>
      <c r="L766" s="92"/>
    </row>
    <row r="767" spans="7:12" x14ac:dyDescent="0.35">
      <c r="G767" s="12"/>
      <c r="J767" s="12"/>
      <c r="L767" s="92"/>
    </row>
    <row r="768" spans="7:12" x14ac:dyDescent="0.35">
      <c r="G768" s="12"/>
      <c r="J768" s="12"/>
      <c r="L768" s="92"/>
    </row>
    <row r="769" spans="7:12" x14ac:dyDescent="0.35">
      <c r="G769" s="12"/>
      <c r="J769" s="12"/>
      <c r="L769" s="92"/>
    </row>
    <row r="770" spans="7:12" x14ac:dyDescent="0.35">
      <c r="G770" s="12"/>
      <c r="J770" s="12"/>
      <c r="L770" s="92"/>
    </row>
    <row r="771" spans="7:12" x14ac:dyDescent="0.35">
      <c r="G771" s="12"/>
      <c r="J771" s="12"/>
      <c r="L771" s="92"/>
    </row>
    <row r="772" spans="7:12" x14ac:dyDescent="0.35">
      <c r="G772" s="12"/>
      <c r="J772" s="12"/>
      <c r="L772" s="92"/>
    </row>
    <row r="773" spans="7:12" x14ac:dyDescent="0.35">
      <c r="G773" s="12"/>
      <c r="J773" s="12"/>
      <c r="L773" s="92"/>
    </row>
    <row r="774" spans="7:12" x14ac:dyDescent="0.35">
      <c r="G774" s="12"/>
      <c r="J774" s="12"/>
      <c r="L774" s="92"/>
    </row>
    <row r="775" spans="7:12" x14ac:dyDescent="0.35">
      <c r="G775" s="12"/>
      <c r="J775" s="12"/>
      <c r="L775" s="92"/>
    </row>
    <row r="776" spans="7:12" x14ac:dyDescent="0.35">
      <c r="G776" s="12"/>
      <c r="J776" s="12"/>
      <c r="L776" s="92"/>
    </row>
    <row r="777" spans="7:12" x14ac:dyDescent="0.35">
      <c r="G777" s="12"/>
      <c r="J777" s="12"/>
      <c r="L777" s="92"/>
    </row>
    <row r="778" spans="7:12" x14ac:dyDescent="0.35">
      <c r="G778" s="12"/>
      <c r="J778" s="12"/>
      <c r="L778" s="92"/>
    </row>
    <row r="779" spans="7:12" x14ac:dyDescent="0.35">
      <c r="G779" s="12"/>
      <c r="J779" s="12"/>
      <c r="L779" s="92"/>
    </row>
    <row r="780" spans="7:12" x14ac:dyDescent="0.35">
      <c r="G780" s="12"/>
      <c r="J780" s="12"/>
      <c r="L780" s="92"/>
    </row>
    <row r="781" spans="7:12" x14ac:dyDescent="0.35">
      <c r="G781" s="12"/>
      <c r="J781" s="12"/>
      <c r="L781" s="92"/>
    </row>
    <row r="782" spans="7:12" x14ac:dyDescent="0.35">
      <c r="G782" s="12"/>
      <c r="J782" s="12"/>
      <c r="L782" s="92"/>
    </row>
    <row r="783" spans="7:12" x14ac:dyDescent="0.35">
      <c r="G783" s="12"/>
      <c r="J783" s="12"/>
      <c r="L783" s="92"/>
    </row>
    <row r="784" spans="7:12" x14ac:dyDescent="0.35">
      <c r="G784" s="12"/>
      <c r="J784" s="12"/>
      <c r="L784" s="92"/>
    </row>
    <row r="785" spans="7:12" x14ac:dyDescent="0.35">
      <c r="G785" s="12"/>
      <c r="J785" s="12"/>
      <c r="L785" s="92"/>
    </row>
    <row r="786" spans="7:12" x14ac:dyDescent="0.35">
      <c r="G786" s="12"/>
      <c r="J786" s="12"/>
      <c r="L786" s="92"/>
    </row>
    <row r="787" spans="7:12" x14ac:dyDescent="0.35">
      <c r="G787" s="12"/>
      <c r="J787" s="12"/>
      <c r="L787" s="92"/>
    </row>
    <row r="788" spans="7:12" x14ac:dyDescent="0.35">
      <c r="G788" s="12"/>
      <c r="J788" s="12"/>
      <c r="L788" s="92"/>
    </row>
    <row r="789" spans="7:12" x14ac:dyDescent="0.35">
      <c r="G789" s="12"/>
      <c r="J789" s="12"/>
      <c r="L789" s="92"/>
    </row>
    <row r="790" spans="7:12" x14ac:dyDescent="0.35">
      <c r="G790" s="12"/>
      <c r="J790" s="12"/>
      <c r="L790" s="92"/>
    </row>
    <row r="791" spans="7:12" x14ac:dyDescent="0.35">
      <c r="G791" s="12"/>
      <c r="J791" s="12"/>
      <c r="L791" s="92"/>
    </row>
    <row r="792" spans="7:12" x14ac:dyDescent="0.35">
      <c r="G792" s="12"/>
      <c r="J792" s="12"/>
      <c r="L792" s="92"/>
    </row>
    <row r="793" spans="7:12" x14ac:dyDescent="0.35">
      <c r="G793" s="12"/>
      <c r="J793" s="12"/>
      <c r="L793" s="92"/>
    </row>
    <row r="794" spans="7:12" x14ac:dyDescent="0.35">
      <c r="G794" s="12"/>
      <c r="J794" s="12"/>
      <c r="L794" s="92"/>
    </row>
    <row r="795" spans="7:12" x14ac:dyDescent="0.35">
      <c r="G795" s="12"/>
      <c r="J795" s="12"/>
      <c r="L795" s="92"/>
    </row>
    <row r="796" spans="7:12" x14ac:dyDescent="0.35">
      <c r="G796" s="12"/>
      <c r="J796" s="12"/>
      <c r="L796" s="92"/>
    </row>
    <row r="797" spans="7:12" x14ac:dyDescent="0.35">
      <c r="G797" s="12"/>
      <c r="J797" s="12"/>
      <c r="L797" s="92"/>
    </row>
    <row r="798" spans="7:12" x14ac:dyDescent="0.35">
      <c r="G798" s="12"/>
      <c r="J798" s="12"/>
      <c r="L798" s="92"/>
    </row>
    <row r="799" spans="7:12" x14ac:dyDescent="0.35">
      <c r="G799" s="12"/>
      <c r="J799" s="12"/>
      <c r="L799" s="92"/>
    </row>
    <row r="800" spans="7:12" x14ac:dyDescent="0.35">
      <c r="G800" s="12"/>
      <c r="J800" s="12"/>
      <c r="L800" s="92"/>
    </row>
    <row r="801" spans="7:12" x14ac:dyDescent="0.35">
      <c r="G801" s="12"/>
      <c r="J801" s="12"/>
      <c r="L801" s="92"/>
    </row>
    <row r="802" spans="7:12" x14ac:dyDescent="0.35">
      <c r="G802" s="12"/>
      <c r="J802" s="12"/>
      <c r="L802" s="92"/>
    </row>
    <row r="803" spans="7:12" x14ac:dyDescent="0.35">
      <c r="G803" s="12"/>
      <c r="J803" s="12"/>
      <c r="L803" s="92"/>
    </row>
    <row r="804" spans="7:12" x14ac:dyDescent="0.35">
      <c r="G804" s="12"/>
      <c r="J804" s="12"/>
      <c r="L804" s="92"/>
    </row>
    <row r="805" spans="7:12" x14ac:dyDescent="0.35">
      <c r="G805" s="12"/>
      <c r="J805" s="12"/>
      <c r="L805" s="92"/>
    </row>
    <row r="806" spans="7:12" x14ac:dyDescent="0.35">
      <c r="G806" s="12"/>
      <c r="J806" s="12"/>
      <c r="L806" s="92"/>
    </row>
    <row r="807" spans="7:12" x14ac:dyDescent="0.35">
      <c r="G807" s="12"/>
      <c r="J807" s="12"/>
      <c r="L807" s="92"/>
    </row>
    <row r="808" spans="7:12" x14ac:dyDescent="0.35">
      <c r="G808" s="12"/>
      <c r="J808" s="12"/>
      <c r="L808" s="92"/>
    </row>
    <row r="809" spans="7:12" x14ac:dyDescent="0.35">
      <c r="G809" s="12"/>
      <c r="J809" s="12"/>
      <c r="L809" s="92"/>
    </row>
    <row r="810" spans="7:12" x14ac:dyDescent="0.35">
      <c r="G810" s="12"/>
      <c r="J810" s="12"/>
      <c r="L810" s="92"/>
    </row>
    <row r="811" spans="7:12" x14ac:dyDescent="0.35">
      <c r="G811" s="12"/>
      <c r="J811" s="12"/>
      <c r="L811" s="92"/>
    </row>
    <row r="812" spans="7:12" x14ac:dyDescent="0.35">
      <c r="G812" s="12"/>
      <c r="J812" s="12"/>
      <c r="L812" s="92"/>
    </row>
    <row r="813" spans="7:12" x14ac:dyDescent="0.35">
      <c r="G813" s="12"/>
      <c r="J813" s="12"/>
      <c r="L813" s="92"/>
    </row>
    <row r="814" spans="7:12" x14ac:dyDescent="0.35">
      <c r="G814" s="12"/>
      <c r="J814" s="12"/>
      <c r="L814" s="92"/>
    </row>
    <row r="815" spans="7:12" x14ac:dyDescent="0.35">
      <c r="G815" s="12"/>
      <c r="J815" s="12"/>
      <c r="L815" s="92"/>
    </row>
    <row r="816" spans="7:12" x14ac:dyDescent="0.35">
      <c r="G816" s="12"/>
      <c r="J816" s="12"/>
      <c r="L816" s="92"/>
    </row>
    <row r="817" spans="7:12" x14ac:dyDescent="0.35">
      <c r="G817" s="12"/>
      <c r="J817" s="12"/>
      <c r="L817" s="92"/>
    </row>
    <row r="818" spans="7:12" x14ac:dyDescent="0.35">
      <c r="G818" s="12"/>
      <c r="J818" s="12"/>
      <c r="L818" s="92"/>
    </row>
    <row r="819" spans="7:12" x14ac:dyDescent="0.35">
      <c r="G819" s="12"/>
      <c r="J819" s="12"/>
      <c r="L819" s="92"/>
    </row>
    <row r="820" spans="7:12" x14ac:dyDescent="0.35">
      <c r="G820" s="12"/>
      <c r="J820" s="12"/>
      <c r="L820" s="92"/>
    </row>
    <row r="821" spans="7:12" x14ac:dyDescent="0.35">
      <c r="G821" s="12"/>
      <c r="J821" s="12"/>
      <c r="L821" s="92"/>
    </row>
    <row r="822" spans="7:12" x14ac:dyDescent="0.35">
      <c r="G822" s="12"/>
      <c r="J822" s="12"/>
      <c r="L822" s="92"/>
    </row>
    <row r="823" spans="7:12" x14ac:dyDescent="0.35">
      <c r="G823" s="12"/>
      <c r="J823" s="12"/>
      <c r="L823" s="92"/>
    </row>
    <row r="824" spans="7:12" x14ac:dyDescent="0.35">
      <c r="G824" s="12"/>
      <c r="J824" s="12"/>
      <c r="L824" s="92"/>
    </row>
    <row r="825" spans="7:12" x14ac:dyDescent="0.35">
      <c r="G825" s="12"/>
      <c r="J825" s="12"/>
      <c r="L825" s="92"/>
    </row>
    <row r="826" spans="7:12" x14ac:dyDescent="0.35">
      <c r="G826" s="12"/>
      <c r="J826" s="12"/>
      <c r="L826" s="92"/>
    </row>
    <row r="827" spans="7:12" x14ac:dyDescent="0.35">
      <c r="G827" s="12"/>
      <c r="J827" s="12"/>
      <c r="L827" s="92"/>
    </row>
    <row r="828" spans="7:12" x14ac:dyDescent="0.35">
      <c r="G828" s="12"/>
      <c r="J828" s="12"/>
      <c r="L828" s="92"/>
    </row>
    <row r="829" spans="7:12" x14ac:dyDescent="0.35">
      <c r="G829" s="12"/>
      <c r="J829" s="12"/>
      <c r="L829" s="92"/>
    </row>
    <row r="830" spans="7:12" x14ac:dyDescent="0.35">
      <c r="G830" s="12"/>
      <c r="J830" s="12"/>
      <c r="L830" s="92"/>
    </row>
    <row r="831" spans="7:12" x14ac:dyDescent="0.35">
      <c r="G831" s="12"/>
      <c r="J831" s="12"/>
      <c r="L831" s="92"/>
    </row>
    <row r="832" spans="7:12" x14ac:dyDescent="0.35">
      <c r="G832" s="12"/>
      <c r="J832" s="12"/>
      <c r="L832" s="92"/>
    </row>
    <row r="833" spans="7:12" x14ac:dyDescent="0.35">
      <c r="G833" s="12"/>
      <c r="J833" s="12"/>
      <c r="L833" s="92"/>
    </row>
    <row r="834" spans="7:12" x14ac:dyDescent="0.35">
      <c r="G834" s="12"/>
      <c r="J834" s="12"/>
      <c r="L834" s="92"/>
    </row>
    <row r="835" spans="7:12" x14ac:dyDescent="0.35">
      <c r="G835" s="12"/>
      <c r="J835" s="12"/>
      <c r="L835" s="92"/>
    </row>
    <row r="836" spans="7:12" x14ac:dyDescent="0.35">
      <c r="G836" s="12"/>
      <c r="J836" s="12"/>
      <c r="L836" s="92"/>
    </row>
    <row r="837" spans="7:12" x14ac:dyDescent="0.35">
      <c r="G837" s="12"/>
      <c r="J837" s="12"/>
      <c r="L837" s="92"/>
    </row>
    <row r="838" spans="7:12" x14ac:dyDescent="0.35">
      <c r="G838" s="12"/>
      <c r="J838" s="12"/>
      <c r="L838" s="92"/>
    </row>
    <row r="839" spans="7:12" x14ac:dyDescent="0.35">
      <c r="G839" s="12"/>
      <c r="J839" s="12"/>
      <c r="L839" s="92"/>
    </row>
    <row r="840" spans="7:12" x14ac:dyDescent="0.35">
      <c r="G840" s="12"/>
      <c r="J840" s="12"/>
      <c r="L840" s="92"/>
    </row>
    <row r="841" spans="7:12" x14ac:dyDescent="0.35">
      <c r="G841" s="12"/>
      <c r="J841" s="12"/>
      <c r="L841" s="92"/>
    </row>
    <row r="842" spans="7:12" x14ac:dyDescent="0.35">
      <c r="G842" s="12"/>
      <c r="J842" s="12"/>
      <c r="L842" s="92"/>
    </row>
    <row r="843" spans="7:12" x14ac:dyDescent="0.35">
      <c r="G843" s="12"/>
      <c r="J843" s="12"/>
      <c r="L843" s="92"/>
    </row>
    <row r="844" spans="7:12" x14ac:dyDescent="0.35">
      <c r="G844" s="12"/>
      <c r="J844" s="12"/>
      <c r="L844" s="92"/>
    </row>
    <row r="845" spans="7:12" x14ac:dyDescent="0.35">
      <c r="G845" s="12"/>
      <c r="J845" s="12"/>
      <c r="L845" s="92"/>
    </row>
    <row r="846" spans="7:12" x14ac:dyDescent="0.35">
      <c r="G846" s="12"/>
      <c r="J846" s="12"/>
      <c r="L846" s="92"/>
    </row>
    <row r="847" spans="7:12" x14ac:dyDescent="0.35">
      <c r="G847" s="12"/>
      <c r="J847" s="12"/>
      <c r="L847" s="92"/>
    </row>
    <row r="848" spans="7:12" x14ac:dyDescent="0.35">
      <c r="G848" s="12"/>
      <c r="J848" s="12"/>
      <c r="L848" s="92"/>
    </row>
    <row r="849" spans="7:12" x14ac:dyDescent="0.35">
      <c r="G849" s="12"/>
      <c r="J849" s="12"/>
      <c r="L849" s="92"/>
    </row>
    <row r="850" spans="7:12" x14ac:dyDescent="0.35">
      <c r="G850" s="12"/>
      <c r="J850" s="12"/>
      <c r="L850" s="92"/>
    </row>
    <row r="851" spans="7:12" x14ac:dyDescent="0.35">
      <c r="G851" s="12"/>
      <c r="J851" s="12"/>
      <c r="L851" s="92"/>
    </row>
    <row r="852" spans="7:12" x14ac:dyDescent="0.35">
      <c r="G852" s="12"/>
      <c r="J852" s="12"/>
      <c r="L852" s="92"/>
    </row>
    <row r="853" spans="7:12" x14ac:dyDescent="0.35">
      <c r="G853" s="12"/>
      <c r="J853" s="12"/>
    </row>
    <row r="854" spans="7:12" x14ac:dyDescent="0.35">
      <c r="G854" s="12"/>
      <c r="J854" s="12"/>
    </row>
    <row r="855" spans="7:12" x14ac:dyDescent="0.35">
      <c r="G855" s="12"/>
      <c r="J855" s="12"/>
    </row>
    <row r="856" spans="7:12" x14ac:dyDescent="0.35">
      <c r="G856" s="12"/>
      <c r="J856" s="12"/>
    </row>
    <row r="857" spans="7:12" x14ac:dyDescent="0.35">
      <c r="G857" s="12"/>
      <c r="J857" s="12"/>
    </row>
    <row r="858" spans="7:12" x14ac:dyDescent="0.35">
      <c r="G858" s="12"/>
      <c r="J858" s="12"/>
    </row>
    <row r="859" spans="7:12" x14ac:dyDescent="0.35">
      <c r="G859" s="12"/>
      <c r="J859" s="12"/>
    </row>
    <row r="860" spans="7:12" x14ac:dyDescent="0.35">
      <c r="G860" s="12"/>
      <c r="J860" s="12"/>
    </row>
    <row r="861" spans="7:12" x14ac:dyDescent="0.35">
      <c r="G861" s="12"/>
      <c r="J861" s="12"/>
    </row>
    <row r="862" spans="7:12" x14ac:dyDescent="0.35">
      <c r="G862" s="12"/>
      <c r="J862" s="12"/>
    </row>
    <row r="863" spans="7:12" x14ac:dyDescent="0.35">
      <c r="G863" s="12"/>
      <c r="J863" s="12"/>
    </row>
    <row r="864" spans="7:12" x14ac:dyDescent="0.35">
      <c r="G864" s="12"/>
      <c r="J864" s="12"/>
    </row>
    <row r="865" spans="7:10" x14ac:dyDescent="0.35">
      <c r="G865" s="12"/>
      <c r="J865" s="12"/>
    </row>
    <row r="866" spans="7:10" x14ac:dyDescent="0.35">
      <c r="G866" s="12"/>
      <c r="J866" s="12"/>
    </row>
    <row r="867" spans="7:10" x14ac:dyDescent="0.35">
      <c r="G867" s="12"/>
      <c r="J867" s="12"/>
    </row>
    <row r="868" spans="7:10" x14ac:dyDescent="0.35">
      <c r="G868" s="12"/>
      <c r="J868" s="12"/>
    </row>
    <row r="869" spans="7:10" x14ac:dyDescent="0.35">
      <c r="G869" s="12"/>
      <c r="J869" s="12"/>
    </row>
    <row r="870" spans="7:10" x14ac:dyDescent="0.35">
      <c r="G870" s="12"/>
      <c r="J870" s="12"/>
    </row>
    <row r="871" spans="7:10" x14ac:dyDescent="0.35">
      <c r="G871" s="12"/>
      <c r="J871" s="12"/>
    </row>
    <row r="872" spans="7:10" x14ac:dyDescent="0.35">
      <c r="G872" s="12"/>
      <c r="J872" s="12"/>
    </row>
    <row r="873" spans="7:10" x14ac:dyDescent="0.35">
      <c r="G873" s="12"/>
      <c r="J873" s="12"/>
    </row>
    <row r="874" spans="7:10" x14ac:dyDescent="0.35">
      <c r="G874" s="12"/>
      <c r="J874" s="12"/>
    </row>
    <row r="875" spans="7:10" x14ac:dyDescent="0.35">
      <c r="G875" s="12"/>
      <c r="J875" s="12"/>
    </row>
    <row r="876" spans="7:10" x14ac:dyDescent="0.35">
      <c r="G876" s="12"/>
      <c r="J876" s="12"/>
    </row>
    <row r="877" spans="7:10" x14ac:dyDescent="0.35">
      <c r="G877" s="12"/>
      <c r="J877" s="12"/>
    </row>
    <row r="878" spans="7:10" x14ac:dyDescent="0.35">
      <c r="G878" s="12"/>
      <c r="J878" s="12"/>
    </row>
    <row r="879" spans="7:10" x14ac:dyDescent="0.35">
      <c r="G879" s="12"/>
      <c r="J879" s="12"/>
    </row>
    <row r="880" spans="7:10" x14ac:dyDescent="0.35">
      <c r="G880" s="12"/>
      <c r="J880" s="12"/>
    </row>
    <row r="881" spans="7:10" x14ac:dyDescent="0.35">
      <c r="G881" s="12"/>
      <c r="J881" s="12"/>
    </row>
    <row r="882" spans="7:10" x14ac:dyDescent="0.35">
      <c r="G882" s="12"/>
      <c r="J882" s="12"/>
    </row>
    <row r="883" spans="7:10" x14ac:dyDescent="0.35">
      <c r="G883" s="12"/>
      <c r="J883" s="12"/>
    </row>
    <row r="884" spans="7:10" x14ac:dyDescent="0.35">
      <c r="G884" s="12"/>
      <c r="J884" s="12"/>
    </row>
    <row r="885" spans="7:10" x14ac:dyDescent="0.35">
      <c r="G885" s="12"/>
      <c r="J885" s="12"/>
    </row>
    <row r="886" spans="7:10" x14ac:dyDescent="0.35">
      <c r="G886" s="12"/>
      <c r="J886" s="12"/>
    </row>
    <row r="887" spans="7:10" x14ac:dyDescent="0.35">
      <c r="G887" s="12"/>
      <c r="J887" s="12"/>
    </row>
    <row r="888" spans="7:10" x14ac:dyDescent="0.35">
      <c r="G888" s="12"/>
      <c r="J888" s="12"/>
    </row>
    <row r="889" spans="7:10" x14ac:dyDescent="0.35">
      <c r="G889" s="12"/>
      <c r="J889" s="12"/>
    </row>
    <row r="890" spans="7:10" x14ac:dyDescent="0.35">
      <c r="G890" s="12"/>
      <c r="J890" s="12"/>
    </row>
    <row r="891" spans="7:10" x14ac:dyDescent="0.35">
      <c r="G891" s="12"/>
      <c r="J891" s="12"/>
    </row>
    <row r="892" spans="7:10" x14ac:dyDescent="0.35">
      <c r="G892" s="12"/>
      <c r="J892" s="12"/>
    </row>
    <row r="893" spans="7:10" x14ac:dyDescent="0.35">
      <c r="G893" s="12"/>
      <c r="J893" s="12"/>
    </row>
    <row r="894" spans="7:10" x14ac:dyDescent="0.35">
      <c r="G894" s="12"/>
      <c r="J894" s="12"/>
    </row>
    <row r="895" spans="7:10" x14ac:dyDescent="0.35">
      <c r="G895" s="12"/>
      <c r="J895" s="12"/>
    </row>
    <row r="896" spans="7:10" x14ac:dyDescent="0.35">
      <c r="G896" s="12"/>
      <c r="J896" s="12"/>
    </row>
    <row r="897" spans="7:10" x14ac:dyDescent="0.35">
      <c r="G897" s="12"/>
      <c r="J897" s="12"/>
    </row>
    <row r="898" spans="7:10" x14ac:dyDescent="0.35">
      <c r="G898" s="12"/>
      <c r="J898" s="12"/>
    </row>
    <row r="899" spans="7:10" x14ac:dyDescent="0.35">
      <c r="G899" s="12"/>
      <c r="J899" s="12"/>
    </row>
    <row r="900" spans="7:10" x14ac:dyDescent="0.35">
      <c r="G900" s="12"/>
      <c r="J900" s="12"/>
    </row>
    <row r="901" spans="7:10" x14ac:dyDescent="0.35">
      <c r="G901" s="12"/>
      <c r="J901" s="12"/>
    </row>
    <row r="902" spans="7:10" x14ac:dyDescent="0.35">
      <c r="G902" s="12"/>
      <c r="J902" s="12"/>
    </row>
    <row r="903" spans="7:10" x14ac:dyDescent="0.35">
      <c r="G903" s="12"/>
      <c r="J903" s="12"/>
    </row>
    <row r="904" spans="7:10" x14ac:dyDescent="0.35">
      <c r="G904" s="12"/>
      <c r="J904" s="12"/>
    </row>
    <row r="905" spans="7:10" x14ac:dyDescent="0.35">
      <c r="G905" s="12"/>
      <c r="J905" s="12"/>
    </row>
    <row r="906" spans="7:10" x14ac:dyDescent="0.35">
      <c r="G906" s="12"/>
      <c r="J906" s="12"/>
    </row>
    <row r="907" spans="7:10" x14ac:dyDescent="0.35">
      <c r="G907" s="12"/>
      <c r="J907" s="12"/>
    </row>
    <row r="908" spans="7:10" x14ac:dyDescent="0.35">
      <c r="G908" s="12"/>
      <c r="J908" s="12"/>
    </row>
    <row r="909" spans="7:10" x14ac:dyDescent="0.35">
      <c r="G909" s="12"/>
      <c r="J909" s="12"/>
    </row>
    <row r="910" spans="7:10" x14ac:dyDescent="0.35">
      <c r="G910" s="12"/>
      <c r="J910" s="12"/>
    </row>
    <row r="911" spans="7:10" x14ac:dyDescent="0.35">
      <c r="G911" s="12"/>
      <c r="J911" s="12"/>
    </row>
    <row r="912" spans="7:10" x14ac:dyDescent="0.35">
      <c r="G912" s="12"/>
      <c r="J912" s="12"/>
    </row>
    <row r="913" spans="7:10" x14ac:dyDescent="0.35">
      <c r="G913" s="12"/>
      <c r="J913" s="12"/>
    </row>
    <row r="914" spans="7:10" x14ac:dyDescent="0.35">
      <c r="G914" s="12"/>
      <c r="J914" s="12"/>
    </row>
    <row r="915" spans="7:10" x14ac:dyDescent="0.35">
      <c r="G915" s="12"/>
      <c r="J915" s="12"/>
    </row>
    <row r="916" spans="7:10" x14ac:dyDescent="0.35">
      <c r="G916" s="12"/>
      <c r="J916" s="12"/>
    </row>
    <row r="917" spans="7:10" x14ac:dyDescent="0.35">
      <c r="G917" s="12"/>
      <c r="J917" s="12"/>
    </row>
    <row r="918" spans="7:10" x14ac:dyDescent="0.35">
      <c r="G918" s="12"/>
      <c r="J918" s="12"/>
    </row>
    <row r="919" spans="7:10" x14ac:dyDescent="0.35">
      <c r="G919" s="12"/>
      <c r="J919" s="12"/>
    </row>
    <row r="920" spans="7:10" x14ac:dyDescent="0.35">
      <c r="G920" s="12"/>
      <c r="J920" s="12"/>
    </row>
    <row r="921" spans="7:10" x14ac:dyDescent="0.35">
      <c r="G921" s="12"/>
      <c r="J921" s="12"/>
    </row>
    <row r="922" spans="7:10" x14ac:dyDescent="0.35">
      <c r="G922" s="12"/>
      <c r="J922" s="12"/>
    </row>
    <row r="923" spans="7:10" x14ac:dyDescent="0.35">
      <c r="G923" s="12"/>
      <c r="J923" s="12"/>
    </row>
    <row r="924" spans="7:10" x14ac:dyDescent="0.35">
      <c r="G924" s="12"/>
      <c r="J924" s="12"/>
    </row>
    <row r="925" spans="7:10" x14ac:dyDescent="0.35">
      <c r="G925" s="12"/>
      <c r="J925" s="12"/>
    </row>
    <row r="926" spans="7:10" x14ac:dyDescent="0.35">
      <c r="G926" s="12"/>
      <c r="J926" s="12"/>
    </row>
    <row r="927" spans="7:10" x14ac:dyDescent="0.35">
      <c r="G927" s="12"/>
      <c r="J927" s="12"/>
    </row>
    <row r="928" spans="7:10" x14ac:dyDescent="0.35">
      <c r="G928" s="12"/>
      <c r="J928" s="12"/>
    </row>
    <row r="929" spans="7:10" x14ac:dyDescent="0.35">
      <c r="G929" s="12"/>
      <c r="J929" s="12"/>
    </row>
    <row r="930" spans="7:10" x14ac:dyDescent="0.35">
      <c r="G930" s="12"/>
      <c r="J930" s="12"/>
    </row>
    <row r="931" spans="7:10" x14ac:dyDescent="0.35">
      <c r="G931" s="12"/>
      <c r="J931" s="12"/>
    </row>
    <row r="932" spans="7:10" x14ac:dyDescent="0.35">
      <c r="G932" s="12"/>
      <c r="J932" s="12"/>
    </row>
    <row r="933" spans="7:10" x14ac:dyDescent="0.35">
      <c r="G933" s="12"/>
      <c r="J933" s="12"/>
    </row>
    <row r="934" spans="7:10" x14ac:dyDescent="0.35">
      <c r="G934" s="12"/>
      <c r="J934" s="12"/>
    </row>
    <row r="935" spans="7:10" x14ac:dyDescent="0.35">
      <c r="G935" s="12"/>
      <c r="J935" s="12"/>
    </row>
    <row r="936" spans="7:10" x14ac:dyDescent="0.35">
      <c r="G936" s="12"/>
      <c r="J936" s="12"/>
    </row>
    <row r="937" spans="7:10" x14ac:dyDescent="0.35">
      <c r="G937" s="12"/>
      <c r="J937" s="12"/>
    </row>
    <row r="938" spans="7:10" x14ac:dyDescent="0.35">
      <c r="G938" s="12"/>
      <c r="J938" s="12"/>
    </row>
    <row r="939" spans="7:10" x14ac:dyDescent="0.35">
      <c r="G939" s="12"/>
      <c r="J939" s="12"/>
    </row>
    <row r="940" spans="7:10" x14ac:dyDescent="0.35">
      <c r="G940" s="12"/>
      <c r="J940" s="12"/>
    </row>
    <row r="941" spans="7:10" x14ac:dyDescent="0.35">
      <c r="G941" s="12"/>
      <c r="J941" s="12"/>
    </row>
    <row r="942" spans="7:10" x14ac:dyDescent="0.35">
      <c r="G942" s="12"/>
      <c r="J942" s="12"/>
    </row>
    <row r="943" spans="7:10" x14ac:dyDescent="0.35">
      <c r="G943" s="12"/>
      <c r="J943" s="12"/>
    </row>
    <row r="944" spans="7:10" x14ac:dyDescent="0.35">
      <c r="G944" s="12"/>
      <c r="J944" s="12"/>
    </row>
    <row r="945" spans="7:10" x14ac:dyDescent="0.35">
      <c r="G945" s="12"/>
      <c r="J945" s="12"/>
    </row>
    <row r="946" spans="7:10" x14ac:dyDescent="0.35">
      <c r="G946" s="12"/>
      <c r="J946" s="12"/>
    </row>
    <row r="947" spans="7:10" x14ac:dyDescent="0.35">
      <c r="G947" s="12"/>
      <c r="J947" s="12"/>
    </row>
    <row r="948" spans="7:10" x14ac:dyDescent="0.35">
      <c r="G948" s="12"/>
      <c r="J948" s="12"/>
    </row>
    <row r="949" spans="7:10" x14ac:dyDescent="0.35">
      <c r="G949" s="12"/>
      <c r="J949" s="12"/>
    </row>
    <row r="950" spans="7:10" x14ac:dyDescent="0.35">
      <c r="G950" s="12"/>
      <c r="J950" s="12"/>
    </row>
    <row r="951" spans="7:10" x14ac:dyDescent="0.35">
      <c r="G951" s="12"/>
      <c r="J951" s="12"/>
    </row>
    <row r="952" spans="7:10" x14ac:dyDescent="0.35">
      <c r="G952" s="12"/>
      <c r="J952" s="12"/>
    </row>
    <row r="953" spans="7:10" x14ac:dyDescent="0.35">
      <c r="G953" s="12"/>
      <c r="J953" s="12"/>
    </row>
    <row r="954" spans="7:10" x14ac:dyDescent="0.35">
      <c r="G954" s="12"/>
      <c r="J954" s="12"/>
    </row>
    <row r="955" spans="7:10" x14ac:dyDescent="0.35">
      <c r="G955" s="12"/>
      <c r="J955" s="12"/>
    </row>
    <row r="956" spans="7:10" x14ac:dyDescent="0.35">
      <c r="G956" s="12"/>
      <c r="J956" s="12"/>
    </row>
    <row r="957" spans="7:10" x14ac:dyDescent="0.35">
      <c r="G957" s="12"/>
      <c r="J957" s="12"/>
    </row>
    <row r="958" spans="7:10" x14ac:dyDescent="0.35">
      <c r="G958" s="12"/>
      <c r="J958" s="12"/>
    </row>
    <row r="959" spans="7:10" x14ac:dyDescent="0.35">
      <c r="G959" s="12"/>
      <c r="J959" s="12"/>
    </row>
    <row r="960" spans="7:10" x14ac:dyDescent="0.35">
      <c r="G960" s="12"/>
      <c r="J960" s="12"/>
    </row>
    <row r="961" spans="7:10" x14ac:dyDescent="0.35">
      <c r="G961" s="12"/>
      <c r="J961" s="12"/>
    </row>
    <row r="962" spans="7:10" x14ac:dyDescent="0.35">
      <c r="G962" s="12"/>
      <c r="J962" s="12"/>
    </row>
    <row r="963" spans="7:10" x14ac:dyDescent="0.35">
      <c r="G963" s="12"/>
      <c r="J963" s="12"/>
    </row>
    <row r="964" spans="7:10" x14ac:dyDescent="0.35">
      <c r="G964" s="12"/>
      <c r="J964" s="12"/>
    </row>
    <row r="965" spans="7:10" x14ac:dyDescent="0.35">
      <c r="G965" s="12"/>
      <c r="J965" s="12"/>
    </row>
    <row r="966" spans="7:10" x14ac:dyDescent="0.35">
      <c r="G966" s="12"/>
      <c r="J966" s="12"/>
    </row>
    <row r="967" spans="7:10" x14ac:dyDescent="0.35">
      <c r="G967" s="12"/>
      <c r="J967" s="12"/>
    </row>
    <row r="968" spans="7:10" x14ac:dyDescent="0.35">
      <c r="G968" s="12"/>
      <c r="J968" s="12"/>
    </row>
    <row r="969" spans="7:10" x14ac:dyDescent="0.35">
      <c r="G969" s="12"/>
      <c r="J969" s="12"/>
    </row>
    <row r="970" spans="7:10" x14ac:dyDescent="0.35">
      <c r="G970" s="12"/>
      <c r="J970" s="12"/>
    </row>
    <row r="971" spans="7:10" x14ac:dyDescent="0.35">
      <c r="G971" s="12"/>
      <c r="J971" s="12"/>
    </row>
    <row r="972" spans="7:10" x14ac:dyDescent="0.35">
      <c r="G972" s="12"/>
      <c r="J972" s="12"/>
    </row>
    <row r="973" spans="7:10" x14ac:dyDescent="0.35">
      <c r="G973" s="12"/>
      <c r="J973" s="12"/>
    </row>
    <row r="974" spans="7:10" x14ac:dyDescent="0.35">
      <c r="G974" s="12"/>
      <c r="J974" s="12"/>
    </row>
    <row r="975" spans="7:10" x14ac:dyDescent="0.35">
      <c r="G975" s="12"/>
      <c r="J975" s="12"/>
    </row>
    <row r="976" spans="7:10" x14ac:dyDescent="0.35">
      <c r="G976" s="12"/>
      <c r="J976" s="12"/>
    </row>
    <row r="977" spans="7:10" x14ac:dyDescent="0.35">
      <c r="G977" s="12"/>
      <c r="J977" s="12"/>
    </row>
    <row r="978" spans="7:10" x14ac:dyDescent="0.35">
      <c r="G978" s="12"/>
      <c r="J978" s="12"/>
    </row>
    <row r="979" spans="7:10" x14ac:dyDescent="0.35">
      <c r="G979" s="12"/>
      <c r="J979" s="12"/>
    </row>
    <row r="980" spans="7:10" x14ac:dyDescent="0.35">
      <c r="G980" s="12"/>
      <c r="J980" s="12"/>
    </row>
    <row r="981" spans="7:10" x14ac:dyDescent="0.35">
      <c r="G981" s="12"/>
      <c r="J981" s="12"/>
    </row>
    <row r="982" spans="7:10" x14ac:dyDescent="0.35">
      <c r="G982" s="12"/>
      <c r="J982" s="12"/>
    </row>
    <row r="983" spans="7:10" x14ac:dyDescent="0.35">
      <c r="G983" s="12"/>
      <c r="J983" s="12"/>
    </row>
    <row r="984" spans="7:10" x14ac:dyDescent="0.35">
      <c r="G984" s="12"/>
      <c r="J984" s="12"/>
    </row>
    <row r="985" spans="7:10" x14ac:dyDescent="0.35">
      <c r="G985" s="12"/>
      <c r="J985" s="12"/>
    </row>
    <row r="986" spans="7:10" x14ac:dyDescent="0.35">
      <c r="G986" s="12"/>
      <c r="J986" s="12"/>
    </row>
    <row r="987" spans="7:10" x14ac:dyDescent="0.35">
      <c r="G987" s="12"/>
      <c r="J987" s="12"/>
    </row>
    <row r="988" spans="7:10" x14ac:dyDescent="0.35">
      <c r="G988" s="12"/>
      <c r="J988" s="12"/>
    </row>
    <row r="989" spans="7:10" x14ac:dyDescent="0.35">
      <c r="G989" s="12"/>
      <c r="J989" s="12"/>
    </row>
    <row r="990" spans="7:10" x14ac:dyDescent="0.35">
      <c r="G990" s="12"/>
      <c r="J990" s="12"/>
    </row>
    <row r="991" spans="7:10" x14ac:dyDescent="0.35">
      <c r="G991" s="12"/>
      <c r="J991" s="12"/>
    </row>
    <row r="992" spans="7:10" x14ac:dyDescent="0.35">
      <c r="G992" s="12"/>
      <c r="J992" s="12"/>
    </row>
    <row r="993" spans="7:10" x14ac:dyDescent="0.35">
      <c r="G993" s="12"/>
      <c r="J993" s="12"/>
    </row>
    <row r="994" spans="7:10" x14ac:dyDescent="0.35">
      <c r="G994" s="12"/>
      <c r="J994" s="12"/>
    </row>
    <row r="995" spans="7:10" x14ac:dyDescent="0.35">
      <c r="G995" s="12"/>
      <c r="J995" s="12"/>
    </row>
    <row r="996" spans="7:10" x14ac:dyDescent="0.35">
      <c r="G996" s="12"/>
      <c r="J996" s="12"/>
    </row>
    <row r="997" spans="7:10" x14ac:dyDescent="0.35">
      <c r="G997" s="12"/>
      <c r="J997" s="12"/>
    </row>
    <row r="998" spans="7:10" x14ac:dyDescent="0.35">
      <c r="G998" s="12"/>
      <c r="J998" s="12"/>
    </row>
    <row r="999" spans="7:10" x14ac:dyDescent="0.35">
      <c r="G999" s="12"/>
      <c r="J999" s="12"/>
    </row>
    <row r="1000" spans="7:10" x14ac:dyDescent="0.35">
      <c r="G1000" s="12"/>
      <c r="J1000" s="12"/>
    </row>
    <row r="1001" spans="7:10" x14ac:dyDescent="0.35">
      <c r="G1001" s="12"/>
      <c r="J1001" s="12"/>
    </row>
    <row r="1002" spans="7:10" x14ac:dyDescent="0.35">
      <c r="G1002" s="12"/>
      <c r="J1002" s="12"/>
    </row>
    <row r="1003" spans="7:10" x14ac:dyDescent="0.35">
      <c r="G1003" s="12"/>
      <c r="J1003" s="12"/>
    </row>
    <row r="1004" spans="7:10" x14ac:dyDescent="0.35">
      <c r="G1004" s="12"/>
      <c r="J1004" s="12"/>
    </row>
    <row r="1005" spans="7:10" x14ac:dyDescent="0.35">
      <c r="G1005" s="12"/>
      <c r="J1005" s="12"/>
    </row>
    <row r="1006" spans="7:10" x14ac:dyDescent="0.35">
      <c r="G1006" s="12"/>
      <c r="J1006" s="12"/>
    </row>
    <row r="1007" spans="7:10" x14ac:dyDescent="0.35">
      <c r="G1007" s="12"/>
      <c r="J1007" s="12"/>
    </row>
    <row r="1008" spans="7:10" x14ac:dyDescent="0.35">
      <c r="G1008" s="12"/>
      <c r="J1008" s="12"/>
    </row>
    <row r="1009" spans="7:10" x14ac:dyDescent="0.35">
      <c r="G1009" s="12"/>
      <c r="J1009" s="12"/>
    </row>
    <row r="1010" spans="7:10" x14ac:dyDescent="0.35">
      <c r="G1010" s="12"/>
      <c r="J1010" s="12"/>
    </row>
    <row r="1011" spans="7:10" x14ac:dyDescent="0.35">
      <c r="G1011" s="12"/>
      <c r="J1011" s="12"/>
    </row>
    <row r="1012" spans="7:10" x14ac:dyDescent="0.35">
      <c r="G1012" s="12"/>
      <c r="J1012" s="12"/>
    </row>
    <row r="1013" spans="7:10" x14ac:dyDescent="0.35">
      <c r="G1013" s="12"/>
      <c r="J1013" s="12"/>
    </row>
    <row r="1014" spans="7:10" x14ac:dyDescent="0.35">
      <c r="G1014" s="12"/>
      <c r="J1014" s="12"/>
    </row>
    <row r="1015" spans="7:10" x14ac:dyDescent="0.35">
      <c r="G1015" s="12"/>
      <c r="J1015" s="12"/>
    </row>
    <row r="1016" spans="7:10" x14ac:dyDescent="0.35">
      <c r="G1016" s="12"/>
      <c r="J1016" s="12"/>
    </row>
    <row r="1017" spans="7:10" x14ac:dyDescent="0.35">
      <c r="G1017" s="12"/>
      <c r="J1017" s="12"/>
    </row>
    <row r="1018" spans="7:10" x14ac:dyDescent="0.35">
      <c r="G1018" s="12"/>
      <c r="J1018" s="12"/>
    </row>
    <row r="1019" spans="7:10" x14ac:dyDescent="0.35">
      <c r="G1019" s="12"/>
      <c r="J1019" s="12"/>
    </row>
    <row r="1020" spans="7:10" x14ac:dyDescent="0.35">
      <c r="G1020" s="12"/>
      <c r="J1020" s="12"/>
    </row>
    <row r="1021" spans="7:10" x14ac:dyDescent="0.35">
      <c r="G1021" s="12"/>
      <c r="J1021" s="12"/>
    </row>
    <row r="1022" spans="7:10" x14ac:dyDescent="0.35">
      <c r="G1022" s="12"/>
      <c r="J1022" s="12"/>
    </row>
    <row r="1023" spans="7:10" x14ac:dyDescent="0.35">
      <c r="G1023" s="12"/>
      <c r="J1023" s="12"/>
    </row>
    <row r="1024" spans="7:10" x14ac:dyDescent="0.35">
      <c r="G1024" s="12"/>
      <c r="J1024" s="12"/>
    </row>
    <row r="1025" spans="7:10" x14ac:dyDescent="0.35">
      <c r="G1025" s="12"/>
      <c r="J1025" s="12"/>
    </row>
    <row r="1026" spans="7:10" x14ac:dyDescent="0.35">
      <c r="G1026" s="12"/>
      <c r="J1026" s="12"/>
    </row>
    <row r="1027" spans="7:10" x14ac:dyDescent="0.35">
      <c r="G1027" s="12"/>
      <c r="J1027" s="12"/>
    </row>
    <row r="1028" spans="7:10" x14ac:dyDescent="0.35">
      <c r="G1028" s="12"/>
      <c r="J1028" s="12"/>
    </row>
    <row r="1029" spans="7:10" x14ac:dyDescent="0.35">
      <c r="G1029" s="12"/>
      <c r="J1029" s="12"/>
    </row>
    <row r="1030" spans="7:10" x14ac:dyDescent="0.35">
      <c r="G1030" s="12"/>
      <c r="J1030" s="12"/>
    </row>
    <row r="1031" spans="7:10" x14ac:dyDescent="0.35">
      <c r="G1031" s="12"/>
      <c r="J1031" s="12"/>
    </row>
    <row r="1032" spans="7:10" x14ac:dyDescent="0.35">
      <c r="G1032" s="12"/>
      <c r="J1032" s="12"/>
    </row>
    <row r="1033" spans="7:10" x14ac:dyDescent="0.35">
      <c r="G1033" s="12"/>
      <c r="J1033" s="12"/>
    </row>
    <row r="1034" spans="7:10" x14ac:dyDescent="0.35">
      <c r="G1034" s="12"/>
      <c r="J1034" s="12"/>
    </row>
    <row r="1035" spans="7:10" x14ac:dyDescent="0.35">
      <c r="G1035" s="12"/>
      <c r="J1035" s="12"/>
    </row>
    <row r="1036" spans="7:10" x14ac:dyDescent="0.35">
      <c r="G1036" s="12"/>
      <c r="J1036" s="12"/>
    </row>
    <row r="1037" spans="7:10" x14ac:dyDescent="0.35">
      <c r="G1037" s="12"/>
      <c r="J1037" s="12"/>
    </row>
    <row r="1038" spans="7:10" x14ac:dyDescent="0.35">
      <c r="G1038" s="12"/>
      <c r="J1038" s="12"/>
    </row>
    <row r="1039" spans="7:10" x14ac:dyDescent="0.35">
      <c r="G1039" s="12"/>
      <c r="J1039" s="12"/>
    </row>
    <row r="1040" spans="7:10" x14ac:dyDescent="0.35">
      <c r="G1040" s="12"/>
      <c r="J1040" s="12"/>
    </row>
    <row r="1041" spans="7:10" x14ac:dyDescent="0.35">
      <c r="G1041" s="12"/>
      <c r="J1041" s="12"/>
    </row>
    <row r="1042" spans="7:10" x14ac:dyDescent="0.35">
      <c r="G1042" s="12"/>
      <c r="J1042" s="12"/>
    </row>
    <row r="1043" spans="7:10" x14ac:dyDescent="0.35">
      <c r="G1043" s="12"/>
      <c r="J1043" s="12"/>
    </row>
    <row r="1044" spans="7:10" x14ac:dyDescent="0.35">
      <c r="G1044" s="12"/>
      <c r="J1044" s="12"/>
    </row>
    <row r="1045" spans="7:10" x14ac:dyDescent="0.35">
      <c r="G1045" s="12"/>
      <c r="J1045" s="12"/>
    </row>
    <row r="1046" spans="7:10" x14ac:dyDescent="0.35">
      <c r="G1046" s="12"/>
      <c r="J1046" s="12"/>
    </row>
    <row r="1047" spans="7:10" x14ac:dyDescent="0.35">
      <c r="G1047" s="12"/>
      <c r="J1047" s="12"/>
    </row>
    <row r="1048" spans="7:10" x14ac:dyDescent="0.35">
      <c r="G1048" s="12"/>
      <c r="J1048" s="12"/>
    </row>
    <row r="1049" spans="7:10" x14ac:dyDescent="0.35">
      <c r="G1049" s="12"/>
      <c r="J1049" s="12"/>
    </row>
    <row r="1050" spans="7:10" x14ac:dyDescent="0.35">
      <c r="G1050" s="12"/>
      <c r="J1050" s="12"/>
    </row>
    <row r="1051" spans="7:10" x14ac:dyDescent="0.35">
      <c r="G1051" s="12"/>
      <c r="J1051" s="12"/>
    </row>
    <row r="1052" spans="7:10" x14ac:dyDescent="0.35">
      <c r="G1052" s="12"/>
      <c r="J1052" s="12"/>
    </row>
    <row r="1053" spans="7:10" x14ac:dyDescent="0.35">
      <c r="G1053" s="12"/>
      <c r="J1053" s="12"/>
    </row>
    <row r="1054" spans="7:10" x14ac:dyDescent="0.35">
      <c r="G1054" s="12"/>
      <c r="J1054" s="12"/>
    </row>
    <row r="1055" spans="7:10" x14ac:dyDescent="0.35">
      <c r="G1055" s="12"/>
      <c r="J1055" s="12"/>
    </row>
    <row r="1056" spans="7:10" x14ac:dyDescent="0.35">
      <c r="G1056" s="12"/>
      <c r="J1056" s="12"/>
    </row>
    <row r="1057" spans="7:10" x14ac:dyDescent="0.35">
      <c r="G1057" s="12"/>
      <c r="J1057" s="12"/>
    </row>
    <row r="1058" spans="7:10" x14ac:dyDescent="0.35">
      <c r="G1058" s="12"/>
      <c r="J1058" s="12"/>
    </row>
    <row r="1059" spans="7:10" x14ac:dyDescent="0.35">
      <c r="G1059" s="12"/>
      <c r="J1059" s="12"/>
    </row>
    <row r="1060" spans="7:10" x14ac:dyDescent="0.35">
      <c r="G1060" s="12"/>
      <c r="J1060" s="12"/>
    </row>
    <row r="1061" spans="7:10" x14ac:dyDescent="0.35">
      <c r="G1061" s="12"/>
      <c r="J1061" s="12"/>
    </row>
    <row r="1062" spans="7:10" x14ac:dyDescent="0.35">
      <c r="G1062" s="12"/>
      <c r="J1062" s="12"/>
    </row>
    <row r="1063" spans="7:10" x14ac:dyDescent="0.35">
      <c r="G1063" s="12"/>
      <c r="J1063" s="12"/>
    </row>
    <row r="1064" spans="7:10" x14ac:dyDescent="0.35">
      <c r="G1064" s="12"/>
      <c r="J1064" s="12"/>
    </row>
    <row r="1065" spans="7:10" x14ac:dyDescent="0.35">
      <c r="G1065" s="12"/>
      <c r="J1065" s="12"/>
    </row>
    <row r="1066" spans="7:10" x14ac:dyDescent="0.35">
      <c r="G1066" s="12"/>
      <c r="J1066" s="12"/>
    </row>
    <row r="1067" spans="7:10" x14ac:dyDescent="0.35">
      <c r="G1067" s="12"/>
      <c r="J1067" s="12"/>
    </row>
    <row r="1068" spans="7:10" x14ac:dyDescent="0.35">
      <c r="G1068" s="12"/>
      <c r="J1068" s="12"/>
    </row>
    <row r="1069" spans="7:10" x14ac:dyDescent="0.35">
      <c r="G1069" s="12"/>
      <c r="J1069" s="12"/>
    </row>
    <row r="1070" spans="7:10" x14ac:dyDescent="0.35">
      <c r="G1070" s="12"/>
      <c r="J1070" s="12"/>
    </row>
    <row r="1071" spans="7:10" x14ac:dyDescent="0.35">
      <c r="G1071" s="12"/>
      <c r="J1071" s="12"/>
    </row>
    <row r="1072" spans="7:10" x14ac:dyDescent="0.35">
      <c r="G1072" s="12"/>
      <c r="J1072" s="12"/>
    </row>
    <row r="1073" spans="7:10" x14ac:dyDescent="0.35">
      <c r="G1073" s="12"/>
      <c r="J1073" s="12"/>
    </row>
    <row r="1074" spans="7:10" x14ac:dyDescent="0.35">
      <c r="G1074" s="12"/>
      <c r="J1074" s="12"/>
    </row>
    <row r="1075" spans="7:10" x14ac:dyDescent="0.35">
      <c r="G1075" s="12"/>
      <c r="J1075" s="12"/>
    </row>
    <row r="1076" spans="7:10" x14ac:dyDescent="0.35">
      <c r="G1076" s="12"/>
      <c r="J1076" s="12"/>
    </row>
    <row r="1077" spans="7:10" x14ac:dyDescent="0.35">
      <c r="G1077" s="12"/>
      <c r="J1077" s="12"/>
    </row>
    <row r="1078" spans="7:10" x14ac:dyDescent="0.35">
      <c r="G1078" s="12"/>
      <c r="J1078" s="12"/>
    </row>
    <row r="1079" spans="7:10" x14ac:dyDescent="0.35">
      <c r="G1079" s="12"/>
      <c r="J1079" s="12"/>
    </row>
    <row r="1080" spans="7:10" x14ac:dyDescent="0.35">
      <c r="G1080" s="12"/>
      <c r="J1080" s="12"/>
    </row>
    <row r="1081" spans="7:10" x14ac:dyDescent="0.35">
      <c r="G1081" s="12"/>
      <c r="J1081" s="12"/>
    </row>
    <row r="1082" spans="7:10" x14ac:dyDescent="0.35">
      <c r="G1082" s="12"/>
      <c r="J1082" s="12"/>
    </row>
    <row r="1083" spans="7:10" x14ac:dyDescent="0.35">
      <c r="G1083" s="12"/>
      <c r="J1083" s="12"/>
    </row>
    <row r="1084" spans="7:10" x14ac:dyDescent="0.35">
      <c r="G1084" s="12"/>
      <c r="J1084" s="12"/>
    </row>
    <row r="1085" spans="7:10" x14ac:dyDescent="0.35">
      <c r="G1085" s="12"/>
      <c r="J1085" s="12"/>
    </row>
    <row r="1086" spans="7:10" x14ac:dyDescent="0.35">
      <c r="G1086" s="12"/>
      <c r="J1086" s="12"/>
    </row>
    <row r="1087" spans="7:10" x14ac:dyDescent="0.35">
      <c r="G1087" s="12"/>
      <c r="J1087" s="12"/>
    </row>
    <row r="1088" spans="7:10" x14ac:dyDescent="0.35">
      <c r="G1088" s="12"/>
      <c r="J1088" s="12"/>
    </row>
    <row r="1089" spans="7:10" x14ac:dyDescent="0.35">
      <c r="G1089" s="12"/>
      <c r="J1089" s="12"/>
    </row>
    <row r="1090" spans="7:10" x14ac:dyDescent="0.35">
      <c r="G1090" s="12"/>
      <c r="J1090" s="12"/>
    </row>
    <row r="1091" spans="7:10" x14ac:dyDescent="0.35">
      <c r="G1091" s="12"/>
      <c r="J1091" s="12"/>
    </row>
    <row r="1092" spans="7:10" x14ac:dyDescent="0.35">
      <c r="G1092" s="12"/>
      <c r="J1092" s="12"/>
    </row>
    <row r="1093" spans="7:10" x14ac:dyDescent="0.35">
      <c r="G1093" s="12"/>
      <c r="J1093" s="12"/>
    </row>
    <row r="1094" spans="7:10" x14ac:dyDescent="0.35">
      <c r="G1094" s="12"/>
      <c r="J1094" s="12"/>
    </row>
    <row r="1095" spans="7:10" x14ac:dyDescent="0.35">
      <c r="G1095" s="12"/>
      <c r="J1095" s="12"/>
    </row>
    <row r="1096" spans="7:10" x14ac:dyDescent="0.35">
      <c r="G1096" s="12"/>
      <c r="J1096" s="12"/>
    </row>
    <row r="1097" spans="7:10" x14ac:dyDescent="0.35">
      <c r="G1097" s="12"/>
      <c r="J1097" s="12"/>
    </row>
    <row r="1098" spans="7:10" x14ac:dyDescent="0.35">
      <c r="G1098" s="12"/>
      <c r="J1098" s="12"/>
    </row>
    <row r="1099" spans="7:10" x14ac:dyDescent="0.35">
      <c r="G1099" s="12"/>
      <c r="J1099" s="12"/>
    </row>
    <row r="1100" spans="7:10" x14ac:dyDescent="0.35">
      <c r="G1100" s="12"/>
      <c r="J1100" s="12"/>
    </row>
    <row r="1101" spans="7:10" x14ac:dyDescent="0.35">
      <c r="G1101" s="12"/>
      <c r="J1101" s="12"/>
    </row>
    <row r="1102" spans="7:10" x14ac:dyDescent="0.35">
      <c r="G1102" s="12"/>
      <c r="J1102" s="12"/>
    </row>
    <row r="1103" spans="7:10" x14ac:dyDescent="0.35">
      <c r="G1103" s="12"/>
      <c r="J1103" s="12"/>
    </row>
    <row r="1104" spans="7:10" x14ac:dyDescent="0.35">
      <c r="G1104" s="12"/>
      <c r="J1104" s="12"/>
    </row>
    <row r="1105" spans="7:10" x14ac:dyDescent="0.35">
      <c r="G1105" s="12"/>
      <c r="J1105" s="12"/>
    </row>
    <row r="1106" spans="7:10" x14ac:dyDescent="0.35">
      <c r="G1106" s="12"/>
      <c r="J1106" s="12"/>
    </row>
    <row r="1107" spans="7:10" x14ac:dyDescent="0.35">
      <c r="G1107" s="12"/>
      <c r="J1107" s="12"/>
    </row>
    <row r="1108" spans="7:10" x14ac:dyDescent="0.35">
      <c r="G1108" s="12"/>
      <c r="J1108" s="12"/>
    </row>
    <row r="1109" spans="7:10" x14ac:dyDescent="0.35">
      <c r="G1109" s="12"/>
      <c r="J1109" s="12"/>
    </row>
    <row r="1110" spans="7:10" x14ac:dyDescent="0.35">
      <c r="G1110" s="12"/>
      <c r="J1110" s="12"/>
    </row>
    <row r="1111" spans="7:10" x14ac:dyDescent="0.35">
      <c r="G1111" s="12"/>
      <c r="J1111" s="12"/>
    </row>
    <row r="1112" spans="7:10" x14ac:dyDescent="0.35">
      <c r="G1112" s="12"/>
      <c r="J1112" s="12"/>
    </row>
    <row r="1113" spans="7:10" x14ac:dyDescent="0.35">
      <c r="G1113" s="12"/>
      <c r="J1113" s="12"/>
    </row>
    <row r="1114" spans="7:10" x14ac:dyDescent="0.35">
      <c r="G1114" s="12"/>
      <c r="J1114" s="12"/>
    </row>
    <row r="1115" spans="7:10" x14ac:dyDescent="0.35">
      <c r="G1115" s="12"/>
      <c r="J1115" s="12"/>
    </row>
    <row r="1116" spans="7:10" x14ac:dyDescent="0.35">
      <c r="G1116" s="12"/>
      <c r="J1116" s="12"/>
    </row>
    <row r="1117" spans="7:10" x14ac:dyDescent="0.35">
      <c r="G1117" s="12"/>
      <c r="J1117" s="12"/>
    </row>
    <row r="1118" spans="7:10" x14ac:dyDescent="0.35">
      <c r="G1118" s="12"/>
      <c r="J1118" s="12"/>
    </row>
    <row r="1119" spans="7:10" x14ac:dyDescent="0.35">
      <c r="G1119" s="12"/>
      <c r="J1119" s="12"/>
    </row>
    <row r="1120" spans="7:10" x14ac:dyDescent="0.35">
      <c r="G1120" s="12"/>
      <c r="J1120" s="12"/>
    </row>
    <row r="1121" spans="7:10" x14ac:dyDescent="0.35">
      <c r="G1121" s="12"/>
      <c r="J1121" s="12"/>
    </row>
    <row r="1122" spans="7:10" x14ac:dyDescent="0.35">
      <c r="G1122" s="12"/>
      <c r="J1122" s="12"/>
    </row>
    <row r="1123" spans="7:10" x14ac:dyDescent="0.35">
      <c r="G1123" s="12"/>
      <c r="J1123" s="12"/>
    </row>
    <row r="1124" spans="7:10" x14ac:dyDescent="0.35">
      <c r="G1124" s="12"/>
      <c r="J1124" s="12"/>
    </row>
    <row r="1125" spans="7:10" x14ac:dyDescent="0.35">
      <c r="G1125" s="12"/>
      <c r="J1125" s="12"/>
    </row>
    <row r="1126" spans="7:10" x14ac:dyDescent="0.35">
      <c r="G1126" s="12"/>
      <c r="J1126" s="12"/>
    </row>
    <row r="1127" spans="7:10" x14ac:dyDescent="0.35">
      <c r="G1127" s="12"/>
      <c r="J1127" s="12"/>
    </row>
    <row r="1128" spans="7:10" x14ac:dyDescent="0.35">
      <c r="G1128" s="12"/>
      <c r="J1128" s="12"/>
    </row>
    <row r="1129" spans="7:10" x14ac:dyDescent="0.35">
      <c r="G1129" s="12"/>
      <c r="J1129" s="12"/>
    </row>
    <row r="1130" spans="7:10" x14ac:dyDescent="0.35">
      <c r="G1130" s="12"/>
      <c r="J1130" s="12"/>
    </row>
    <row r="1131" spans="7:10" x14ac:dyDescent="0.35">
      <c r="G1131" s="12"/>
      <c r="J1131" s="12"/>
    </row>
    <row r="1132" spans="7:10" x14ac:dyDescent="0.35">
      <c r="G1132" s="12"/>
      <c r="J1132" s="12"/>
    </row>
    <row r="1133" spans="7:10" x14ac:dyDescent="0.35">
      <c r="G1133" s="12"/>
      <c r="J1133" s="12"/>
    </row>
    <row r="1134" spans="7:10" x14ac:dyDescent="0.35">
      <c r="G1134" s="12"/>
      <c r="J1134" s="12"/>
    </row>
    <row r="1135" spans="7:10" x14ac:dyDescent="0.35">
      <c r="G1135" s="12"/>
      <c r="J1135" s="12"/>
    </row>
    <row r="1136" spans="7:10" x14ac:dyDescent="0.35">
      <c r="G1136" s="12"/>
      <c r="J1136" s="12"/>
    </row>
    <row r="1137" spans="7:10" x14ac:dyDescent="0.35">
      <c r="G1137" s="12"/>
      <c r="J1137" s="12"/>
    </row>
    <row r="1138" spans="7:10" x14ac:dyDescent="0.35">
      <c r="G1138" s="12"/>
      <c r="J1138" s="12"/>
    </row>
    <row r="1139" spans="7:10" x14ac:dyDescent="0.35">
      <c r="G1139" s="12"/>
      <c r="J1139" s="12"/>
    </row>
    <row r="1140" spans="7:10" x14ac:dyDescent="0.35">
      <c r="G1140" s="12"/>
      <c r="J1140" s="12"/>
    </row>
    <row r="1141" spans="7:10" x14ac:dyDescent="0.35">
      <c r="G1141" s="12"/>
      <c r="J1141" s="12"/>
    </row>
    <row r="1142" spans="7:10" x14ac:dyDescent="0.35">
      <c r="G1142" s="12"/>
      <c r="J1142" s="12"/>
    </row>
    <row r="1143" spans="7:10" x14ac:dyDescent="0.35">
      <c r="G1143" s="12"/>
      <c r="J1143" s="12"/>
    </row>
    <row r="1144" spans="7:10" x14ac:dyDescent="0.35">
      <c r="G1144" s="12"/>
      <c r="J1144" s="12"/>
    </row>
    <row r="1145" spans="7:10" x14ac:dyDescent="0.35">
      <c r="G1145" s="12"/>
      <c r="J1145" s="12"/>
    </row>
    <row r="1146" spans="7:10" x14ac:dyDescent="0.35">
      <c r="G1146" s="12"/>
      <c r="J1146" s="12"/>
    </row>
    <row r="1147" spans="7:10" x14ac:dyDescent="0.35">
      <c r="G1147" s="12"/>
      <c r="J1147" s="12"/>
    </row>
    <row r="1148" spans="7:10" x14ac:dyDescent="0.35">
      <c r="G1148" s="12"/>
      <c r="J1148" s="12"/>
    </row>
    <row r="1149" spans="7:10" x14ac:dyDescent="0.35">
      <c r="G1149" s="12"/>
      <c r="J1149" s="12"/>
    </row>
    <row r="1150" spans="7:10" x14ac:dyDescent="0.35">
      <c r="G1150" s="12"/>
      <c r="J1150" s="12"/>
    </row>
    <row r="1151" spans="7:10" x14ac:dyDescent="0.35">
      <c r="G1151" s="12"/>
      <c r="J1151" s="12"/>
    </row>
    <row r="1152" spans="7:10" x14ac:dyDescent="0.35">
      <c r="G1152" s="12"/>
      <c r="J1152" s="12"/>
    </row>
    <row r="1153" spans="7:10" x14ac:dyDescent="0.35">
      <c r="G1153" s="12"/>
      <c r="J1153" s="12"/>
    </row>
    <row r="1154" spans="7:10" x14ac:dyDescent="0.35">
      <c r="G1154" s="12"/>
      <c r="J1154" s="12"/>
    </row>
    <row r="1155" spans="7:10" x14ac:dyDescent="0.35">
      <c r="G1155" s="12"/>
      <c r="J1155" s="12"/>
    </row>
    <row r="1156" spans="7:10" x14ac:dyDescent="0.35">
      <c r="G1156" s="12"/>
      <c r="J1156" s="12"/>
    </row>
    <row r="1157" spans="7:10" x14ac:dyDescent="0.35">
      <c r="G1157" s="12"/>
      <c r="J1157" s="12"/>
    </row>
    <row r="1158" spans="7:10" x14ac:dyDescent="0.35">
      <c r="G1158" s="12"/>
      <c r="J1158" s="12"/>
    </row>
    <row r="1159" spans="7:10" x14ac:dyDescent="0.35">
      <c r="G1159" s="12"/>
      <c r="J1159" s="12"/>
    </row>
    <row r="1160" spans="7:10" x14ac:dyDescent="0.35">
      <c r="G1160" s="12"/>
      <c r="J1160" s="12"/>
    </row>
    <row r="1161" spans="7:10" x14ac:dyDescent="0.35">
      <c r="G1161" s="12"/>
      <c r="J1161" s="12"/>
    </row>
    <row r="1162" spans="7:10" x14ac:dyDescent="0.35">
      <c r="G1162" s="12"/>
      <c r="J1162" s="12"/>
    </row>
    <row r="1163" spans="7:10" x14ac:dyDescent="0.35">
      <c r="G1163" s="12"/>
      <c r="J1163" s="12"/>
    </row>
    <row r="1164" spans="7:10" x14ac:dyDescent="0.35">
      <c r="G1164" s="12"/>
      <c r="J1164" s="12"/>
    </row>
    <row r="1165" spans="7:10" x14ac:dyDescent="0.35">
      <c r="G1165" s="12"/>
      <c r="J1165" s="12"/>
    </row>
    <row r="1166" spans="7:10" x14ac:dyDescent="0.35">
      <c r="G1166" s="12"/>
      <c r="J1166" s="12"/>
    </row>
    <row r="1167" spans="7:10" x14ac:dyDescent="0.35">
      <c r="G1167" s="12"/>
      <c r="J1167" s="12"/>
    </row>
    <row r="1168" spans="7:10" x14ac:dyDescent="0.35">
      <c r="G1168" s="12"/>
      <c r="J1168" s="12"/>
    </row>
    <row r="1169" spans="7:10" x14ac:dyDescent="0.35">
      <c r="G1169" s="12"/>
      <c r="J1169" s="12"/>
    </row>
    <row r="1170" spans="7:10" x14ac:dyDescent="0.35">
      <c r="G1170" s="12"/>
      <c r="J1170" s="12"/>
    </row>
    <row r="1171" spans="7:10" x14ac:dyDescent="0.35">
      <c r="G1171" s="12"/>
      <c r="J1171" s="12"/>
    </row>
    <row r="1172" spans="7:10" x14ac:dyDescent="0.35">
      <c r="G1172" s="12"/>
      <c r="J1172" s="12"/>
    </row>
    <row r="1173" spans="7:10" x14ac:dyDescent="0.35">
      <c r="G1173" s="12"/>
      <c r="J1173" s="12"/>
    </row>
    <row r="1174" spans="7:10" x14ac:dyDescent="0.35">
      <c r="G1174" s="12"/>
      <c r="J1174" s="12"/>
    </row>
    <row r="1175" spans="7:10" x14ac:dyDescent="0.35">
      <c r="G1175" s="12"/>
      <c r="J1175" s="12"/>
    </row>
    <row r="1176" spans="7:10" x14ac:dyDescent="0.35">
      <c r="G1176" s="12"/>
      <c r="J1176" s="12"/>
    </row>
    <row r="1177" spans="7:10" x14ac:dyDescent="0.35">
      <c r="G1177" s="12"/>
      <c r="J1177" s="12"/>
    </row>
    <row r="1178" spans="7:10" x14ac:dyDescent="0.35">
      <c r="G1178" s="12"/>
      <c r="J1178" s="12"/>
    </row>
    <row r="1179" spans="7:10" x14ac:dyDescent="0.35">
      <c r="G1179" s="12"/>
      <c r="J1179" s="12"/>
    </row>
    <row r="1180" spans="7:10" x14ac:dyDescent="0.35">
      <c r="G1180" s="12"/>
      <c r="J1180" s="12"/>
    </row>
    <row r="1181" spans="7:10" x14ac:dyDescent="0.35">
      <c r="G1181" s="12"/>
      <c r="J1181" s="12"/>
    </row>
    <row r="1182" spans="7:10" x14ac:dyDescent="0.35">
      <c r="G1182" s="12"/>
      <c r="J1182" s="12"/>
    </row>
    <row r="1183" spans="7:10" x14ac:dyDescent="0.35">
      <c r="G1183" s="12"/>
      <c r="J1183" s="12"/>
    </row>
    <row r="1184" spans="7:10" x14ac:dyDescent="0.35">
      <c r="G1184" s="12"/>
      <c r="J1184" s="12"/>
    </row>
    <row r="1185" spans="7:10" x14ac:dyDescent="0.35">
      <c r="G1185" s="12"/>
      <c r="J1185" s="12"/>
    </row>
    <row r="1186" spans="7:10" x14ac:dyDescent="0.35">
      <c r="G1186" s="12"/>
      <c r="J1186" s="12"/>
    </row>
    <row r="1187" spans="7:10" x14ac:dyDescent="0.35">
      <c r="G1187" s="12"/>
      <c r="J1187" s="12"/>
    </row>
    <row r="1188" spans="7:10" x14ac:dyDescent="0.35">
      <c r="G1188" s="12"/>
      <c r="J1188" s="12"/>
    </row>
    <row r="1189" spans="7:10" x14ac:dyDescent="0.35">
      <c r="G1189" s="12"/>
      <c r="J1189" s="12"/>
    </row>
    <row r="1190" spans="7:10" x14ac:dyDescent="0.35">
      <c r="G1190" s="12"/>
      <c r="J1190" s="12"/>
    </row>
    <row r="1191" spans="7:10" x14ac:dyDescent="0.35">
      <c r="G1191" s="12"/>
      <c r="J1191" s="12"/>
    </row>
    <row r="1192" spans="7:10" x14ac:dyDescent="0.35">
      <c r="G1192" s="12"/>
      <c r="J1192" s="12"/>
    </row>
    <row r="1193" spans="7:10" x14ac:dyDescent="0.35">
      <c r="G1193" s="12"/>
      <c r="J1193" s="12"/>
    </row>
    <row r="1194" spans="7:10" x14ac:dyDescent="0.35">
      <c r="G1194" s="12"/>
      <c r="J1194" s="12"/>
    </row>
    <row r="1195" spans="7:10" x14ac:dyDescent="0.35">
      <c r="G1195" s="12"/>
      <c r="J1195" s="12"/>
    </row>
    <row r="1196" spans="7:10" x14ac:dyDescent="0.35">
      <c r="G1196" s="12"/>
      <c r="J1196" s="12"/>
    </row>
    <row r="1197" spans="7:10" x14ac:dyDescent="0.35">
      <c r="G1197" s="12"/>
      <c r="J1197" s="12"/>
    </row>
    <row r="1198" spans="7:10" x14ac:dyDescent="0.35">
      <c r="G1198" s="12"/>
      <c r="J1198" s="12"/>
    </row>
    <row r="1199" spans="7:10" x14ac:dyDescent="0.35">
      <c r="G1199" s="12"/>
      <c r="J1199" s="12"/>
    </row>
    <row r="1200" spans="7:10" x14ac:dyDescent="0.35">
      <c r="G1200" s="12"/>
      <c r="J1200" s="12"/>
    </row>
    <row r="1201" spans="7:10" x14ac:dyDescent="0.35">
      <c r="G1201" s="12"/>
      <c r="J1201" s="12"/>
    </row>
    <row r="1202" spans="7:10" x14ac:dyDescent="0.35">
      <c r="G1202" s="12"/>
      <c r="J1202" s="12"/>
    </row>
    <row r="1203" spans="7:10" x14ac:dyDescent="0.35">
      <c r="G1203" s="12"/>
      <c r="J1203" s="12"/>
    </row>
    <row r="1204" spans="7:10" x14ac:dyDescent="0.35">
      <c r="G1204" s="12"/>
      <c r="J1204" s="12"/>
    </row>
    <row r="1205" spans="7:10" x14ac:dyDescent="0.35">
      <c r="G1205" s="12"/>
      <c r="J1205" s="12"/>
    </row>
    <row r="1206" spans="7:10" x14ac:dyDescent="0.35">
      <c r="G1206" s="12"/>
      <c r="J1206" s="12"/>
    </row>
    <row r="1207" spans="7:10" x14ac:dyDescent="0.35">
      <c r="G1207" s="12"/>
      <c r="J1207" s="12"/>
    </row>
    <row r="1208" spans="7:10" x14ac:dyDescent="0.35">
      <c r="G1208" s="12"/>
      <c r="J1208" s="12"/>
    </row>
    <row r="1209" spans="7:10" x14ac:dyDescent="0.35">
      <c r="G1209" s="12"/>
      <c r="J1209" s="12"/>
    </row>
    <row r="1210" spans="7:10" x14ac:dyDescent="0.35">
      <c r="G1210" s="12"/>
      <c r="J1210" s="12"/>
    </row>
    <row r="1211" spans="7:10" x14ac:dyDescent="0.35">
      <c r="G1211" s="12"/>
      <c r="J1211" s="12"/>
    </row>
    <row r="1212" spans="7:10" x14ac:dyDescent="0.35">
      <c r="G1212" s="12"/>
      <c r="J1212" s="12"/>
    </row>
    <row r="1213" spans="7:10" x14ac:dyDescent="0.35">
      <c r="G1213" s="12"/>
      <c r="J1213" s="12"/>
    </row>
    <row r="1214" spans="7:10" x14ac:dyDescent="0.35">
      <c r="G1214" s="12"/>
      <c r="J1214" s="12"/>
    </row>
    <row r="1215" spans="7:10" x14ac:dyDescent="0.35">
      <c r="G1215" s="12"/>
      <c r="J1215" s="12"/>
    </row>
    <row r="1216" spans="7:10" x14ac:dyDescent="0.35">
      <c r="G1216" s="12"/>
      <c r="J1216" s="12"/>
    </row>
    <row r="1217" spans="7:10" x14ac:dyDescent="0.35">
      <c r="G1217" s="12"/>
      <c r="J1217" s="12"/>
    </row>
    <row r="1218" spans="7:10" x14ac:dyDescent="0.35">
      <c r="G1218" s="12"/>
      <c r="J1218" s="12"/>
    </row>
    <row r="1219" spans="7:10" x14ac:dyDescent="0.35">
      <c r="G1219" s="12"/>
      <c r="J1219" s="12"/>
    </row>
    <row r="1220" spans="7:10" x14ac:dyDescent="0.35">
      <c r="G1220" s="12"/>
      <c r="J1220" s="12"/>
    </row>
    <row r="1221" spans="7:10" x14ac:dyDescent="0.35">
      <c r="G1221" s="12"/>
      <c r="J1221" s="12"/>
    </row>
    <row r="1222" spans="7:10" x14ac:dyDescent="0.35">
      <c r="G1222" s="12"/>
      <c r="J1222" s="12"/>
    </row>
    <row r="1223" spans="7:10" x14ac:dyDescent="0.35">
      <c r="G1223" s="12"/>
      <c r="J1223" s="12"/>
    </row>
    <row r="1224" spans="7:10" x14ac:dyDescent="0.35">
      <c r="G1224" s="12"/>
      <c r="J1224" s="12"/>
    </row>
    <row r="1225" spans="7:10" x14ac:dyDescent="0.35">
      <c r="G1225" s="12"/>
      <c r="J1225" s="12"/>
    </row>
    <row r="1226" spans="7:10" x14ac:dyDescent="0.35">
      <c r="G1226" s="12"/>
      <c r="J1226" s="12"/>
    </row>
    <row r="1227" spans="7:10" x14ac:dyDescent="0.35">
      <c r="G1227" s="12"/>
      <c r="J1227" s="12"/>
    </row>
    <row r="1228" spans="7:10" x14ac:dyDescent="0.35">
      <c r="G1228" s="12"/>
      <c r="J1228" s="12"/>
    </row>
    <row r="1229" spans="7:10" x14ac:dyDescent="0.35">
      <c r="G1229" s="12"/>
      <c r="J1229" s="12"/>
    </row>
    <row r="1230" spans="7:10" x14ac:dyDescent="0.35">
      <c r="G1230" s="12"/>
      <c r="J1230" s="12"/>
    </row>
    <row r="1231" spans="7:10" x14ac:dyDescent="0.35">
      <c r="G1231" s="12"/>
      <c r="J1231" s="12"/>
    </row>
    <row r="1232" spans="7:10" x14ac:dyDescent="0.35">
      <c r="G1232" s="12"/>
      <c r="J1232" s="12"/>
    </row>
    <row r="1233" spans="7:10" x14ac:dyDescent="0.35">
      <c r="G1233" s="12"/>
      <c r="J1233" s="12"/>
    </row>
    <row r="1234" spans="7:10" x14ac:dyDescent="0.35">
      <c r="G1234" s="12"/>
      <c r="J1234" s="12"/>
    </row>
    <row r="1235" spans="7:10" x14ac:dyDescent="0.35">
      <c r="G1235" s="12"/>
      <c r="J1235" s="12"/>
    </row>
    <row r="1236" spans="7:10" x14ac:dyDescent="0.35">
      <c r="G1236" s="12"/>
      <c r="J1236" s="12"/>
    </row>
    <row r="1237" spans="7:10" x14ac:dyDescent="0.35">
      <c r="G1237" s="12"/>
      <c r="J1237" s="12"/>
    </row>
    <row r="1238" spans="7:10" x14ac:dyDescent="0.35">
      <c r="G1238" s="12"/>
      <c r="J1238" s="12"/>
    </row>
    <row r="1239" spans="7:10" x14ac:dyDescent="0.35">
      <c r="G1239" s="12"/>
      <c r="J1239" s="12"/>
    </row>
    <row r="1240" spans="7:10" x14ac:dyDescent="0.35">
      <c r="G1240" s="12"/>
      <c r="J1240" s="12"/>
    </row>
    <row r="1241" spans="7:10" x14ac:dyDescent="0.35">
      <c r="G1241" s="12"/>
      <c r="J1241" s="12"/>
    </row>
    <row r="1242" spans="7:10" x14ac:dyDescent="0.35">
      <c r="G1242" s="12"/>
      <c r="J1242" s="12"/>
    </row>
    <row r="1243" spans="7:10" x14ac:dyDescent="0.35">
      <c r="G1243" s="12"/>
      <c r="J1243" s="12"/>
    </row>
    <row r="1244" spans="7:10" x14ac:dyDescent="0.35">
      <c r="G1244" s="12"/>
      <c r="J1244" s="12"/>
    </row>
    <row r="1245" spans="7:10" x14ac:dyDescent="0.35">
      <c r="G1245" s="12"/>
      <c r="J1245" s="12"/>
    </row>
    <row r="1246" spans="7:10" x14ac:dyDescent="0.35">
      <c r="G1246" s="12"/>
      <c r="J1246" s="12"/>
    </row>
    <row r="1247" spans="7:10" x14ac:dyDescent="0.35">
      <c r="G1247" s="12"/>
      <c r="J1247" s="12"/>
    </row>
    <row r="1248" spans="7:10" x14ac:dyDescent="0.35">
      <c r="G1248" s="12"/>
      <c r="J1248" s="12"/>
    </row>
    <row r="1249" spans="7:10" x14ac:dyDescent="0.35">
      <c r="G1249" s="12"/>
      <c r="J1249" s="12"/>
    </row>
    <row r="1250" spans="7:10" x14ac:dyDescent="0.35">
      <c r="G1250" s="12"/>
      <c r="J1250" s="12"/>
    </row>
    <row r="1251" spans="7:10" x14ac:dyDescent="0.35">
      <c r="G1251" s="12"/>
      <c r="J1251" s="12"/>
    </row>
    <row r="1252" spans="7:10" x14ac:dyDescent="0.35">
      <c r="G1252" s="12"/>
      <c r="J1252" s="12"/>
    </row>
    <row r="1253" spans="7:10" x14ac:dyDescent="0.35">
      <c r="G1253" s="12"/>
      <c r="J1253" s="12"/>
    </row>
    <row r="1254" spans="7:10" x14ac:dyDescent="0.35">
      <c r="G1254" s="12"/>
      <c r="J1254" s="12"/>
    </row>
    <row r="1255" spans="7:10" x14ac:dyDescent="0.35">
      <c r="G1255" s="12"/>
      <c r="J1255" s="12"/>
    </row>
    <row r="1256" spans="7:10" x14ac:dyDescent="0.35">
      <c r="G1256" s="12"/>
      <c r="J1256" s="12"/>
    </row>
    <row r="1257" spans="7:10" x14ac:dyDescent="0.35">
      <c r="G1257" s="12"/>
      <c r="J1257" s="12"/>
    </row>
    <row r="1258" spans="7:10" x14ac:dyDescent="0.35">
      <c r="G1258" s="12"/>
      <c r="J1258" s="12"/>
    </row>
    <row r="1259" spans="7:10" x14ac:dyDescent="0.35">
      <c r="G1259" s="12"/>
      <c r="J1259" s="12"/>
    </row>
    <row r="1260" spans="7:10" x14ac:dyDescent="0.35">
      <c r="G1260" s="12"/>
      <c r="J1260" s="12"/>
    </row>
    <row r="1261" spans="7:10" x14ac:dyDescent="0.35">
      <c r="G1261" s="12"/>
      <c r="J1261" s="12"/>
    </row>
    <row r="1262" spans="7:10" x14ac:dyDescent="0.35">
      <c r="G1262" s="12"/>
      <c r="J1262" s="12"/>
    </row>
    <row r="1263" spans="7:10" x14ac:dyDescent="0.35">
      <c r="G1263" s="12"/>
      <c r="J1263" s="12"/>
    </row>
    <row r="1264" spans="7:10" x14ac:dyDescent="0.35">
      <c r="G1264" s="12"/>
      <c r="J1264" s="12"/>
    </row>
  </sheetData>
  <autoFilter ref="A1:Z1" xr:uid="{B4425CDA-4DA2-495D-981F-938AB04B7F76}"/>
  <phoneticPr fontId="7" type="noConversion"/>
  <conditionalFormatting sqref="A2:A98">
    <cfRule type="duplicateValues" dxfId="558" priority="57"/>
  </conditionalFormatting>
  <conditionalFormatting sqref="A2:A241">
    <cfRule type="duplicateValues" dxfId="557" priority="58"/>
    <cfRule type="duplicateValues" dxfId="556" priority="55"/>
    <cfRule type="duplicateValues" dxfId="555" priority="54"/>
    <cfRule type="duplicateValues" dxfId="554" priority="59"/>
    <cfRule type="duplicateValues" dxfId="553" priority="60"/>
  </conditionalFormatting>
  <conditionalFormatting sqref="A2:A242">
    <cfRule type="duplicateValues" dxfId="552" priority="61"/>
    <cfRule type="duplicateValues" dxfId="551" priority="56"/>
  </conditionalFormatting>
  <conditionalFormatting sqref="A2:A290">
    <cfRule type="duplicateValues" dxfId="550" priority="53"/>
  </conditionalFormatting>
  <conditionalFormatting sqref="A3:A88">
    <cfRule type="duplicateValues" dxfId="549" priority="52"/>
  </conditionalFormatting>
  <conditionalFormatting sqref="A113:A115">
    <cfRule type="duplicateValues" dxfId="548" priority="51"/>
    <cfRule type="duplicateValues" dxfId="547" priority="50"/>
    <cfRule type="duplicateValues" dxfId="546" priority="49"/>
  </conditionalFormatting>
  <conditionalFormatting sqref="A113:A148">
    <cfRule type="duplicateValues" dxfId="545" priority="48"/>
  </conditionalFormatting>
  <conditionalFormatting sqref="A118">
    <cfRule type="duplicateValues" dxfId="544" priority="39"/>
    <cfRule type="duplicateValues" dxfId="543" priority="41"/>
    <cfRule type="duplicateValues" dxfId="542" priority="40"/>
  </conditionalFormatting>
  <conditionalFormatting sqref="A119">
    <cfRule type="duplicateValues" dxfId="541" priority="42"/>
    <cfRule type="duplicateValues" dxfId="540" priority="44"/>
    <cfRule type="duplicateValues" dxfId="539" priority="43"/>
  </conditionalFormatting>
  <conditionalFormatting sqref="A122">
    <cfRule type="duplicateValues" dxfId="538" priority="33"/>
    <cfRule type="duplicateValues" dxfId="537" priority="34"/>
    <cfRule type="duplicateValues" dxfId="536" priority="35"/>
  </conditionalFormatting>
  <conditionalFormatting sqref="A123">
    <cfRule type="duplicateValues" dxfId="535" priority="36"/>
    <cfRule type="duplicateValues" dxfId="534" priority="38"/>
    <cfRule type="duplicateValues" dxfId="533" priority="37"/>
  </conditionalFormatting>
  <conditionalFormatting sqref="A126">
    <cfRule type="duplicateValues" dxfId="532" priority="30"/>
    <cfRule type="duplicateValues" dxfId="531" priority="31"/>
    <cfRule type="duplicateValues" dxfId="530" priority="32"/>
  </conditionalFormatting>
  <conditionalFormatting sqref="A127 A124:A125 A116:A117 A120:A121">
    <cfRule type="duplicateValues" dxfId="529" priority="47"/>
    <cfRule type="duplicateValues" dxfId="528" priority="46"/>
    <cfRule type="duplicateValues" dxfId="527" priority="45"/>
  </conditionalFormatting>
  <conditionalFormatting sqref="A129">
    <cfRule type="duplicateValues" dxfId="526" priority="24"/>
    <cfRule type="duplicateValues" dxfId="525" priority="25"/>
    <cfRule type="duplicateValues" dxfId="524" priority="26"/>
  </conditionalFormatting>
  <conditionalFormatting sqref="A130:A134">
    <cfRule type="duplicateValues" dxfId="523" priority="27"/>
    <cfRule type="duplicateValues" dxfId="522" priority="28"/>
    <cfRule type="duplicateValues" dxfId="521" priority="29"/>
  </conditionalFormatting>
  <conditionalFormatting sqref="A149:A183">
    <cfRule type="duplicateValues" dxfId="520" priority="23"/>
  </conditionalFormatting>
  <conditionalFormatting sqref="A243">
    <cfRule type="duplicateValues" dxfId="519" priority="17"/>
    <cfRule type="duplicateValues" dxfId="518" priority="18"/>
    <cfRule type="duplicateValues" dxfId="517" priority="19"/>
  </conditionalFormatting>
  <conditionalFormatting sqref="A243:A290">
    <cfRule type="duplicateValues" dxfId="516" priority="20"/>
    <cfRule type="duplicateValues" dxfId="515" priority="16"/>
    <cfRule type="duplicateValues" dxfId="514" priority="22"/>
    <cfRule type="duplicateValues" dxfId="513" priority="21"/>
  </conditionalFormatting>
  <conditionalFormatting sqref="A244:A275">
    <cfRule type="duplicateValues" dxfId="512" priority="15"/>
    <cfRule type="duplicateValues" dxfId="511" priority="14"/>
  </conditionalFormatting>
  <conditionalFormatting sqref="A244:A290">
    <cfRule type="duplicateValues" dxfId="510" priority="13"/>
    <cfRule type="duplicateValues" dxfId="509" priority="12"/>
  </conditionalFormatting>
  <conditionalFormatting sqref="A276">
    <cfRule type="duplicateValues" dxfId="508" priority="4"/>
    <cfRule type="duplicateValues" dxfId="507" priority="3"/>
    <cfRule type="duplicateValues" dxfId="506" priority="2"/>
  </conditionalFormatting>
  <conditionalFormatting sqref="A276:A279">
    <cfRule type="duplicateValues" dxfId="505" priority="11"/>
  </conditionalFormatting>
  <conditionalFormatting sqref="A277:A278">
    <cfRule type="duplicateValues" dxfId="504" priority="7"/>
    <cfRule type="duplicateValues" dxfId="503" priority="6"/>
    <cfRule type="duplicateValues" dxfId="502" priority="5"/>
  </conditionalFormatting>
  <conditionalFormatting sqref="A279">
    <cfRule type="duplicateValues" dxfId="501" priority="10"/>
    <cfRule type="duplicateValues" dxfId="500" priority="9"/>
    <cfRule type="duplicateValues" dxfId="499" priority="8"/>
  </conditionalFormatting>
  <conditionalFormatting sqref="A280">
    <cfRule type="duplicateValues" dxfId="498" priority="1"/>
  </conditionalFormatting>
  <conditionalFormatting sqref="A301:A306">
    <cfRule type="duplicateValues" dxfId="497" priority="81"/>
    <cfRule type="duplicateValues" dxfId="496" priority="82"/>
  </conditionalFormatting>
  <conditionalFormatting sqref="A301:A328">
    <cfRule type="duplicateValues" dxfId="495" priority="87"/>
    <cfRule type="duplicateValues" dxfId="494" priority="86"/>
    <cfRule type="duplicateValues" dxfId="493" priority="84"/>
    <cfRule type="duplicateValues" dxfId="492" priority="85"/>
    <cfRule type="duplicateValues" dxfId="491" priority="83"/>
  </conditionalFormatting>
  <conditionalFormatting sqref="A307">
    <cfRule type="duplicateValues" dxfId="490" priority="69"/>
    <cfRule type="duplicateValues" dxfId="489" priority="70"/>
    <cfRule type="duplicateValues" dxfId="488" priority="71"/>
  </conditionalFormatting>
  <conditionalFormatting sqref="A308:A309">
    <cfRule type="duplicateValues" dxfId="487" priority="72"/>
    <cfRule type="duplicateValues" dxfId="486" priority="73"/>
    <cfRule type="duplicateValues" dxfId="485" priority="74"/>
  </conditionalFormatting>
  <conditionalFormatting sqref="A310">
    <cfRule type="duplicateValues" dxfId="484" priority="75"/>
    <cfRule type="duplicateValues" dxfId="483" priority="76"/>
    <cfRule type="duplicateValues" dxfId="482" priority="77"/>
  </conditionalFormatting>
  <conditionalFormatting sqref="A311">
    <cfRule type="duplicateValues" dxfId="481" priority="64"/>
    <cfRule type="duplicateValues" dxfId="480" priority="63"/>
    <cfRule type="duplicateValues" dxfId="479" priority="65"/>
  </conditionalFormatting>
  <conditionalFormatting sqref="A313 A307:A311">
    <cfRule type="duplicateValues" dxfId="478" priority="78"/>
  </conditionalFormatting>
  <conditionalFormatting sqref="A313">
    <cfRule type="duplicateValues" dxfId="477" priority="66"/>
    <cfRule type="duplicateValues" dxfId="476" priority="67"/>
    <cfRule type="duplicateValues" dxfId="475" priority="68"/>
  </conditionalFormatting>
  <conditionalFormatting sqref="A313:A328 A301:A311">
    <cfRule type="duplicateValues" dxfId="474" priority="79"/>
    <cfRule type="duplicateValues" dxfId="473" priority="80"/>
  </conditionalFormatting>
  <conditionalFormatting sqref="A314">
    <cfRule type="duplicateValues" dxfId="472" priority="62"/>
  </conditionalFormatting>
  <conditionalFormatting sqref="A339">
    <cfRule type="duplicateValues" dxfId="471" priority="163"/>
    <cfRule type="duplicateValues" dxfId="470" priority="162"/>
    <cfRule type="duplicateValues" dxfId="469" priority="165"/>
  </conditionalFormatting>
  <conditionalFormatting sqref="A339:A340">
    <cfRule type="duplicateValues" dxfId="468" priority="164"/>
  </conditionalFormatting>
  <conditionalFormatting sqref="A345">
    <cfRule type="duplicateValues" dxfId="467" priority="155"/>
    <cfRule type="duplicateValues" dxfId="466" priority="154"/>
  </conditionalFormatting>
  <conditionalFormatting sqref="A345:A491">
    <cfRule type="duplicateValues" dxfId="465" priority="153"/>
  </conditionalFormatting>
  <conditionalFormatting sqref="A346:A348">
    <cfRule type="duplicateValues" dxfId="464" priority="156"/>
    <cfRule type="duplicateValues" dxfId="463" priority="157"/>
  </conditionalFormatting>
  <conditionalFormatting sqref="A349">
    <cfRule type="duplicateValues" dxfId="462" priority="150"/>
    <cfRule type="duplicateValues" dxfId="461" priority="152"/>
    <cfRule type="duplicateValues" dxfId="460" priority="151"/>
  </conditionalFormatting>
  <conditionalFormatting sqref="A381">
    <cfRule type="duplicateValues" dxfId="459" priority="103"/>
    <cfRule type="duplicateValues" dxfId="458" priority="101"/>
    <cfRule type="duplicateValues" dxfId="457" priority="102"/>
  </conditionalFormatting>
  <conditionalFormatting sqref="A382">
    <cfRule type="duplicateValues" dxfId="456" priority="104"/>
    <cfRule type="duplicateValues" dxfId="455" priority="105"/>
    <cfRule type="duplicateValues" dxfId="454" priority="106"/>
  </conditionalFormatting>
  <conditionalFormatting sqref="A383">
    <cfRule type="duplicateValues" dxfId="453" priority="107"/>
    <cfRule type="duplicateValues" dxfId="452" priority="108"/>
    <cfRule type="duplicateValues" dxfId="451" priority="109"/>
  </conditionalFormatting>
  <conditionalFormatting sqref="A383:A491 A345:A380">
    <cfRule type="duplicateValues" dxfId="450" priority="160"/>
    <cfRule type="duplicateValues" dxfId="449" priority="158"/>
    <cfRule type="duplicateValues" dxfId="448" priority="159"/>
  </conditionalFormatting>
  <conditionalFormatting sqref="A384">
    <cfRule type="duplicateValues" dxfId="447" priority="110"/>
    <cfRule type="duplicateValues" dxfId="446" priority="111"/>
    <cfRule type="duplicateValues" dxfId="445" priority="112"/>
  </conditionalFormatting>
  <conditionalFormatting sqref="A385">
    <cfRule type="duplicateValues" dxfId="444" priority="113"/>
    <cfRule type="duplicateValues" dxfId="443" priority="114"/>
    <cfRule type="duplicateValues" dxfId="442" priority="115"/>
  </conditionalFormatting>
  <conditionalFormatting sqref="A386">
    <cfRule type="duplicateValues" dxfId="441" priority="116"/>
    <cfRule type="duplicateValues" dxfId="440" priority="117"/>
    <cfRule type="duplicateValues" dxfId="439" priority="118"/>
  </conditionalFormatting>
  <conditionalFormatting sqref="A387:A434 A350:A380">
    <cfRule type="duplicateValues" dxfId="438" priority="119"/>
  </conditionalFormatting>
  <conditionalFormatting sqref="A387:A435 A350:A380">
    <cfRule type="duplicateValues" dxfId="437" priority="120"/>
  </conditionalFormatting>
  <conditionalFormatting sqref="A436">
    <cfRule type="duplicateValues" dxfId="436" priority="121"/>
    <cfRule type="duplicateValues" dxfId="435" priority="122"/>
    <cfRule type="duplicateValues" dxfId="434" priority="123"/>
  </conditionalFormatting>
  <conditionalFormatting sqref="A437:A438">
    <cfRule type="duplicateValues" dxfId="433" priority="126"/>
    <cfRule type="duplicateValues" dxfId="432" priority="124"/>
    <cfRule type="duplicateValues" dxfId="431" priority="125"/>
  </conditionalFormatting>
  <conditionalFormatting sqref="A439:A440">
    <cfRule type="duplicateValues" dxfId="430" priority="129"/>
    <cfRule type="duplicateValues" dxfId="429" priority="127"/>
    <cfRule type="duplicateValues" dxfId="428" priority="128"/>
  </conditionalFormatting>
  <conditionalFormatting sqref="A441:A442">
    <cfRule type="duplicateValues" dxfId="427" priority="130"/>
    <cfRule type="duplicateValues" dxfId="426" priority="131"/>
    <cfRule type="duplicateValues" dxfId="425" priority="132"/>
  </conditionalFormatting>
  <conditionalFormatting sqref="A445:A446 A449">
    <cfRule type="duplicateValues" dxfId="424" priority="133"/>
    <cfRule type="duplicateValues" dxfId="423" priority="134"/>
    <cfRule type="duplicateValues" dxfId="422" priority="135"/>
  </conditionalFormatting>
  <conditionalFormatting sqref="A447">
    <cfRule type="duplicateValues" dxfId="421" priority="136"/>
    <cfRule type="duplicateValues" dxfId="420" priority="137"/>
    <cfRule type="duplicateValues" dxfId="419" priority="138"/>
  </conditionalFormatting>
  <conditionalFormatting sqref="A448">
    <cfRule type="duplicateValues" dxfId="418" priority="139"/>
    <cfRule type="duplicateValues" dxfId="417" priority="140"/>
    <cfRule type="duplicateValues" dxfId="416" priority="141"/>
  </conditionalFormatting>
  <conditionalFormatting sqref="A451">
    <cfRule type="duplicateValues" dxfId="415" priority="142"/>
    <cfRule type="duplicateValues" dxfId="414" priority="143"/>
    <cfRule type="duplicateValues" dxfId="413" priority="144"/>
  </conditionalFormatting>
  <conditionalFormatting sqref="A453 A451 A436:A449">
    <cfRule type="duplicateValues" dxfId="412" priority="145"/>
  </conditionalFormatting>
  <conditionalFormatting sqref="A453">
    <cfRule type="duplicateValues" dxfId="411" priority="148"/>
    <cfRule type="duplicateValues" dxfId="410" priority="146"/>
    <cfRule type="duplicateValues" dxfId="409" priority="147"/>
  </conditionalFormatting>
  <conditionalFormatting sqref="A453:A491 A451 A387:A449 A350:A380">
    <cfRule type="duplicateValues" dxfId="408" priority="99"/>
    <cfRule type="duplicateValues" dxfId="407" priority="100"/>
  </conditionalFormatting>
  <conditionalFormatting sqref="A454:A476">
    <cfRule type="duplicateValues" dxfId="406" priority="149"/>
  </conditionalFormatting>
  <conditionalFormatting sqref="A502:A510 A339:A340">
    <cfRule type="duplicateValues" dxfId="405" priority="166"/>
  </conditionalFormatting>
  <conditionalFormatting sqref="A502:A510 A339:A491">
    <cfRule type="duplicateValues" dxfId="404" priority="161"/>
  </conditionalFormatting>
  <conditionalFormatting sqref="A511">
    <cfRule type="duplicateValues" dxfId="403" priority="98"/>
    <cfRule type="duplicateValues" dxfId="402" priority="97"/>
    <cfRule type="duplicateValues" dxfId="401" priority="96"/>
    <cfRule type="duplicateValues" dxfId="400" priority="95"/>
    <cfRule type="duplicateValues" dxfId="399" priority="94"/>
    <cfRule type="duplicateValues" dxfId="398" priority="93"/>
    <cfRule type="duplicateValues" dxfId="397" priority="92"/>
    <cfRule type="duplicateValues" dxfId="396" priority="90"/>
    <cfRule type="duplicateValues" dxfId="395" priority="89"/>
    <cfRule type="duplicateValues" dxfId="394" priority="88"/>
    <cfRule type="duplicateValues" dxfId="393" priority="9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DB13-145E-400D-B693-215374CE0330}">
  <dimension ref="A1:CA300"/>
  <sheetViews>
    <sheetView topLeftCell="E1" zoomScale="68" workbookViewId="0">
      <selection activeCell="F28" sqref="F28"/>
    </sheetView>
  </sheetViews>
  <sheetFormatPr defaultRowHeight="14.5" x14ac:dyDescent="0.35"/>
  <cols>
    <col min="1" max="1" width="16.90625" bestFit="1" customWidth="1"/>
    <col min="2" max="2" width="23.81640625" customWidth="1"/>
    <col min="3" max="3" width="10.08984375" customWidth="1"/>
    <col min="4" max="4" width="9.26953125" customWidth="1"/>
    <col min="5" max="5" width="12.1796875" customWidth="1"/>
    <col min="9" max="9" width="9.1796875" bestFit="1" customWidth="1"/>
    <col min="10" max="10" width="12.36328125" bestFit="1" customWidth="1"/>
    <col min="11" max="11" width="19.1796875" customWidth="1"/>
    <col min="12" max="12" width="8.81640625" bestFit="1" customWidth="1"/>
    <col min="13" max="13" width="9.1796875" customWidth="1"/>
    <col min="25" max="25" width="12.26953125" customWidth="1"/>
    <col min="30" max="30" width="16.6328125" bestFit="1" customWidth="1"/>
    <col min="31" max="31" width="12.90625" bestFit="1" customWidth="1"/>
    <col min="32" max="32" width="9.1796875" bestFit="1" customWidth="1"/>
    <col min="33" max="33" width="13.08984375" bestFit="1" customWidth="1"/>
    <col min="34" max="34" width="20.7265625" customWidth="1"/>
    <col min="74" max="74" width="20.453125" bestFit="1" customWidth="1"/>
    <col min="75" max="79" width="13.453125" bestFit="1" customWidth="1"/>
  </cols>
  <sheetData>
    <row r="1" spans="1:79" ht="28" customHeight="1" x14ac:dyDescent="0.35">
      <c r="A1" s="94" t="s">
        <v>4</v>
      </c>
      <c r="B1" s="94" t="s">
        <v>15</v>
      </c>
      <c r="C1" s="94" t="s">
        <v>2</v>
      </c>
      <c r="D1" s="94" t="s">
        <v>3</v>
      </c>
      <c r="E1" s="95" t="s">
        <v>12</v>
      </c>
      <c r="F1" s="95" t="s">
        <v>363</v>
      </c>
      <c r="G1" s="82" t="s">
        <v>5</v>
      </c>
      <c r="H1" s="96" t="s">
        <v>0</v>
      </c>
      <c r="I1" s="97" t="s">
        <v>7</v>
      </c>
      <c r="J1" s="82" t="s">
        <v>14</v>
      </c>
      <c r="K1" s="96" t="s">
        <v>13</v>
      </c>
      <c r="L1" s="83" t="s">
        <v>6</v>
      </c>
      <c r="M1" s="82" t="s">
        <v>1</v>
      </c>
      <c r="N1" s="80" t="s">
        <v>8</v>
      </c>
      <c r="O1" s="80" t="s">
        <v>347</v>
      </c>
      <c r="P1" s="80" t="s">
        <v>348</v>
      </c>
      <c r="Q1" s="80" t="s">
        <v>9</v>
      </c>
      <c r="R1" s="98" t="s">
        <v>10</v>
      </c>
      <c r="S1" s="99" t="s">
        <v>11</v>
      </c>
      <c r="T1" s="60" t="s">
        <v>349</v>
      </c>
      <c r="U1" s="60" t="s">
        <v>350</v>
      </c>
      <c r="V1" s="60" t="s">
        <v>351</v>
      </c>
      <c r="W1" s="60" t="s">
        <v>352</v>
      </c>
      <c r="X1" s="60" t="s">
        <v>353</v>
      </c>
      <c r="Y1" s="80" t="s">
        <v>354</v>
      </c>
      <c r="Z1" s="74" t="s">
        <v>361</v>
      </c>
      <c r="AA1" s="74" t="s">
        <v>355</v>
      </c>
      <c r="AB1" s="74" t="s">
        <v>362</v>
      </c>
      <c r="AC1" s="74" t="s">
        <v>356</v>
      </c>
      <c r="AD1" s="100" t="s">
        <v>357</v>
      </c>
      <c r="AE1" s="101" t="s">
        <v>358</v>
      </c>
      <c r="AF1" s="100" t="s">
        <v>359</v>
      </c>
      <c r="AG1" s="100" t="s">
        <v>360</v>
      </c>
      <c r="AH1" s="80" t="s">
        <v>364</v>
      </c>
      <c r="AI1" s="74" t="s">
        <v>425</v>
      </c>
      <c r="AJ1" s="74" t="s">
        <v>368</v>
      </c>
      <c r="AK1" s="74" t="s">
        <v>369</v>
      </c>
      <c r="AL1" s="74" t="s">
        <v>370</v>
      </c>
      <c r="AM1" s="74" t="s">
        <v>371</v>
      </c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84"/>
      <c r="BW1" s="102"/>
      <c r="BX1" s="102"/>
      <c r="BY1" s="102"/>
      <c r="BZ1" s="102"/>
      <c r="CA1" s="102"/>
    </row>
    <row r="2" spans="1:79" x14ac:dyDescent="0.35">
      <c r="A2" s="25" t="s">
        <v>16</v>
      </c>
      <c r="B2" s="10" t="s">
        <v>314</v>
      </c>
      <c r="C2" s="10" t="s">
        <v>341</v>
      </c>
      <c r="D2" s="10" t="s">
        <v>346</v>
      </c>
      <c r="E2" s="11">
        <v>45892</v>
      </c>
      <c r="F2" s="17">
        <v>45892</v>
      </c>
      <c r="G2" s="14">
        <f ca="1">TODAY()-F2</f>
        <v>207</v>
      </c>
      <c r="H2" s="17">
        <v>399</v>
      </c>
      <c r="I2" s="17">
        <v>230</v>
      </c>
      <c r="J2" s="75">
        <f>K2-L2</f>
        <v>1518</v>
      </c>
      <c r="K2" s="17">
        <v>3200</v>
      </c>
      <c r="L2" s="85">
        <v>1682</v>
      </c>
      <c r="M2" s="86">
        <f ca="1">L2/G2</f>
        <v>8.1256038647343001</v>
      </c>
      <c r="N2" s="86">
        <f>AVERAGEIFS(O:O,C:C,C2)</f>
        <v>0.92883099285538351</v>
      </c>
      <c r="O2" s="86">
        <f>L2/328</f>
        <v>5.1280487804878048</v>
      </c>
      <c r="P2" s="87">
        <f>O2*82</f>
        <v>420.5</v>
      </c>
      <c r="Q2" s="104">
        <f>J2/P2</f>
        <v>3.6099881093935791</v>
      </c>
      <c r="R2" s="88">
        <f>(H2-I2)/H2*100</f>
        <v>42.355889724310778</v>
      </c>
      <c r="S2" s="88">
        <f>L2/K2*100</f>
        <v>52.5625</v>
      </c>
      <c r="T2" s="13">
        <f>IF(O2&gt;=N2,3,IF(O2&gt;=0.8*N2,2,1))</f>
        <v>3</v>
      </c>
      <c r="U2" s="13">
        <f t="shared" ref="U2:U66" si="0">IF(Q2&lt;=4,3,IF(Q2&lt;=6,2,1))</f>
        <v>3</v>
      </c>
      <c r="V2" s="13">
        <f>IF(R2&gt;=60,3,IF(R2&gt;=45,2,1))</f>
        <v>1</v>
      </c>
      <c r="W2" s="13">
        <f ca="1">IF(M2&lt;=10,3,IF(M2&lt;=25,2,1))</f>
        <v>3</v>
      </c>
      <c r="X2" s="13">
        <f ca="1">T2+U2+V2+W2</f>
        <v>10</v>
      </c>
      <c r="Y2" s="81" t="str">
        <f ca="1">IFERROR(IF(X2&gt;=9,"RE-BUY",IF(X2&gt;=6,"MONITOR","EXIT")),"EXIT")</f>
        <v>RE-BUY</v>
      </c>
      <c r="Z2" s="13">
        <v>14</v>
      </c>
      <c r="AA2" s="75">
        <v>46059</v>
      </c>
      <c r="AB2" s="75">
        <f>F2+28</f>
        <v>45920</v>
      </c>
      <c r="AC2" s="88">
        <f>(AA2-AB2)/7</f>
        <v>19.857142857142858</v>
      </c>
      <c r="AD2" s="89" t="str">
        <f ca="1">IF(G2&gt;=21,"STABLE","TOO EARLY")</f>
        <v>STABLE</v>
      </c>
      <c r="AE2" s="89" t="str">
        <f>IF(O2&gt;=N2,"FAST SELLING","SLOW SELLING")</f>
        <v>FAST SELLING</v>
      </c>
      <c r="AF2" s="89" t="str">
        <f>IF(U2&lt;=Z2,"AT RISK","SAFE")</f>
        <v>AT RISK</v>
      </c>
      <c r="AG2" s="89" t="str">
        <f>IF(Z2&lt;=AC2,"FEASIBLE","NOT FEASIBLE")</f>
        <v>FEASIBLE</v>
      </c>
      <c r="AH2" s="81" t="str">
        <f ca="1">IF(AND(Y2="RE-BUY",AD2="STABLE",AE2="FAST SELLING",AG2="FEASIBLE"),"IMMEDIATE REBUY","MONITOR")</f>
        <v>IMMEDIATE REBUY</v>
      </c>
      <c r="AI2" s="75"/>
      <c r="AJ2" s="75"/>
      <c r="AK2" s="13"/>
      <c r="AL2" s="79"/>
      <c r="AM2" s="79"/>
      <c r="AN2" s="79"/>
      <c r="AO2" s="79"/>
      <c r="AP2" s="79"/>
      <c r="AQ2" s="75"/>
      <c r="AR2" s="75"/>
      <c r="AS2" s="75"/>
      <c r="AT2" s="75"/>
      <c r="AU2" s="75"/>
      <c r="AV2" s="13"/>
      <c r="AW2" s="13"/>
      <c r="AX2" s="13"/>
      <c r="AY2" s="13"/>
      <c r="AZ2" s="13"/>
      <c r="BA2" s="105"/>
      <c r="BB2" s="13"/>
      <c r="BC2" s="13"/>
      <c r="BD2" s="13"/>
      <c r="BE2" s="13"/>
      <c r="BF2" s="88"/>
      <c r="BG2" s="88"/>
      <c r="BH2" s="88"/>
      <c r="BI2" s="88"/>
      <c r="BJ2" s="88"/>
      <c r="BK2" s="105"/>
      <c r="BL2" s="105"/>
      <c r="BM2" s="105"/>
      <c r="BN2" s="105"/>
      <c r="BO2" s="105"/>
      <c r="BP2" s="105"/>
      <c r="BQ2" s="79"/>
      <c r="BR2" s="79"/>
      <c r="BS2" s="79"/>
      <c r="BT2" s="79"/>
      <c r="BU2" s="79"/>
      <c r="BV2" s="90"/>
      <c r="BW2" s="106"/>
      <c r="BX2" s="106"/>
      <c r="BY2" s="106"/>
      <c r="BZ2" s="106"/>
      <c r="CA2" s="106"/>
    </row>
    <row r="3" spans="1:79" x14ac:dyDescent="0.35">
      <c r="A3" s="25" t="s">
        <v>17</v>
      </c>
      <c r="B3" s="10" t="s">
        <v>314</v>
      </c>
      <c r="C3" s="10" t="s">
        <v>341</v>
      </c>
      <c r="D3" s="10" t="s">
        <v>346</v>
      </c>
      <c r="E3" s="11">
        <v>45892</v>
      </c>
      <c r="F3" s="17">
        <v>45892</v>
      </c>
      <c r="G3" s="14">
        <f t="shared" ref="G3:G66" ca="1" si="1">TODAY()-F3</f>
        <v>207</v>
      </c>
      <c r="H3" s="17">
        <v>399</v>
      </c>
      <c r="I3" s="17">
        <v>230</v>
      </c>
      <c r="J3" s="75">
        <f t="shared" ref="J3:J66" si="2">K3-L3</f>
        <v>2153</v>
      </c>
      <c r="K3" s="17">
        <v>3200</v>
      </c>
      <c r="L3" s="85">
        <v>1047</v>
      </c>
      <c r="M3" s="86">
        <f t="shared" ref="M3:M66" ca="1" si="3">L3/G3</f>
        <v>5.0579710144927539</v>
      </c>
      <c r="N3" s="86">
        <f t="shared" ref="N3:N66" si="4">AVERAGEIFS(O:O,C:C,C3)</f>
        <v>0.92883099285538351</v>
      </c>
      <c r="O3" s="86">
        <f t="shared" ref="O3:O66" si="5">L3/328</f>
        <v>3.1920731707317072</v>
      </c>
      <c r="P3" s="87">
        <f t="shared" ref="P3:P66" si="6">O3*82</f>
        <v>261.75</v>
      </c>
      <c r="Q3" s="104">
        <f t="shared" ref="Q3:Q66" si="7">J3/P3</f>
        <v>8.2254059216809932</v>
      </c>
      <c r="R3" s="88">
        <f t="shared" ref="R3:R66" si="8">(H3-I3)/H3*100</f>
        <v>42.355889724310778</v>
      </c>
      <c r="S3" s="88">
        <f t="shared" ref="S3:S66" si="9">L3/K3*100</f>
        <v>32.71875</v>
      </c>
      <c r="T3" s="13">
        <f t="shared" ref="T3:T66" si="10">IF(O3&gt;=N3,3,IF(O3&gt;=0.8*N3,2,1))</f>
        <v>3</v>
      </c>
      <c r="U3" s="13">
        <f t="shared" si="0"/>
        <v>1</v>
      </c>
      <c r="V3" s="13">
        <f t="shared" ref="V3:V66" si="11">IF(R3&gt;=60,3,IF(R3&gt;=45,2,1))</f>
        <v>1</v>
      </c>
      <c r="W3" s="13">
        <f t="shared" ref="W3:W66" ca="1" si="12">IF(M3&lt;=10,3,IF(M3&lt;=25,2,1))</f>
        <v>3</v>
      </c>
      <c r="X3" s="13">
        <f t="shared" ref="X3:X66" ca="1" si="13">T3+U3+V3+W3</f>
        <v>8</v>
      </c>
      <c r="Y3" s="81" t="str">
        <f t="shared" ref="Y3:Y66" ca="1" si="14">IFERROR(IF(X3&gt;=9,"RE-BUY",IF(X3&gt;=6,"MONITOR","EXIT")),"EXIT")</f>
        <v>MONITOR</v>
      </c>
      <c r="Z3" s="13">
        <v>14</v>
      </c>
      <c r="AA3" s="75">
        <v>46059</v>
      </c>
      <c r="AB3" s="75">
        <f t="shared" ref="AB3:AB66" si="15">F3+28</f>
        <v>45920</v>
      </c>
      <c r="AC3" s="88">
        <f t="shared" ref="AC3:AC66" si="16">(AA3-AB3)/7</f>
        <v>19.857142857142858</v>
      </c>
      <c r="AD3" s="89" t="str">
        <f t="shared" ref="AD3:AD66" ca="1" si="17">IF(G3&gt;=21,"STABLE","TOO EARLY")</f>
        <v>STABLE</v>
      </c>
      <c r="AE3" s="89" t="str">
        <f t="shared" ref="AE3:AE22" si="18">IF(O3&gt;=N3,"FAST SELLING","SLOW SELLING")</f>
        <v>FAST SELLING</v>
      </c>
      <c r="AF3" s="89" t="str">
        <f t="shared" ref="AF3:AF66" si="19">IF(U3&lt;=Z3,"AT RISK","SAFE")</f>
        <v>AT RISK</v>
      </c>
      <c r="AG3" s="89" t="str">
        <f t="shared" ref="AG3:AG66" si="20">IF(Z3&lt;=AC3,"FEASIBLE","NOT FEASIBLE")</f>
        <v>FEASIBLE</v>
      </c>
      <c r="AH3" s="81" t="str">
        <f t="shared" ref="AH3:AH66" ca="1" si="21">IF(AND(Y3="RE-BUY",AD3="STABLE",AE3="FAST SELLING",AG3="FEASIBLE"),"IMMEDIATE REBUY","MONITOR")</f>
        <v>MONITOR</v>
      </c>
      <c r="AI3" s="75"/>
      <c r="AJ3" s="75"/>
      <c r="AK3" s="13"/>
      <c r="AL3" s="79"/>
      <c r="AM3" s="79"/>
      <c r="AN3" s="79"/>
      <c r="AO3" s="79"/>
      <c r="AP3" s="79"/>
      <c r="AQ3" s="75"/>
      <c r="AR3" s="75"/>
      <c r="AS3" s="75"/>
      <c r="AT3" s="75"/>
      <c r="AU3" s="75"/>
      <c r="AV3" s="13"/>
      <c r="AW3" s="13"/>
      <c r="AX3" s="13"/>
      <c r="AY3" s="13"/>
      <c r="AZ3" s="13"/>
      <c r="BA3" s="105"/>
      <c r="BB3" s="13"/>
      <c r="BC3" s="13"/>
      <c r="BD3" s="13"/>
      <c r="BE3" s="13"/>
      <c r="BF3" s="88"/>
      <c r="BG3" s="88"/>
      <c r="BH3" s="88"/>
      <c r="BI3" s="88"/>
      <c r="BJ3" s="88"/>
      <c r="BK3" s="105"/>
      <c r="BL3" s="105"/>
      <c r="BM3" s="105"/>
      <c r="BN3" s="105"/>
      <c r="BO3" s="105"/>
      <c r="BP3" s="105"/>
      <c r="BQ3" s="79"/>
      <c r="BR3" s="79"/>
      <c r="BS3" s="79"/>
      <c r="BT3" s="79"/>
      <c r="BU3" s="79"/>
      <c r="BV3" s="90"/>
      <c r="BW3" s="106"/>
      <c r="BX3" s="106"/>
      <c r="BY3" s="106"/>
      <c r="BZ3" s="106"/>
      <c r="CA3" s="106"/>
    </row>
    <row r="4" spans="1:79" x14ac:dyDescent="0.35">
      <c r="A4" s="25" t="s">
        <v>18</v>
      </c>
      <c r="B4" s="10" t="s">
        <v>314</v>
      </c>
      <c r="C4" s="10" t="s">
        <v>341</v>
      </c>
      <c r="D4" s="10" t="s">
        <v>346</v>
      </c>
      <c r="E4" s="11">
        <v>45920</v>
      </c>
      <c r="F4" s="17">
        <v>45892</v>
      </c>
      <c r="G4" s="14">
        <f t="shared" ca="1" si="1"/>
        <v>207</v>
      </c>
      <c r="H4" s="17">
        <v>799</v>
      </c>
      <c r="I4" s="17">
        <v>400</v>
      </c>
      <c r="J4" s="75">
        <f t="shared" si="2"/>
        <v>505</v>
      </c>
      <c r="K4" s="17">
        <v>900</v>
      </c>
      <c r="L4" s="85">
        <v>395</v>
      </c>
      <c r="M4" s="86">
        <f t="shared" ca="1" si="3"/>
        <v>1.9082125603864735</v>
      </c>
      <c r="N4" s="86">
        <f t="shared" si="4"/>
        <v>0.92883099285538351</v>
      </c>
      <c r="O4" s="86">
        <f t="shared" si="5"/>
        <v>1.2042682926829269</v>
      </c>
      <c r="P4" s="87">
        <f t="shared" si="6"/>
        <v>98.75</v>
      </c>
      <c r="Q4" s="104">
        <f t="shared" si="7"/>
        <v>5.1139240506329111</v>
      </c>
      <c r="R4" s="88">
        <f t="shared" si="8"/>
        <v>49.937421777221523</v>
      </c>
      <c r="S4" s="88">
        <f t="shared" si="9"/>
        <v>43.888888888888886</v>
      </c>
      <c r="T4" s="13">
        <f t="shared" si="10"/>
        <v>3</v>
      </c>
      <c r="U4" s="13">
        <f t="shared" si="0"/>
        <v>2</v>
      </c>
      <c r="V4" s="13">
        <f t="shared" si="11"/>
        <v>2</v>
      </c>
      <c r="W4" s="13">
        <f t="shared" ca="1" si="12"/>
        <v>3</v>
      </c>
      <c r="X4" s="13">
        <f t="shared" ca="1" si="13"/>
        <v>10</v>
      </c>
      <c r="Y4" s="81" t="str">
        <f t="shared" ca="1" si="14"/>
        <v>RE-BUY</v>
      </c>
      <c r="Z4" s="13">
        <v>14</v>
      </c>
      <c r="AA4" s="75">
        <v>46059</v>
      </c>
      <c r="AB4" s="75">
        <f t="shared" si="15"/>
        <v>45920</v>
      </c>
      <c r="AC4" s="88">
        <f t="shared" si="16"/>
        <v>19.857142857142858</v>
      </c>
      <c r="AD4" s="89" t="str">
        <f t="shared" ca="1" si="17"/>
        <v>STABLE</v>
      </c>
      <c r="AE4" s="89" t="str">
        <f t="shared" si="18"/>
        <v>FAST SELLING</v>
      </c>
      <c r="AF4" s="89" t="str">
        <f t="shared" si="19"/>
        <v>AT RISK</v>
      </c>
      <c r="AG4" s="89" t="str">
        <f t="shared" si="20"/>
        <v>FEASIBLE</v>
      </c>
      <c r="AH4" s="81" t="str">
        <f t="shared" ca="1" si="21"/>
        <v>IMMEDIATE REBUY</v>
      </c>
      <c r="AI4" s="75"/>
      <c r="AJ4" s="75"/>
      <c r="AK4" s="13"/>
      <c r="AL4" s="79"/>
      <c r="AM4" s="79"/>
      <c r="AN4" s="79"/>
      <c r="AO4" s="79"/>
      <c r="AP4" s="79"/>
      <c r="AQ4" s="75"/>
      <c r="AR4" s="75"/>
      <c r="AS4" s="75"/>
      <c r="AT4" s="75"/>
      <c r="AU4" s="75"/>
      <c r="AV4" s="13"/>
      <c r="AW4" s="13"/>
      <c r="AX4" s="13"/>
      <c r="AY4" s="13"/>
      <c r="AZ4" s="13"/>
      <c r="BA4" s="105"/>
      <c r="BB4" s="13"/>
      <c r="BC4" s="13"/>
      <c r="BD4" s="13"/>
      <c r="BE4" s="13"/>
      <c r="BF4" s="88"/>
      <c r="BG4" s="88"/>
      <c r="BH4" s="88"/>
      <c r="BI4" s="88"/>
      <c r="BJ4" s="88"/>
      <c r="BK4" s="105"/>
      <c r="BL4" s="105"/>
      <c r="BM4" s="105"/>
      <c r="BN4" s="105"/>
      <c r="BO4" s="105"/>
      <c r="BP4" s="105"/>
      <c r="BQ4" s="79"/>
      <c r="BR4" s="79"/>
      <c r="BS4" s="79"/>
      <c r="BT4" s="79"/>
      <c r="BU4" s="79"/>
      <c r="BV4" s="90"/>
      <c r="BW4" s="106"/>
      <c r="BX4" s="106"/>
      <c r="BY4" s="106"/>
      <c r="BZ4" s="106"/>
      <c r="CA4" s="106"/>
    </row>
    <row r="5" spans="1:79" x14ac:dyDescent="0.35">
      <c r="A5" s="25" t="s">
        <v>19</v>
      </c>
      <c r="B5" s="10" t="s">
        <v>315</v>
      </c>
      <c r="C5" s="10" t="s">
        <v>341</v>
      </c>
      <c r="D5" s="10" t="s">
        <v>346</v>
      </c>
      <c r="E5" s="11">
        <v>45920</v>
      </c>
      <c r="F5" s="17">
        <v>45892</v>
      </c>
      <c r="G5" s="14">
        <f t="shared" ca="1" si="1"/>
        <v>207</v>
      </c>
      <c r="H5" s="17">
        <v>999</v>
      </c>
      <c r="I5" s="17">
        <v>520</v>
      </c>
      <c r="J5" s="75">
        <f t="shared" si="2"/>
        <v>1163</v>
      </c>
      <c r="K5" s="17">
        <v>1200</v>
      </c>
      <c r="L5" s="85">
        <v>37</v>
      </c>
      <c r="M5" s="86">
        <f t="shared" ca="1" si="3"/>
        <v>0.17874396135265699</v>
      </c>
      <c r="N5" s="86">
        <f t="shared" si="4"/>
        <v>0.92883099285538351</v>
      </c>
      <c r="O5" s="86">
        <f t="shared" si="5"/>
        <v>0.11280487804878049</v>
      </c>
      <c r="P5" s="87">
        <f t="shared" si="6"/>
        <v>9.25</v>
      </c>
      <c r="Q5" s="104">
        <f t="shared" si="7"/>
        <v>125.72972972972973</v>
      </c>
      <c r="R5" s="88">
        <f t="shared" si="8"/>
        <v>47.947947947947952</v>
      </c>
      <c r="S5" s="88">
        <f t="shared" si="9"/>
        <v>3.0833333333333335</v>
      </c>
      <c r="T5" s="13">
        <f t="shared" si="10"/>
        <v>1</v>
      </c>
      <c r="U5" s="13">
        <f t="shared" si="0"/>
        <v>1</v>
      </c>
      <c r="V5" s="13">
        <f t="shared" si="11"/>
        <v>2</v>
      </c>
      <c r="W5" s="13">
        <f t="shared" ca="1" si="12"/>
        <v>3</v>
      </c>
      <c r="X5" s="13">
        <f t="shared" ca="1" si="13"/>
        <v>7</v>
      </c>
      <c r="Y5" s="81" t="str">
        <f t="shared" ca="1" si="14"/>
        <v>MONITOR</v>
      </c>
      <c r="Z5" s="13">
        <v>14</v>
      </c>
      <c r="AA5" s="75">
        <v>46059</v>
      </c>
      <c r="AB5" s="75">
        <f t="shared" si="15"/>
        <v>45920</v>
      </c>
      <c r="AC5" s="88">
        <f t="shared" si="16"/>
        <v>19.857142857142858</v>
      </c>
      <c r="AD5" s="89" t="str">
        <f t="shared" ca="1" si="17"/>
        <v>STABLE</v>
      </c>
      <c r="AE5" s="89" t="str">
        <f t="shared" si="18"/>
        <v>SLOW SELLING</v>
      </c>
      <c r="AF5" s="89" t="str">
        <f t="shared" si="19"/>
        <v>AT RISK</v>
      </c>
      <c r="AG5" s="89" t="str">
        <f t="shared" si="20"/>
        <v>FEASIBLE</v>
      </c>
      <c r="AH5" s="81" t="str">
        <f t="shared" ca="1" si="21"/>
        <v>MONITOR</v>
      </c>
      <c r="AI5" s="75"/>
      <c r="AJ5" s="75"/>
      <c r="AK5" s="13"/>
      <c r="AL5" s="79"/>
      <c r="AM5" s="79"/>
      <c r="AN5" s="79"/>
      <c r="AO5" s="79"/>
      <c r="AP5" s="79"/>
      <c r="AQ5" s="75"/>
      <c r="AR5" s="75"/>
      <c r="AS5" s="75"/>
      <c r="AT5" s="75"/>
      <c r="AU5" s="75"/>
      <c r="AV5" s="13"/>
      <c r="AW5" s="13"/>
      <c r="AX5" s="13"/>
      <c r="AY5" s="13"/>
      <c r="AZ5" s="13"/>
      <c r="BA5" s="105"/>
      <c r="BB5" s="13"/>
      <c r="BC5" s="13"/>
      <c r="BD5" s="13"/>
      <c r="BE5" s="13"/>
      <c r="BF5" s="88"/>
      <c r="BG5" s="88"/>
      <c r="BH5" s="88"/>
      <c r="BI5" s="88"/>
      <c r="BJ5" s="88"/>
      <c r="BK5" s="105"/>
      <c r="BL5" s="105"/>
      <c r="BM5" s="105"/>
      <c r="BN5" s="105"/>
      <c r="BO5" s="105"/>
      <c r="BP5" s="105"/>
      <c r="BQ5" s="79"/>
      <c r="BR5" s="79"/>
      <c r="BS5" s="79"/>
      <c r="BT5" s="79"/>
      <c r="BU5" s="79"/>
      <c r="BV5" s="90"/>
      <c r="BW5" s="106"/>
      <c r="BX5" s="106"/>
      <c r="BY5" s="106"/>
      <c r="BZ5" s="106"/>
      <c r="CA5" s="106"/>
    </row>
    <row r="6" spans="1:79" x14ac:dyDescent="0.35">
      <c r="A6" s="25" t="s">
        <v>20</v>
      </c>
      <c r="B6" s="10" t="s">
        <v>316</v>
      </c>
      <c r="C6" s="10" t="s">
        <v>341</v>
      </c>
      <c r="D6" s="10" t="s">
        <v>346</v>
      </c>
      <c r="E6" s="11">
        <v>45871</v>
      </c>
      <c r="F6" s="17">
        <v>45892</v>
      </c>
      <c r="G6" s="14">
        <f t="shared" ca="1" si="1"/>
        <v>207</v>
      </c>
      <c r="H6" s="17">
        <v>999</v>
      </c>
      <c r="I6" s="17">
        <v>450</v>
      </c>
      <c r="J6" s="75">
        <f t="shared" si="2"/>
        <v>785</v>
      </c>
      <c r="K6" s="17">
        <v>1000</v>
      </c>
      <c r="L6" s="85">
        <v>215</v>
      </c>
      <c r="M6" s="86">
        <f t="shared" ca="1" si="3"/>
        <v>1.038647342995169</v>
      </c>
      <c r="N6" s="86">
        <f t="shared" si="4"/>
        <v>0.92883099285538351</v>
      </c>
      <c r="O6" s="86">
        <f t="shared" si="5"/>
        <v>0.65548780487804881</v>
      </c>
      <c r="P6" s="87">
        <f t="shared" si="6"/>
        <v>53.75</v>
      </c>
      <c r="Q6" s="104">
        <f t="shared" si="7"/>
        <v>14.604651162790697</v>
      </c>
      <c r="R6" s="88">
        <f t="shared" si="8"/>
        <v>54.954954954954957</v>
      </c>
      <c r="S6" s="88">
        <f t="shared" si="9"/>
        <v>21.5</v>
      </c>
      <c r="T6" s="13">
        <f t="shared" si="10"/>
        <v>1</v>
      </c>
      <c r="U6" s="13">
        <f t="shared" si="0"/>
        <v>1</v>
      </c>
      <c r="V6" s="13">
        <f t="shared" si="11"/>
        <v>2</v>
      </c>
      <c r="W6" s="13">
        <f t="shared" ca="1" si="12"/>
        <v>3</v>
      </c>
      <c r="X6" s="13">
        <f t="shared" ca="1" si="13"/>
        <v>7</v>
      </c>
      <c r="Y6" s="81" t="str">
        <f t="shared" ca="1" si="14"/>
        <v>MONITOR</v>
      </c>
      <c r="Z6" s="13">
        <v>14</v>
      </c>
      <c r="AA6" s="75">
        <v>46059</v>
      </c>
      <c r="AB6" s="75">
        <f t="shared" si="15"/>
        <v>45920</v>
      </c>
      <c r="AC6" s="88">
        <f t="shared" si="16"/>
        <v>19.857142857142858</v>
      </c>
      <c r="AD6" s="89" t="str">
        <f t="shared" ca="1" si="17"/>
        <v>STABLE</v>
      </c>
      <c r="AE6" s="89" t="str">
        <f t="shared" si="18"/>
        <v>SLOW SELLING</v>
      </c>
      <c r="AF6" s="89" t="str">
        <f t="shared" si="19"/>
        <v>AT RISK</v>
      </c>
      <c r="AG6" s="89" t="str">
        <f t="shared" si="20"/>
        <v>FEASIBLE</v>
      </c>
      <c r="AH6" s="81" t="str">
        <f t="shared" ca="1" si="21"/>
        <v>MONITOR</v>
      </c>
      <c r="AI6" s="75"/>
      <c r="AJ6" s="75"/>
      <c r="AK6" s="13"/>
      <c r="AL6" s="79"/>
      <c r="AM6" s="79"/>
      <c r="AN6" s="79"/>
      <c r="AO6" s="79"/>
      <c r="AP6" s="79"/>
      <c r="AQ6" s="75"/>
      <c r="AR6" s="75"/>
      <c r="AS6" s="75"/>
      <c r="AT6" s="75"/>
      <c r="AU6" s="75"/>
      <c r="AV6" s="13"/>
      <c r="AW6" s="13"/>
      <c r="AX6" s="13"/>
      <c r="AY6" s="13"/>
      <c r="AZ6" s="13"/>
      <c r="BA6" s="105"/>
      <c r="BB6" s="13"/>
      <c r="BC6" s="13"/>
      <c r="BD6" s="13"/>
      <c r="BE6" s="13"/>
      <c r="BF6" s="88"/>
      <c r="BG6" s="88"/>
      <c r="BH6" s="88"/>
      <c r="BI6" s="88"/>
      <c r="BJ6" s="88"/>
      <c r="BK6" s="105"/>
      <c r="BL6" s="105"/>
      <c r="BM6" s="105"/>
      <c r="BN6" s="105"/>
      <c r="BO6" s="105"/>
      <c r="BP6" s="105"/>
      <c r="BQ6" s="79"/>
      <c r="BR6" s="79"/>
      <c r="BS6" s="79"/>
      <c r="BT6" s="79"/>
      <c r="BU6" s="79"/>
      <c r="BV6" s="90"/>
      <c r="BW6" s="106"/>
      <c r="BX6" s="106"/>
      <c r="BY6" s="106"/>
      <c r="BZ6" s="106"/>
      <c r="CA6" s="106"/>
    </row>
    <row r="7" spans="1:79" x14ac:dyDescent="0.35">
      <c r="A7" s="25" t="s">
        <v>21</v>
      </c>
      <c r="B7" s="10" t="s">
        <v>315</v>
      </c>
      <c r="C7" s="10" t="s">
        <v>341</v>
      </c>
      <c r="D7" s="10" t="s">
        <v>346</v>
      </c>
      <c r="E7" s="11">
        <v>45920</v>
      </c>
      <c r="F7" s="17">
        <v>45892</v>
      </c>
      <c r="G7" s="14">
        <f t="shared" ca="1" si="1"/>
        <v>207</v>
      </c>
      <c r="H7" s="17">
        <v>999</v>
      </c>
      <c r="I7" s="17">
        <v>475</v>
      </c>
      <c r="J7" s="75">
        <f t="shared" si="2"/>
        <v>794</v>
      </c>
      <c r="K7" s="17">
        <v>1100</v>
      </c>
      <c r="L7" s="85">
        <v>306</v>
      </c>
      <c r="M7" s="86">
        <f t="shared" ca="1" si="3"/>
        <v>1.4782608695652173</v>
      </c>
      <c r="N7" s="86">
        <f t="shared" si="4"/>
        <v>0.92883099285538351</v>
      </c>
      <c r="O7" s="86">
        <f t="shared" si="5"/>
        <v>0.93292682926829273</v>
      </c>
      <c r="P7" s="87">
        <f t="shared" si="6"/>
        <v>76.5</v>
      </c>
      <c r="Q7" s="104">
        <f t="shared" si="7"/>
        <v>10.379084967320262</v>
      </c>
      <c r="R7" s="88">
        <f t="shared" si="8"/>
        <v>52.452452452452448</v>
      </c>
      <c r="S7" s="88">
        <f t="shared" si="9"/>
        <v>27.81818181818182</v>
      </c>
      <c r="T7" s="13">
        <f t="shared" si="10"/>
        <v>3</v>
      </c>
      <c r="U7" s="13">
        <f t="shared" si="0"/>
        <v>1</v>
      </c>
      <c r="V7" s="13">
        <f t="shared" si="11"/>
        <v>2</v>
      </c>
      <c r="W7" s="13">
        <f t="shared" ca="1" si="12"/>
        <v>3</v>
      </c>
      <c r="X7" s="13">
        <f t="shared" ca="1" si="13"/>
        <v>9</v>
      </c>
      <c r="Y7" s="81" t="str">
        <f t="shared" ca="1" si="14"/>
        <v>RE-BUY</v>
      </c>
      <c r="Z7" s="13">
        <v>14</v>
      </c>
      <c r="AA7" s="75">
        <v>46059</v>
      </c>
      <c r="AB7" s="75">
        <f t="shared" si="15"/>
        <v>45920</v>
      </c>
      <c r="AC7" s="88">
        <f t="shared" si="16"/>
        <v>19.857142857142858</v>
      </c>
      <c r="AD7" s="89" t="str">
        <f t="shared" ca="1" si="17"/>
        <v>STABLE</v>
      </c>
      <c r="AE7" s="89" t="str">
        <f t="shared" si="18"/>
        <v>FAST SELLING</v>
      </c>
      <c r="AF7" s="89" t="str">
        <f t="shared" si="19"/>
        <v>AT RISK</v>
      </c>
      <c r="AG7" s="89" t="str">
        <f t="shared" si="20"/>
        <v>FEASIBLE</v>
      </c>
      <c r="AH7" s="81" t="str">
        <f t="shared" ca="1" si="21"/>
        <v>IMMEDIATE REBUY</v>
      </c>
      <c r="AI7" s="75"/>
      <c r="AJ7" s="75"/>
      <c r="AK7" s="13"/>
      <c r="AL7" s="79"/>
      <c r="AM7" s="79"/>
      <c r="AN7" s="79"/>
      <c r="AO7" s="79"/>
      <c r="AP7" s="79"/>
      <c r="AQ7" s="75"/>
      <c r="AR7" s="75"/>
      <c r="AS7" s="75"/>
      <c r="AT7" s="75"/>
      <c r="AU7" s="75"/>
      <c r="AV7" s="13"/>
      <c r="AW7" s="13"/>
      <c r="AX7" s="13"/>
      <c r="AY7" s="13"/>
      <c r="AZ7" s="13"/>
      <c r="BA7" s="105"/>
      <c r="BB7" s="13"/>
      <c r="BC7" s="13"/>
      <c r="BD7" s="13"/>
      <c r="BE7" s="13"/>
      <c r="BF7" s="88"/>
      <c r="BG7" s="88"/>
      <c r="BH7" s="88"/>
      <c r="BI7" s="88"/>
      <c r="BJ7" s="88"/>
      <c r="BK7" s="105"/>
      <c r="BL7" s="105"/>
      <c r="BM7" s="105"/>
      <c r="BN7" s="105"/>
      <c r="BO7" s="105"/>
      <c r="BP7" s="105"/>
      <c r="BQ7" s="79"/>
      <c r="BR7" s="79"/>
      <c r="BS7" s="79"/>
      <c r="BT7" s="79"/>
      <c r="BU7" s="79"/>
      <c r="BV7" s="90"/>
      <c r="BW7" s="106"/>
      <c r="BX7" s="106"/>
      <c r="BY7" s="106"/>
      <c r="BZ7" s="106"/>
      <c r="CA7" s="106"/>
    </row>
    <row r="8" spans="1:79" x14ac:dyDescent="0.35">
      <c r="A8" s="25" t="s">
        <v>22</v>
      </c>
      <c r="B8" s="10" t="s">
        <v>315</v>
      </c>
      <c r="C8" s="10" t="s">
        <v>341</v>
      </c>
      <c r="D8" s="10" t="s">
        <v>346</v>
      </c>
      <c r="E8" s="11">
        <v>45920</v>
      </c>
      <c r="F8" s="17">
        <v>45892</v>
      </c>
      <c r="G8" s="14">
        <f t="shared" ca="1" si="1"/>
        <v>207</v>
      </c>
      <c r="H8" s="17">
        <v>999</v>
      </c>
      <c r="I8" s="17">
        <v>475</v>
      </c>
      <c r="J8" s="75">
        <f t="shared" si="2"/>
        <v>866</v>
      </c>
      <c r="K8" s="17">
        <v>1100</v>
      </c>
      <c r="L8" s="85">
        <v>234</v>
      </c>
      <c r="M8" s="86">
        <f t="shared" ca="1" si="3"/>
        <v>1.1304347826086956</v>
      </c>
      <c r="N8" s="86">
        <f t="shared" si="4"/>
        <v>0.92883099285538351</v>
      </c>
      <c r="O8" s="86">
        <f t="shared" si="5"/>
        <v>0.71341463414634143</v>
      </c>
      <c r="P8" s="87">
        <f t="shared" si="6"/>
        <v>58.5</v>
      </c>
      <c r="Q8" s="104">
        <f t="shared" si="7"/>
        <v>14.803418803418804</v>
      </c>
      <c r="R8" s="88">
        <f t="shared" si="8"/>
        <v>52.452452452452448</v>
      </c>
      <c r="S8" s="88">
        <f t="shared" si="9"/>
        <v>21.272727272727273</v>
      </c>
      <c r="T8" s="13">
        <f t="shared" si="10"/>
        <v>1</v>
      </c>
      <c r="U8" s="13">
        <f t="shared" si="0"/>
        <v>1</v>
      </c>
      <c r="V8" s="13">
        <f t="shared" si="11"/>
        <v>2</v>
      </c>
      <c r="W8" s="13">
        <f t="shared" ca="1" si="12"/>
        <v>3</v>
      </c>
      <c r="X8" s="13">
        <f t="shared" ca="1" si="13"/>
        <v>7</v>
      </c>
      <c r="Y8" s="81" t="str">
        <f t="shared" ca="1" si="14"/>
        <v>MONITOR</v>
      </c>
      <c r="Z8" s="13">
        <v>14</v>
      </c>
      <c r="AA8" s="75">
        <v>46059</v>
      </c>
      <c r="AB8" s="75">
        <f t="shared" si="15"/>
        <v>45920</v>
      </c>
      <c r="AC8" s="88">
        <f t="shared" si="16"/>
        <v>19.857142857142858</v>
      </c>
      <c r="AD8" s="89" t="str">
        <f t="shared" ca="1" si="17"/>
        <v>STABLE</v>
      </c>
      <c r="AE8" s="89" t="str">
        <f t="shared" si="18"/>
        <v>SLOW SELLING</v>
      </c>
      <c r="AF8" s="89" t="str">
        <f t="shared" si="19"/>
        <v>AT RISK</v>
      </c>
      <c r="AG8" s="89" t="str">
        <f t="shared" si="20"/>
        <v>FEASIBLE</v>
      </c>
      <c r="AH8" s="81" t="str">
        <f t="shared" ca="1" si="21"/>
        <v>MONITOR</v>
      </c>
      <c r="AI8" s="75"/>
      <c r="AJ8" s="75"/>
      <c r="AK8" s="13"/>
      <c r="AL8" s="79"/>
      <c r="AM8" s="79"/>
      <c r="AN8" s="79"/>
      <c r="AO8" s="79"/>
      <c r="AP8" s="79"/>
      <c r="AQ8" s="75"/>
      <c r="AR8" s="75"/>
      <c r="AS8" s="75"/>
      <c r="AT8" s="75"/>
      <c r="AU8" s="75"/>
      <c r="AV8" s="13"/>
      <c r="AW8" s="13"/>
      <c r="AX8" s="13"/>
      <c r="AY8" s="13"/>
      <c r="AZ8" s="13"/>
      <c r="BA8" s="105"/>
      <c r="BB8" s="13"/>
      <c r="BC8" s="13"/>
      <c r="BD8" s="13"/>
      <c r="BE8" s="13"/>
      <c r="BF8" s="88"/>
      <c r="BG8" s="88"/>
      <c r="BH8" s="88"/>
      <c r="BI8" s="88"/>
      <c r="BJ8" s="88"/>
      <c r="BK8" s="105"/>
      <c r="BL8" s="105"/>
      <c r="BM8" s="105"/>
      <c r="BN8" s="105"/>
      <c r="BO8" s="105"/>
      <c r="BP8" s="105"/>
      <c r="BQ8" s="79"/>
      <c r="BR8" s="79"/>
      <c r="BS8" s="79"/>
      <c r="BT8" s="79"/>
      <c r="BU8" s="79"/>
      <c r="BV8" s="90"/>
      <c r="BW8" s="106"/>
      <c r="BX8" s="106"/>
      <c r="BY8" s="106"/>
      <c r="BZ8" s="106"/>
      <c r="CA8" s="106"/>
    </row>
    <row r="9" spans="1:79" x14ac:dyDescent="0.35">
      <c r="A9" s="25" t="s">
        <v>23</v>
      </c>
      <c r="B9" s="10" t="s">
        <v>317</v>
      </c>
      <c r="C9" s="10" t="s">
        <v>341</v>
      </c>
      <c r="D9" s="10" t="s">
        <v>346</v>
      </c>
      <c r="E9" s="11">
        <v>45871</v>
      </c>
      <c r="F9" s="17">
        <v>45892</v>
      </c>
      <c r="G9" s="14">
        <f t="shared" ca="1" si="1"/>
        <v>207</v>
      </c>
      <c r="H9" s="17">
        <v>999</v>
      </c>
      <c r="I9" s="17">
        <v>550</v>
      </c>
      <c r="J9" s="75">
        <f t="shared" si="2"/>
        <v>836</v>
      </c>
      <c r="K9" s="17">
        <v>1000</v>
      </c>
      <c r="L9" s="85">
        <v>164</v>
      </c>
      <c r="M9" s="86">
        <f t="shared" ca="1" si="3"/>
        <v>0.79227053140096615</v>
      </c>
      <c r="N9" s="86">
        <f t="shared" si="4"/>
        <v>0.92883099285538351</v>
      </c>
      <c r="O9" s="86">
        <f t="shared" si="5"/>
        <v>0.5</v>
      </c>
      <c r="P9" s="87">
        <f t="shared" si="6"/>
        <v>41</v>
      </c>
      <c r="Q9" s="104">
        <f t="shared" si="7"/>
        <v>20.390243902439025</v>
      </c>
      <c r="R9" s="88">
        <f t="shared" si="8"/>
        <v>44.944944944944943</v>
      </c>
      <c r="S9" s="88">
        <f t="shared" si="9"/>
        <v>16.400000000000002</v>
      </c>
      <c r="T9" s="13">
        <f t="shared" si="10"/>
        <v>1</v>
      </c>
      <c r="U9" s="13">
        <f t="shared" si="0"/>
        <v>1</v>
      </c>
      <c r="V9" s="13">
        <f t="shared" si="11"/>
        <v>1</v>
      </c>
      <c r="W9" s="13">
        <f t="shared" ca="1" si="12"/>
        <v>3</v>
      </c>
      <c r="X9" s="13">
        <f t="shared" ca="1" si="13"/>
        <v>6</v>
      </c>
      <c r="Y9" s="81" t="str">
        <f t="shared" ca="1" si="14"/>
        <v>MONITOR</v>
      </c>
      <c r="Z9" s="13">
        <v>14</v>
      </c>
      <c r="AA9" s="75">
        <v>46059</v>
      </c>
      <c r="AB9" s="75">
        <f t="shared" si="15"/>
        <v>45920</v>
      </c>
      <c r="AC9" s="88">
        <f t="shared" si="16"/>
        <v>19.857142857142858</v>
      </c>
      <c r="AD9" s="89" t="str">
        <f t="shared" ca="1" si="17"/>
        <v>STABLE</v>
      </c>
      <c r="AE9" s="89" t="str">
        <f t="shared" si="18"/>
        <v>SLOW SELLING</v>
      </c>
      <c r="AF9" s="89" t="str">
        <f t="shared" si="19"/>
        <v>AT RISK</v>
      </c>
      <c r="AG9" s="89" t="str">
        <f t="shared" si="20"/>
        <v>FEASIBLE</v>
      </c>
      <c r="AH9" s="81" t="str">
        <f t="shared" ca="1" si="21"/>
        <v>MONITOR</v>
      </c>
      <c r="AI9" s="75"/>
      <c r="AJ9" s="75"/>
      <c r="AK9" s="13"/>
      <c r="AL9" s="79"/>
      <c r="AM9" s="79"/>
      <c r="AN9" s="79"/>
      <c r="AO9" s="79"/>
      <c r="AP9" s="79"/>
      <c r="AQ9" s="75"/>
      <c r="AR9" s="75"/>
      <c r="AS9" s="75"/>
      <c r="AT9" s="75"/>
      <c r="AU9" s="75"/>
      <c r="AV9" s="13"/>
      <c r="AW9" s="13"/>
      <c r="AX9" s="13"/>
      <c r="AY9" s="13"/>
      <c r="AZ9" s="13"/>
      <c r="BA9" s="105"/>
      <c r="BB9" s="13"/>
      <c r="BC9" s="13"/>
      <c r="BD9" s="13"/>
      <c r="BE9" s="13"/>
      <c r="BF9" s="88"/>
      <c r="BG9" s="88"/>
      <c r="BH9" s="88"/>
      <c r="BI9" s="88"/>
      <c r="BJ9" s="88"/>
      <c r="BK9" s="105"/>
      <c r="BL9" s="105"/>
      <c r="BM9" s="105"/>
      <c r="BN9" s="105"/>
      <c r="BO9" s="105"/>
      <c r="BP9" s="105"/>
      <c r="BQ9" s="79"/>
      <c r="BR9" s="79"/>
      <c r="BS9" s="79"/>
      <c r="BT9" s="79"/>
      <c r="BU9" s="79"/>
      <c r="BV9" s="90"/>
      <c r="BW9" s="106"/>
      <c r="BX9" s="106"/>
      <c r="BY9" s="106"/>
      <c r="BZ9" s="106"/>
      <c r="CA9" s="106"/>
    </row>
    <row r="10" spans="1:79" x14ac:dyDescent="0.35">
      <c r="A10" s="25" t="s">
        <v>24</v>
      </c>
      <c r="B10" s="10" t="s">
        <v>317</v>
      </c>
      <c r="C10" s="10" t="s">
        <v>341</v>
      </c>
      <c r="D10" s="10" t="s">
        <v>346</v>
      </c>
      <c r="E10" s="11">
        <v>45871</v>
      </c>
      <c r="F10" s="17">
        <v>45892</v>
      </c>
      <c r="G10" s="14">
        <f t="shared" ca="1" si="1"/>
        <v>207</v>
      </c>
      <c r="H10" s="17">
        <v>999</v>
      </c>
      <c r="I10" s="17">
        <v>550</v>
      </c>
      <c r="J10" s="75">
        <f t="shared" si="2"/>
        <v>904</v>
      </c>
      <c r="K10" s="17">
        <v>1000</v>
      </c>
      <c r="L10" s="85">
        <v>96</v>
      </c>
      <c r="M10" s="86">
        <f t="shared" ca="1" si="3"/>
        <v>0.46376811594202899</v>
      </c>
      <c r="N10" s="86">
        <f t="shared" si="4"/>
        <v>0.92883099285538351</v>
      </c>
      <c r="O10" s="86">
        <f t="shared" si="5"/>
        <v>0.29268292682926828</v>
      </c>
      <c r="P10" s="87">
        <f t="shared" si="6"/>
        <v>24</v>
      </c>
      <c r="Q10" s="104">
        <f t="shared" si="7"/>
        <v>37.666666666666664</v>
      </c>
      <c r="R10" s="88">
        <f t="shared" si="8"/>
        <v>44.944944944944943</v>
      </c>
      <c r="S10" s="88">
        <f t="shared" si="9"/>
        <v>9.6</v>
      </c>
      <c r="T10" s="13">
        <f t="shared" si="10"/>
        <v>1</v>
      </c>
      <c r="U10" s="13">
        <f t="shared" si="0"/>
        <v>1</v>
      </c>
      <c r="V10" s="13">
        <f t="shared" si="11"/>
        <v>1</v>
      </c>
      <c r="W10" s="13">
        <f t="shared" ca="1" si="12"/>
        <v>3</v>
      </c>
      <c r="X10" s="13">
        <f t="shared" ca="1" si="13"/>
        <v>6</v>
      </c>
      <c r="Y10" s="81" t="str">
        <f t="shared" ca="1" si="14"/>
        <v>MONITOR</v>
      </c>
      <c r="Z10" s="13">
        <v>14</v>
      </c>
      <c r="AA10" s="75">
        <v>46059</v>
      </c>
      <c r="AB10" s="75">
        <f t="shared" si="15"/>
        <v>45920</v>
      </c>
      <c r="AC10" s="88">
        <f t="shared" si="16"/>
        <v>19.857142857142858</v>
      </c>
      <c r="AD10" s="89" t="str">
        <f t="shared" ca="1" si="17"/>
        <v>STABLE</v>
      </c>
      <c r="AE10" s="89" t="str">
        <f t="shared" si="18"/>
        <v>SLOW SELLING</v>
      </c>
      <c r="AF10" s="89" t="str">
        <f t="shared" si="19"/>
        <v>AT RISK</v>
      </c>
      <c r="AG10" s="89" t="str">
        <f t="shared" si="20"/>
        <v>FEASIBLE</v>
      </c>
      <c r="AH10" s="81" t="str">
        <f t="shared" ca="1" si="21"/>
        <v>MONITOR</v>
      </c>
      <c r="AI10" s="75"/>
      <c r="AJ10" s="75"/>
      <c r="AK10" s="13"/>
      <c r="AL10" s="79"/>
      <c r="AM10" s="79"/>
      <c r="AN10" s="79"/>
      <c r="AO10" s="79"/>
      <c r="AP10" s="79"/>
      <c r="AQ10" s="75"/>
      <c r="AR10" s="75"/>
      <c r="AS10" s="75"/>
      <c r="AT10" s="75"/>
      <c r="AU10" s="75"/>
      <c r="AV10" s="13"/>
      <c r="AW10" s="13"/>
      <c r="AX10" s="13"/>
      <c r="AY10" s="13"/>
      <c r="AZ10" s="13"/>
      <c r="BA10" s="105"/>
      <c r="BB10" s="13"/>
      <c r="BC10" s="13"/>
      <c r="BD10" s="13"/>
      <c r="BE10" s="13"/>
      <c r="BF10" s="88"/>
      <c r="BG10" s="88"/>
      <c r="BH10" s="88"/>
      <c r="BI10" s="88"/>
      <c r="BJ10" s="88"/>
      <c r="BK10" s="105"/>
      <c r="BL10" s="105"/>
      <c r="BM10" s="105"/>
      <c r="BN10" s="105"/>
      <c r="BO10" s="105"/>
      <c r="BP10" s="105"/>
      <c r="BQ10" s="79"/>
      <c r="BR10" s="79"/>
      <c r="BS10" s="79"/>
      <c r="BT10" s="79"/>
      <c r="BU10" s="79"/>
      <c r="BV10" s="90"/>
      <c r="BW10" s="106"/>
      <c r="BX10" s="106"/>
      <c r="BY10" s="106"/>
      <c r="BZ10" s="106"/>
      <c r="CA10" s="106"/>
    </row>
    <row r="11" spans="1:79" x14ac:dyDescent="0.35">
      <c r="A11" s="25" t="s">
        <v>25</v>
      </c>
      <c r="B11" s="10" t="s">
        <v>317</v>
      </c>
      <c r="C11" s="10" t="s">
        <v>341</v>
      </c>
      <c r="D11" s="10" t="s">
        <v>346</v>
      </c>
      <c r="E11" s="11">
        <v>45976</v>
      </c>
      <c r="F11" s="17">
        <v>45892</v>
      </c>
      <c r="G11" s="14">
        <f t="shared" ca="1" si="1"/>
        <v>207</v>
      </c>
      <c r="H11" s="17">
        <v>999</v>
      </c>
      <c r="I11" s="17">
        <v>540</v>
      </c>
      <c r="J11" s="75">
        <f t="shared" si="2"/>
        <v>857</v>
      </c>
      <c r="K11" s="17">
        <v>1000</v>
      </c>
      <c r="L11" s="85">
        <v>143</v>
      </c>
      <c r="M11" s="86">
        <f t="shared" ca="1" si="3"/>
        <v>0.6908212560386473</v>
      </c>
      <c r="N11" s="86">
        <f t="shared" si="4"/>
        <v>0.92883099285538351</v>
      </c>
      <c r="O11" s="86">
        <f t="shared" si="5"/>
        <v>0.43597560975609756</v>
      </c>
      <c r="P11" s="87">
        <f t="shared" si="6"/>
        <v>35.75</v>
      </c>
      <c r="Q11" s="104">
        <f t="shared" si="7"/>
        <v>23.972027972027973</v>
      </c>
      <c r="R11" s="88">
        <f t="shared" si="8"/>
        <v>45.945945945945951</v>
      </c>
      <c r="S11" s="88">
        <f t="shared" si="9"/>
        <v>14.299999999999999</v>
      </c>
      <c r="T11" s="13">
        <f t="shared" si="10"/>
        <v>1</v>
      </c>
      <c r="U11" s="13">
        <f t="shared" si="0"/>
        <v>1</v>
      </c>
      <c r="V11" s="13">
        <f t="shared" si="11"/>
        <v>2</v>
      </c>
      <c r="W11" s="13">
        <f t="shared" ca="1" si="12"/>
        <v>3</v>
      </c>
      <c r="X11" s="13">
        <f t="shared" ca="1" si="13"/>
        <v>7</v>
      </c>
      <c r="Y11" s="81" t="str">
        <f t="shared" ca="1" si="14"/>
        <v>MONITOR</v>
      </c>
      <c r="Z11" s="13">
        <v>14</v>
      </c>
      <c r="AA11" s="75">
        <v>46059</v>
      </c>
      <c r="AB11" s="75">
        <f t="shared" si="15"/>
        <v>45920</v>
      </c>
      <c r="AC11" s="88">
        <f t="shared" si="16"/>
        <v>19.857142857142858</v>
      </c>
      <c r="AD11" s="89" t="str">
        <f t="shared" ca="1" si="17"/>
        <v>STABLE</v>
      </c>
      <c r="AE11" s="89" t="str">
        <f t="shared" si="18"/>
        <v>SLOW SELLING</v>
      </c>
      <c r="AF11" s="89" t="str">
        <f t="shared" si="19"/>
        <v>AT RISK</v>
      </c>
      <c r="AG11" s="89" t="str">
        <f t="shared" si="20"/>
        <v>FEASIBLE</v>
      </c>
      <c r="AH11" s="81" t="str">
        <f t="shared" ca="1" si="21"/>
        <v>MONITOR</v>
      </c>
      <c r="AI11" s="75"/>
      <c r="AJ11" s="75"/>
      <c r="AK11" s="13"/>
      <c r="AL11" s="79"/>
      <c r="AM11" s="79"/>
      <c r="AN11" s="79"/>
      <c r="AO11" s="79"/>
      <c r="AP11" s="79"/>
      <c r="AQ11" s="75"/>
      <c r="AR11" s="75"/>
      <c r="AS11" s="75"/>
      <c r="AT11" s="75"/>
      <c r="AU11" s="75"/>
      <c r="AV11" s="13"/>
      <c r="AW11" s="13"/>
      <c r="AX11" s="13"/>
      <c r="AY11" s="13"/>
      <c r="AZ11" s="13"/>
      <c r="BA11" s="105"/>
      <c r="BB11" s="13"/>
      <c r="BC11" s="13"/>
      <c r="BD11" s="13"/>
      <c r="BE11" s="13"/>
      <c r="BF11" s="88"/>
      <c r="BG11" s="88"/>
      <c r="BH11" s="88"/>
      <c r="BI11" s="88"/>
      <c r="BJ11" s="88"/>
      <c r="BK11" s="105"/>
      <c r="BL11" s="105"/>
      <c r="BM11" s="105"/>
      <c r="BN11" s="105"/>
      <c r="BO11" s="105"/>
      <c r="BP11" s="105"/>
      <c r="BQ11" s="79"/>
      <c r="BR11" s="79"/>
      <c r="BS11" s="79"/>
      <c r="BT11" s="79"/>
      <c r="BU11" s="79"/>
      <c r="BV11" s="90"/>
      <c r="BW11" s="106"/>
      <c r="BX11" s="106"/>
      <c r="BY11" s="106"/>
      <c r="BZ11" s="106"/>
      <c r="CA11" s="106"/>
    </row>
    <row r="12" spans="1:79" x14ac:dyDescent="0.35">
      <c r="A12" s="25" t="s">
        <v>26</v>
      </c>
      <c r="B12" s="10" t="s">
        <v>317</v>
      </c>
      <c r="C12" s="10" t="s">
        <v>341</v>
      </c>
      <c r="D12" s="10" t="s">
        <v>346</v>
      </c>
      <c r="E12" s="11">
        <v>45976</v>
      </c>
      <c r="F12" s="17">
        <v>45892</v>
      </c>
      <c r="G12" s="14">
        <f t="shared" ca="1" si="1"/>
        <v>207</v>
      </c>
      <c r="H12" s="17">
        <v>999</v>
      </c>
      <c r="I12" s="17">
        <v>540</v>
      </c>
      <c r="J12" s="75">
        <f t="shared" si="2"/>
        <v>820</v>
      </c>
      <c r="K12" s="17">
        <v>1000</v>
      </c>
      <c r="L12" s="85">
        <v>180</v>
      </c>
      <c r="M12" s="86">
        <f t="shared" ca="1" si="3"/>
        <v>0.86956521739130432</v>
      </c>
      <c r="N12" s="86">
        <f t="shared" si="4"/>
        <v>0.92883099285538351</v>
      </c>
      <c r="O12" s="86">
        <f t="shared" si="5"/>
        <v>0.54878048780487809</v>
      </c>
      <c r="P12" s="87">
        <f t="shared" si="6"/>
        <v>45</v>
      </c>
      <c r="Q12" s="104">
        <f t="shared" si="7"/>
        <v>18.222222222222221</v>
      </c>
      <c r="R12" s="88">
        <f t="shared" si="8"/>
        <v>45.945945945945951</v>
      </c>
      <c r="S12" s="88">
        <f t="shared" si="9"/>
        <v>18</v>
      </c>
      <c r="T12" s="13">
        <f t="shared" si="10"/>
        <v>1</v>
      </c>
      <c r="U12" s="13">
        <f t="shared" si="0"/>
        <v>1</v>
      </c>
      <c r="V12" s="13">
        <f t="shared" si="11"/>
        <v>2</v>
      </c>
      <c r="W12" s="13">
        <f t="shared" ca="1" si="12"/>
        <v>3</v>
      </c>
      <c r="X12" s="13">
        <f t="shared" ca="1" si="13"/>
        <v>7</v>
      </c>
      <c r="Y12" s="81" t="str">
        <f t="shared" ca="1" si="14"/>
        <v>MONITOR</v>
      </c>
      <c r="Z12" s="13">
        <v>14</v>
      </c>
      <c r="AA12" s="75">
        <v>46059</v>
      </c>
      <c r="AB12" s="75">
        <f t="shared" si="15"/>
        <v>45920</v>
      </c>
      <c r="AC12" s="88">
        <f t="shared" si="16"/>
        <v>19.857142857142858</v>
      </c>
      <c r="AD12" s="89" t="str">
        <f t="shared" ca="1" si="17"/>
        <v>STABLE</v>
      </c>
      <c r="AE12" s="89" t="str">
        <f t="shared" si="18"/>
        <v>SLOW SELLING</v>
      </c>
      <c r="AF12" s="89" t="str">
        <f t="shared" si="19"/>
        <v>AT RISK</v>
      </c>
      <c r="AG12" s="89" t="str">
        <f t="shared" si="20"/>
        <v>FEASIBLE</v>
      </c>
      <c r="AH12" s="81" t="str">
        <f t="shared" ca="1" si="21"/>
        <v>MONITOR</v>
      </c>
      <c r="AI12" s="75"/>
      <c r="AJ12" s="75"/>
      <c r="AK12" s="13"/>
      <c r="AL12" s="79"/>
      <c r="AM12" s="79"/>
      <c r="AN12" s="79"/>
      <c r="AO12" s="79"/>
      <c r="AP12" s="79"/>
      <c r="AQ12" s="75"/>
      <c r="AR12" s="75"/>
      <c r="AS12" s="75"/>
      <c r="AT12" s="75"/>
      <c r="AU12" s="75"/>
      <c r="AV12" s="13"/>
      <c r="AW12" s="13"/>
      <c r="AX12" s="13"/>
      <c r="AY12" s="13"/>
      <c r="AZ12" s="13"/>
      <c r="BA12" s="105"/>
      <c r="BB12" s="13"/>
      <c r="BC12" s="13"/>
      <c r="BD12" s="13"/>
      <c r="BE12" s="13"/>
      <c r="BF12" s="88"/>
      <c r="BG12" s="88"/>
      <c r="BH12" s="88"/>
      <c r="BI12" s="88"/>
      <c r="BJ12" s="88"/>
      <c r="BK12" s="105"/>
      <c r="BL12" s="105"/>
      <c r="BM12" s="105"/>
      <c r="BN12" s="105"/>
      <c r="BO12" s="105"/>
      <c r="BP12" s="105"/>
      <c r="BQ12" s="79"/>
      <c r="BR12" s="79"/>
      <c r="BS12" s="79"/>
      <c r="BT12" s="79"/>
      <c r="BU12" s="79"/>
      <c r="BV12" s="90"/>
      <c r="BW12" s="106"/>
      <c r="BX12" s="106"/>
      <c r="BY12" s="106"/>
      <c r="BZ12" s="106"/>
      <c r="CA12" s="106"/>
    </row>
    <row r="13" spans="1:79" x14ac:dyDescent="0.35">
      <c r="A13" s="25" t="s">
        <v>27</v>
      </c>
      <c r="B13" s="10" t="s">
        <v>314</v>
      </c>
      <c r="C13" s="10" t="s">
        <v>341</v>
      </c>
      <c r="D13" s="10" t="s">
        <v>346</v>
      </c>
      <c r="E13" s="11">
        <v>45941</v>
      </c>
      <c r="F13" s="17">
        <v>45892</v>
      </c>
      <c r="G13" s="14">
        <f t="shared" ca="1" si="1"/>
        <v>207</v>
      </c>
      <c r="H13" s="17">
        <v>999</v>
      </c>
      <c r="I13" s="17">
        <v>500</v>
      </c>
      <c r="J13" s="75">
        <f t="shared" si="2"/>
        <v>242</v>
      </c>
      <c r="K13" s="17">
        <v>700</v>
      </c>
      <c r="L13" s="85">
        <v>458</v>
      </c>
      <c r="M13" s="86">
        <f t="shared" ca="1" si="3"/>
        <v>2.21256038647343</v>
      </c>
      <c r="N13" s="86">
        <f t="shared" si="4"/>
        <v>0.92883099285538351</v>
      </c>
      <c r="O13" s="86">
        <f t="shared" si="5"/>
        <v>1.3963414634146341</v>
      </c>
      <c r="P13" s="87">
        <f t="shared" si="6"/>
        <v>114.49999999999999</v>
      </c>
      <c r="Q13" s="104">
        <f t="shared" si="7"/>
        <v>2.1135371179039302</v>
      </c>
      <c r="R13" s="88">
        <f t="shared" si="8"/>
        <v>49.949949949949954</v>
      </c>
      <c r="S13" s="88">
        <f t="shared" si="9"/>
        <v>65.428571428571431</v>
      </c>
      <c r="T13" s="13">
        <f t="shared" si="10"/>
        <v>3</v>
      </c>
      <c r="U13" s="13">
        <f t="shared" si="0"/>
        <v>3</v>
      </c>
      <c r="V13" s="13">
        <f t="shared" si="11"/>
        <v>2</v>
      </c>
      <c r="W13" s="13">
        <f t="shared" ca="1" si="12"/>
        <v>3</v>
      </c>
      <c r="X13" s="13">
        <f t="shared" ca="1" si="13"/>
        <v>11</v>
      </c>
      <c r="Y13" s="81" t="str">
        <f t="shared" ca="1" si="14"/>
        <v>RE-BUY</v>
      </c>
      <c r="Z13" s="13">
        <v>14</v>
      </c>
      <c r="AA13" s="75">
        <v>46059</v>
      </c>
      <c r="AB13" s="75">
        <f t="shared" si="15"/>
        <v>45920</v>
      </c>
      <c r="AC13" s="88">
        <f t="shared" si="16"/>
        <v>19.857142857142858</v>
      </c>
      <c r="AD13" s="89" t="str">
        <f t="shared" ca="1" si="17"/>
        <v>STABLE</v>
      </c>
      <c r="AE13" s="89" t="str">
        <f t="shared" si="18"/>
        <v>FAST SELLING</v>
      </c>
      <c r="AF13" s="89" t="str">
        <f t="shared" si="19"/>
        <v>AT RISK</v>
      </c>
      <c r="AG13" s="89" t="str">
        <f t="shared" si="20"/>
        <v>FEASIBLE</v>
      </c>
      <c r="AH13" s="81" t="str">
        <f t="shared" ca="1" si="21"/>
        <v>IMMEDIATE REBUY</v>
      </c>
      <c r="AI13" s="75"/>
      <c r="AJ13" s="75"/>
      <c r="AK13" s="13"/>
      <c r="AL13" s="79"/>
      <c r="AM13" s="79"/>
      <c r="AN13" s="79"/>
      <c r="AO13" s="79"/>
      <c r="AP13" s="79"/>
      <c r="AQ13" s="75"/>
      <c r="AR13" s="75"/>
      <c r="AS13" s="75"/>
      <c r="AT13" s="75"/>
      <c r="AU13" s="75"/>
      <c r="AV13" s="13"/>
      <c r="AW13" s="13"/>
      <c r="AX13" s="13"/>
      <c r="AY13" s="13"/>
      <c r="AZ13" s="13"/>
      <c r="BA13" s="105"/>
      <c r="BB13" s="13"/>
      <c r="BC13" s="13"/>
      <c r="BD13" s="13"/>
      <c r="BE13" s="13"/>
      <c r="BF13" s="88"/>
      <c r="BG13" s="88"/>
      <c r="BH13" s="88"/>
      <c r="BI13" s="88"/>
      <c r="BJ13" s="88"/>
      <c r="BK13" s="105"/>
      <c r="BL13" s="105"/>
      <c r="BM13" s="105"/>
      <c r="BN13" s="105"/>
      <c r="BO13" s="105"/>
      <c r="BP13" s="105"/>
      <c r="BQ13" s="79"/>
      <c r="BR13" s="79"/>
      <c r="BS13" s="79"/>
      <c r="BT13" s="79"/>
      <c r="BU13" s="79"/>
      <c r="BV13" s="90"/>
      <c r="BW13" s="106"/>
      <c r="BX13" s="106"/>
      <c r="BY13" s="106"/>
      <c r="BZ13" s="106"/>
      <c r="CA13" s="106"/>
    </row>
    <row r="14" spans="1:79" x14ac:dyDescent="0.35">
      <c r="A14" s="25" t="s">
        <v>28</v>
      </c>
      <c r="B14" s="10" t="s">
        <v>314</v>
      </c>
      <c r="C14" s="10" t="s">
        <v>341</v>
      </c>
      <c r="D14" s="10" t="s">
        <v>346</v>
      </c>
      <c r="E14" s="11">
        <v>45941</v>
      </c>
      <c r="F14" s="17">
        <v>45892</v>
      </c>
      <c r="G14" s="14">
        <f t="shared" ca="1" si="1"/>
        <v>207</v>
      </c>
      <c r="H14" s="17">
        <v>999</v>
      </c>
      <c r="I14" s="17">
        <v>500</v>
      </c>
      <c r="J14" s="75">
        <f t="shared" si="2"/>
        <v>293</v>
      </c>
      <c r="K14" s="17">
        <v>700</v>
      </c>
      <c r="L14" s="85">
        <v>407</v>
      </c>
      <c r="M14" s="86">
        <f t="shared" ca="1" si="3"/>
        <v>1.9661835748792271</v>
      </c>
      <c r="N14" s="86">
        <f t="shared" si="4"/>
        <v>0.92883099285538351</v>
      </c>
      <c r="O14" s="86">
        <f t="shared" si="5"/>
        <v>1.2408536585365855</v>
      </c>
      <c r="P14" s="87">
        <f t="shared" si="6"/>
        <v>101.75000000000001</v>
      </c>
      <c r="Q14" s="104">
        <f t="shared" si="7"/>
        <v>2.8796068796068792</v>
      </c>
      <c r="R14" s="88">
        <f t="shared" si="8"/>
        <v>49.949949949949954</v>
      </c>
      <c r="S14" s="88">
        <f t="shared" si="9"/>
        <v>58.142857142857139</v>
      </c>
      <c r="T14" s="13">
        <f t="shared" si="10"/>
        <v>3</v>
      </c>
      <c r="U14" s="13">
        <f t="shared" si="0"/>
        <v>3</v>
      </c>
      <c r="V14" s="13">
        <f t="shared" si="11"/>
        <v>2</v>
      </c>
      <c r="W14" s="13">
        <f t="shared" ca="1" si="12"/>
        <v>3</v>
      </c>
      <c r="X14" s="13">
        <f t="shared" ca="1" si="13"/>
        <v>11</v>
      </c>
      <c r="Y14" s="81" t="str">
        <f t="shared" ca="1" si="14"/>
        <v>RE-BUY</v>
      </c>
      <c r="Z14" s="13">
        <v>14</v>
      </c>
      <c r="AA14" s="75">
        <v>46059</v>
      </c>
      <c r="AB14" s="75">
        <f t="shared" si="15"/>
        <v>45920</v>
      </c>
      <c r="AC14" s="88">
        <f t="shared" si="16"/>
        <v>19.857142857142858</v>
      </c>
      <c r="AD14" s="89" t="str">
        <f t="shared" ca="1" si="17"/>
        <v>STABLE</v>
      </c>
      <c r="AE14" s="89" t="str">
        <f t="shared" si="18"/>
        <v>FAST SELLING</v>
      </c>
      <c r="AF14" s="89" t="str">
        <f t="shared" si="19"/>
        <v>AT RISK</v>
      </c>
      <c r="AG14" s="89" t="str">
        <f t="shared" si="20"/>
        <v>FEASIBLE</v>
      </c>
      <c r="AH14" s="81" t="str">
        <f t="shared" ca="1" si="21"/>
        <v>IMMEDIATE REBUY</v>
      </c>
      <c r="AI14" s="75"/>
      <c r="AJ14" s="75"/>
      <c r="AK14" s="13"/>
      <c r="AL14" s="79"/>
      <c r="AM14" s="79"/>
      <c r="AN14" s="79"/>
      <c r="AO14" s="79"/>
      <c r="AP14" s="79"/>
      <c r="AQ14" s="75"/>
      <c r="AR14" s="75"/>
      <c r="AS14" s="75"/>
      <c r="AT14" s="75"/>
      <c r="AU14" s="75"/>
      <c r="AV14" s="13"/>
      <c r="AW14" s="13"/>
      <c r="AX14" s="13"/>
      <c r="AY14" s="13"/>
      <c r="AZ14" s="13"/>
      <c r="BA14" s="105"/>
      <c r="BB14" s="13"/>
      <c r="BC14" s="13"/>
      <c r="BD14" s="13"/>
      <c r="BE14" s="13"/>
      <c r="BF14" s="88"/>
      <c r="BG14" s="88"/>
      <c r="BH14" s="88"/>
      <c r="BI14" s="88"/>
      <c r="BJ14" s="88"/>
      <c r="BK14" s="105"/>
      <c r="BL14" s="105"/>
      <c r="BM14" s="105"/>
      <c r="BN14" s="105"/>
      <c r="BO14" s="105"/>
      <c r="BP14" s="105"/>
      <c r="BQ14" s="79"/>
      <c r="BR14" s="79"/>
      <c r="BS14" s="79"/>
      <c r="BT14" s="79"/>
      <c r="BU14" s="79"/>
      <c r="BV14" s="90"/>
      <c r="BW14" s="106"/>
      <c r="BX14" s="106"/>
      <c r="BY14" s="106"/>
      <c r="BZ14" s="106"/>
      <c r="CA14" s="106"/>
    </row>
    <row r="15" spans="1:79" x14ac:dyDescent="0.35">
      <c r="A15" s="25" t="s">
        <v>29</v>
      </c>
      <c r="B15" s="10" t="s">
        <v>314</v>
      </c>
      <c r="C15" s="10" t="s">
        <v>341</v>
      </c>
      <c r="D15" s="10" t="s">
        <v>346</v>
      </c>
      <c r="E15" s="11">
        <v>45941</v>
      </c>
      <c r="F15" s="17">
        <v>45892</v>
      </c>
      <c r="G15" s="14">
        <f t="shared" ca="1" si="1"/>
        <v>207</v>
      </c>
      <c r="H15" s="17">
        <v>999</v>
      </c>
      <c r="I15" s="17">
        <v>500</v>
      </c>
      <c r="J15" s="75">
        <f t="shared" si="2"/>
        <v>303</v>
      </c>
      <c r="K15" s="17">
        <v>700</v>
      </c>
      <c r="L15" s="85">
        <v>397</v>
      </c>
      <c r="M15" s="86">
        <f t="shared" ca="1" si="3"/>
        <v>1.9178743961352658</v>
      </c>
      <c r="N15" s="86">
        <f t="shared" si="4"/>
        <v>0.92883099285538351</v>
      </c>
      <c r="O15" s="86">
        <f t="shared" si="5"/>
        <v>1.2103658536585367</v>
      </c>
      <c r="P15" s="87">
        <f t="shared" si="6"/>
        <v>99.25</v>
      </c>
      <c r="Q15" s="104">
        <f t="shared" si="7"/>
        <v>3.0528967254408061</v>
      </c>
      <c r="R15" s="88">
        <f t="shared" si="8"/>
        <v>49.949949949949954</v>
      </c>
      <c r="S15" s="88">
        <f t="shared" si="9"/>
        <v>56.714285714285715</v>
      </c>
      <c r="T15" s="13">
        <f t="shared" si="10"/>
        <v>3</v>
      </c>
      <c r="U15" s="13">
        <f t="shared" si="0"/>
        <v>3</v>
      </c>
      <c r="V15" s="13">
        <f t="shared" si="11"/>
        <v>2</v>
      </c>
      <c r="W15" s="13">
        <f t="shared" ca="1" si="12"/>
        <v>3</v>
      </c>
      <c r="X15" s="13">
        <f t="shared" ca="1" si="13"/>
        <v>11</v>
      </c>
      <c r="Y15" s="81" t="str">
        <f t="shared" ca="1" si="14"/>
        <v>RE-BUY</v>
      </c>
      <c r="Z15" s="13">
        <v>14</v>
      </c>
      <c r="AA15" s="75">
        <v>46059</v>
      </c>
      <c r="AB15" s="75">
        <f t="shared" si="15"/>
        <v>45920</v>
      </c>
      <c r="AC15" s="88">
        <f t="shared" si="16"/>
        <v>19.857142857142858</v>
      </c>
      <c r="AD15" s="89" t="str">
        <f t="shared" ca="1" si="17"/>
        <v>STABLE</v>
      </c>
      <c r="AE15" s="89" t="str">
        <f t="shared" si="18"/>
        <v>FAST SELLING</v>
      </c>
      <c r="AF15" s="89" t="str">
        <f t="shared" si="19"/>
        <v>AT RISK</v>
      </c>
      <c r="AG15" s="89" t="str">
        <f t="shared" si="20"/>
        <v>FEASIBLE</v>
      </c>
      <c r="AH15" s="81" t="str">
        <f t="shared" ca="1" si="21"/>
        <v>IMMEDIATE REBUY</v>
      </c>
      <c r="AI15" s="75"/>
      <c r="AJ15" s="75"/>
      <c r="AK15" s="13"/>
      <c r="AL15" s="79"/>
      <c r="AM15" s="79"/>
      <c r="AN15" s="79"/>
      <c r="AO15" s="79"/>
      <c r="AP15" s="79"/>
      <c r="AQ15" s="75"/>
      <c r="AR15" s="75"/>
      <c r="AS15" s="75"/>
      <c r="AT15" s="75"/>
      <c r="AU15" s="75"/>
      <c r="AV15" s="13"/>
      <c r="AW15" s="13"/>
      <c r="AX15" s="13"/>
      <c r="AY15" s="13"/>
      <c r="AZ15" s="13"/>
      <c r="BA15" s="105"/>
      <c r="BB15" s="13"/>
      <c r="BC15" s="13"/>
      <c r="BD15" s="13"/>
      <c r="BE15" s="13"/>
      <c r="BF15" s="88"/>
      <c r="BG15" s="88"/>
      <c r="BH15" s="88"/>
      <c r="BI15" s="88"/>
      <c r="BJ15" s="88"/>
      <c r="BK15" s="105"/>
      <c r="BL15" s="105"/>
      <c r="BM15" s="105"/>
      <c r="BN15" s="105"/>
      <c r="BO15" s="105"/>
      <c r="BP15" s="105"/>
      <c r="BQ15" s="79"/>
      <c r="BR15" s="79"/>
      <c r="BS15" s="79"/>
      <c r="BT15" s="79"/>
      <c r="BU15" s="79"/>
      <c r="BV15" s="90"/>
      <c r="BW15" s="106"/>
      <c r="BX15" s="106"/>
      <c r="BY15" s="106"/>
      <c r="BZ15" s="106"/>
      <c r="CA15" s="106"/>
    </row>
    <row r="16" spans="1:79" x14ac:dyDescent="0.35">
      <c r="A16" s="25" t="s">
        <v>30</v>
      </c>
      <c r="B16" s="10" t="s">
        <v>319</v>
      </c>
      <c r="C16" s="10" t="s">
        <v>341</v>
      </c>
      <c r="D16" s="10" t="s">
        <v>346</v>
      </c>
      <c r="E16" s="11">
        <v>45878</v>
      </c>
      <c r="F16" s="17">
        <v>45892</v>
      </c>
      <c r="G16" s="14">
        <f t="shared" ca="1" si="1"/>
        <v>207</v>
      </c>
      <c r="H16" s="17">
        <v>499</v>
      </c>
      <c r="I16" s="17">
        <v>292</v>
      </c>
      <c r="J16" s="75">
        <f t="shared" si="2"/>
        <v>914</v>
      </c>
      <c r="K16" s="17">
        <v>1500</v>
      </c>
      <c r="L16" s="85">
        <v>586</v>
      </c>
      <c r="M16" s="86">
        <f t="shared" ca="1" si="3"/>
        <v>2.8309178743961354</v>
      </c>
      <c r="N16" s="86">
        <f t="shared" si="4"/>
        <v>0.92883099285538351</v>
      </c>
      <c r="O16" s="86">
        <f t="shared" si="5"/>
        <v>1.7865853658536586</v>
      </c>
      <c r="P16" s="87">
        <f t="shared" si="6"/>
        <v>146.5</v>
      </c>
      <c r="Q16" s="104">
        <f t="shared" si="7"/>
        <v>6.2389078498293511</v>
      </c>
      <c r="R16" s="88">
        <f t="shared" si="8"/>
        <v>41.482965931863731</v>
      </c>
      <c r="S16" s="88">
        <f t="shared" si="9"/>
        <v>39.066666666666663</v>
      </c>
      <c r="T16" s="13">
        <f t="shared" si="10"/>
        <v>3</v>
      </c>
      <c r="U16" s="13">
        <f t="shared" si="0"/>
        <v>1</v>
      </c>
      <c r="V16" s="13">
        <f t="shared" si="11"/>
        <v>1</v>
      </c>
      <c r="W16" s="13">
        <f t="shared" ca="1" si="12"/>
        <v>3</v>
      </c>
      <c r="X16" s="13">
        <f t="shared" ca="1" si="13"/>
        <v>8</v>
      </c>
      <c r="Y16" s="81" t="str">
        <f t="shared" ca="1" si="14"/>
        <v>MONITOR</v>
      </c>
      <c r="Z16" s="13">
        <v>14</v>
      </c>
      <c r="AA16" s="75">
        <v>46059</v>
      </c>
      <c r="AB16" s="75">
        <f t="shared" si="15"/>
        <v>45920</v>
      </c>
      <c r="AC16" s="88">
        <f t="shared" si="16"/>
        <v>19.857142857142858</v>
      </c>
      <c r="AD16" s="89" t="str">
        <f t="shared" ca="1" si="17"/>
        <v>STABLE</v>
      </c>
      <c r="AE16" s="89" t="str">
        <f t="shared" si="18"/>
        <v>FAST SELLING</v>
      </c>
      <c r="AF16" s="89" t="str">
        <f t="shared" si="19"/>
        <v>AT RISK</v>
      </c>
      <c r="AG16" s="89" t="str">
        <f t="shared" si="20"/>
        <v>FEASIBLE</v>
      </c>
      <c r="AH16" s="81" t="str">
        <f t="shared" ca="1" si="21"/>
        <v>MONITOR</v>
      </c>
      <c r="AI16" s="75"/>
      <c r="AJ16" s="75"/>
      <c r="AK16" s="13"/>
      <c r="AL16" s="79"/>
      <c r="AM16" s="79"/>
      <c r="AN16" s="79"/>
      <c r="AO16" s="79"/>
      <c r="AP16" s="79"/>
      <c r="AQ16" s="75"/>
      <c r="AR16" s="75"/>
      <c r="AS16" s="75"/>
      <c r="AT16" s="75"/>
      <c r="AU16" s="75"/>
      <c r="AV16" s="13"/>
      <c r="AW16" s="13"/>
      <c r="AX16" s="13"/>
      <c r="AY16" s="13"/>
      <c r="AZ16" s="13"/>
      <c r="BA16" s="105"/>
      <c r="BB16" s="13"/>
      <c r="BC16" s="13"/>
      <c r="BD16" s="13"/>
      <c r="BE16" s="13"/>
      <c r="BF16" s="88"/>
      <c r="BG16" s="88"/>
      <c r="BH16" s="88"/>
      <c r="BI16" s="88"/>
      <c r="BJ16" s="88"/>
      <c r="BK16" s="105"/>
      <c r="BL16" s="105"/>
      <c r="BM16" s="105"/>
      <c r="BN16" s="105"/>
      <c r="BO16" s="105"/>
      <c r="BP16" s="105"/>
      <c r="BQ16" s="79"/>
      <c r="BR16" s="79"/>
      <c r="BS16" s="79"/>
      <c r="BT16" s="79"/>
      <c r="BU16" s="79"/>
      <c r="BV16" s="90"/>
      <c r="BW16" s="106"/>
      <c r="BX16" s="106"/>
      <c r="BY16" s="106"/>
      <c r="BZ16" s="106"/>
      <c r="CA16" s="106"/>
    </row>
    <row r="17" spans="1:79" x14ac:dyDescent="0.35">
      <c r="A17" s="25" t="s">
        <v>31</v>
      </c>
      <c r="B17" s="10" t="s">
        <v>319</v>
      </c>
      <c r="C17" s="10" t="s">
        <v>341</v>
      </c>
      <c r="D17" s="10" t="s">
        <v>346</v>
      </c>
      <c r="E17" s="11">
        <v>45878</v>
      </c>
      <c r="F17" s="17">
        <v>45892</v>
      </c>
      <c r="G17" s="14">
        <f t="shared" ca="1" si="1"/>
        <v>207</v>
      </c>
      <c r="H17" s="17">
        <v>499</v>
      </c>
      <c r="I17" s="17">
        <v>292</v>
      </c>
      <c r="J17" s="75">
        <f t="shared" si="2"/>
        <v>1335</v>
      </c>
      <c r="K17" s="17">
        <v>1500</v>
      </c>
      <c r="L17" s="85">
        <v>165</v>
      </c>
      <c r="M17" s="86">
        <f t="shared" ca="1" si="3"/>
        <v>0.79710144927536231</v>
      </c>
      <c r="N17" s="86">
        <f t="shared" si="4"/>
        <v>0.92883099285538351</v>
      </c>
      <c r="O17" s="86">
        <f t="shared" si="5"/>
        <v>0.50304878048780488</v>
      </c>
      <c r="P17" s="87">
        <f t="shared" si="6"/>
        <v>41.25</v>
      </c>
      <c r="Q17" s="104">
        <f t="shared" si="7"/>
        <v>32.363636363636367</v>
      </c>
      <c r="R17" s="88">
        <f t="shared" si="8"/>
        <v>41.482965931863731</v>
      </c>
      <c r="S17" s="88">
        <f t="shared" si="9"/>
        <v>11</v>
      </c>
      <c r="T17" s="13">
        <f t="shared" si="10"/>
        <v>1</v>
      </c>
      <c r="U17" s="13">
        <f t="shared" si="0"/>
        <v>1</v>
      </c>
      <c r="V17" s="13">
        <f t="shared" si="11"/>
        <v>1</v>
      </c>
      <c r="W17" s="13">
        <f t="shared" ca="1" si="12"/>
        <v>3</v>
      </c>
      <c r="X17" s="13">
        <f t="shared" ca="1" si="13"/>
        <v>6</v>
      </c>
      <c r="Y17" s="81" t="str">
        <f t="shared" ca="1" si="14"/>
        <v>MONITOR</v>
      </c>
      <c r="Z17" s="13">
        <v>14</v>
      </c>
      <c r="AA17" s="75">
        <v>46059</v>
      </c>
      <c r="AB17" s="75">
        <f t="shared" si="15"/>
        <v>45920</v>
      </c>
      <c r="AC17" s="88">
        <f t="shared" si="16"/>
        <v>19.857142857142858</v>
      </c>
      <c r="AD17" s="89" t="str">
        <f t="shared" ca="1" si="17"/>
        <v>STABLE</v>
      </c>
      <c r="AE17" s="89" t="str">
        <f t="shared" si="18"/>
        <v>SLOW SELLING</v>
      </c>
      <c r="AF17" s="89" t="str">
        <f t="shared" si="19"/>
        <v>AT RISK</v>
      </c>
      <c r="AG17" s="89" t="str">
        <f t="shared" si="20"/>
        <v>FEASIBLE</v>
      </c>
      <c r="AH17" s="81" t="str">
        <f t="shared" ca="1" si="21"/>
        <v>MONITOR</v>
      </c>
      <c r="AI17" s="75"/>
      <c r="AJ17" s="75"/>
      <c r="AK17" s="13"/>
      <c r="AL17" s="79"/>
      <c r="AM17" s="79"/>
      <c r="AN17" s="79"/>
      <c r="AO17" s="79"/>
      <c r="AP17" s="79"/>
      <c r="AQ17" s="75"/>
      <c r="AR17" s="75"/>
      <c r="AS17" s="75"/>
      <c r="AT17" s="75"/>
      <c r="AU17" s="75"/>
      <c r="AV17" s="13"/>
      <c r="AW17" s="13"/>
      <c r="AX17" s="13"/>
      <c r="AY17" s="13"/>
      <c r="AZ17" s="13"/>
      <c r="BA17" s="105"/>
      <c r="BB17" s="13"/>
      <c r="BC17" s="13"/>
      <c r="BD17" s="13"/>
      <c r="BE17" s="13"/>
      <c r="BF17" s="88"/>
      <c r="BG17" s="88"/>
      <c r="BH17" s="88"/>
      <c r="BI17" s="88"/>
      <c r="BJ17" s="88"/>
      <c r="BK17" s="105"/>
      <c r="BL17" s="105"/>
      <c r="BM17" s="105"/>
      <c r="BN17" s="105"/>
      <c r="BO17" s="105"/>
      <c r="BP17" s="105"/>
      <c r="BQ17" s="79"/>
      <c r="BR17" s="79"/>
      <c r="BS17" s="79"/>
      <c r="BT17" s="79"/>
      <c r="BU17" s="79"/>
      <c r="BV17" s="90"/>
      <c r="BW17" s="106"/>
      <c r="BX17" s="106"/>
      <c r="BY17" s="106"/>
      <c r="BZ17" s="106"/>
      <c r="CA17" s="106"/>
    </row>
    <row r="18" spans="1:79" x14ac:dyDescent="0.35">
      <c r="A18" s="25" t="s">
        <v>32</v>
      </c>
      <c r="B18" s="10" t="s">
        <v>319</v>
      </c>
      <c r="C18" s="10" t="s">
        <v>341</v>
      </c>
      <c r="D18" s="10" t="s">
        <v>346</v>
      </c>
      <c r="E18" s="11">
        <v>45850</v>
      </c>
      <c r="F18" s="17">
        <v>45892</v>
      </c>
      <c r="G18" s="14">
        <f t="shared" ca="1" si="1"/>
        <v>207</v>
      </c>
      <c r="H18" s="17">
        <v>499</v>
      </c>
      <c r="I18" s="17">
        <v>292</v>
      </c>
      <c r="J18" s="75">
        <f t="shared" si="2"/>
        <v>1310</v>
      </c>
      <c r="K18" s="17">
        <v>1500</v>
      </c>
      <c r="L18" s="85">
        <v>190</v>
      </c>
      <c r="M18" s="86">
        <f t="shared" ca="1" si="3"/>
        <v>0.91787439613526567</v>
      </c>
      <c r="N18" s="86">
        <f t="shared" si="4"/>
        <v>0.92883099285538351</v>
      </c>
      <c r="O18" s="86">
        <f t="shared" si="5"/>
        <v>0.57926829268292679</v>
      </c>
      <c r="P18" s="87">
        <f t="shared" si="6"/>
        <v>47.5</v>
      </c>
      <c r="Q18" s="104">
        <f t="shared" si="7"/>
        <v>27.578947368421051</v>
      </c>
      <c r="R18" s="88">
        <f t="shared" si="8"/>
        <v>41.482965931863731</v>
      </c>
      <c r="S18" s="88">
        <f t="shared" si="9"/>
        <v>12.666666666666668</v>
      </c>
      <c r="T18" s="13">
        <f t="shared" si="10"/>
        <v>1</v>
      </c>
      <c r="U18" s="13">
        <f t="shared" si="0"/>
        <v>1</v>
      </c>
      <c r="V18" s="13">
        <f t="shared" si="11"/>
        <v>1</v>
      </c>
      <c r="W18" s="13">
        <f t="shared" ca="1" si="12"/>
        <v>3</v>
      </c>
      <c r="X18" s="13">
        <f t="shared" ca="1" si="13"/>
        <v>6</v>
      </c>
      <c r="Y18" s="81" t="str">
        <f t="shared" ca="1" si="14"/>
        <v>MONITOR</v>
      </c>
      <c r="Z18" s="13">
        <v>14</v>
      </c>
      <c r="AA18" s="75">
        <v>46059</v>
      </c>
      <c r="AB18" s="75">
        <f t="shared" si="15"/>
        <v>45920</v>
      </c>
      <c r="AC18" s="88">
        <f t="shared" si="16"/>
        <v>19.857142857142858</v>
      </c>
      <c r="AD18" s="89" t="str">
        <f t="shared" ca="1" si="17"/>
        <v>STABLE</v>
      </c>
      <c r="AE18" s="89" t="str">
        <f t="shared" si="18"/>
        <v>SLOW SELLING</v>
      </c>
      <c r="AF18" s="89" t="str">
        <f t="shared" si="19"/>
        <v>AT RISK</v>
      </c>
      <c r="AG18" s="89" t="str">
        <f t="shared" si="20"/>
        <v>FEASIBLE</v>
      </c>
      <c r="AH18" s="81" t="str">
        <f t="shared" ca="1" si="21"/>
        <v>MONITOR</v>
      </c>
      <c r="AI18" s="75"/>
      <c r="AJ18" s="75"/>
      <c r="AK18" s="13"/>
      <c r="AL18" s="79"/>
      <c r="AM18" s="79"/>
      <c r="AN18" s="79"/>
      <c r="AO18" s="79"/>
      <c r="AP18" s="79"/>
      <c r="AQ18" s="75"/>
      <c r="AR18" s="75"/>
      <c r="AS18" s="75"/>
      <c r="AT18" s="75"/>
      <c r="AU18" s="75"/>
      <c r="AV18" s="13"/>
      <c r="AW18" s="13"/>
      <c r="AX18" s="13"/>
      <c r="AY18" s="13"/>
      <c r="AZ18" s="13"/>
      <c r="BA18" s="105"/>
      <c r="BB18" s="13"/>
      <c r="BC18" s="13"/>
      <c r="BD18" s="13"/>
      <c r="BE18" s="13"/>
      <c r="BF18" s="88"/>
      <c r="BG18" s="88"/>
      <c r="BH18" s="88"/>
      <c r="BI18" s="88"/>
      <c r="BJ18" s="88"/>
      <c r="BK18" s="105"/>
      <c r="BL18" s="105"/>
      <c r="BM18" s="105"/>
      <c r="BN18" s="105"/>
      <c r="BO18" s="105"/>
      <c r="BP18" s="105"/>
      <c r="BQ18" s="79"/>
      <c r="BR18" s="79"/>
      <c r="BS18" s="79"/>
      <c r="BT18" s="79"/>
      <c r="BU18" s="79"/>
      <c r="BV18" s="90"/>
      <c r="BW18" s="106"/>
      <c r="BX18" s="106"/>
      <c r="BY18" s="106"/>
      <c r="BZ18" s="106"/>
      <c r="CA18" s="106"/>
    </row>
    <row r="19" spans="1:79" x14ac:dyDescent="0.35">
      <c r="A19" s="25" t="s">
        <v>33</v>
      </c>
      <c r="B19" s="10" t="s">
        <v>319</v>
      </c>
      <c r="C19" s="10" t="s">
        <v>341</v>
      </c>
      <c r="D19" s="10" t="s">
        <v>346</v>
      </c>
      <c r="E19" s="11">
        <v>45850</v>
      </c>
      <c r="F19" s="17">
        <v>45892</v>
      </c>
      <c r="G19" s="14">
        <f t="shared" ca="1" si="1"/>
        <v>207</v>
      </c>
      <c r="H19" s="17">
        <v>499</v>
      </c>
      <c r="I19" s="17">
        <v>292</v>
      </c>
      <c r="J19" s="75">
        <f t="shared" si="2"/>
        <v>1133</v>
      </c>
      <c r="K19" s="17">
        <v>1500</v>
      </c>
      <c r="L19" s="85">
        <v>367</v>
      </c>
      <c r="M19" s="86">
        <f t="shared" ca="1" si="3"/>
        <v>1.7729468599033817</v>
      </c>
      <c r="N19" s="86">
        <f t="shared" si="4"/>
        <v>0.92883099285538351</v>
      </c>
      <c r="O19" s="86">
        <f t="shared" si="5"/>
        <v>1.1189024390243902</v>
      </c>
      <c r="P19" s="87">
        <f t="shared" si="6"/>
        <v>91.75</v>
      </c>
      <c r="Q19" s="104">
        <f t="shared" si="7"/>
        <v>12.348773841961853</v>
      </c>
      <c r="R19" s="88">
        <f t="shared" si="8"/>
        <v>41.482965931863731</v>
      </c>
      <c r="S19" s="88">
        <f t="shared" si="9"/>
        <v>24.466666666666669</v>
      </c>
      <c r="T19" s="13">
        <f t="shared" si="10"/>
        <v>3</v>
      </c>
      <c r="U19" s="13">
        <f t="shared" si="0"/>
        <v>1</v>
      </c>
      <c r="V19" s="13">
        <f t="shared" si="11"/>
        <v>1</v>
      </c>
      <c r="W19" s="13">
        <f t="shared" ca="1" si="12"/>
        <v>3</v>
      </c>
      <c r="X19" s="13">
        <f t="shared" ca="1" si="13"/>
        <v>8</v>
      </c>
      <c r="Y19" s="81" t="str">
        <f t="shared" ca="1" si="14"/>
        <v>MONITOR</v>
      </c>
      <c r="Z19" s="13">
        <v>14</v>
      </c>
      <c r="AA19" s="75">
        <v>46059</v>
      </c>
      <c r="AB19" s="75">
        <f t="shared" si="15"/>
        <v>45920</v>
      </c>
      <c r="AC19" s="88">
        <f t="shared" si="16"/>
        <v>19.857142857142858</v>
      </c>
      <c r="AD19" s="89" t="str">
        <f t="shared" ca="1" si="17"/>
        <v>STABLE</v>
      </c>
      <c r="AE19" s="89" t="str">
        <f t="shared" si="18"/>
        <v>FAST SELLING</v>
      </c>
      <c r="AF19" s="89" t="str">
        <f t="shared" si="19"/>
        <v>AT RISK</v>
      </c>
      <c r="AG19" s="89" t="str">
        <f t="shared" si="20"/>
        <v>FEASIBLE</v>
      </c>
      <c r="AH19" s="81" t="str">
        <f t="shared" ca="1" si="21"/>
        <v>MONITOR</v>
      </c>
      <c r="AI19" s="75"/>
      <c r="AJ19" s="75"/>
      <c r="AK19" s="13"/>
      <c r="AL19" s="79"/>
      <c r="AM19" s="79"/>
      <c r="AN19" s="79"/>
      <c r="AO19" s="79"/>
      <c r="AP19" s="79"/>
      <c r="AQ19" s="75"/>
      <c r="AR19" s="75"/>
      <c r="AS19" s="75"/>
      <c r="AT19" s="75"/>
      <c r="AU19" s="75"/>
      <c r="AV19" s="13"/>
      <c r="AW19" s="13"/>
      <c r="AX19" s="13"/>
      <c r="AY19" s="13"/>
      <c r="AZ19" s="13"/>
      <c r="BA19" s="105"/>
      <c r="BB19" s="13"/>
      <c r="BC19" s="13"/>
      <c r="BD19" s="13"/>
      <c r="BE19" s="13"/>
      <c r="BF19" s="88"/>
      <c r="BG19" s="88"/>
      <c r="BH19" s="88"/>
      <c r="BI19" s="88"/>
      <c r="BJ19" s="88"/>
      <c r="BK19" s="105"/>
      <c r="BL19" s="105"/>
      <c r="BM19" s="105"/>
      <c r="BN19" s="105"/>
      <c r="BO19" s="105"/>
      <c r="BP19" s="105"/>
      <c r="BQ19" s="79"/>
      <c r="BR19" s="79"/>
      <c r="BS19" s="79"/>
      <c r="BT19" s="79"/>
      <c r="BU19" s="79"/>
      <c r="BV19" s="90"/>
      <c r="BW19" s="106"/>
      <c r="BX19" s="106"/>
      <c r="BY19" s="106"/>
      <c r="BZ19" s="106"/>
      <c r="CA19" s="106"/>
    </row>
    <row r="20" spans="1:79" x14ac:dyDescent="0.35">
      <c r="A20" s="25" t="s">
        <v>34</v>
      </c>
      <c r="B20" s="15" t="s">
        <v>318</v>
      </c>
      <c r="C20" s="10" t="s">
        <v>341</v>
      </c>
      <c r="D20" s="10" t="s">
        <v>346</v>
      </c>
      <c r="E20" s="11">
        <v>45920</v>
      </c>
      <c r="F20" s="17">
        <v>45892</v>
      </c>
      <c r="G20" s="14">
        <f t="shared" ca="1" si="1"/>
        <v>207</v>
      </c>
      <c r="H20" s="17">
        <v>399</v>
      </c>
      <c r="I20" s="17">
        <v>225</v>
      </c>
      <c r="J20" s="75">
        <f t="shared" si="2"/>
        <v>1274</v>
      </c>
      <c r="K20" s="17">
        <v>1500</v>
      </c>
      <c r="L20" s="85">
        <v>226</v>
      </c>
      <c r="M20" s="86">
        <f t="shared" ca="1" si="3"/>
        <v>1.0917874396135265</v>
      </c>
      <c r="N20" s="86">
        <f t="shared" si="4"/>
        <v>0.92883099285538351</v>
      </c>
      <c r="O20" s="86">
        <f t="shared" si="5"/>
        <v>0.68902439024390238</v>
      </c>
      <c r="P20" s="87">
        <f t="shared" si="6"/>
        <v>56.499999999999993</v>
      </c>
      <c r="Q20" s="104">
        <f t="shared" si="7"/>
        <v>22.548672566371685</v>
      </c>
      <c r="R20" s="88">
        <f t="shared" si="8"/>
        <v>43.609022556390975</v>
      </c>
      <c r="S20" s="88">
        <f t="shared" si="9"/>
        <v>15.066666666666666</v>
      </c>
      <c r="T20" s="13">
        <f t="shared" si="10"/>
        <v>1</v>
      </c>
      <c r="U20" s="13">
        <f t="shared" si="0"/>
        <v>1</v>
      </c>
      <c r="V20" s="13">
        <f t="shared" si="11"/>
        <v>1</v>
      </c>
      <c r="W20" s="13">
        <f t="shared" ca="1" si="12"/>
        <v>3</v>
      </c>
      <c r="X20" s="13">
        <f t="shared" ca="1" si="13"/>
        <v>6</v>
      </c>
      <c r="Y20" s="81" t="str">
        <f t="shared" ca="1" si="14"/>
        <v>MONITOR</v>
      </c>
      <c r="Z20" s="13">
        <v>14</v>
      </c>
      <c r="AA20" s="75">
        <v>46059</v>
      </c>
      <c r="AB20" s="75">
        <f t="shared" si="15"/>
        <v>45920</v>
      </c>
      <c r="AC20" s="88">
        <f t="shared" si="16"/>
        <v>19.857142857142858</v>
      </c>
      <c r="AD20" s="89" t="str">
        <f t="shared" ca="1" si="17"/>
        <v>STABLE</v>
      </c>
      <c r="AE20" s="89" t="str">
        <f t="shared" si="18"/>
        <v>SLOW SELLING</v>
      </c>
      <c r="AF20" s="89" t="str">
        <f t="shared" si="19"/>
        <v>AT RISK</v>
      </c>
      <c r="AG20" s="89" t="str">
        <f t="shared" si="20"/>
        <v>FEASIBLE</v>
      </c>
      <c r="AH20" s="81" t="str">
        <f t="shared" ca="1" si="21"/>
        <v>MONITOR</v>
      </c>
      <c r="AI20" s="75"/>
      <c r="AJ20" s="75"/>
      <c r="AK20" s="13"/>
      <c r="AL20" s="79"/>
      <c r="AM20" s="79"/>
      <c r="AN20" s="79"/>
      <c r="AO20" s="79"/>
      <c r="AP20" s="79"/>
      <c r="AQ20" s="75"/>
      <c r="AR20" s="75"/>
      <c r="AS20" s="75"/>
      <c r="AT20" s="75"/>
      <c r="AU20" s="75"/>
      <c r="AV20" s="13"/>
      <c r="AW20" s="13"/>
      <c r="AX20" s="13"/>
      <c r="AY20" s="13"/>
      <c r="AZ20" s="13"/>
      <c r="BA20" s="105"/>
      <c r="BB20" s="13"/>
      <c r="BC20" s="13"/>
      <c r="BD20" s="13"/>
      <c r="BE20" s="13"/>
      <c r="BF20" s="88"/>
      <c r="BG20" s="88"/>
      <c r="BH20" s="88"/>
      <c r="BI20" s="88"/>
      <c r="BJ20" s="88"/>
      <c r="BK20" s="105"/>
      <c r="BL20" s="105"/>
      <c r="BM20" s="105"/>
      <c r="BN20" s="105"/>
      <c r="BO20" s="105"/>
      <c r="BP20" s="105"/>
      <c r="BQ20" s="79"/>
      <c r="BR20" s="79"/>
      <c r="BS20" s="79"/>
      <c r="BT20" s="79"/>
      <c r="BU20" s="79"/>
      <c r="BV20" s="90"/>
      <c r="BW20" s="106"/>
      <c r="BX20" s="106"/>
      <c r="BY20" s="106"/>
      <c r="BZ20" s="106"/>
      <c r="CA20" s="106"/>
    </row>
    <row r="21" spans="1:79" x14ac:dyDescent="0.35">
      <c r="A21" s="25" t="s">
        <v>35</v>
      </c>
      <c r="B21" s="15" t="s">
        <v>318</v>
      </c>
      <c r="C21" s="10" t="s">
        <v>341</v>
      </c>
      <c r="D21" s="10" t="s">
        <v>346</v>
      </c>
      <c r="E21" s="11">
        <v>45920</v>
      </c>
      <c r="F21" s="17">
        <v>45892</v>
      </c>
      <c r="G21" s="14">
        <f t="shared" ca="1" si="1"/>
        <v>207</v>
      </c>
      <c r="H21" s="17">
        <v>399</v>
      </c>
      <c r="I21" s="17">
        <v>225</v>
      </c>
      <c r="J21" s="75">
        <f t="shared" si="2"/>
        <v>1289</v>
      </c>
      <c r="K21" s="17">
        <v>1500</v>
      </c>
      <c r="L21" s="85">
        <v>211</v>
      </c>
      <c r="M21" s="86">
        <f t="shared" ca="1" si="3"/>
        <v>1.0193236714975846</v>
      </c>
      <c r="N21" s="86">
        <f t="shared" si="4"/>
        <v>0.92883099285538351</v>
      </c>
      <c r="O21" s="86">
        <f t="shared" si="5"/>
        <v>0.64329268292682928</v>
      </c>
      <c r="P21" s="87">
        <f t="shared" si="6"/>
        <v>52.75</v>
      </c>
      <c r="Q21" s="104">
        <f t="shared" si="7"/>
        <v>24.436018957345972</v>
      </c>
      <c r="R21" s="88">
        <f t="shared" si="8"/>
        <v>43.609022556390975</v>
      </c>
      <c r="S21" s="88">
        <f t="shared" si="9"/>
        <v>14.066666666666666</v>
      </c>
      <c r="T21" s="13">
        <f t="shared" si="10"/>
        <v>1</v>
      </c>
      <c r="U21" s="13">
        <f t="shared" si="0"/>
        <v>1</v>
      </c>
      <c r="V21" s="13">
        <f t="shared" si="11"/>
        <v>1</v>
      </c>
      <c r="W21" s="13">
        <f t="shared" ca="1" si="12"/>
        <v>3</v>
      </c>
      <c r="X21" s="13">
        <f t="shared" ca="1" si="13"/>
        <v>6</v>
      </c>
      <c r="Y21" s="81" t="str">
        <f t="shared" ca="1" si="14"/>
        <v>MONITOR</v>
      </c>
      <c r="Z21" s="13">
        <v>14</v>
      </c>
      <c r="AA21" s="75">
        <v>46059</v>
      </c>
      <c r="AB21" s="75">
        <f t="shared" si="15"/>
        <v>45920</v>
      </c>
      <c r="AC21" s="88">
        <f t="shared" si="16"/>
        <v>19.857142857142858</v>
      </c>
      <c r="AD21" s="89" t="str">
        <f t="shared" ca="1" si="17"/>
        <v>STABLE</v>
      </c>
      <c r="AE21" s="89" t="str">
        <f t="shared" si="18"/>
        <v>SLOW SELLING</v>
      </c>
      <c r="AF21" s="89" t="str">
        <f t="shared" si="19"/>
        <v>AT RISK</v>
      </c>
      <c r="AG21" s="89" t="str">
        <f t="shared" si="20"/>
        <v>FEASIBLE</v>
      </c>
      <c r="AH21" s="81" t="str">
        <f t="shared" ca="1" si="21"/>
        <v>MONITOR</v>
      </c>
      <c r="AI21" s="75"/>
      <c r="AJ21" s="75"/>
      <c r="AK21" s="13"/>
      <c r="AL21" s="79"/>
      <c r="AM21" s="79"/>
      <c r="AN21" s="79"/>
      <c r="AO21" s="79"/>
      <c r="AP21" s="79"/>
      <c r="AQ21" s="75"/>
      <c r="AR21" s="75"/>
      <c r="AS21" s="75"/>
      <c r="AT21" s="75"/>
      <c r="AU21" s="75"/>
      <c r="AV21" s="13"/>
      <c r="AW21" s="13"/>
      <c r="AX21" s="13"/>
      <c r="AY21" s="13"/>
      <c r="AZ21" s="13"/>
      <c r="BA21" s="105"/>
      <c r="BB21" s="13"/>
      <c r="BC21" s="13"/>
      <c r="BD21" s="13"/>
      <c r="BE21" s="13"/>
      <c r="BF21" s="88"/>
      <c r="BG21" s="88"/>
      <c r="BH21" s="88"/>
      <c r="BI21" s="88"/>
      <c r="BJ21" s="88"/>
      <c r="BK21" s="105"/>
      <c r="BL21" s="105"/>
      <c r="BM21" s="105"/>
      <c r="BN21" s="105"/>
      <c r="BO21" s="105"/>
      <c r="BP21" s="105"/>
      <c r="BQ21" s="79"/>
      <c r="BR21" s="79"/>
      <c r="BS21" s="79"/>
      <c r="BT21" s="79"/>
      <c r="BU21" s="79"/>
      <c r="BV21" s="90"/>
      <c r="BW21" s="106"/>
      <c r="BX21" s="106"/>
      <c r="BY21" s="106"/>
      <c r="BZ21" s="106"/>
      <c r="CA21" s="106"/>
    </row>
    <row r="22" spans="1:79" x14ac:dyDescent="0.35">
      <c r="A22" s="25" t="s">
        <v>36</v>
      </c>
      <c r="B22" s="15" t="s">
        <v>318</v>
      </c>
      <c r="C22" s="10" t="s">
        <v>341</v>
      </c>
      <c r="D22" s="10" t="s">
        <v>346</v>
      </c>
      <c r="E22" s="11">
        <v>45920</v>
      </c>
      <c r="F22" s="17">
        <v>45892</v>
      </c>
      <c r="G22" s="14">
        <f t="shared" ca="1" si="1"/>
        <v>207</v>
      </c>
      <c r="H22" s="17">
        <v>399</v>
      </c>
      <c r="I22" s="17">
        <v>225</v>
      </c>
      <c r="J22" s="75">
        <f t="shared" si="2"/>
        <v>1284</v>
      </c>
      <c r="K22" s="17">
        <v>1500</v>
      </c>
      <c r="L22" s="85">
        <v>216</v>
      </c>
      <c r="M22" s="86">
        <f t="shared" ca="1" si="3"/>
        <v>1.0434782608695652</v>
      </c>
      <c r="N22" s="86">
        <f t="shared" si="4"/>
        <v>0.92883099285538351</v>
      </c>
      <c r="O22" s="86">
        <f t="shared" si="5"/>
        <v>0.65853658536585369</v>
      </c>
      <c r="P22" s="87">
        <f t="shared" si="6"/>
        <v>54</v>
      </c>
      <c r="Q22" s="104">
        <f t="shared" si="7"/>
        <v>23.777777777777779</v>
      </c>
      <c r="R22" s="88">
        <f t="shared" si="8"/>
        <v>43.609022556390975</v>
      </c>
      <c r="S22" s="88">
        <f t="shared" si="9"/>
        <v>14.399999999999999</v>
      </c>
      <c r="T22" s="13">
        <f t="shared" si="10"/>
        <v>1</v>
      </c>
      <c r="U22" s="13">
        <f t="shared" si="0"/>
        <v>1</v>
      </c>
      <c r="V22" s="13">
        <f t="shared" si="11"/>
        <v>1</v>
      </c>
      <c r="W22" s="13">
        <f t="shared" ca="1" si="12"/>
        <v>3</v>
      </c>
      <c r="X22" s="13">
        <f t="shared" ca="1" si="13"/>
        <v>6</v>
      </c>
      <c r="Y22" s="81" t="str">
        <f t="shared" ca="1" si="14"/>
        <v>MONITOR</v>
      </c>
      <c r="Z22" s="13">
        <v>14</v>
      </c>
      <c r="AA22" s="75">
        <v>46059</v>
      </c>
      <c r="AB22" s="75">
        <f t="shared" si="15"/>
        <v>45920</v>
      </c>
      <c r="AC22" s="88">
        <f t="shared" si="16"/>
        <v>19.857142857142858</v>
      </c>
      <c r="AD22" s="89" t="str">
        <f t="shared" ca="1" si="17"/>
        <v>STABLE</v>
      </c>
      <c r="AE22" s="89" t="str">
        <f t="shared" si="18"/>
        <v>SLOW SELLING</v>
      </c>
      <c r="AF22" s="89" t="str">
        <f t="shared" si="19"/>
        <v>AT RISK</v>
      </c>
      <c r="AG22" s="89" t="str">
        <f t="shared" si="20"/>
        <v>FEASIBLE</v>
      </c>
      <c r="AH22" s="81" t="str">
        <f t="shared" ca="1" si="21"/>
        <v>MONITOR</v>
      </c>
      <c r="AI22" s="75"/>
      <c r="AJ22" s="75"/>
      <c r="AK22" s="13"/>
      <c r="AL22" s="79"/>
      <c r="AM22" s="79"/>
      <c r="AN22" s="79"/>
      <c r="AO22" s="79"/>
      <c r="AP22" s="79"/>
      <c r="AQ22" s="75"/>
      <c r="AR22" s="75"/>
      <c r="AS22" s="75"/>
      <c r="AT22" s="75"/>
      <c r="AU22" s="75"/>
      <c r="AV22" s="13"/>
      <c r="AW22" s="13"/>
      <c r="AX22" s="13"/>
      <c r="AY22" s="13"/>
      <c r="AZ22" s="13"/>
      <c r="BA22" s="105"/>
      <c r="BB22" s="13"/>
      <c r="BC22" s="13"/>
      <c r="BD22" s="13"/>
      <c r="BE22" s="13"/>
      <c r="BF22" s="88"/>
      <c r="BG22" s="88"/>
      <c r="BH22" s="88"/>
      <c r="BI22" s="88"/>
      <c r="BJ22" s="88"/>
      <c r="BK22" s="105"/>
      <c r="BL22" s="105"/>
      <c r="BM22" s="105"/>
      <c r="BN22" s="105"/>
      <c r="BO22" s="105"/>
      <c r="BP22" s="105"/>
      <c r="BQ22" s="79"/>
      <c r="BR22" s="79"/>
      <c r="BS22" s="79"/>
      <c r="BT22" s="79"/>
      <c r="BU22" s="79"/>
      <c r="BV22" s="90"/>
      <c r="BW22" s="106"/>
      <c r="BX22" s="106"/>
      <c r="BY22" s="106"/>
      <c r="BZ22" s="106"/>
      <c r="CA22" s="106"/>
    </row>
    <row r="23" spans="1:79" x14ac:dyDescent="0.35">
      <c r="A23" s="25" t="s">
        <v>37</v>
      </c>
      <c r="B23" s="15" t="s">
        <v>318</v>
      </c>
      <c r="C23" s="10" t="s">
        <v>341</v>
      </c>
      <c r="D23" s="10" t="s">
        <v>346</v>
      </c>
      <c r="E23" s="11">
        <v>45920</v>
      </c>
      <c r="F23" s="17">
        <v>45892</v>
      </c>
      <c r="G23" s="14">
        <f t="shared" ca="1" si="1"/>
        <v>207</v>
      </c>
      <c r="H23" s="17">
        <v>399</v>
      </c>
      <c r="I23" s="17">
        <v>225</v>
      </c>
      <c r="J23" s="75">
        <f t="shared" si="2"/>
        <v>1499</v>
      </c>
      <c r="K23" s="17">
        <v>1500</v>
      </c>
      <c r="L23" s="85">
        <v>1</v>
      </c>
      <c r="M23" s="86">
        <f t="shared" ca="1" si="3"/>
        <v>4.830917874396135E-3</v>
      </c>
      <c r="N23" s="86">
        <f t="shared" si="4"/>
        <v>0.92883099285538351</v>
      </c>
      <c r="O23" s="86">
        <f t="shared" si="5"/>
        <v>3.0487804878048782E-3</v>
      </c>
      <c r="P23" s="87">
        <f t="shared" si="6"/>
        <v>0.25</v>
      </c>
      <c r="Q23" s="104">
        <f t="shared" si="7"/>
        <v>5996</v>
      </c>
      <c r="R23" s="88">
        <f t="shared" si="8"/>
        <v>43.609022556390975</v>
      </c>
      <c r="S23" s="88">
        <f t="shared" si="9"/>
        <v>6.6666666666666666E-2</v>
      </c>
      <c r="T23" s="13">
        <f t="shared" si="10"/>
        <v>1</v>
      </c>
      <c r="U23" s="13">
        <f t="shared" si="0"/>
        <v>1</v>
      </c>
      <c r="V23" s="13">
        <f t="shared" si="11"/>
        <v>1</v>
      </c>
      <c r="W23" s="13">
        <f t="shared" ca="1" si="12"/>
        <v>3</v>
      </c>
      <c r="X23" s="13">
        <f t="shared" ca="1" si="13"/>
        <v>6</v>
      </c>
      <c r="Y23" s="81" t="str">
        <f t="shared" ca="1" si="14"/>
        <v>MONITOR</v>
      </c>
      <c r="Z23" s="13">
        <v>14</v>
      </c>
      <c r="AA23" s="75">
        <v>46059</v>
      </c>
      <c r="AB23" s="75">
        <f t="shared" si="15"/>
        <v>45920</v>
      </c>
      <c r="AC23" s="88">
        <f t="shared" si="16"/>
        <v>19.857142857142858</v>
      </c>
      <c r="AD23" s="89" t="str">
        <f t="shared" ca="1" si="17"/>
        <v>STABLE</v>
      </c>
      <c r="AE23" s="89" t="str">
        <f>IF(O23&gt;=N23,"FAST SELLING","SLOW SELLING")</f>
        <v>SLOW SELLING</v>
      </c>
      <c r="AF23" s="89" t="str">
        <f t="shared" si="19"/>
        <v>AT RISK</v>
      </c>
      <c r="AG23" s="89" t="str">
        <f t="shared" si="20"/>
        <v>FEASIBLE</v>
      </c>
      <c r="AH23" s="81" t="str">
        <f t="shared" ca="1" si="21"/>
        <v>MONITOR</v>
      </c>
      <c r="AI23" s="75"/>
      <c r="AJ23" s="75"/>
      <c r="AK23" s="13"/>
      <c r="AL23" s="79"/>
      <c r="AM23" s="79"/>
      <c r="AN23" s="79"/>
      <c r="AO23" s="79"/>
      <c r="AP23" s="79"/>
      <c r="AQ23" s="75"/>
      <c r="AR23" s="75"/>
      <c r="AS23" s="75"/>
      <c r="AT23" s="75"/>
      <c r="AU23" s="75"/>
      <c r="AV23" s="13"/>
      <c r="AW23" s="13"/>
      <c r="AX23" s="13"/>
      <c r="AY23" s="13"/>
      <c r="AZ23" s="13"/>
      <c r="BA23" s="105"/>
      <c r="BB23" s="13"/>
      <c r="BC23" s="13"/>
      <c r="BD23" s="13"/>
      <c r="BE23" s="13"/>
      <c r="BF23" s="88"/>
      <c r="BG23" s="88"/>
      <c r="BH23" s="88"/>
      <c r="BI23" s="88"/>
      <c r="BJ23" s="88"/>
      <c r="BK23" s="105"/>
      <c r="BL23" s="105"/>
      <c r="BM23" s="105"/>
      <c r="BN23" s="105"/>
      <c r="BO23" s="105"/>
      <c r="BP23" s="105"/>
      <c r="BQ23" s="79"/>
      <c r="BR23" s="79"/>
      <c r="BS23" s="79"/>
      <c r="BT23" s="79"/>
      <c r="BU23" s="79"/>
      <c r="BV23" s="90"/>
      <c r="BW23" s="106"/>
      <c r="BX23" s="106"/>
      <c r="BY23" s="106"/>
      <c r="BZ23" s="106"/>
      <c r="CA23" s="106"/>
    </row>
    <row r="24" spans="1:79" x14ac:dyDescent="0.35">
      <c r="A24" s="25" t="s">
        <v>38</v>
      </c>
      <c r="B24" s="10" t="s">
        <v>320</v>
      </c>
      <c r="C24" s="10" t="s">
        <v>341</v>
      </c>
      <c r="D24" s="10" t="s">
        <v>346</v>
      </c>
      <c r="E24" s="11">
        <v>45927</v>
      </c>
      <c r="F24" s="17">
        <v>45892</v>
      </c>
      <c r="G24" s="14">
        <f t="shared" ca="1" si="1"/>
        <v>207</v>
      </c>
      <c r="H24" s="17">
        <v>399</v>
      </c>
      <c r="I24" s="17">
        <v>265</v>
      </c>
      <c r="J24" s="75">
        <f t="shared" si="2"/>
        <v>1812</v>
      </c>
      <c r="K24" s="17">
        <v>2500</v>
      </c>
      <c r="L24" s="85">
        <v>688</v>
      </c>
      <c r="M24" s="86">
        <f t="shared" ca="1" si="3"/>
        <v>3.3236714975845412</v>
      </c>
      <c r="N24" s="86">
        <f t="shared" si="4"/>
        <v>0.92883099285538351</v>
      </c>
      <c r="O24" s="86">
        <f t="shared" si="5"/>
        <v>2.0975609756097562</v>
      </c>
      <c r="P24" s="87">
        <f t="shared" si="6"/>
        <v>172</v>
      </c>
      <c r="Q24" s="104">
        <f t="shared" si="7"/>
        <v>10.534883720930232</v>
      </c>
      <c r="R24" s="88">
        <f t="shared" si="8"/>
        <v>33.583959899749374</v>
      </c>
      <c r="S24" s="88">
        <f t="shared" si="9"/>
        <v>27.52</v>
      </c>
      <c r="T24" s="13">
        <f t="shared" si="10"/>
        <v>3</v>
      </c>
      <c r="U24" s="13">
        <f t="shared" si="0"/>
        <v>1</v>
      </c>
      <c r="V24" s="13">
        <f t="shared" si="11"/>
        <v>1</v>
      </c>
      <c r="W24" s="13">
        <f t="shared" ca="1" si="12"/>
        <v>3</v>
      </c>
      <c r="X24" s="13">
        <f t="shared" ca="1" si="13"/>
        <v>8</v>
      </c>
      <c r="Y24" s="81" t="str">
        <f t="shared" ca="1" si="14"/>
        <v>MONITOR</v>
      </c>
      <c r="Z24" s="13">
        <v>14</v>
      </c>
      <c r="AA24" s="75">
        <v>46059</v>
      </c>
      <c r="AB24" s="75">
        <f t="shared" si="15"/>
        <v>45920</v>
      </c>
      <c r="AC24" s="88">
        <f t="shared" si="16"/>
        <v>19.857142857142858</v>
      </c>
      <c r="AD24" s="89" t="str">
        <f t="shared" ca="1" si="17"/>
        <v>STABLE</v>
      </c>
      <c r="AE24" s="89" t="str">
        <f t="shared" ref="AE24:AE87" si="22">IF(O24&gt;=N24,"FAST SELLING","SLOW SELLING")</f>
        <v>FAST SELLING</v>
      </c>
      <c r="AF24" s="89" t="str">
        <f t="shared" si="19"/>
        <v>AT RISK</v>
      </c>
      <c r="AG24" s="89" t="str">
        <f t="shared" si="20"/>
        <v>FEASIBLE</v>
      </c>
      <c r="AH24" s="81" t="str">
        <f t="shared" ca="1" si="21"/>
        <v>MONITOR</v>
      </c>
      <c r="AI24" s="75"/>
      <c r="AJ24" s="75"/>
      <c r="AK24" s="13"/>
      <c r="AL24" s="79"/>
      <c r="AM24" s="79"/>
      <c r="AN24" s="79"/>
      <c r="AO24" s="79"/>
      <c r="AP24" s="79"/>
      <c r="AQ24" s="75"/>
      <c r="AR24" s="75"/>
      <c r="AS24" s="75"/>
      <c r="AT24" s="75"/>
      <c r="AU24" s="75"/>
      <c r="AV24" s="13"/>
      <c r="AW24" s="13"/>
      <c r="AX24" s="13"/>
      <c r="AY24" s="13"/>
      <c r="AZ24" s="13"/>
      <c r="BA24" s="105"/>
      <c r="BB24" s="13"/>
      <c r="BC24" s="13"/>
      <c r="BD24" s="13"/>
      <c r="BE24" s="13"/>
      <c r="BF24" s="88"/>
      <c r="BG24" s="88"/>
      <c r="BH24" s="88"/>
      <c r="BI24" s="88"/>
      <c r="BJ24" s="88"/>
      <c r="BK24" s="105"/>
      <c r="BL24" s="105"/>
      <c r="BM24" s="105"/>
      <c r="BN24" s="105"/>
      <c r="BO24" s="105"/>
      <c r="BP24" s="105"/>
      <c r="BQ24" s="79"/>
      <c r="BR24" s="79"/>
      <c r="BS24" s="79"/>
      <c r="BT24" s="79"/>
      <c r="BU24" s="79"/>
      <c r="BV24" s="90"/>
      <c r="BW24" s="106"/>
      <c r="BX24" s="106"/>
      <c r="BY24" s="106"/>
      <c r="BZ24" s="106"/>
      <c r="CA24" s="106"/>
    </row>
    <row r="25" spans="1:79" x14ac:dyDescent="0.35">
      <c r="A25" s="25" t="s">
        <v>39</v>
      </c>
      <c r="B25" s="10" t="s">
        <v>320</v>
      </c>
      <c r="C25" s="10" t="s">
        <v>341</v>
      </c>
      <c r="D25" s="10" t="s">
        <v>346</v>
      </c>
      <c r="E25" s="11">
        <v>45878</v>
      </c>
      <c r="F25" s="17">
        <v>45892</v>
      </c>
      <c r="G25" s="14">
        <f t="shared" ca="1" si="1"/>
        <v>207</v>
      </c>
      <c r="H25" s="17">
        <v>399</v>
      </c>
      <c r="I25" s="17">
        <v>265</v>
      </c>
      <c r="J25" s="75">
        <f t="shared" si="2"/>
        <v>1483</v>
      </c>
      <c r="K25" s="17">
        <v>2000</v>
      </c>
      <c r="L25" s="85">
        <v>517</v>
      </c>
      <c r="M25" s="86">
        <f t="shared" ca="1" si="3"/>
        <v>2.4975845410628019</v>
      </c>
      <c r="N25" s="86">
        <f t="shared" si="4"/>
        <v>0.92883099285538351</v>
      </c>
      <c r="O25" s="86">
        <f t="shared" si="5"/>
        <v>1.5762195121951219</v>
      </c>
      <c r="P25" s="87">
        <f t="shared" si="6"/>
        <v>129.25</v>
      </c>
      <c r="Q25" s="104">
        <f t="shared" si="7"/>
        <v>11.473887814313347</v>
      </c>
      <c r="R25" s="88">
        <f t="shared" si="8"/>
        <v>33.583959899749374</v>
      </c>
      <c r="S25" s="88">
        <f t="shared" si="9"/>
        <v>25.85</v>
      </c>
      <c r="T25" s="13">
        <f t="shared" si="10"/>
        <v>3</v>
      </c>
      <c r="U25" s="13">
        <f t="shared" si="0"/>
        <v>1</v>
      </c>
      <c r="V25" s="13">
        <f t="shared" si="11"/>
        <v>1</v>
      </c>
      <c r="W25" s="13">
        <f t="shared" ca="1" si="12"/>
        <v>3</v>
      </c>
      <c r="X25" s="13">
        <f t="shared" ca="1" si="13"/>
        <v>8</v>
      </c>
      <c r="Y25" s="81" t="str">
        <f t="shared" ca="1" si="14"/>
        <v>MONITOR</v>
      </c>
      <c r="Z25" s="13">
        <v>14</v>
      </c>
      <c r="AA25" s="75">
        <v>46059</v>
      </c>
      <c r="AB25" s="75">
        <f t="shared" si="15"/>
        <v>45920</v>
      </c>
      <c r="AC25" s="88">
        <f t="shared" si="16"/>
        <v>19.857142857142858</v>
      </c>
      <c r="AD25" s="89" t="str">
        <f t="shared" ca="1" si="17"/>
        <v>STABLE</v>
      </c>
      <c r="AE25" s="89" t="str">
        <f t="shared" si="22"/>
        <v>FAST SELLING</v>
      </c>
      <c r="AF25" s="89" t="str">
        <f t="shared" si="19"/>
        <v>AT RISK</v>
      </c>
      <c r="AG25" s="89" t="str">
        <f t="shared" si="20"/>
        <v>FEASIBLE</v>
      </c>
      <c r="AH25" s="81" t="str">
        <f t="shared" ca="1" si="21"/>
        <v>MONITOR</v>
      </c>
      <c r="AI25" s="75"/>
      <c r="AJ25" s="75"/>
      <c r="AK25" s="13"/>
      <c r="AL25" s="79"/>
      <c r="AM25" s="79"/>
      <c r="AN25" s="79"/>
      <c r="AO25" s="79"/>
      <c r="AP25" s="79"/>
      <c r="AQ25" s="75"/>
      <c r="AR25" s="75"/>
      <c r="AS25" s="75"/>
      <c r="AT25" s="75"/>
      <c r="AU25" s="75"/>
      <c r="AV25" s="13"/>
      <c r="AW25" s="13"/>
      <c r="AX25" s="13"/>
      <c r="AY25" s="13"/>
      <c r="AZ25" s="13"/>
      <c r="BA25" s="105"/>
      <c r="BB25" s="13"/>
      <c r="BC25" s="13"/>
      <c r="BD25" s="13"/>
      <c r="BE25" s="13"/>
      <c r="BF25" s="88"/>
      <c r="BG25" s="88"/>
      <c r="BH25" s="88"/>
      <c r="BI25" s="88"/>
      <c r="BJ25" s="88"/>
      <c r="BK25" s="105"/>
      <c r="BL25" s="105"/>
      <c r="BM25" s="105"/>
      <c r="BN25" s="105"/>
      <c r="BO25" s="105"/>
      <c r="BP25" s="105"/>
      <c r="BQ25" s="79"/>
      <c r="BR25" s="79"/>
      <c r="BS25" s="79"/>
      <c r="BT25" s="79"/>
      <c r="BU25" s="79"/>
      <c r="BV25" s="90"/>
      <c r="BW25" s="106"/>
      <c r="BX25" s="106"/>
      <c r="BY25" s="106"/>
      <c r="BZ25" s="106"/>
      <c r="CA25" s="106"/>
    </row>
    <row r="26" spans="1:79" x14ac:dyDescent="0.35">
      <c r="A26" s="25" t="s">
        <v>40</v>
      </c>
      <c r="B26" s="10" t="s">
        <v>320</v>
      </c>
      <c r="C26" s="10" t="s">
        <v>341</v>
      </c>
      <c r="D26" s="10" t="s">
        <v>346</v>
      </c>
      <c r="E26" s="11">
        <v>45948</v>
      </c>
      <c r="F26" s="17">
        <v>45892</v>
      </c>
      <c r="G26" s="14">
        <f t="shared" ca="1" si="1"/>
        <v>207</v>
      </c>
      <c r="H26" s="17">
        <v>399</v>
      </c>
      <c r="I26" s="17">
        <v>265</v>
      </c>
      <c r="J26" s="75">
        <f t="shared" si="2"/>
        <v>1761</v>
      </c>
      <c r="K26" s="17">
        <v>2500</v>
      </c>
      <c r="L26" s="85">
        <v>739</v>
      </c>
      <c r="M26" s="86">
        <f t="shared" ca="1" si="3"/>
        <v>3.5700483091787438</v>
      </c>
      <c r="N26" s="86">
        <f t="shared" si="4"/>
        <v>0.92883099285538351</v>
      </c>
      <c r="O26" s="86">
        <f t="shared" si="5"/>
        <v>2.2530487804878048</v>
      </c>
      <c r="P26" s="87">
        <f t="shared" si="6"/>
        <v>184.75</v>
      </c>
      <c r="Q26" s="104">
        <f t="shared" si="7"/>
        <v>9.5317997293640051</v>
      </c>
      <c r="R26" s="88">
        <f t="shared" si="8"/>
        <v>33.583959899749374</v>
      </c>
      <c r="S26" s="88">
        <f t="shared" si="9"/>
        <v>29.56</v>
      </c>
      <c r="T26" s="13">
        <f t="shared" si="10"/>
        <v>3</v>
      </c>
      <c r="U26" s="13">
        <f t="shared" si="0"/>
        <v>1</v>
      </c>
      <c r="V26" s="13">
        <f t="shared" si="11"/>
        <v>1</v>
      </c>
      <c r="W26" s="13">
        <f t="shared" ca="1" si="12"/>
        <v>3</v>
      </c>
      <c r="X26" s="13">
        <f t="shared" ca="1" si="13"/>
        <v>8</v>
      </c>
      <c r="Y26" s="81" t="str">
        <f t="shared" ca="1" si="14"/>
        <v>MONITOR</v>
      </c>
      <c r="Z26" s="13">
        <v>14</v>
      </c>
      <c r="AA26" s="75">
        <v>46059</v>
      </c>
      <c r="AB26" s="75">
        <f t="shared" si="15"/>
        <v>45920</v>
      </c>
      <c r="AC26" s="88">
        <f t="shared" si="16"/>
        <v>19.857142857142858</v>
      </c>
      <c r="AD26" s="89" t="str">
        <f t="shared" ca="1" si="17"/>
        <v>STABLE</v>
      </c>
      <c r="AE26" s="89" t="str">
        <f t="shared" si="22"/>
        <v>FAST SELLING</v>
      </c>
      <c r="AF26" s="89" t="str">
        <f t="shared" si="19"/>
        <v>AT RISK</v>
      </c>
      <c r="AG26" s="89" t="str">
        <f t="shared" si="20"/>
        <v>FEASIBLE</v>
      </c>
      <c r="AH26" s="81" t="str">
        <f t="shared" ca="1" si="21"/>
        <v>MONITOR</v>
      </c>
      <c r="AI26" s="75"/>
      <c r="AJ26" s="75"/>
      <c r="AK26" s="13"/>
      <c r="AL26" s="79"/>
      <c r="AM26" s="79"/>
      <c r="AN26" s="79"/>
      <c r="AO26" s="79"/>
      <c r="AP26" s="79"/>
      <c r="AQ26" s="75"/>
      <c r="AR26" s="75"/>
      <c r="AS26" s="75"/>
      <c r="AT26" s="75"/>
      <c r="AU26" s="75"/>
      <c r="AV26" s="13"/>
      <c r="AW26" s="13"/>
      <c r="AX26" s="13"/>
      <c r="AY26" s="13"/>
      <c r="AZ26" s="13"/>
      <c r="BA26" s="105"/>
      <c r="BB26" s="13"/>
      <c r="BC26" s="13"/>
      <c r="BD26" s="13"/>
      <c r="BE26" s="13"/>
      <c r="BF26" s="88"/>
      <c r="BG26" s="88"/>
      <c r="BH26" s="88"/>
      <c r="BI26" s="88"/>
      <c r="BJ26" s="88"/>
      <c r="BK26" s="105"/>
      <c r="BL26" s="105"/>
      <c r="BM26" s="105"/>
      <c r="BN26" s="105"/>
      <c r="BO26" s="105"/>
      <c r="BP26" s="105"/>
      <c r="BQ26" s="79"/>
      <c r="BR26" s="79"/>
      <c r="BS26" s="79"/>
      <c r="BT26" s="79"/>
      <c r="BU26" s="79"/>
      <c r="BV26" s="90"/>
      <c r="BW26" s="106"/>
      <c r="BX26" s="106"/>
      <c r="BY26" s="106"/>
      <c r="BZ26" s="106"/>
      <c r="CA26" s="106"/>
    </row>
    <row r="27" spans="1:79" x14ac:dyDescent="0.35">
      <c r="A27" s="25" t="s">
        <v>41</v>
      </c>
      <c r="B27" s="10" t="s">
        <v>320</v>
      </c>
      <c r="C27" s="10" t="s">
        <v>341</v>
      </c>
      <c r="D27" s="10" t="s">
        <v>346</v>
      </c>
      <c r="E27" s="11">
        <v>45948</v>
      </c>
      <c r="F27" s="17">
        <v>45892</v>
      </c>
      <c r="G27" s="14">
        <f t="shared" ca="1" si="1"/>
        <v>207</v>
      </c>
      <c r="H27" s="17">
        <v>399</v>
      </c>
      <c r="I27" s="17">
        <v>265</v>
      </c>
      <c r="J27" s="75">
        <f t="shared" si="2"/>
        <v>1722</v>
      </c>
      <c r="K27" s="17">
        <v>2000</v>
      </c>
      <c r="L27" s="85">
        <v>278</v>
      </c>
      <c r="M27" s="86">
        <f t="shared" ca="1" si="3"/>
        <v>1.3429951690821256</v>
      </c>
      <c r="N27" s="86">
        <f t="shared" si="4"/>
        <v>0.92883099285538351</v>
      </c>
      <c r="O27" s="86">
        <f t="shared" si="5"/>
        <v>0.84756097560975607</v>
      </c>
      <c r="P27" s="87">
        <f t="shared" si="6"/>
        <v>69.5</v>
      </c>
      <c r="Q27" s="104">
        <f t="shared" si="7"/>
        <v>24.776978417266186</v>
      </c>
      <c r="R27" s="88">
        <f t="shared" si="8"/>
        <v>33.583959899749374</v>
      </c>
      <c r="S27" s="88">
        <f t="shared" si="9"/>
        <v>13.900000000000002</v>
      </c>
      <c r="T27" s="13">
        <f t="shared" si="10"/>
        <v>2</v>
      </c>
      <c r="U27" s="13">
        <f t="shared" si="0"/>
        <v>1</v>
      </c>
      <c r="V27" s="13">
        <f t="shared" si="11"/>
        <v>1</v>
      </c>
      <c r="W27" s="13">
        <f t="shared" ca="1" si="12"/>
        <v>3</v>
      </c>
      <c r="X27" s="13">
        <f t="shared" ca="1" si="13"/>
        <v>7</v>
      </c>
      <c r="Y27" s="81" t="str">
        <f t="shared" ca="1" si="14"/>
        <v>MONITOR</v>
      </c>
      <c r="Z27" s="13">
        <v>14</v>
      </c>
      <c r="AA27" s="75">
        <v>46059</v>
      </c>
      <c r="AB27" s="75">
        <f t="shared" si="15"/>
        <v>45920</v>
      </c>
      <c r="AC27" s="88">
        <f t="shared" si="16"/>
        <v>19.857142857142858</v>
      </c>
      <c r="AD27" s="89" t="str">
        <f t="shared" ca="1" si="17"/>
        <v>STABLE</v>
      </c>
      <c r="AE27" s="89" t="str">
        <f t="shared" si="22"/>
        <v>SLOW SELLING</v>
      </c>
      <c r="AF27" s="89" t="str">
        <f t="shared" si="19"/>
        <v>AT RISK</v>
      </c>
      <c r="AG27" s="89" t="str">
        <f t="shared" si="20"/>
        <v>FEASIBLE</v>
      </c>
      <c r="AH27" s="81" t="str">
        <f t="shared" ca="1" si="21"/>
        <v>MONITOR</v>
      </c>
      <c r="AI27" s="75"/>
      <c r="AJ27" s="75"/>
      <c r="AK27" s="13"/>
      <c r="AL27" s="79"/>
      <c r="AM27" s="79"/>
      <c r="AN27" s="79"/>
      <c r="AO27" s="79"/>
      <c r="AP27" s="79"/>
      <c r="AQ27" s="75"/>
      <c r="AR27" s="75"/>
      <c r="AS27" s="75"/>
      <c r="AT27" s="75"/>
      <c r="AU27" s="75"/>
      <c r="AV27" s="13"/>
      <c r="AW27" s="13"/>
      <c r="AX27" s="13"/>
      <c r="AY27" s="13"/>
      <c r="AZ27" s="13"/>
      <c r="BA27" s="105"/>
      <c r="BB27" s="13"/>
      <c r="BC27" s="13"/>
      <c r="BD27" s="13"/>
      <c r="BE27" s="13"/>
      <c r="BF27" s="88"/>
      <c r="BG27" s="88"/>
      <c r="BH27" s="88"/>
      <c r="BI27" s="88"/>
      <c r="BJ27" s="88"/>
      <c r="BK27" s="105"/>
      <c r="BL27" s="105"/>
      <c r="BM27" s="105"/>
      <c r="BN27" s="105"/>
      <c r="BO27" s="105"/>
      <c r="BP27" s="105"/>
      <c r="BQ27" s="79"/>
      <c r="BR27" s="79"/>
      <c r="BS27" s="79"/>
      <c r="BT27" s="79"/>
      <c r="BU27" s="79"/>
      <c r="BV27" s="90"/>
      <c r="BW27" s="106"/>
      <c r="BX27" s="106"/>
      <c r="BY27" s="106"/>
      <c r="BZ27" s="106"/>
      <c r="CA27" s="106"/>
    </row>
    <row r="28" spans="1:79" x14ac:dyDescent="0.35">
      <c r="A28" s="25" t="s">
        <v>42</v>
      </c>
      <c r="B28" s="10" t="s">
        <v>320</v>
      </c>
      <c r="C28" s="10" t="s">
        <v>341</v>
      </c>
      <c r="D28" s="10" t="s">
        <v>346</v>
      </c>
      <c r="E28" s="11">
        <v>45878</v>
      </c>
      <c r="F28" s="17">
        <v>45892</v>
      </c>
      <c r="G28" s="14">
        <f t="shared" ca="1" si="1"/>
        <v>207</v>
      </c>
      <c r="H28" s="17">
        <v>399</v>
      </c>
      <c r="I28" s="17">
        <v>265</v>
      </c>
      <c r="J28" s="75">
        <f t="shared" si="2"/>
        <v>1514</v>
      </c>
      <c r="K28" s="17">
        <v>2000</v>
      </c>
      <c r="L28" s="85">
        <v>486</v>
      </c>
      <c r="M28" s="86">
        <f t="shared" ca="1" si="3"/>
        <v>2.347826086956522</v>
      </c>
      <c r="N28" s="86">
        <f t="shared" si="4"/>
        <v>0.92883099285538351</v>
      </c>
      <c r="O28" s="86">
        <f t="shared" si="5"/>
        <v>1.4817073170731707</v>
      </c>
      <c r="P28" s="87">
        <f t="shared" si="6"/>
        <v>121.5</v>
      </c>
      <c r="Q28" s="104">
        <f t="shared" si="7"/>
        <v>12.460905349794238</v>
      </c>
      <c r="R28" s="88">
        <f t="shared" si="8"/>
        <v>33.583959899749374</v>
      </c>
      <c r="S28" s="88">
        <f t="shared" si="9"/>
        <v>24.3</v>
      </c>
      <c r="T28" s="13">
        <f t="shared" si="10"/>
        <v>3</v>
      </c>
      <c r="U28" s="13">
        <f t="shared" si="0"/>
        <v>1</v>
      </c>
      <c r="V28" s="13">
        <f t="shared" si="11"/>
        <v>1</v>
      </c>
      <c r="W28" s="13">
        <f t="shared" ca="1" si="12"/>
        <v>3</v>
      </c>
      <c r="X28" s="13">
        <f t="shared" ca="1" si="13"/>
        <v>8</v>
      </c>
      <c r="Y28" s="81" t="str">
        <f t="shared" ca="1" si="14"/>
        <v>MONITOR</v>
      </c>
      <c r="Z28" s="13">
        <v>14</v>
      </c>
      <c r="AA28" s="75">
        <v>46059</v>
      </c>
      <c r="AB28" s="75">
        <f t="shared" si="15"/>
        <v>45920</v>
      </c>
      <c r="AC28" s="88">
        <f t="shared" si="16"/>
        <v>19.857142857142858</v>
      </c>
      <c r="AD28" s="89" t="str">
        <f t="shared" ca="1" si="17"/>
        <v>STABLE</v>
      </c>
      <c r="AE28" s="89" t="str">
        <f t="shared" si="22"/>
        <v>FAST SELLING</v>
      </c>
      <c r="AF28" s="89" t="str">
        <f t="shared" si="19"/>
        <v>AT RISK</v>
      </c>
      <c r="AG28" s="89" t="str">
        <f t="shared" si="20"/>
        <v>FEASIBLE</v>
      </c>
      <c r="AH28" s="81" t="str">
        <f t="shared" ca="1" si="21"/>
        <v>MONITOR</v>
      </c>
      <c r="AI28" s="75"/>
      <c r="AJ28" s="75"/>
      <c r="AK28" s="13"/>
      <c r="AL28" s="79"/>
      <c r="AM28" s="79"/>
      <c r="AN28" s="79"/>
      <c r="AO28" s="79"/>
      <c r="AP28" s="79"/>
      <c r="AQ28" s="75"/>
      <c r="AR28" s="75"/>
      <c r="AS28" s="75"/>
      <c r="AT28" s="75"/>
      <c r="AU28" s="75"/>
      <c r="AV28" s="13"/>
      <c r="AW28" s="13"/>
      <c r="AX28" s="13"/>
      <c r="AY28" s="13"/>
      <c r="AZ28" s="13"/>
      <c r="BA28" s="105"/>
      <c r="BB28" s="13"/>
      <c r="BC28" s="13"/>
      <c r="BD28" s="13"/>
      <c r="BE28" s="13"/>
      <c r="BF28" s="88"/>
      <c r="BG28" s="88"/>
      <c r="BH28" s="88"/>
      <c r="BI28" s="88"/>
      <c r="BJ28" s="88"/>
      <c r="BK28" s="105"/>
      <c r="BL28" s="105"/>
      <c r="BM28" s="105"/>
      <c r="BN28" s="105"/>
      <c r="BO28" s="105"/>
      <c r="BP28" s="105"/>
      <c r="BQ28" s="79"/>
      <c r="BR28" s="79"/>
      <c r="BS28" s="79"/>
      <c r="BT28" s="79"/>
      <c r="BU28" s="79"/>
      <c r="BV28" s="90"/>
      <c r="BW28" s="106"/>
      <c r="BX28" s="106"/>
      <c r="BY28" s="106"/>
      <c r="BZ28" s="106"/>
      <c r="CA28" s="106"/>
    </row>
    <row r="29" spans="1:79" x14ac:dyDescent="0.35">
      <c r="A29" s="25" t="s">
        <v>43</v>
      </c>
      <c r="B29" s="10" t="s">
        <v>320</v>
      </c>
      <c r="C29" s="10" t="s">
        <v>341</v>
      </c>
      <c r="D29" s="10" t="s">
        <v>346</v>
      </c>
      <c r="E29" s="11">
        <v>45878</v>
      </c>
      <c r="F29" s="17">
        <v>45892</v>
      </c>
      <c r="G29" s="14">
        <f t="shared" ca="1" si="1"/>
        <v>207</v>
      </c>
      <c r="H29" s="17">
        <v>399</v>
      </c>
      <c r="I29" s="17">
        <v>265</v>
      </c>
      <c r="J29" s="75">
        <f t="shared" si="2"/>
        <v>1518</v>
      </c>
      <c r="K29" s="17">
        <v>2000</v>
      </c>
      <c r="L29" s="85">
        <v>482</v>
      </c>
      <c r="M29" s="86">
        <f t="shared" ca="1" si="3"/>
        <v>2.3285024154589373</v>
      </c>
      <c r="N29" s="86">
        <f t="shared" si="4"/>
        <v>0.92883099285538351</v>
      </c>
      <c r="O29" s="86">
        <f t="shared" si="5"/>
        <v>1.4695121951219512</v>
      </c>
      <c r="P29" s="87">
        <f t="shared" si="6"/>
        <v>120.5</v>
      </c>
      <c r="Q29" s="104">
        <f t="shared" si="7"/>
        <v>12.597510373443983</v>
      </c>
      <c r="R29" s="88">
        <f t="shared" si="8"/>
        <v>33.583959899749374</v>
      </c>
      <c r="S29" s="88">
        <f t="shared" si="9"/>
        <v>24.099999999999998</v>
      </c>
      <c r="T29" s="13">
        <f t="shared" si="10"/>
        <v>3</v>
      </c>
      <c r="U29" s="13">
        <f t="shared" si="0"/>
        <v>1</v>
      </c>
      <c r="V29" s="13">
        <f t="shared" si="11"/>
        <v>1</v>
      </c>
      <c r="W29" s="13">
        <f t="shared" ca="1" si="12"/>
        <v>3</v>
      </c>
      <c r="X29" s="13">
        <f t="shared" ca="1" si="13"/>
        <v>8</v>
      </c>
      <c r="Y29" s="81" t="str">
        <f t="shared" ca="1" si="14"/>
        <v>MONITOR</v>
      </c>
      <c r="Z29" s="13">
        <v>14</v>
      </c>
      <c r="AA29" s="75">
        <v>46059</v>
      </c>
      <c r="AB29" s="75">
        <f t="shared" si="15"/>
        <v>45920</v>
      </c>
      <c r="AC29" s="88">
        <f t="shared" si="16"/>
        <v>19.857142857142858</v>
      </c>
      <c r="AD29" s="89" t="str">
        <f t="shared" ca="1" si="17"/>
        <v>STABLE</v>
      </c>
      <c r="AE29" s="89" t="str">
        <f t="shared" si="22"/>
        <v>FAST SELLING</v>
      </c>
      <c r="AF29" s="89" t="str">
        <f t="shared" si="19"/>
        <v>AT RISK</v>
      </c>
      <c r="AG29" s="89" t="str">
        <f t="shared" si="20"/>
        <v>FEASIBLE</v>
      </c>
      <c r="AH29" s="81" t="str">
        <f t="shared" ca="1" si="21"/>
        <v>MONITOR</v>
      </c>
      <c r="AI29" s="75"/>
      <c r="AJ29" s="75"/>
      <c r="AK29" s="13"/>
      <c r="AL29" s="79"/>
      <c r="AM29" s="79"/>
      <c r="AN29" s="79"/>
      <c r="AO29" s="79"/>
      <c r="AP29" s="79"/>
      <c r="AQ29" s="75"/>
      <c r="AR29" s="75"/>
      <c r="AS29" s="75"/>
      <c r="AT29" s="75"/>
      <c r="AU29" s="75"/>
      <c r="AV29" s="13"/>
      <c r="AW29" s="13"/>
      <c r="AX29" s="13"/>
      <c r="AY29" s="13"/>
      <c r="AZ29" s="13"/>
      <c r="BA29" s="105"/>
      <c r="BB29" s="13"/>
      <c r="BC29" s="13"/>
      <c r="BD29" s="13"/>
      <c r="BE29" s="13"/>
      <c r="BF29" s="88"/>
      <c r="BG29" s="88"/>
      <c r="BH29" s="88"/>
      <c r="BI29" s="88"/>
      <c r="BJ29" s="88"/>
      <c r="BK29" s="105"/>
      <c r="BL29" s="105"/>
      <c r="BM29" s="105"/>
      <c r="BN29" s="105"/>
      <c r="BO29" s="105"/>
      <c r="BP29" s="105"/>
      <c r="BQ29" s="79"/>
      <c r="BR29" s="79"/>
      <c r="BS29" s="79"/>
      <c r="BT29" s="79"/>
      <c r="BU29" s="79"/>
      <c r="BV29" s="90"/>
      <c r="BW29" s="106"/>
      <c r="BX29" s="106"/>
      <c r="BY29" s="106"/>
      <c r="BZ29" s="106"/>
      <c r="CA29" s="106"/>
    </row>
    <row r="30" spans="1:79" x14ac:dyDescent="0.35">
      <c r="A30" s="25" t="s">
        <v>44</v>
      </c>
      <c r="B30" s="10" t="s">
        <v>320</v>
      </c>
      <c r="C30" s="10" t="s">
        <v>341</v>
      </c>
      <c r="D30" s="10" t="s">
        <v>346</v>
      </c>
      <c r="E30" s="11">
        <v>45948</v>
      </c>
      <c r="F30" s="17">
        <v>45892</v>
      </c>
      <c r="G30" s="14">
        <f t="shared" ca="1" si="1"/>
        <v>207</v>
      </c>
      <c r="H30" s="17">
        <v>399</v>
      </c>
      <c r="I30" s="17">
        <v>265</v>
      </c>
      <c r="J30" s="75">
        <f t="shared" si="2"/>
        <v>1142</v>
      </c>
      <c r="K30" s="17">
        <v>2000</v>
      </c>
      <c r="L30" s="85">
        <v>858</v>
      </c>
      <c r="M30" s="86">
        <f t="shared" ca="1" si="3"/>
        <v>4.1449275362318838</v>
      </c>
      <c r="N30" s="86">
        <f t="shared" si="4"/>
        <v>0.92883099285538351</v>
      </c>
      <c r="O30" s="86">
        <f t="shared" si="5"/>
        <v>2.6158536585365852</v>
      </c>
      <c r="P30" s="87">
        <f t="shared" si="6"/>
        <v>214.5</v>
      </c>
      <c r="Q30" s="104">
        <f t="shared" si="7"/>
        <v>5.3240093240093236</v>
      </c>
      <c r="R30" s="88">
        <f t="shared" si="8"/>
        <v>33.583959899749374</v>
      </c>
      <c r="S30" s="88">
        <f t="shared" si="9"/>
        <v>42.9</v>
      </c>
      <c r="T30" s="13">
        <f t="shared" si="10"/>
        <v>3</v>
      </c>
      <c r="U30" s="13">
        <f t="shared" si="0"/>
        <v>2</v>
      </c>
      <c r="V30" s="13">
        <f t="shared" si="11"/>
        <v>1</v>
      </c>
      <c r="W30" s="13">
        <f t="shared" ca="1" si="12"/>
        <v>3</v>
      </c>
      <c r="X30" s="13">
        <f t="shared" ca="1" si="13"/>
        <v>9</v>
      </c>
      <c r="Y30" s="81" t="str">
        <f t="shared" ca="1" si="14"/>
        <v>RE-BUY</v>
      </c>
      <c r="Z30" s="13">
        <v>14</v>
      </c>
      <c r="AA30" s="75">
        <v>46059</v>
      </c>
      <c r="AB30" s="75">
        <f t="shared" si="15"/>
        <v>45920</v>
      </c>
      <c r="AC30" s="88">
        <f t="shared" si="16"/>
        <v>19.857142857142858</v>
      </c>
      <c r="AD30" s="89" t="str">
        <f t="shared" ca="1" si="17"/>
        <v>STABLE</v>
      </c>
      <c r="AE30" s="89" t="str">
        <f t="shared" si="22"/>
        <v>FAST SELLING</v>
      </c>
      <c r="AF30" s="89" t="str">
        <f t="shared" si="19"/>
        <v>AT RISK</v>
      </c>
      <c r="AG30" s="89" t="str">
        <f t="shared" si="20"/>
        <v>FEASIBLE</v>
      </c>
      <c r="AH30" s="81" t="str">
        <f t="shared" ca="1" si="21"/>
        <v>IMMEDIATE REBUY</v>
      </c>
      <c r="AI30" s="75"/>
      <c r="AJ30" s="75"/>
      <c r="AK30" s="13"/>
      <c r="AL30" s="79"/>
      <c r="AM30" s="79"/>
      <c r="AN30" s="79"/>
      <c r="AO30" s="79"/>
      <c r="AP30" s="79"/>
      <c r="AQ30" s="75"/>
      <c r="AR30" s="75"/>
      <c r="AS30" s="75"/>
      <c r="AT30" s="75"/>
      <c r="AU30" s="75"/>
      <c r="AV30" s="13"/>
      <c r="AW30" s="13"/>
      <c r="AX30" s="13"/>
      <c r="AY30" s="13"/>
      <c r="AZ30" s="13"/>
      <c r="BA30" s="105"/>
      <c r="BB30" s="13"/>
      <c r="BC30" s="13"/>
      <c r="BD30" s="13"/>
      <c r="BE30" s="13"/>
      <c r="BF30" s="88"/>
      <c r="BG30" s="88"/>
      <c r="BH30" s="88"/>
      <c r="BI30" s="88"/>
      <c r="BJ30" s="88"/>
      <c r="BK30" s="105"/>
      <c r="BL30" s="105"/>
      <c r="BM30" s="105"/>
      <c r="BN30" s="105"/>
      <c r="BO30" s="105"/>
      <c r="BP30" s="105"/>
      <c r="BQ30" s="79"/>
      <c r="BR30" s="79"/>
      <c r="BS30" s="79"/>
      <c r="BT30" s="79"/>
      <c r="BU30" s="79"/>
      <c r="BV30" s="90"/>
      <c r="BW30" s="106"/>
      <c r="BX30" s="106"/>
      <c r="BY30" s="106"/>
      <c r="BZ30" s="106"/>
      <c r="CA30" s="106"/>
    </row>
    <row r="31" spans="1:79" x14ac:dyDescent="0.35">
      <c r="A31" s="25" t="s">
        <v>45</v>
      </c>
      <c r="B31" s="10" t="s">
        <v>320</v>
      </c>
      <c r="C31" s="10" t="s">
        <v>341</v>
      </c>
      <c r="D31" s="10" t="s">
        <v>346</v>
      </c>
      <c r="E31" s="11">
        <v>45878</v>
      </c>
      <c r="F31" s="17">
        <v>45892</v>
      </c>
      <c r="G31" s="14">
        <f t="shared" ca="1" si="1"/>
        <v>207</v>
      </c>
      <c r="H31" s="17">
        <v>399</v>
      </c>
      <c r="I31" s="17">
        <v>265</v>
      </c>
      <c r="J31" s="75">
        <f t="shared" si="2"/>
        <v>1642</v>
      </c>
      <c r="K31" s="17">
        <v>2000</v>
      </c>
      <c r="L31" s="85">
        <v>358</v>
      </c>
      <c r="M31" s="86">
        <f t="shared" ca="1" si="3"/>
        <v>1.7294685990338163</v>
      </c>
      <c r="N31" s="86">
        <f t="shared" si="4"/>
        <v>0.92883099285538351</v>
      </c>
      <c r="O31" s="86">
        <f t="shared" si="5"/>
        <v>1.0914634146341464</v>
      </c>
      <c r="P31" s="87">
        <f t="shared" si="6"/>
        <v>89.5</v>
      </c>
      <c r="Q31" s="104">
        <f t="shared" si="7"/>
        <v>18.346368715083798</v>
      </c>
      <c r="R31" s="88">
        <f t="shared" si="8"/>
        <v>33.583959899749374</v>
      </c>
      <c r="S31" s="88">
        <f t="shared" si="9"/>
        <v>17.899999999999999</v>
      </c>
      <c r="T31" s="13">
        <f t="shared" si="10"/>
        <v>3</v>
      </c>
      <c r="U31" s="13">
        <f t="shared" si="0"/>
        <v>1</v>
      </c>
      <c r="V31" s="13">
        <f t="shared" si="11"/>
        <v>1</v>
      </c>
      <c r="W31" s="13">
        <f t="shared" ca="1" si="12"/>
        <v>3</v>
      </c>
      <c r="X31" s="13">
        <f t="shared" ca="1" si="13"/>
        <v>8</v>
      </c>
      <c r="Y31" s="81" t="str">
        <f t="shared" ca="1" si="14"/>
        <v>MONITOR</v>
      </c>
      <c r="Z31" s="13">
        <v>14</v>
      </c>
      <c r="AA31" s="75">
        <v>46059</v>
      </c>
      <c r="AB31" s="75">
        <f t="shared" si="15"/>
        <v>45920</v>
      </c>
      <c r="AC31" s="88">
        <f t="shared" si="16"/>
        <v>19.857142857142858</v>
      </c>
      <c r="AD31" s="89" t="str">
        <f t="shared" ca="1" si="17"/>
        <v>STABLE</v>
      </c>
      <c r="AE31" s="89" t="str">
        <f t="shared" si="22"/>
        <v>FAST SELLING</v>
      </c>
      <c r="AF31" s="89" t="str">
        <f t="shared" si="19"/>
        <v>AT RISK</v>
      </c>
      <c r="AG31" s="89" t="str">
        <f t="shared" si="20"/>
        <v>FEASIBLE</v>
      </c>
      <c r="AH31" s="81" t="str">
        <f t="shared" ca="1" si="21"/>
        <v>MONITOR</v>
      </c>
      <c r="AI31" s="75"/>
      <c r="AJ31" s="75"/>
      <c r="AK31" s="13"/>
      <c r="AL31" s="79"/>
      <c r="AM31" s="79"/>
      <c r="AN31" s="79"/>
      <c r="AO31" s="79"/>
      <c r="AP31" s="79"/>
      <c r="AQ31" s="75"/>
      <c r="AR31" s="75"/>
      <c r="AS31" s="75"/>
      <c r="AT31" s="75"/>
      <c r="AU31" s="75"/>
      <c r="AV31" s="13"/>
      <c r="AW31" s="13"/>
      <c r="AX31" s="13"/>
      <c r="AY31" s="13"/>
      <c r="AZ31" s="13"/>
      <c r="BA31" s="105"/>
      <c r="BB31" s="13"/>
      <c r="BC31" s="13"/>
      <c r="BD31" s="13"/>
      <c r="BE31" s="13"/>
      <c r="BF31" s="88"/>
      <c r="BG31" s="88"/>
      <c r="BH31" s="88"/>
      <c r="BI31" s="88"/>
      <c r="BJ31" s="88"/>
      <c r="BK31" s="105"/>
      <c r="BL31" s="105"/>
      <c r="BM31" s="105"/>
      <c r="BN31" s="105"/>
      <c r="BO31" s="105"/>
      <c r="BP31" s="105"/>
      <c r="BQ31" s="79"/>
      <c r="BR31" s="79"/>
      <c r="BS31" s="79"/>
      <c r="BT31" s="79"/>
      <c r="BU31" s="79"/>
      <c r="BV31" s="90"/>
      <c r="BW31" s="106"/>
      <c r="BX31" s="106"/>
      <c r="BY31" s="106"/>
      <c r="BZ31" s="106"/>
      <c r="CA31" s="106"/>
    </row>
    <row r="32" spans="1:79" x14ac:dyDescent="0.35">
      <c r="A32" s="25" t="s">
        <v>46</v>
      </c>
      <c r="B32" s="10" t="s">
        <v>320</v>
      </c>
      <c r="C32" s="10" t="s">
        <v>341</v>
      </c>
      <c r="D32" s="10" t="s">
        <v>346</v>
      </c>
      <c r="E32" s="11">
        <v>45878</v>
      </c>
      <c r="F32" s="17">
        <v>45892</v>
      </c>
      <c r="G32" s="14">
        <f t="shared" ca="1" si="1"/>
        <v>207</v>
      </c>
      <c r="H32" s="17">
        <v>399</v>
      </c>
      <c r="I32" s="17">
        <v>265</v>
      </c>
      <c r="J32" s="75">
        <f t="shared" si="2"/>
        <v>1579</v>
      </c>
      <c r="K32" s="17">
        <v>2000</v>
      </c>
      <c r="L32" s="85">
        <v>421</v>
      </c>
      <c r="M32" s="86">
        <f t="shared" ca="1" si="3"/>
        <v>2.0338164251207731</v>
      </c>
      <c r="N32" s="86">
        <f t="shared" si="4"/>
        <v>0.92883099285538351</v>
      </c>
      <c r="O32" s="86">
        <f t="shared" si="5"/>
        <v>1.2835365853658536</v>
      </c>
      <c r="P32" s="87">
        <f t="shared" si="6"/>
        <v>105.25</v>
      </c>
      <c r="Q32" s="104">
        <f t="shared" si="7"/>
        <v>15.002375296912113</v>
      </c>
      <c r="R32" s="88">
        <f t="shared" si="8"/>
        <v>33.583959899749374</v>
      </c>
      <c r="S32" s="88">
        <f t="shared" si="9"/>
        <v>21.05</v>
      </c>
      <c r="T32" s="13">
        <f t="shared" si="10"/>
        <v>3</v>
      </c>
      <c r="U32" s="13">
        <f t="shared" si="0"/>
        <v>1</v>
      </c>
      <c r="V32" s="13">
        <f t="shared" si="11"/>
        <v>1</v>
      </c>
      <c r="W32" s="13">
        <f t="shared" ca="1" si="12"/>
        <v>3</v>
      </c>
      <c r="X32" s="13">
        <f t="shared" ca="1" si="13"/>
        <v>8</v>
      </c>
      <c r="Y32" s="81" t="str">
        <f t="shared" ca="1" si="14"/>
        <v>MONITOR</v>
      </c>
      <c r="Z32" s="13">
        <v>14</v>
      </c>
      <c r="AA32" s="75">
        <v>46059</v>
      </c>
      <c r="AB32" s="75">
        <f t="shared" si="15"/>
        <v>45920</v>
      </c>
      <c r="AC32" s="88">
        <f t="shared" si="16"/>
        <v>19.857142857142858</v>
      </c>
      <c r="AD32" s="89" t="str">
        <f t="shared" ca="1" si="17"/>
        <v>STABLE</v>
      </c>
      <c r="AE32" s="89" t="str">
        <f t="shared" si="22"/>
        <v>FAST SELLING</v>
      </c>
      <c r="AF32" s="89" t="str">
        <f t="shared" si="19"/>
        <v>AT RISK</v>
      </c>
      <c r="AG32" s="89" t="str">
        <f t="shared" si="20"/>
        <v>FEASIBLE</v>
      </c>
      <c r="AH32" s="81" t="str">
        <f t="shared" ca="1" si="21"/>
        <v>MONITOR</v>
      </c>
      <c r="AI32" s="75"/>
      <c r="AJ32" s="75"/>
      <c r="AK32" s="13"/>
      <c r="AL32" s="79"/>
      <c r="AM32" s="79"/>
      <c r="AN32" s="79"/>
      <c r="AO32" s="79"/>
      <c r="AP32" s="79"/>
      <c r="AQ32" s="75"/>
      <c r="AR32" s="75"/>
      <c r="AS32" s="75"/>
      <c r="AT32" s="75"/>
      <c r="AU32" s="75"/>
      <c r="AV32" s="13"/>
      <c r="AW32" s="13"/>
      <c r="AX32" s="13"/>
      <c r="AY32" s="13"/>
      <c r="AZ32" s="13"/>
      <c r="BA32" s="105"/>
      <c r="BB32" s="13"/>
      <c r="BC32" s="13"/>
      <c r="BD32" s="13"/>
      <c r="BE32" s="13"/>
      <c r="BF32" s="88"/>
      <c r="BG32" s="88"/>
      <c r="BH32" s="88"/>
      <c r="BI32" s="88"/>
      <c r="BJ32" s="88"/>
      <c r="BK32" s="105"/>
      <c r="BL32" s="105"/>
      <c r="BM32" s="105"/>
      <c r="BN32" s="105"/>
      <c r="BO32" s="105"/>
      <c r="BP32" s="105"/>
      <c r="BQ32" s="79"/>
      <c r="BR32" s="79"/>
      <c r="BS32" s="79"/>
      <c r="BT32" s="79"/>
      <c r="BU32" s="79"/>
      <c r="BV32" s="90"/>
      <c r="BW32" s="106"/>
      <c r="BX32" s="106"/>
      <c r="BY32" s="106"/>
      <c r="BZ32" s="106"/>
      <c r="CA32" s="106"/>
    </row>
    <row r="33" spans="1:79" x14ac:dyDescent="0.35">
      <c r="A33" s="25" t="s">
        <v>47</v>
      </c>
      <c r="B33" s="10" t="s">
        <v>320</v>
      </c>
      <c r="C33" s="10" t="s">
        <v>341</v>
      </c>
      <c r="D33" s="10" t="s">
        <v>346</v>
      </c>
      <c r="E33" s="11">
        <v>45927</v>
      </c>
      <c r="F33" s="17">
        <v>45892</v>
      </c>
      <c r="G33" s="14">
        <f t="shared" ca="1" si="1"/>
        <v>207</v>
      </c>
      <c r="H33" s="17">
        <v>399</v>
      </c>
      <c r="I33" s="17">
        <v>265</v>
      </c>
      <c r="J33" s="75">
        <f t="shared" si="2"/>
        <v>1446</v>
      </c>
      <c r="K33" s="17">
        <v>2000</v>
      </c>
      <c r="L33" s="85">
        <v>554</v>
      </c>
      <c r="M33" s="86">
        <f t="shared" ca="1" si="3"/>
        <v>2.6763285024154588</v>
      </c>
      <c r="N33" s="86">
        <f t="shared" si="4"/>
        <v>0.92883099285538351</v>
      </c>
      <c r="O33" s="86">
        <f t="shared" si="5"/>
        <v>1.6890243902439024</v>
      </c>
      <c r="P33" s="87">
        <f t="shared" si="6"/>
        <v>138.5</v>
      </c>
      <c r="Q33" s="104">
        <f t="shared" si="7"/>
        <v>10.440433212996389</v>
      </c>
      <c r="R33" s="88">
        <f t="shared" si="8"/>
        <v>33.583959899749374</v>
      </c>
      <c r="S33" s="88">
        <f t="shared" si="9"/>
        <v>27.700000000000003</v>
      </c>
      <c r="T33" s="13">
        <f t="shared" si="10"/>
        <v>3</v>
      </c>
      <c r="U33" s="13">
        <f t="shared" si="0"/>
        <v>1</v>
      </c>
      <c r="V33" s="13">
        <f t="shared" si="11"/>
        <v>1</v>
      </c>
      <c r="W33" s="13">
        <f t="shared" ca="1" si="12"/>
        <v>3</v>
      </c>
      <c r="X33" s="13">
        <f t="shared" ca="1" si="13"/>
        <v>8</v>
      </c>
      <c r="Y33" s="81" t="str">
        <f t="shared" ca="1" si="14"/>
        <v>MONITOR</v>
      </c>
      <c r="Z33" s="13">
        <v>14</v>
      </c>
      <c r="AA33" s="75">
        <v>46059</v>
      </c>
      <c r="AB33" s="75">
        <f t="shared" si="15"/>
        <v>45920</v>
      </c>
      <c r="AC33" s="88">
        <f t="shared" si="16"/>
        <v>19.857142857142858</v>
      </c>
      <c r="AD33" s="89" t="str">
        <f t="shared" ca="1" si="17"/>
        <v>STABLE</v>
      </c>
      <c r="AE33" s="89" t="str">
        <f t="shared" si="22"/>
        <v>FAST SELLING</v>
      </c>
      <c r="AF33" s="89" t="str">
        <f t="shared" si="19"/>
        <v>AT RISK</v>
      </c>
      <c r="AG33" s="89" t="str">
        <f t="shared" si="20"/>
        <v>FEASIBLE</v>
      </c>
      <c r="AH33" s="81" t="str">
        <f t="shared" ca="1" si="21"/>
        <v>MONITOR</v>
      </c>
      <c r="AI33" s="75"/>
      <c r="AJ33" s="75"/>
      <c r="AK33" s="13"/>
      <c r="AL33" s="79"/>
      <c r="AM33" s="79"/>
      <c r="AN33" s="79"/>
      <c r="AO33" s="79"/>
      <c r="AP33" s="79"/>
      <c r="AQ33" s="75"/>
      <c r="AR33" s="75"/>
      <c r="AS33" s="75"/>
      <c r="AT33" s="75"/>
      <c r="AU33" s="75"/>
      <c r="AV33" s="13"/>
      <c r="AW33" s="13"/>
      <c r="AX33" s="13"/>
      <c r="AY33" s="13"/>
      <c r="AZ33" s="13"/>
      <c r="BA33" s="105"/>
      <c r="BB33" s="13"/>
      <c r="BC33" s="13"/>
      <c r="BD33" s="13"/>
      <c r="BE33" s="13"/>
      <c r="BF33" s="88"/>
      <c r="BG33" s="88"/>
      <c r="BH33" s="88"/>
      <c r="BI33" s="88"/>
      <c r="BJ33" s="88"/>
      <c r="BK33" s="105"/>
      <c r="BL33" s="105"/>
      <c r="BM33" s="105"/>
      <c r="BN33" s="105"/>
      <c r="BO33" s="105"/>
      <c r="BP33" s="105"/>
      <c r="BQ33" s="79"/>
      <c r="BR33" s="79"/>
      <c r="BS33" s="79"/>
      <c r="BT33" s="79"/>
      <c r="BU33" s="79"/>
      <c r="BV33" s="90"/>
      <c r="BW33" s="106"/>
      <c r="BX33" s="106"/>
      <c r="BY33" s="106"/>
      <c r="BZ33" s="106"/>
      <c r="CA33" s="106"/>
    </row>
    <row r="34" spans="1:79" x14ac:dyDescent="0.35">
      <c r="A34" s="25" t="s">
        <v>48</v>
      </c>
      <c r="B34" s="10" t="s">
        <v>320</v>
      </c>
      <c r="C34" s="10" t="s">
        <v>341</v>
      </c>
      <c r="D34" s="10" t="s">
        <v>346</v>
      </c>
      <c r="E34" s="11">
        <v>45878</v>
      </c>
      <c r="F34" s="17">
        <v>45892</v>
      </c>
      <c r="G34" s="14">
        <f t="shared" ca="1" si="1"/>
        <v>207</v>
      </c>
      <c r="H34" s="17">
        <v>399</v>
      </c>
      <c r="I34" s="17">
        <v>265</v>
      </c>
      <c r="J34" s="75">
        <f t="shared" si="2"/>
        <v>1395</v>
      </c>
      <c r="K34" s="17">
        <v>2000</v>
      </c>
      <c r="L34" s="85">
        <v>605</v>
      </c>
      <c r="M34" s="86">
        <f t="shared" ca="1" si="3"/>
        <v>2.9227053140096619</v>
      </c>
      <c r="N34" s="86">
        <f t="shared" si="4"/>
        <v>0.92883099285538351</v>
      </c>
      <c r="O34" s="86">
        <f t="shared" si="5"/>
        <v>1.8445121951219512</v>
      </c>
      <c r="P34" s="87">
        <f t="shared" si="6"/>
        <v>151.25</v>
      </c>
      <c r="Q34" s="104">
        <f t="shared" si="7"/>
        <v>9.223140495867769</v>
      </c>
      <c r="R34" s="88">
        <f t="shared" si="8"/>
        <v>33.583959899749374</v>
      </c>
      <c r="S34" s="88">
        <f t="shared" si="9"/>
        <v>30.25</v>
      </c>
      <c r="T34" s="13">
        <f t="shared" si="10"/>
        <v>3</v>
      </c>
      <c r="U34" s="13">
        <f t="shared" si="0"/>
        <v>1</v>
      </c>
      <c r="V34" s="13">
        <f t="shared" si="11"/>
        <v>1</v>
      </c>
      <c r="W34" s="13">
        <f t="shared" ca="1" si="12"/>
        <v>3</v>
      </c>
      <c r="X34" s="13">
        <f t="shared" ca="1" si="13"/>
        <v>8</v>
      </c>
      <c r="Y34" s="81" t="str">
        <f t="shared" ca="1" si="14"/>
        <v>MONITOR</v>
      </c>
      <c r="Z34" s="13">
        <v>14</v>
      </c>
      <c r="AA34" s="75">
        <v>46059</v>
      </c>
      <c r="AB34" s="75">
        <f t="shared" si="15"/>
        <v>45920</v>
      </c>
      <c r="AC34" s="88">
        <f t="shared" si="16"/>
        <v>19.857142857142858</v>
      </c>
      <c r="AD34" s="89" t="str">
        <f t="shared" ca="1" si="17"/>
        <v>STABLE</v>
      </c>
      <c r="AE34" s="89" t="str">
        <f t="shared" si="22"/>
        <v>FAST SELLING</v>
      </c>
      <c r="AF34" s="89" t="str">
        <f t="shared" si="19"/>
        <v>AT RISK</v>
      </c>
      <c r="AG34" s="89" t="str">
        <f t="shared" si="20"/>
        <v>FEASIBLE</v>
      </c>
      <c r="AH34" s="81" t="str">
        <f t="shared" ca="1" si="21"/>
        <v>MONITOR</v>
      </c>
      <c r="AI34" s="75"/>
      <c r="AJ34" s="75"/>
      <c r="AK34" s="13"/>
      <c r="AL34" s="79"/>
      <c r="AM34" s="79"/>
      <c r="AN34" s="79"/>
      <c r="AO34" s="79"/>
      <c r="AP34" s="79"/>
      <c r="AQ34" s="75"/>
      <c r="AR34" s="75"/>
      <c r="AS34" s="75"/>
      <c r="AT34" s="75"/>
      <c r="AU34" s="75"/>
      <c r="AV34" s="13"/>
      <c r="AW34" s="13"/>
      <c r="AX34" s="13"/>
      <c r="AY34" s="13"/>
      <c r="AZ34" s="13"/>
      <c r="BA34" s="105"/>
      <c r="BB34" s="13"/>
      <c r="BC34" s="13"/>
      <c r="BD34" s="13"/>
      <c r="BE34" s="13"/>
      <c r="BF34" s="88"/>
      <c r="BG34" s="88"/>
      <c r="BH34" s="88"/>
      <c r="BI34" s="88"/>
      <c r="BJ34" s="88"/>
      <c r="BK34" s="105"/>
      <c r="BL34" s="105"/>
      <c r="BM34" s="105"/>
      <c r="BN34" s="105"/>
      <c r="BO34" s="105"/>
      <c r="BP34" s="105"/>
      <c r="BQ34" s="79"/>
      <c r="BR34" s="79"/>
      <c r="BS34" s="79"/>
      <c r="BT34" s="79"/>
      <c r="BU34" s="79"/>
      <c r="BV34" s="90"/>
      <c r="BW34" s="106"/>
      <c r="BX34" s="106"/>
      <c r="BY34" s="106"/>
      <c r="BZ34" s="106"/>
      <c r="CA34" s="106"/>
    </row>
    <row r="35" spans="1:79" x14ac:dyDescent="0.35">
      <c r="A35" s="25" t="s">
        <v>49</v>
      </c>
      <c r="B35" s="10" t="s">
        <v>320</v>
      </c>
      <c r="C35" s="10" t="s">
        <v>341</v>
      </c>
      <c r="D35" s="10" t="s">
        <v>346</v>
      </c>
      <c r="E35" s="11">
        <v>45927</v>
      </c>
      <c r="F35" s="17">
        <v>45892</v>
      </c>
      <c r="G35" s="14">
        <f t="shared" ca="1" si="1"/>
        <v>207</v>
      </c>
      <c r="H35" s="17">
        <v>399</v>
      </c>
      <c r="I35" s="17">
        <v>265</v>
      </c>
      <c r="J35" s="75">
        <f t="shared" si="2"/>
        <v>1402</v>
      </c>
      <c r="K35" s="17">
        <v>2200</v>
      </c>
      <c r="L35" s="85">
        <v>798</v>
      </c>
      <c r="M35" s="86">
        <f t="shared" ca="1" si="3"/>
        <v>3.8550724637681157</v>
      </c>
      <c r="N35" s="86">
        <f t="shared" si="4"/>
        <v>0.92883099285538351</v>
      </c>
      <c r="O35" s="86">
        <f t="shared" si="5"/>
        <v>2.4329268292682928</v>
      </c>
      <c r="P35" s="87">
        <f t="shared" si="6"/>
        <v>199.5</v>
      </c>
      <c r="Q35" s="104">
        <f t="shared" si="7"/>
        <v>7.0275689223057647</v>
      </c>
      <c r="R35" s="88">
        <f t="shared" si="8"/>
        <v>33.583959899749374</v>
      </c>
      <c r="S35" s="88">
        <f t="shared" si="9"/>
        <v>36.272727272727273</v>
      </c>
      <c r="T35" s="13">
        <f t="shared" si="10"/>
        <v>3</v>
      </c>
      <c r="U35" s="13">
        <f t="shared" si="0"/>
        <v>1</v>
      </c>
      <c r="V35" s="13">
        <f t="shared" si="11"/>
        <v>1</v>
      </c>
      <c r="W35" s="13">
        <f t="shared" ca="1" si="12"/>
        <v>3</v>
      </c>
      <c r="X35" s="13">
        <f t="shared" ca="1" si="13"/>
        <v>8</v>
      </c>
      <c r="Y35" s="81" t="str">
        <f t="shared" ca="1" si="14"/>
        <v>MONITOR</v>
      </c>
      <c r="Z35" s="13">
        <v>14</v>
      </c>
      <c r="AA35" s="75">
        <v>46059</v>
      </c>
      <c r="AB35" s="75">
        <f t="shared" si="15"/>
        <v>45920</v>
      </c>
      <c r="AC35" s="88">
        <f t="shared" si="16"/>
        <v>19.857142857142858</v>
      </c>
      <c r="AD35" s="89" t="str">
        <f t="shared" ca="1" si="17"/>
        <v>STABLE</v>
      </c>
      <c r="AE35" s="89" t="str">
        <f t="shared" si="22"/>
        <v>FAST SELLING</v>
      </c>
      <c r="AF35" s="89" t="str">
        <f t="shared" si="19"/>
        <v>AT RISK</v>
      </c>
      <c r="AG35" s="89" t="str">
        <f t="shared" si="20"/>
        <v>FEASIBLE</v>
      </c>
      <c r="AH35" s="81" t="str">
        <f t="shared" ca="1" si="21"/>
        <v>MONITOR</v>
      </c>
      <c r="AI35" s="75"/>
      <c r="AJ35" s="75"/>
      <c r="AK35" s="13"/>
      <c r="AL35" s="79"/>
      <c r="AM35" s="79"/>
      <c r="AN35" s="79"/>
      <c r="AO35" s="79"/>
      <c r="AP35" s="79"/>
      <c r="AQ35" s="75"/>
      <c r="AR35" s="75"/>
      <c r="AS35" s="75"/>
      <c r="AT35" s="75"/>
      <c r="AU35" s="75"/>
      <c r="AV35" s="13"/>
      <c r="AW35" s="13"/>
      <c r="AX35" s="13"/>
      <c r="AY35" s="13"/>
      <c r="AZ35" s="13"/>
      <c r="BA35" s="105"/>
      <c r="BB35" s="13"/>
      <c r="BC35" s="13"/>
      <c r="BD35" s="13"/>
      <c r="BE35" s="13"/>
      <c r="BF35" s="88"/>
      <c r="BG35" s="88"/>
      <c r="BH35" s="88"/>
      <c r="BI35" s="88"/>
      <c r="BJ35" s="88"/>
      <c r="BK35" s="105"/>
      <c r="BL35" s="105"/>
      <c r="BM35" s="105"/>
      <c r="BN35" s="105"/>
      <c r="BO35" s="105"/>
      <c r="BP35" s="105"/>
      <c r="BQ35" s="79"/>
      <c r="BR35" s="79"/>
      <c r="BS35" s="79"/>
      <c r="BT35" s="79"/>
      <c r="BU35" s="79"/>
      <c r="BV35" s="90"/>
      <c r="BW35" s="106"/>
      <c r="BX35" s="106"/>
      <c r="BY35" s="106"/>
      <c r="BZ35" s="106"/>
      <c r="CA35" s="106"/>
    </row>
    <row r="36" spans="1:79" x14ac:dyDescent="0.35">
      <c r="A36" s="25" t="s">
        <v>50</v>
      </c>
      <c r="B36" s="10" t="s">
        <v>320</v>
      </c>
      <c r="C36" s="10" t="s">
        <v>341</v>
      </c>
      <c r="D36" s="10" t="s">
        <v>346</v>
      </c>
      <c r="E36" s="11">
        <v>45976</v>
      </c>
      <c r="F36" s="17">
        <v>45892</v>
      </c>
      <c r="G36" s="14">
        <f t="shared" ca="1" si="1"/>
        <v>207</v>
      </c>
      <c r="H36" s="17">
        <v>399</v>
      </c>
      <c r="I36" s="17">
        <v>265</v>
      </c>
      <c r="J36" s="75">
        <f t="shared" si="2"/>
        <v>1538</v>
      </c>
      <c r="K36" s="17">
        <v>2000</v>
      </c>
      <c r="L36" s="85">
        <v>462</v>
      </c>
      <c r="M36" s="86">
        <f t="shared" ca="1" si="3"/>
        <v>2.2318840579710146</v>
      </c>
      <c r="N36" s="86">
        <f t="shared" si="4"/>
        <v>0.92883099285538351</v>
      </c>
      <c r="O36" s="86">
        <f t="shared" si="5"/>
        <v>1.4085365853658536</v>
      </c>
      <c r="P36" s="87">
        <f t="shared" si="6"/>
        <v>115.5</v>
      </c>
      <c r="Q36" s="104">
        <f t="shared" si="7"/>
        <v>13.316017316017316</v>
      </c>
      <c r="R36" s="88">
        <f t="shared" si="8"/>
        <v>33.583959899749374</v>
      </c>
      <c r="S36" s="88">
        <f t="shared" si="9"/>
        <v>23.1</v>
      </c>
      <c r="T36" s="13">
        <f t="shared" si="10"/>
        <v>3</v>
      </c>
      <c r="U36" s="13">
        <f t="shared" si="0"/>
        <v>1</v>
      </c>
      <c r="V36" s="13">
        <f t="shared" si="11"/>
        <v>1</v>
      </c>
      <c r="W36" s="13">
        <f t="shared" ca="1" si="12"/>
        <v>3</v>
      </c>
      <c r="X36" s="13">
        <f t="shared" ca="1" si="13"/>
        <v>8</v>
      </c>
      <c r="Y36" s="81" t="str">
        <f t="shared" ca="1" si="14"/>
        <v>MONITOR</v>
      </c>
      <c r="Z36" s="13">
        <v>14</v>
      </c>
      <c r="AA36" s="75">
        <v>46059</v>
      </c>
      <c r="AB36" s="75">
        <f t="shared" si="15"/>
        <v>45920</v>
      </c>
      <c r="AC36" s="88">
        <f t="shared" si="16"/>
        <v>19.857142857142858</v>
      </c>
      <c r="AD36" s="89" t="str">
        <f t="shared" ca="1" si="17"/>
        <v>STABLE</v>
      </c>
      <c r="AE36" s="89" t="str">
        <f t="shared" si="22"/>
        <v>FAST SELLING</v>
      </c>
      <c r="AF36" s="89" t="str">
        <f t="shared" si="19"/>
        <v>AT RISK</v>
      </c>
      <c r="AG36" s="89" t="str">
        <f t="shared" si="20"/>
        <v>FEASIBLE</v>
      </c>
      <c r="AH36" s="81" t="str">
        <f t="shared" ca="1" si="21"/>
        <v>MONITOR</v>
      </c>
      <c r="AI36" s="75"/>
      <c r="AJ36" s="75"/>
      <c r="AK36" s="13"/>
      <c r="AL36" s="79"/>
      <c r="AM36" s="79"/>
      <c r="AN36" s="79"/>
      <c r="AO36" s="79"/>
      <c r="AP36" s="79"/>
      <c r="AQ36" s="75"/>
      <c r="AR36" s="75"/>
      <c r="AS36" s="75"/>
      <c r="AT36" s="75"/>
      <c r="AU36" s="75"/>
      <c r="AV36" s="13"/>
      <c r="AW36" s="13"/>
      <c r="AX36" s="13"/>
      <c r="AY36" s="13"/>
      <c r="AZ36" s="13"/>
      <c r="BA36" s="105"/>
      <c r="BB36" s="13"/>
      <c r="BC36" s="13"/>
      <c r="BD36" s="13"/>
      <c r="BE36" s="13"/>
      <c r="BF36" s="88"/>
      <c r="BG36" s="88"/>
      <c r="BH36" s="88"/>
      <c r="BI36" s="88"/>
      <c r="BJ36" s="88"/>
      <c r="BK36" s="105"/>
      <c r="BL36" s="105"/>
      <c r="BM36" s="105"/>
      <c r="BN36" s="105"/>
      <c r="BO36" s="105"/>
      <c r="BP36" s="105"/>
      <c r="BQ36" s="79"/>
      <c r="BR36" s="79"/>
      <c r="BS36" s="79"/>
      <c r="BT36" s="79"/>
      <c r="BU36" s="79"/>
      <c r="BV36" s="90"/>
      <c r="BW36" s="106"/>
      <c r="BX36" s="106"/>
      <c r="BY36" s="106"/>
      <c r="BZ36" s="106"/>
      <c r="CA36" s="106"/>
    </row>
    <row r="37" spans="1:79" x14ac:dyDescent="0.35">
      <c r="A37" s="25" t="s">
        <v>51</v>
      </c>
      <c r="B37" s="10" t="s">
        <v>320</v>
      </c>
      <c r="C37" s="10" t="s">
        <v>341</v>
      </c>
      <c r="D37" s="10" t="s">
        <v>346</v>
      </c>
      <c r="E37" s="11">
        <v>45878</v>
      </c>
      <c r="F37" s="17">
        <v>45892</v>
      </c>
      <c r="G37" s="14">
        <f t="shared" ca="1" si="1"/>
        <v>207</v>
      </c>
      <c r="H37" s="17">
        <v>399</v>
      </c>
      <c r="I37" s="17">
        <v>265</v>
      </c>
      <c r="J37" s="75">
        <f t="shared" si="2"/>
        <v>1907</v>
      </c>
      <c r="K37" s="17">
        <v>2000</v>
      </c>
      <c r="L37" s="85">
        <v>93</v>
      </c>
      <c r="M37" s="86">
        <f t="shared" ca="1" si="3"/>
        <v>0.44927536231884058</v>
      </c>
      <c r="N37" s="86">
        <f t="shared" si="4"/>
        <v>0.92883099285538351</v>
      </c>
      <c r="O37" s="86">
        <f t="shared" si="5"/>
        <v>0.28353658536585363</v>
      </c>
      <c r="P37" s="87">
        <f t="shared" si="6"/>
        <v>23.249999999999996</v>
      </c>
      <c r="Q37" s="104">
        <f t="shared" si="7"/>
        <v>82.021505376344095</v>
      </c>
      <c r="R37" s="88">
        <f t="shared" si="8"/>
        <v>33.583959899749374</v>
      </c>
      <c r="S37" s="88">
        <f t="shared" si="9"/>
        <v>4.6500000000000004</v>
      </c>
      <c r="T37" s="13">
        <f t="shared" si="10"/>
        <v>1</v>
      </c>
      <c r="U37" s="13">
        <f t="shared" si="0"/>
        <v>1</v>
      </c>
      <c r="V37" s="13">
        <f t="shared" si="11"/>
        <v>1</v>
      </c>
      <c r="W37" s="13">
        <f t="shared" ca="1" si="12"/>
        <v>3</v>
      </c>
      <c r="X37" s="13">
        <f t="shared" ca="1" si="13"/>
        <v>6</v>
      </c>
      <c r="Y37" s="81" t="str">
        <f t="shared" ca="1" si="14"/>
        <v>MONITOR</v>
      </c>
      <c r="Z37" s="13">
        <v>14</v>
      </c>
      <c r="AA37" s="75">
        <v>46059</v>
      </c>
      <c r="AB37" s="75">
        <f t="shared" si="15"/>
        <v>45920</v>
      </c>
      <c r="AC37" s="88">
        <f t="shared" si="16"/>
        <v>19.857142857142858</v>
      </c>
      <c r="AD37" s="89" t="str">
        <f t="shared" ca="1" si="17"/>
        <v>STABLE</v>
      </c>
      <c r="AE37" s="89" t="str">
        <f t="shared" si="22"/>
        <v>SLOW SELLING</v>
      </c>
      <c r="AF37" s="89" t="str">
        <f t="shared" si="19"/>
        <v>AT RISK</v>
      </c>
      <c r="AG37" s="89" t="str">
        <f t="shared" si="20"/>
        <v>FEASIBLE</v>
      </c>
      <c r="AH37" s="81" t="str">
        <f t="shared" ca="1" si="21"/>
        <v>MONITOR</v>
      </c>
      <c r="AI37" s="75"/>
      <c r="AJ37" s="75"/>
      <c r="AK37" s="13"/>
      <c r="AL37" s="79"/>
      <c r="AM37" s="79"/>
      <c r="AN37" s="79"/>
      <c r="AO37" s="79"/>
      <c r="AP37" s="79"/>
      <c r="AQ37" s="75"/>
      <c r="AR37" s="75"/>
      <c r="AS37" s="75"/>
      <c r="AT37" s="75"/>
      <c r="AU37" s="75"/>
      <c r="AV37" s="13"/>
      <c r="AW37" s="13"/>
      <c r="AX37" s="13"/>
      <c r="AY37" s="13"/>
      <c r="AZ37" s="13"/>
      <c r="BA37" s="105"/>
      <c r="BB37" s="13"/>
      <c r="BC37" s="13"/>
      <c r="BD37" s="13"/>
      <c r="BE37" s="13"/>
      <c r="BF37" s="88"/>
      <c r="BG37" s="88"/>
      <c r="BH37" s="88"/>
      <c r="BI37" s="88"/>
      <c r="BJ37" s="88"/>
      <c r="BK37" s="105"/>
      <c r="BL37" s="105"/>
      <c r="BM37" s="105"/>
      <c r="BN37" s="105"/>
      <c r="BO37" s="105"/>
      <c r="BP37" s="105"/>
      <c r="BQ37" s="79"/>
      <c r="BR37" s="79"/>
      <c r="BS37" s="79"/>
      <c r="BT37" s="79"/>
      <c r="BU37" s="79"/>
      <c r="BV37" s="90"/>
      <c r="BW37" s="106"/>
      <c r="BX37" s="106"/>
      <c r="BY37" s="106"/>
      <c r="BZ37" s="106"/>
      <c r="CA37" s="106"/>
    </row>
    <row r="38" spans="1:79" x14ac:dyDescent="0.35">
      <c r="A38" s="25" t="s">
        <v>52</v>
      </c>
      <c r="B38" s="10" t="s">
        <v>320</v>
      </c>
      <c r="C38" s="10" t="s">
        <v>341</v>
      </c>
      <c r="D38" s="10" t="s">
        <v>346</v>
      </c>
      <c r="E38" s="11">
        <v>45906</v>
      </c>
      <c r="F38" s="17">
        <v>45892</v>
      </c>
      <c r="G38" s="14">
        <f t="shared" ca="1" si="1"/>
        <v>207</v>
      </c>
      <c r="H38" s="17">
        <v>399</v>
      </c>
      <c r="I38" s="17">
        <v>265</v>
      </c>
      <c r="J38" s="75">
        <f t="shared" si="2"/>
        <v>1542</v>
      </c>
      <c r="K38" s="17">
        <v>2200</v>
      </c>
      <c r="L38" s="85">
        <v>658</v>
      </c>
      <c r="M38" s="86">
        <f t="shared" ca="1" si="3"/>
        <v>3.1787439613526569</v>
      </c>
      <c r="N38" s="86">
        <f t="shared" si="4"/>
        <v>0.92883099285538351</v>
      </c>
      <c r="O38" s="86">
        <f t="shared" si="5"/>
        <v>2.0060975609756095</v>
      </c>
      <c r="P38" s="87">
        <f t="shared" si="6"/>
        <v>164.49999999999997</v>
      </c>
      <c r="Q38" s="104">
        <f t="shared" si="7"/>
        <v>9.373860182370823</v>
      </c>
      <c r="R38" s="88">
        <f t="shared" si="8"/>
        <v>33.583959899749374</v>
      </c>
      <c r="S38" s="88">
        <f t="shared" si="9"/>
        <v>29.909090909090907</v>
      </c>
      <c r="T38" s="13">
        <f t="shared" si="10"/>
        <v>3</v>
      </c>
      <c r="U38" s="13">
        <f t="shared" si="0"/>
        <v>1</v>
      </c>
      <c r="V38" s="13">
        <f t="shared" si="11"/>
        <v>1</v>
      </c>
      <c r="W38" s="13">
        <f t="shared" ca="1" si="12"/>
        <v>3</v>
      </c>
      <c r="X38" s="13">
        <f t="shared" ca="1" si="13"/>
        <v>8</v>
      </c>
      <c r="Y38" s="81" t="str">
        <f t="shared" ca="1" si="14"/>
        <v>MONITOR</v>
      </c>
      <c r="Z38" s="13">
        <v>14</v>
      </c>
      <c r="AA38" s="75">
        <v>46059</v>
      </c>
      <c r="AB38" s="75">
        <f t="shared" si="15"/>
        <v>45920</v>
      </c>
      <c r="AC38" s="88">
        <f t="shared" si="16"/>
        <v>19.857142857142858</v>
      </c>
      <c r="AD38" s="89" t="str">
        <f t="shared" ca="1" si="17"/>
        <v>STABLE</v>
      </c>
      <c r="AE38" s="89" t="str">
        <f t="shared" si="22"/>
        <v>FAST SELLING</v>
      </c>
      <c r="AF38" s="89" t="str">
        <f t="shared" si="19"/>
        <v>AT RISK</v>
      </c>
      <c r="AG38" s="89" t="str">
        <f t="shared" si="20"/>
        <v>FEASIBLE</v>
      </c>
      <c r="AH38" s="81" t="str">
        <f t="shared" ca="1" si="21"/>
        <v>MONITOR</v>
      </c>
      <c r="AI38" s="75"/>
      <c r="AJ38" s="75"/>
      <c r="AK38" s="13"/>
      <c r="AL38" s="79"/>
      <c r="AM38" s="79"/>
      <c r="AN38" s="79"/>
      <c r="AO38" s="79"/>
      <c r="AP38" s="79"/>
      <c r="AQ38" s="75"/>
      <c r="AR38" s="75"/>
      <c r="AS38" s="75"/>
      <c r="AT38" s="75"/>
      <c r="AU38" s="75"/>
      <c r="AV38" s="13"/>
      <c r="AW38" s="13"/>
      <c r="AX38" s="13"/>
      <c r="AY38" s="13"/>
      <c r="AZ38" s="13"/>
      <c r="BA38" s="105"/>
      <c r="BB38" s="13"/>
      <c r="BC38" s="13"/>
      <c r="BD38" s="13"/>
      <c r="BE38" s="13"/>
      <c r="BF38" s="88"/>
      <c r="BG38" s="88"/>
      <c r="BH38" s="88"/>
      <c r="BI38" s="88"/>
      <c r="BJ38" s="88"/>
      <c r="BK38" s="105"/>
      <c r="BL38" s="105"/>
      <c r="BM38" s="105"/>
      <c r="BN38" s="105"/>
      <c r="BO38" s="105"/>
      <c r="BP38" s="105"/>
      <c r="BQ38" s="79"/>
      <c r="BR38" s="79"/>
      <c r="BS38" s="79"/>
      <c r="BT38" s="79"/>
      <c r="BU38" s="79"/>
      <c r="BV38" s="90"/>
      <c r="BW38" s="106"/>
      <c r="BX38" s="106"/>
      <c r="BY38" s="106"/>
      <c r="BZ38" s="106"/>
      <c r="CA38" s="106"/>
    </row>
    <row r="39" spans="1:79" x14ac:dyDescent="0.35">
      <c r="A39" s="25" t="s">
        <v>53</v>
      </c>
      <c r="B39" s="10" t="s">
        <v>320</v>
      </c>
      <c r="C39" s="10" t="s">
        <v>341</v>
      </c>
      <c r="D39" s="10" t="s">
        <v>346</v>
      </c>
      <c r="E39" s="11">
        <v>45906</v>
      </c>
      <c r="F39" s="17">
        <v>45892</v>
      </c>
      <c r="G39" s="14">
        <f t="shared" ca="1" si="1"/>
        <v>207</v>
      </c>
      <c r="H39" s="17">
        <v>399</v>
      </c>
      <c r="I39" s="17">
        <v>265</v>
      </c>
      <c r="J39" s="75">
        <f t="shared" si="2"/>
        <v>966</v>
      </c>
      <c r="K39" s="17">
        <v>2000</v>
      </c>
      <c r="L39" s="85">
        <v>1034</v>
      </c>
      <c r="M39" s="86">
        <f t="shared" ca="1" si="3"/>
        <v>4.9951690821256038</v>
      </c>
      <c r="N39" s="86">
        <f t="shared" si="4"/>
        <v>0.92883099285538351</v>
      </c>
      <c r="O39" s="86">
        <f t="shared" si="5"/>
        <v>3.1524390243902438</v>
      </c>
      <c r="P39" s="87">
        <f t="shared" si="6"/>
        <v>258.5</v>
      </c>
      <c r="Q39" s="104">
        <f t="shared" si="7"/>
        <v>3.736943907156673</v>
      </c>
      <c r="R39" s="88">
        <f t="shared" si="8"/>
        <v>33.583959899749374</v>
      </c>
      <c r="S39" s="88">
        <f t="shared" si="9"/>
        <v>51.7</v>
      </c>
      <c r="T39" s="13">
        <f t="shared" si="10"/>
        <v>3</v>
      </c>
      <c r="U39" s="13">
        <f t="shared" si="0"/>
        <v>3</v>
      </c>
      <c r="V39" s="13">
        <f t="shared" si="11"/>
        <v>1</v>
      </c>
      <c r="W39" s="13">
        <f t="shared" ca="1" si="12"/>
        <v>3</v>
      </c>
      <c r="X39" s="13">
        <f t="shared" ca="1" si="13"/>
        <v>10</v>
      </c>
      <c r="Y39" s="81" t="str">
        <f t="shared" ca="1" si="14"/>
        <v>RE-BUY</v>
      </c>
      <c r="Z39" s="13">
        <v>14</v>
      </c>
      <c r="AA39" s="75">
        <v>46059</v>
      </c>
      <c r="AB39" s="75">
        <f t="shared" si="15"/>
        <v>45920</v>
      </c>
      <c r="AC39" s="88">
        <f t="shared" si="16"/>
        <v>19.857142857142858</v>
      </c>
      <c r="AD39" s="89" t="str">
        <f t="shared" ca="1" si="17"/>
        <v>STABLE</v>
      </c>
      <c r="AE39" s="89" t="str">
        <f t="shared" si="22"/>
        <v>FAST SELLING</v>
      </c>
      <c r="AF39" s="89" t="str">
        <f t="shared" si="19"/>
        <v>AT RISK</v>
      </c>
      <c r="AG39" s="89" t="str">
        <f t="shared" si="20"/>
        <v>FEASIBLE</v>
      </c>
      <c r="AH39" s="81" t="str">
        <f t="shared" ca="1" si="21"/>
        <v>IMMEDIATE REBUY</v>
      </c>
      <c r="AI39" s="75"/>
      <c r="AJ39" s="75"/>
      <c r="AK39" s="13"/>
      <c r="AL39" s="79"/>
      <c r="AM39" s="79"/>
      <c r="AN39" s="79"/>
      <c r="AO39" s="79"/>
      <c r="AP39" s="79"/>
      <c r="AQ39" s="75"/>
      <c r="AR39" s="75"/>
      <c r="AS39" s="75"/>
      <c r="AT39" s="75"/>
      <c r="AU39" s="75"/>
      <c r="AV39" s="13"/>
      <c r="AW39" s="13"/>
      <c r="AX39" s="13"/>
      <c r="AY39" s="13"/>
      <c r="AZ39" s="13"/>
      <c r="BA39" s="105"/>
      <c r="BB39" s="13"/>
      <c r="BC39" s="13"/>
      <c r="BD39" s="13"/>
      <c r="BE39" s="13"/>
      <c r="BF39" s="88"/>
      <c r="BG39" s="88"/>
      <c r="BH39" s="88"/>
      <c r="BI39" s="88"/>
      <c r="BJ39" s="88"/>
      <c r="BK39" s="105"/>
      <c r="BL39" s="105"/>
      <c r="BM39" s="105"/>
      <c r="BN39" s="105"/>
      <c r="BO39" s="105"/>
      <c r="BP39" s="105"/>
      <c r="BQ39" s="79"/>
      <c r="BR39" s="79"/>
      <c r="BS39" s="79"/>
      <c r="BT39" s="79"/>
      <c r="BU39" s="79"/>
      <c r="BV39" s="90"/>
      <c r="BW39" s="106"/>
      <c r="BX39" s="106"/>
      <c r="BY39" s="106"/>
      <c r="BZ39" s="106"/>
      <c r="CA39" s="106"/>
    </row>
    <row r="40" spans="1:79" x14ac:dyDescent="0.35">
      <c r="A40" s="25" t="s">
        <v>54</v>
      </c>
      <c r="B40" s="10" t="s">
        <v>320</v>
      </c>
      <c r="C40" s="10" t="s">
        <v>341</v>
      </c>
      <c r="D40" s="10" t="s">
        <v>346</v>
      </c>
      <c r="E40" s="11">
        <v>45906</v>
      </c>
      <c r="F40" s="17">
        <v>45892</v>
      </c>
      <c r="G40" s="14">
        <f t="shared" ca="1" si="1"/>
        <v>207</v>
      </c>
      <c r="H40" s="17">
        <v>399</v>
      </c>
      <c r="I40" s="17">
        <v>265</v>
      </c>
      <c r="J40" s="75">
        <f t="shared" si="2"/>
        <v>1426</v>
      </c>
      <c r="K40" s="17">
        <v>2200</v>
      </c>
      <c r="L40" s="85">
        <v>774</v>
      </c>
      <c r="M40" s="86">
        <f t="shared" ca="1" si="3"/>
        <v>3.7391304347826089</v>
      </c>
      <c r="N40" s="86">
        <f t="shared" si="4"/>
        <v>0.92883099285538351</v>
      </c>
      <c r="O40" s="86">
        <f t="shared" si="5"/>
        <v>2.3597560975609757</v>
      </c>
      <c r="P40" s="87">
        <f t="shared" si="6"/>
        <v>193.5</v>
      </c>
      <c r="Q40" s="104">
        <f t="shared" si="7"/>
        <v>7.3695090439276489</v>
      </c>
      <c r="R40" s="88">
        <f t="shared" si="8"/>
        <v>33.583959899749374</v>
      </c>
      <c r="S40" s="88">
        <f t="shared" si="9"/>
        <v>35.18181818181818</v>
      </c>
      <c r="T40" s="13">
        <f t="shared" si="10"/>
        <v>3</v>
      </c>
      <c r="U40" s="13">
        <f t="shared" si="0"/>
        <v>1</v>
      </c>
      <c r="V40" s="13">
        <f t="shared" si="11"/>
        <v>1</v>
      </c>
      <c r="W40" s="13">
        <f t="shared" ca="1" si="12"/>
        <v>3</v>
      </c>
      <c r="X40" s="13">
        <f t="shared" ca="1" si="13"/>
        <v>8</v>
      </c>
      <c r="Y40" s="81" t="str">
        <f t="shared" ca="1" si="14"/>
        <v>MONITOR</v>
      </c>
      <c r="Z40" s="13">
        <v>14</v>
      </c>
      <c r="AA40" s="75">
        <v>46059</v>
      </c>
      <c r="AB40" s="75">
        <f t="shared" si="15"/>
        <v>45920</v>
      </c>
      <c r="AC40" s="88">
        <f t="shared" si="16"/>
        <v>19.857142857142858</v>
      </c>
      <c r="AD40" s="89" t="str">
        <f t="shared" ca="1" si="17"/>
        <v>STABLE</v>
      </c>
      <c r="AE40" s="89" t="str">
        <f t="shared" si="22"/>
        <v>FAST SELLING</v>
      </c>
      <c r="AF40" s="89" t="str">
        <f t="shared" si="19"/>
        <v>AT RISK</v>
      </c>
      <c r="AG40" s="89" t="str">
        <f t="shared" si="20"/>
        <v>FEASIBLE</v>
      </c>
      <c r="AH40" s="81" t="str">
        <f t="shared" ca="1" si="21"/>
        <v>MONITOR</v>
      </c>
      <c r="AI40" s="75"/>
      <c r="AJ40" s="75"/>
      <c r="AK40" s="13"/>
      <c r="AL40" s="79"/>
      <c r="AM40" s="79"/>
      <c r="AN40" s="79"/>
      <c r="AO40" s="79"/>
      <c r="AP40" s="79"/>
      <c r="AQ40" s="75"/>
      <c r="AR40" s="75"/>
      <c r="AS40" s="75"/>
      <c r="AT40" s="75"/>
      <c r="AU40" s="75"/>
      <c r="AV40" s="13"/>
      <c r="AW40" s="13"/>
      <c r="AX40" s="13"/>
      <c r="AY40" s="13"/>
      <c r="AZ40" s="13"/>
      <c r="BA40" s="105"/>
      <c r="BB40" s="13"/>
      <c r="BC40" s="13"/>
      <c r="BD40" s="13"/>
      <c r="BE40" s="13"/>
      <c r="BF40" s="88"/>
      <c r="BG40" s="88"/>
      <c r="BH40" s="88"/>
      <c r="BI40" s="88"/>
      <c r="BJ40" s="88"/>
      <c r="BK40" s="105"/>
      <c r="BL40" s="105"/>
      <c r="BM40" s="105"/>
      <c r="BN40" s="105"/>
      <c r="BO40" s="105"/>
      <c r="BP40" s="105"/>
      <c r="BQ40" s="79"/>
      <c r="BR40" s="79"/>
      <c r="BS40" s="79"/>
      <c r="BT40" s="79"/>
      <c r="BU40" s="79"/>
      <c r="BV40" s="90"/>
      <c r="BW40" s="106"/>
      <c r="BX40" s="106"/>
      <c r="BY40" s="106"/>
      <c r="BZ40" s="106"/>
      <c r="CA40" s="106"/>
    </row>
    <row r="41" spans="1:79" x14ac:dyDescent="0.35">
      <c r="A41" s="25" t="s">
        <v>55</v>
      </c>
      <c r="B41" s="10" t="s">
        <v>320</v>
      </c>
      <c r="C41" s="10" t="s">
        <v>341</v>
      </c>
      <c r="D41" s="10" t="s">
        <v>346</v>
      </c>
      <c r="E41" s="11">
        <v>45906</v>
      </c>
      <c r="F41" s="17">
        <v>45892</v>
      </c>
      <c r="G41" s="14">
        <f t="shared" ca="1" si="1"/>
        <v>207</v>
      </c>
      <c r="H41" s="17">
        <v>399</v>
      </c>
      <c r="I41" s="17">
        <v>265</v>
      </c>
      <c r="J41" s="75">
        <f t="shared" si="2"/>
        <v>1606</v>
      </c>
      <c r="K41" s="17">
        <v>2200</v>
      </c>
      <c r="L41" s="85">
        <v>594</v>
      </c>
      <c r="M41" s="86">
        <f t="shared" ca="1" si="3"/>
        <v>2.8695652173913042</v>
      </c>
      <c r="N41" s="86">
        <f t="shared" si="4"/>
        <v>0.92883099285538351</v>
      </c>
      <c r="O41" s="86">
        <f t="shared" si="5"/>
        <v>1.8109756097560976</v>
      </c>
      <c r="P41" s="87">
        <f t="shared" si="6"/>
        <v>148.5</v>
      </c>
      <c r="Q41" s="104">
        <f t="shared" si="7"/>
        <v>10.814814814814815</v>
      </c>
      <c r="R41" s="88">
        <f t="shared" si="8"/>
        <v>33.583959899749374</v>
      </c>
      <c r="S41" s="88">
        <f t="shared" si="9"/>
        <v>27</v>
      </c>
      <c r="T41" s="13">
        <f t="shared" si="10"/>
        <v>3</v>
      </c>
      <c r="U41" s="13">
        <f t="shared" si="0"/>
        <v>1</v>
      </c>
      <c r="V41" s="13">
        <f t="shared" si="11"/>
        <v>1</v>
      </c>
      <c r="W41" s="13">
        <f t="shared" ca="1" si="12"/>
        <v>3</v>
      </c>
      <c r="X41" s="13">
        <f t="shared" ca="1" si="13"/>
        <v>8</v>
      </c>
      <c r="Y41" s="81" t="str">
        <f t="shared" ca="1" si="14"/>
        <v>MONITOR</v>
      </c>
      <c r="Z41" s="13">
        <v>14</v>
      </c>
      <c r="AA41" s="75">
        <v>46059</v>
      </c>
      <c r="AB41" s="75">
        <f t="shared" si="15"/>
        <v>45920</v>
      </c>
      <c r="AC41" s="88">
        <f t="shared" si="16"/>
        <v>19.857142857142858</v>
      </c>
      <c r="AD41" s="89" t="str">
        <f t="shared" ca="1" si="17"/>
        <v>STABLE</v>
      </c>
      <c r="AE41" s="89" t="str">
        <f t="shared" si="22"/>
        <v>FAST SELLING</v>
      </c>
      <c r="AF41" s="89" t="str">
        <f t="shared" si="19"/>
        <v>AT RISK</v>
      </c>
      <c r="AG41" s="89" t="str">
        <f t="shared" si="20"/>
        <v>FEASIBLE</v>
      </c>
      <c r="AH41" s="81" t="str">
        <f t="shared" ca="1" si="21"/>
        <v>MONITOR</v>
      </c>
      <c r="AI41" s="75"/>
      <c r="AJ41" s="75"/>
      <c r="AK41" s="13"/>
      <c r="AL41" s="79"/>
      <c r="AM41" s="79"/>
      <c r="AN41" s="79"/>
      <c r="AO41" s="79"/>
      <c r="AP41" s="79"/>
      <c r="AQ41" s="75"/>
      <c r="AR41" s="75"/>
      <c r="AS41" s="75"/>
      <c r="AT41" s="75"/>
      <c r="AU41" s="75"/>
      <c r="AV41" s="13"/>
      <c r="AW41" s="13"/>
      <c r="AX41" s="13"/>
      <c r="AY41" s="13"/>
      <c r="AZ41" s="13"/>
      <c r="BA41" s="105"/>
      <c r="BB41" s="13"/>
      <c r="BC41" s="13"/>
      <c r="BD41" s="13"/>
      <c r="BE41" s="13"/>
      <c r="BF41" s="88"/>
      <c r="BG41" s="88"/>
      <c r="BH41" s="88"/>
      <c r="BI41" s="88"/>
      <c r="BJ41" s="88"/>
      <c r="BK41" s="105"/>
      <c r="BL41" s="105"/>
      <c r="BM41" s="105"/>
      <c r="BN41" s="105"/>
      <c r="BO41" s="105"/>
      <c r="BP41" s="105"/>
      <c r="BQ41" s="79"/>
      <c r="BR41" s="79"/>
      <c r="BS41" s="79"/>
      <c r="BT41" s="79"/>
      <c r="BU41" s="79"/>
      <c r="BV41" s="90"/>
      <c r="BW41" s="106"/>
      <c r="BX41" s="106"/>
      <c r="BY41" s="106"/>
      <c r="BZ41" s="106"/>
      <c r="CA41" s="106"/>
    </row>
    <row r="42" spans="1:79" x14ac:dyDescent="0.35">
      <c r="A42" s="25" t="s">
        <v>56</v>
      </c>
      <c r="B42" s="10" t="s">
        <v>316</v>
      </c>
      <c r="C42" s="10" t="s">
        <v>341</v>
      </c>
      <c r="D42" s="10" t="s">
        <v>346</v>
      </c>
      <c r="E42" s="11">
        <v>45850</v>
      </c>
      <c r="F42" s="17">
        <v>45892</v>
      </c>
      <c r="G42" s="14">
        <f t="shared" ca="1" si="1"/>
        <v>207</v>
      </c>
      <c r="H42" s="17">
        <v>599</v>
      </c>
      <c r="I42" s="17">
        <v>317</v>
      </c>
      <c r="J42" s="75">
        <f t="shared" si="2"/>
        <v>1245</v>
      </c>
      <c r="K42" s="17">
        <v>1300</v>
      </c>
      <c r="L42" s="85">
        <v>55</v>
      </c>
      <c r="M42" s="86">
        <f t="shared" ca="1" si="3"/>
        <v>0.26570048309178745</v>
      </c>
      <c r="N42" s="86">
        <f t="shared" si="4"/>
        <v>0.92883099285538351</v>
      </c>
      <c r="O42" s="86">
        <f t="shared" si="5"/>
        <v>0.1676829268292683</v>
      </c>
      <c r="P42" s="87">
        <f t="shared" si="6"/>
        <v>13.75</v>
      </c>
      <c r="Q42" s="104">
        <f t="shared" si="7"/>
        <v>90.545454545454547</v>
      </c>
      <c r="R42" s="88">
        <f t="shared" si="8"/>
        <v>47.078464106844741</v>
      </c>
      <c r="S42" s="88">
        <f t="shared" si="9"/>
        <v>4.2307692307692308</v>
      </c>
      <c r="T42" s="13">
        <f t="shared" si="10"/>
        <v>1</v>
      </c>
      <c r="U42" s="13">
        <f t="shared" si="0"/>
        <v>1</v>
      </c>
      <c r="V42" s="13">
        <f t="shared" si="11"/>
        <v>2</v>
      </c>
      <c r="W42" s="13">
        <f t="shared" ca="1" si="12"/>
        <v>3</v>
      </c>
      <c r="X42" s="13">
        <f t="shared" ca="1" si="13"/>
        <v>7</v>
      </c>
      <c r="Y42" s="81" t="str">
        <f t="shared" ca="1" si="14"/>
        <v>MONITOR</v>
      </c>
      <c r="Z42" s="13">
        <v>14</v>
      </c>
      <c r="AA42" s="75">
        <v>46059</v>
      </c>
      <c r="AB42" s="75">
        <f t="shared" si="15"/>
        <v>45920</v>
      </c>
      <c r="AC42" s="88">
        <f t="shared" si="16"/>
        <v>19.857142857142858</v>
      </c>
      <c r="AD42" s="89" t="str">
        <f t="shared" ca="1" si="17"/>
        <v>STABLE</v>
      </c>
      <c r="AE42" s="89" t="str">
        <f t="shared" si="22"/>
        <v>SLOW SELLING</v>
      </c>
      <c r="AF42" s="89" t="str">
        <f t="shared" si="19"/>
        <v>AT RISK</v>
      </c>
      <c r="AG42" s="89" t="str">
        <f t="shared" si="20"/>
        <v>FEASIBLE</v>
      </c>
      <c r="AH42" s="81" t="str">
        <f t="shared" ca="1" si="21"/>
        <v>MONITOR</v>
      </c>
      <c r="AI42" s="75"/>
      <c r="AJ42" s="75"/>
      <c r="AK42" s="13"/>
      <c r="AL42" s="79"/>
      <c r="AM42" s="79"/>
      <c r="AN42" s="79"/>
      <c r="AO42" s="79"/>
      <c r="AP42" s="79"/>
      <c r="AQ42" s="75"/>
      <c r="AR42" s="75"/>
      <c r="AS42" s="75"/>
      <c r="AT42" s="75"/>
      <c r="AU42" s="75"/>
      <c r="AV42" s="13"/>
      <c r="AW42" s="13"/>
      <c r="AX42" s="13"/>
      <c r="AY42" s="13"/>
      <c r="AZ42" s="13"/>
      <c r="BA42" s="105"/>
      <c r="BB42" s="13"/>
      <c r="BC42" s="13"/>
      <c r="BD42" s="13"/>
      <c r="BE42" s="13"/>
      <c r="BF42" s="88"/>
      <c r="BG42" s="88"/>
      <c r="BH42" s="88"/>
      <c r="BI42" s="88"/>
      <c r="BJ42" s="88"/>
      <c r="BK42" s="105"/>
      <c r="BL42" s="105"/>
      <c r="BM42" s="105"/>
      <c r="BN42" s="105"/>
      <c r="BO42" s="105"/>
      <c r="BP42" s="105"/>
      <c r="BQ42" s="79"/>
      <c r="BR42" s="79"/>
      <c r="BS42" s="79"/>
      <c r="BT42" s="79"/>
      <c r="BU42" s="79"/>
      <c r="BV42" s="90"/>
      <c r="BW42" s="106"/>
      <c r="BX42" s="106"/>
      <c r="BY42" s="106"/>
      <c r="BZ42" s="106"/>
      <c r="CA42" s="106"/>
    </row>
    <row r="43" spans="1:79" x14ac:dyDescent="0.35">
      <c r="A43" s="25" t="s">
        <v>57</v>
      </c>
      <c r="B43" s="10" t="s">
        <v>316</v>
      </c>
      <c r="C43" s="10" t="s">
        <v>341</v>
      </c>
      <c r="D43" s="10" t="s">
        <v>346</v>
      </c>
      <c r="E43" s="11">
        <v>45850</v>
      </c>
      <c r="F43" s="17">
        <v>45892</v>
      </c>
      <c r="G43" s="14">
        <f t="shared" ca="1" si="1"/>
        <v>207</v>
      </c>
      <c r="H43" s="17">
        <v>599</v>
      </c>
      <c r="I43" s="17">
        <v>317</v>
      </c>
      <c r="J43" s="75">
        <f t="shared" si="2"/>
        <v>1224</v>
      </c>
      <c r="K43" s="17">
        <v>1300</v>
      </c>
      <c r="L43" s="85">
        <v>76</v>
      </c>
      <c r="M43" s="86">
        <f t="shared" ca="1" si="3"/>
        <v>0.3671497584541063</v>
      </c>
      <c r="N43" s="86">
        <f t="shared" si="4"/>
        <v>0.92883099285538351</v>
      </c>
      <c r="O43" s="86">
        <f t="shared" si="5"/>
        <v>0.23170731707317074</v>
      </c>
      <c r="P43" s="87">
        <f t="shared" si="6"/>
        <v>19</v>
      </c>
      <c r="Q43" s="104">
        <f t="shared" si="7"/>
        <v>64.421052631578945</v>
      </c>
      <c r="R43" s="88">
        <f t="shared" si="8"/>
        <v>47.078464106844741</v>
      </c>
      <c r="S43" s="88">
        <f t="shared" si="9"/>
        <v>5.8461538461538458</v>
      </c>
      <c r="T43" s="13">
        <f t="shared" si="10"/>
        <v>1</v>
      </c>
      <c r="U43" s="13">
        <f t="shared" si="0"/>
        <v>1</v>
      </c>
      <c r="V43" s="13">
        <f t="shared" si="11"/>
        <v>2</v>
      </c>
      <c r="W43" s="13">
        <f t="shared" ca="1" si="12"/>
        <v>3</v>
      </c>
      <c r="X43" s="13">
        <f t="shared" ca="1" si="13"/>
        <v>7</v>
      </c>
      <c r="Y43" s="81" t="str">
        <f t="shared" ca="1" si="14"/>
        <v>MONITOR</v>
      </c>
      <c r="Z43" s="13">
        <v>14</v>
      </c>
      <c r="AA43" s="75">
        <v>46059</v>
      </c>
      <c r="AB43" s="75">
        <f t="shared" si="15"/>
        <v>45920</v>
      </c>
      <c r="AC43" s="88">
        <f t="shared" si="16"/>
        <v>19.857142857142858</v>
      </c>
      <c r="AD43" s="89" t="str">
        <f t="shared" ca="1" si="17"/>
        <v>STABLE</v>
      </c>
      <c r="AE43" s="89" t="str">
        <f t="shared" si="22"/>
        <v>SLOW SELLING</v>
      </c>
      <c r="AF43" s="89" t="str">
        <f t="shared" si="19"/>
        <v>AT RISK</v>
      </c>
      <c r="AG43" s="89" t="str">
        <f t="shared" si="20"/>
        <v>FEASIBLE</v>
      </c>
      <c r="AH43" s="81" t="str">
        <f t="shared" ca="1" si="21"/>
        <v>MONITOR</v>
      </c>
      <c r="AI43" s="75"/>
      <c r="AJ43" s="75"/>
      <c r="AK43" s="13"/>
      <c r="AL43" s="79"/>
      <c r="AM43" s="79"/>
      <c r="AN43" s="79"/>
      <c r="AO43" s="79"/>
      <c r="AP43" s="79"/>
      <c r="AQ43" s="75"/>
      <c r="AR43" s="75"/>
      <c r="AS43" s="75"/>
      <c r="AT43" s="75"/>
      <c r="AU43" s="75"/>
      <c r="AV43" s="13"/>
      <c r="AW43" s="13"/>
      <c r="AX43" s="13"/>
      <c r="AY43" s="13"/>
      <c r="AZ43" s="13"/>
      <c r="BA43" s="105"/>
      <c r="BB43" s="13"/>
      <c r="BC43" s="13"/>
      <c r="BD43" s="13"/>
      <c r="BE43" s="13"/>
      <c r="BF43" s="88"/>
      <c r="BG43" s="88"/>
      <c r="BH43" s="88"/>
      <c r="BI43" s="88"/>
      <c r="BJ43" s="88"/>
      <c r="BK43" s="105"/>
      <c r="BL43" s="105"/>
      <c r="BM43" s="105"/>
      <c r="BN43" s="105"/>
      <c r="BO43" s="105"/>
      <c r="BP43" s="105"/>
      <c r="BQ43" s="79"/>
      <c r="BR43" s="79"/>
      <c r="BS43" s="79"/>
      <c r="BT43" s="79"/>
      <c r="BU43" s="79"/>
      <c r="BV43" s="90"/>
      <c r="BW43" s="106"/>
      <c r="BX43" s="106"/>
      <c r="BY43" s="106"/>
      <c r="BZ43" s="106"/>
      <c r="CA43" s="106"/>
    </row>
    <row r="44" spans="1:79" x14ac:dyDescent="0.35">
      <c r="A44" s="25" t="s">
        <v>58</v>
      </c>
      <c r="B44" s="10" t="s">
        <v>316</v>
      </c>
      <c r="C44" s="10" t="s">
        <v>341</v>
      </c>
      <c r="D44" s="10" t="s">
        <v>346</v>
      </c>
      <c r="E44" s="11">
        <v>45850</v>
      </c>
      <c r="F44" s="17">
        <v>45892</v>
      </c>
      <c r="G44" s="14">
        <f t="shared" ca="1" si="1"/>
        <v>207</v>
      </c>
      <c r="H44" s="17">
        <v>599</v>
      </c>
      <c r="I44" s="17">
        <v>317</v>
      </c>
      <c r="J44" s="75">
        <f t="shared" si="2"/>
        <v>1430</v>
      </c>
      <c r="K44" s="17">
        <v>1500</v>
      </c>
      <c r="L44" s="85">
        <v>70</v>
      </c>
      <c r="M44" s="86">
        <f t="shared" ca="1" si="3"/>
        <v>0.33816425120772947</v>
      </c>
      <c r="N44" s="86">
        <f t="shared" si="4"/>
        <v>0.92883099285538351</v>
      </c>
      <c r="O44" s="86">
        <f t="shared" si="5"/>
        <v>0.21341463414634146</v>
      </c>
      <c r="P44" s="87">
        <f t="shared" si="6"/>
        <v>17.5</v>
      </c>
      <c r="Q44" s="104">
        <f t="shared" si="7"/>
        <v>81.714285714285708</v>
      </c>
      <c r="R44" s="88">
        <f t="shared" si="8"/>
        <v>47.078464106844741</v>
      </c>
      <c r="S44" s="88">
        <f t="shared" si="9"/>
        <v>4.666666666666667</v>
      </c>
      <c r="T44" s="13">
        <f t="shared" si="10"/>
        <v>1</v>
      </c>
      <c r="U44" s="13">
        <f t="shared" si="0"/>
        <v>1</v>
      </c>
      <c r="V44" s="13">
        <f t="shared" si="11"/>
        <v>2</v>
      </c>
      <c r="W44" s="13">
        <f t="shared" ca="1" si="12"/>
        <v>3</v>
      </c>
      <c r="X44" s="13">
        <f t="shared" ca="1" si="13"/>
        <v>7</v>
      </c>
      <c r="Y44" s="81" t="str">
        <f t="shared" ca="1" si="14"/>
        <v>MONITOR</v>
      </c>
      <c r="Z44" s="13">
        <v>14</v>
      </c>
      <c r="AA44" s="75">
        <v>46059</v>
      </c>
      <c r="AB44" s="75">
        <f t="shared" si="15"/>
        <v>45920</v>
      </c>
      <c r="AC44" s="88">
        <f t="shared" si="16"/>
        <v>19.857142857142858</v>
      </c>
      <c r="AD44" s="89" t="str">
        <f t="shared" ca="1" si="17"/>
        <v>STABLE</v>
      </c>
      <c r="AE44" s="89" t="str">
        <f t="shared" si="22"/>
        <v>SLOW SELLING</v>
      </c>
      <c r="AF44" s="89" t="str">
        <f t="shared" si="19"/>
        <v>AT RISK</v>
      </c>
      <c r="AG44" s="89" t="str">
        <f t="shared" si="20"/>
        <v>FEASIBLE</v>
      </c>
      <c r="AH44" s="81" t="str">
        <f t="shared" ca="1" si="21"/>
        <v>MONITOR</v>
      </c>
      <c r="AI44" s="75"/>
      <c r="AJ44" s="75"/>
      <c r="AK44" s="13"/>
      <c r="AL44" s="79"/>
      <c r="AM44" s="79"/>
      <c r="AN44" s="79"/>
      <c r="AO44" s="79"/>
      <c r="AP44" s="79"/>
      <c r="AQ44" s="75"/>
      <c r="AR44" s="75"/>
      <c r="AS44" s="75"/>
      <c r="AT44" s="75"/>
      <c r="AU44" s="75"/>
      <c r="AV44" s="13"/>
      <c r="AW44" s="13"/>
      <c r="AX44" s="13"/>
      <c r="AY44" s="13"/>
      <c r="AZ44" s="13"/>
      <c r="BA44" s="105"/>
      <c r="BB44" s="13"/>
      <c r="BC44" s="13"/>
      <c r="BD44" s="13"/>
      <c r="BE44" s="13"/>
      <c r="BF44" s="88"/>
      <c r="BG44" s="88"/>
      <c r="BH44" s="88"/>
      <c r="BI44" s="88"/>
      <c r="BJ44" s="88"/>
      <c r="BK44" s="105"/>
      <c r="BL44" s="105"/>
      <c r="BM44" s="105"/>
      <c r="BN44" s="105"/>
      <c r="BO44" s="105"/>
      <c r="BP44" s="105"/>
      <c r="BQ44" s="79"/>
      <c r="BR44" s="79"/>
      <c r="BS44" s="79"/>
      <c r="BT44" s="79"/>
      <c r="BU44" s="79"/>
      <c r="BV44" s="90"/>
      <c r="BW44" s="106"/>
      <c r="BX44" s="106"/>
      <c r="BY44" s="106"/>
      <c r="BZ44" s="106"/>
      <c r="CA44" s="106"/>
    </row>
    <row r="45" spans="1:79" x14ac:dyDescent="0.35">
      <c r="A45" s="25" t="s">
        <v>59</v>
      </c>
      <c r="B45" s="10" t="s">
        <v>316</v>
      </c>
      <c r="C45" s="10" t="s">
        <v>341</v>
      </c>
      <c r="D45" s="10" t="s">
        <v>346</v>
      </c>
      <c r="E45" s="11">
        <v>45850</v>
      </c>
      <c r="F45" s="17">
        <v>45892</v>
      </c>
      <c r="G45" s="14">
        <f t="shared" ca="1" si="1"/>
        <v>207</v>
      </c>
      <c r="H45" s="17">
        <v>599</v>
      </c>
      <c r="I45" s="17">
        <v>317</v>
      </c>
      <c r="J45" s="75">
        <f t="shared" si="2"/>
        <v>1480</v>
      </c>
      <c r="K45" s="17">
        <v>1500</v>
      </c>
      <c r="L45" s="85">
        <v>20</v>
      </c>
      <c r="M45" s="86">
        <f t="shared" ca="1" si="3"/>
        <v>9.6618357487922704E-2</v>
      </c>
      <c r="N45" s="86">
        <f t="shared" si="4"/>
        <v>0.92883099285538351</v>
      </c>
      <c r="O45" s="86">
        <f t="shared" si="5"/>
        <v>6.097560975609756E-2</v>
      </c>
      <c r="P45" s="87">
        <f t="shared" si="6"/>
        <v>5</v>
      </c>
      <c r="Q45" s="104">
        <f t="shared" si="7"/>
        <v>296</v>
      </c>
      <c r="R45" s="88">
        <f t="shared" si="8"/>
        <v>47.078464106844741</v>
      </c>
      <c r="S45" s="88">
        <f t="shared" si="9"/>
        <v>1.3333333333333335</v>
      </c>
      <c r="T45" s="13">
        <f t="shared" si="10"/>
        <v>1</v>
      </c>
      <c r="U45" s="13">
        <f t="shared" si="0"/>
        <v>1</v>
      </c>
      <c r="V45" s="13">
        <f t="shared" si="11"/>
        <v>2</v>
      </c>
      <c r="W45" s="13">
        <f t="shared" ca="1" si="12"/>
        <v>3</v>
      </c>
      <c r="X45" s="13">
        <f t="shared" ca="1" si="13"/>
        <v>7</v>
      </c>
      <c r="Y45" s="81" t="str">
        <f t="shared" ca="1" si="14"/>
        <v>MONITOR</v>
      </c>
      <c r="Z45" s="13">
        <v>14</v>
      </c>
      <c r="AA45" s="75">
        <v>46059</v>
      </c>
      <c r="AB45" s="75">
        <f t="shared" si="15"/>
        <v>45920</v>
      </c>
      <c r="AC45" s="88">
        <f t="shared" si="16"/>
        <v>19.857142857142858</v>
      </c>
      <c r="AD45" s="89" t="str">
        <f t="shared" ca="1" si="17"/>
        <v>STABLE</v>
      </c>
      <c r="AE45" s="89" t="str">
        <f t="shared" si="22"/>
        <v>SLOW SELLING</v>
      </c>
      <c r="AF45" s="89" t="str">
        <f t="shared" si="19"/>
        <v>AT RISK</v>
      </c>
      <c r="AG45" s="89" t="str">
        <f t="shared" si="20"/>
        <v>FEASIBLE</v>
      </c>
      <c r="AH45" s="81" t="str">
        <f t="shared" ca="1" si="21"/>
        <v>MONITOR</v>
      </c>
      <c r="AI45" s="75"/>
      <c r="AJ45" s="75"/>
      <c r="AK45" s="13"/>
      <c r="AL45" s="79"/>
      <c r="AM45" s="79"/>
      <c r="AN45" s="79"/>
      <c r="AO45" s="79"/>
      <c r="AP45" s="79"/>
      <c r="AQ45" s="75"/>
      <c r="AR45" s="75"/>
      <c r="AS45" s="75"/>
      <c r="AT45" s="75"/>
      <c r="AU45" s="75"/>
      <c r="AV45" s="13"/>
      <c r="AW45" s="13"/>
      <c r="AX45" s="13"/>
      <c r="AY45" s="13"/>
      <c r="AZ45" s="13"/>
      <c r="BA45" s="105"/>
      <c r="BB45" s="13"/>
      <c r="BC45" s="13"/>
      <c r="BD45" s="13"/>
      <c r="BE45" s="13"/>
      <c r="BF45" s="88"/>
      <c r="BG45" s="88"/>
      <c r="BH45" s="88"/>
      <c r="BI45" s="88"/>
      <c r="BJ45" s="88"/>
      <c r="BK45" s="105"/>
      <c r="BL45" s="105"/>
      <c r="BM45" s="105"/>
      <c r="BN45" s="105"/>
      <c r="BO45" s="105"/>
      <c r="BP45" s="105"/>
      <c r="BQ45" s="79"/>
      <c r="BR45" s="79"/>
      <c r="BS45" s="79"/>
      <c r="BT45" s="79"/>
      <c r="BU45" s="79"/>
      <c r="BV45" s="90"/>
      <c r="BW45" s="106"/>
      <c r="BX45" s="106"/>
      <c r="BY45" s="106"/>
      <c r="BZ45" s="106"/>
      <c r="CA45" s="106"/>
    </row>
    <row r="46" spans="1:79" x14ac:dyDescent="0.35">
      <c r="A46" s="25" t="s">
        <v>60</v>
      </c>
      <c r="B46" s="10" t="s">
        <v>316</v>
      </c>
      <c r="C46" s="10" t="s">
        <v>341</v>
      </c>
      <c r="D46" s="10" t="s">
        <v>346</v>
      </c>
      <c r="E46" s="11">
        <v>45878</v>
      </c>
      <c r="F46" s="17">
        <v>45892</v>
      </c>
      <c r="G46" s="14">
        <f t="shared" ca="1" si="1"/>
        <v>207</v>
      </c>
      <c r="H46" s="17">
        <v>599</v>
      </c>
      <c r="I46" s="17">
        <v>317</v>
      </c>
      <c r="J46" s="75">
        <f t="shared" si="2"/>
        <v>821</v>
      </c>
      <c r="K46" s="17">
        <v>1100</v>
      </c>
      <c r="L46" s="85">
        <v>279</v>
      </c>
      <c r="M46" s="86">
        <f t="shared" ca="1" si="3"/>
        <v>1.3478260869565217</v>
      </c>
      <c r="N46" s="86">
        <f t="shared" si="4"/>
        <v>0.92883099285538351</v>
      </c>
      <c r="O46" s="86">
        <f t="shared" si="5"/>
        <v>0.85060975609756095</v>
      </c>
      <c r="P46" s="87">
        <f t="shared" si="6"/>
        <v>69.75</v>
      </c>
      <c r="Q46" s="104">
        <f t="shared" si="7"/>
        <v>11.770609318996415</v>
      </c>
      <c r="R46" s="88">
        <f t="shared" si="8"/>
        <v>47.078464106844741</v>
      </c>
      <c r="S46" s="88">
        <f t="shared" si="9"/>
        <v>25.363636363636367</v>
      </c>
      <c r="T46" s="13">
        <f t="shared" si="10"/>
        <v>2</v>
      </c>
      <c r="U46" s="13">
        <f t="shared" si="0"/>
        <v>1</v>
      </c>
      <c r="V46" s="13">
        <f t="shared" si="11"/>
        <v>2</v>
      </c>
      <c r="W46" s="13">
        <f t="shared" ca="1" si="12"/>
        <v>3</v>
      </c>
      <c r="X46" s="13">
        <f t="shared" ca="1" si="13"/>
        <v>8</v>
      </c>
      <c r="Y46" s="81" t="str">
        <f t="shared" ca="1" si="14"/>
        <v>MONITOR</v>
      </c>
      <c r="Z46" s="13">
        <v>14</v>
      </c>
      <c r="AA46" s="75">
        <v>46059</v>
      </c>
      <c r="AB46" s="75">
        <f t="shared" si="15"/>
        <v>45920</v>
      </c>
      <c r="AC46" s="88">
        <f t="shared" si="16"/>
        <v>19.857142857142858</v>
      </c>
      <c r="AD46" s="89" t="str">
        <f t="shared" ca="1" si="17"/>
        <v>STABLE</v>
      </c>
      <c r="AE46" s="89" t="str">
        <f t="shared" si="22"/>
        <v>SLOW SELLING</v>
      </c>
      <c r="AF46" s="89" t="str">
        <f t="shared" si="19"/>
        <v>AT RISK</v>
      </c>
      <c r="AG46" s="89" t="str">
        <f t="shared" si="20"/>
        <v>FEASIBLE</v>
      </c>
      <c r="AH46" s="81" t="str">
        <f t="shared" ca="1" si="21"/>
        <v>MONITOR</v>
      </c>
      <c r="AI46" s="75"/>
      <c r="AJ46" s="75"/>
      <c r="AK46" s="13"/>
      <c r="AL46" s="79"/>
      <c r="AM46" s="79"/>
      <c r="AN46" s="79"/>
      <c r="AO46" s="79"/>
      <c r="AP46" s="79"/>
      <c r="AQ46" s="75"/>
      <c r="AR46" s="75"/>
      <c r="AS46" s="75"/>
      <c r="AT46" s="75"/>
      <c r="AU46" s="75"/>
      <c r="AV46" s="13"/>
      <c r="AW46" s="13"/>
      <c r="AX46" s="13"/>
      <c r="AY46" s="13"/>
      <c r="AZ46" s="13"/>
      <c r="BA46" s="105"/>
      <c r="BB46" s="13"/>
      <c r="BC46" s="13"/>
      <c r="BD46" s="13"/>
      <c r="BE46" s="13"/>
      <c r="BF46" s="88"/>
      <c r="BG46" s="88"/>
      <c r="BH46" s="88"/>
      <c r="BI46" s="88"/>
      <c r="BJ46" s="88"/>
      <c r="BK46" s="105"/>
      <c r="BL46" s="105"/>
      <c r="BM46" s="105"/>
      <c r="BN46" s="105"/>
      <c r="BO46" s="105"/>
      <c r="BP46" s="105"/>
      <c r="BQ46" s="79"/>
      <c r="BR46" s="79"/>
      <c r="BS46" s="79"/>
      <c r="BT46" s="79"/>
      <c r="BU46" s="79"/>
      <c r="BV46" s="90"/>
      <c r="BW46" s="106"/>
      <c r="BX46" s="106"/>
      <c r="BY46" s="106"/>
      <c r="BZ46" s="106"/>
      <c r="CA46" s="106"/>
    </row>
    <row r="47" spans="1:79" x14ac:dyDescent="0.35">
      <c r="A47" s="25" t="s">
        <v>61</v>
      </c>
      <c r="B47" s="10" t="s">
        <v>316</v>
      </c>
      <c r="C47" s="10" t="s">
        <v>341</v>
      </c>
      <c r="D47" s="10" t="s">
        <v>346</v>
      </c>
      <c r="E47" s="11">
        <v>45878</v>
      </c>
      <c r="F47" s="17">
        <v>45892</v>
      </c>
      <c r="G47" s="14">
        <f t="shared" ca="1" si="1"/>
        <v>207</v>
      </c>
      <c r="H47" s="17">
        <v>599</v>
      </c>
      <c r="I47" s="17">
        <v>317</v>
      </c>
      <c r="J47" s="75">
        <f t="shared" si="2"/>
        <v>975</v>
      </c>
      <c r="K47" s="17">
        <v>1100</v>
      </c>
      <c r="L47" s="85">
        <v>125</v>
      </c>
      <c r="M47" s="86">
        <f t="shared" ca="1" si="3"/>
        <v>0.60386473429951693</v>
      </c>
      <c r="N47" s="86">
        <f t="shared" si="4"/>
        <v>0.92883099285538351</v>
      </c>
      <c r="O47" s="86">
        <f t="shared" si="5"/>
        <v>0.38109756097560976</v>
      </c>
      <c r="P47" s="87">
        <f t="shared" si="6"/>
        <v>31.25</v>
      </c>
      <c r="Q47" s="104">
        <f t="shared" si="7"/>
        <v>31.2</v>
      </c>
      <c r="R47" s="88">
        <f t="shared" si="8"/>
        <v>47.078464106844741</v>
      </c>
      <c r="S47" s="88">
        <f t="shared" si="9"/>
        <v>11.363636363636363</v>
      </c>
      <c r="T47" s="13">
        <f t="shared" si="10"/>
        <v>1</v>
      </c>
      <c r="U47" s="13">
        <f t="shared" si="0"/>
        <v>1</v>
      </c>
      <c r="V47" s="13">
        <f t="shared" si="11"/>
        <v>2</v>
      </c>
      <c r="W47" s="13">
        <f t="shared" ca="1" si="12"/>
        <v>3</v>
      </c>
      <c r="X47" s="13">
        <f t="shared" ca="1" si="13"/>
        <v>7</v>
      </c>
      <c r="Y47" s="81" t="str">
        <f t="shared" ca="1" si="14"/>
        <v>MONITOR</v>
      </c>
      <c r="Z47" s="13">
        <v>14</v>
      </c>
      <c r="AA47" s="75">
        <v>46059</v>
      </c>
      <c r="AB47" s="75">
        <f t="shared" si="15"/>
        <v>45920</v>
      </c>
      <c r="AC47" s="88">
        <f t="shared" si="16"/>
        <v>19.857142857142858</v>
      </c>
      <c r="AD47" s="89" t="str">
        <f t="shared" ca="1" si="17"/>
        <v>STABLE</v>
      </c>
      <c r="AE47" s="89" t="str">
        <f t="shared" si="22"/>
        <v>SLOW SELLING</v>
      </c>
      <c r="AF47" s="89" t="str">
        <f t="shared" si="19"/>
        <v>AT RISK</v>
      </c>
      <c r="AG47" s="89" t="str">
        <f t="shared" si="20"/>
        <v>FEASIBLE</v>
      </c>
      <c r="AH47" s="81" t="str">
        <f t="shared" ca="1" si="21"/>
        <v>MONITOR</v>
      </c>
      <c r="AI47" s="75"/>
      <c r="AJ47" s="75"/>
      <c r="AK47" s="13"/>
      <c r="AL47" s="79"/>
      <c r="AM47" s="79"/>
      <c r="AN47" s="79"/>
      <c r="AO47" s="79"/>
      <c r="AP47" s="79"/>
      <c r="AQ47" s="75"/>
      <c r="AR47" s="75"/>
      <c r="AS47" s="75"/>
      <c r="AT47" s="75"/>
      <c r="AU47" s="75"/>
      <c r="AV47" s="13"/>
      <c r="AW47" s="13"/>
      <c r="AX47" s="13"/>
      <c r="AY47" s="13"/>
      <c r="AZ47" s="13"/>
      <c r="BA47" s="105"/>
      <c r="BB47" s="13"/>
      <c r="BC47" s="13"/>
      <c r="BD47" s="13"/>
      <c r="BE47" s="13"/>
      <c r="BF47" s="88"/>
      <c r="BG47" s="88"/>
      <c r="BH47" s="88"/>
      <c r="BI47" s="88"/>
      <c r="BJ47" s="88"/>
      <c r="BK47" s="105"/>
      <c r="BL47" s="105"/>
      <c r="BM47" s="105"/>
      <c r="BN47" s="105"/>
      <c r="BO47" s="105"/>
      <c r="BP47" s="105"/>
      <c r="BQ47" s="79"/>
      <c r="BR47" s="79"/>
      <c r="BS47" s="79"/>
      <c r="BT47" s="79"/>
      <c r="BU47" s="79"/>
      <c r="BV47" s="90"/>
      <c r="BW47" s="106"/>
      <c r="BX47" s="106"/>
      <c r="BY47" s="106"/>
      <c r="BZ47" s="106"/>
      <c r="CA47" s="106"/>
    </row>
    <row r="48" spans="1:79" x14ac:dyDescent="0.35">
      <c r="A48" s="25" t="s">
        <v>62</v>
      </c>
      <c r="B48" s="10" t="s">
        <v>316</v>
      </c>
      <c r="C48" s="10" t="s">
        <v>341</v>
      </c>
      <c r="D48" s="10" t="s">
        <v>346</v>
      </c>
      <c r="E48" s="11">
        <v>45976</v>
      </c>
      <c r="F48" s="17">
        <v>45892</v>
      </c>
      <c r="G48" s="14">
        <f t="shared" ca="1" si="1"/>
        <v>207</v>
      </c>
      <c r="H48" s="17">
        <v>799</v>
      </c>
      <c r="I48" s="17">
        <v>455</v>
      </c>
      <c r="J48" s="75">
        <f t="shared" si="2"/>
        <v>594</v>
      </c>
      <c r="K48" s="17">
        <v>750</v>
      </c>
      <c r="L48" s="85">
        <v>156</v>
      </c>
      <c r="M48" s="86">
        <f t="shared" ca="1" si="3"/>
        <v>0.75362318840579712</v>
      </c>
      <c r="N48" s="86">
        <f t="shared" si="4"/>
        <v>0.92883099285538351</v>
      </c>
      <c r="O48" s="86">
        <f t="shared" si="5"/>
        <v>0.47560975609756095</v>
      </c>
      <c r="P48" s="87">
        <f t="shared" si="6"/>
        <v>39</v>
      </c>
      <c r="Q48" s="104">
        <f t="shared" si="7"/>
        <v>15.23076923076923</v>
      </c>
      <c r="R48" s="88">
        <f t="shared" si="8"/>
        <v>43.053817271589487</v>
      </c>
      <c r="S48" s="88">
        <f t="shared" si="9"/>
        <v>20.8</v>
      </c>
      <c r="T48" s="13">
        <f t="shared" si="10"/>
        <v>1</v>
      </c>
      <c r="U48" s="13">
        <f t="shared" si="0"/>
        <v>1</v>
      </c>
      <c r="V48" s="13">
        <f t="shared" si="11"/>
        <v>1</v>
      </c>
      <c r="W48" s="13">
        <f t="shared" ca="1" si="12"/>
        <v>3</v>
      </c>
      <c r="X48" s="13">
        <f t="shared" ca="1" si="13"/>
        <v>6</v>
      </c>
      <c r="Y48" s="81" t="str">
        <f t="shared" ca="1" si="14"/>
        <v>MONITOR</v>
      </c>
      <c r="Z48" s="13">
        <v>14</v>
      </c>
      <c r="AA48" s="75">
        <v>46059</v>
      </c>
      <c r="AB48" s="75">
        <f t="shared" si="15"/>
        <v>45920</v>
      </c>
      <c r="AC48" s="88">
        <f t="shared" si="16"/>
        <v>19.857142857142858</v>
      </c>
      <c r="AD48" s="89" t="str">
        <f t="shared" ca="1" si="17"/>
        <v>STABLE</v>
      </c>
      <c r="AE48" s="89" t="str">
        <f t="shared" si="22"/>
        <v>SLOW SELLING</v>
      </c>
      <c r="AF48" s="89" t="str">
        <f t="shared" si="19"/>
        <v>AT RISK</v>
      </c>
      <c r="AG48" s="89" t="str">
        <f t="shared" si="20"/>
        <v>FEASIBLE</v>
      </c>
      <c r="AH48" s="81" t="str">
        <f t="shared" ca="1" si="21"/>
        <v>MONITOR</v>
      </c>
      <c r="AI48" s="75"/>
      <c r="AJ48" s="75"/>
      <c r="AK48" s="13"/>
      <c r="AL48" s="79"/>
      <c r="AM48" s="79"/>
      <c r="AN48" s="79"/>
      <c r="AO48" s="79"/>
      <c r="AP48" s="79"/>
      <c r="AQ48" s="75"/>
      <c r="AR48" s="75"/>
      <c r="AS48" s="75"/>
      <c r="AT48" s="75"/>
      <c r="AU48" s="75"/>
      <c r="AV48" s="13"/>
      <c r="AW48" s="13"/>
      <c r="AX48" s="13"/>
      <c r="AY48" s="13"/>
      <c r="AZ48" s="13"/>
      <c r="BA48" s="105"/>
      <c r="BB48" s="13"/>
      <c r="BC48" s="13"/>
      <c r="BD48" s="13"/>
      <c r="BE48" s="13"/>
      <c r="BF48" s="88"/>
      <c r="BG48" s="88"/>
      <c r="BH48" s="88"/>
      <c r="BI48" s="88"/>
      <c r="BJ48" s="88"/>
      <c r="BK48" s="105"/>
      <c r="BL48" s="105"/>
      <c r="BM48" s="105"/>
      <c r="BN48" s="105"/>
      <c r="BO48" s="105"/>
      <c r="BP48" s="105"/>
      <c r="BQ48" s="79"/>
      <c r="BR48" s="79"/>
      <c r="BS48" s="79"/>
      <c r="BT48" s="79"/>
      <c r="BU48" s="79"/>
      <c r="BV48" s="90"/>
      <c r="BW48" s="106"/>
      <c r="BX48" s="106"/>
      <c r="BY48" s="106"/>
      <c r="BZ48" s="106"/>
      <c r="CA48" s="106"/>
    </row>
    <row r="49" spans="1:79" x14ac:dyDescent="0.35">
      <c r="A49" s="25" t="s">
        <v>63</v>
      </c>
      <c r="B49" s="10" t="s">
        <v>316</v>
      </c>
      <c r="C49" s="10" t="s">
        <v>341</v>
      </c>
      <c r="D49" s="10" t="s">
        <v>346</v>
      </c>
      <c r="E49" s="11">
        <v>45878</v>
      </c>
      <c r="F49" s="17">
        <v>45892</v>
      </c>
      <c r="G49" s="14">
        <f t="shared" ca="1" si="1"/>
        <v>207</v>
      </c>
      <c r="H49" s="17">
        <v>599</v>
      </c>
      <c r="I49" s="17">
        <v>317</v>
      </c>
      <c r="J49" s="75">
        <f t="shared" si="2"/>
        <v>912</v>
      </c>
      <c r="K49" s="17">
        <v>1200</v>
      </c>
      <c r="L49" s="85">
        <v>288</v>
      </c>
      <c r="M49" s="86">
        <f t="shared" ca="1" si="3"/>
        <v>1.3913043478260869</v>
      </c>
      <c r="N49" s="86">
        <f t="shared" si="4"/>
        <v>0.92883099285538351</v>
      </c>
      <c r="O49" s="86">
        <f t="shared" si="5"/>
        <v>0.87804878048780488</v>
      </c>
      <c r="P49" s="87">
        <f t="shared" si="6"/>
        <v>72</v>
      </c>
      <c r="Q49" s="104">
        <f t="shared" si="7"/>
        <v>12.666666666666666</v>
      </c>
      <c r="R49" s="88">
        <f t="shared" si="8"/>
        <v>47.078464106844741</v>
      </c>
      <c r="S49" s="88">
        <f t="shared" si="9"/>
        <v>24</v>
      </c>
      <c r="T49" s="13">
        <f t="shared" si="10"/>
        <v>2</v>
      </c>
      <c r="U49" s="13">
        <f t="shared" si="0"/>
        <v>1</v>
      </c>
      <c r="V49" s="13">
        <f t="shared" si="11"/>
        <v>2</v>
      </c>
      <c r="W49" s="13">
        <f t="shared" ca="1" si="12"/>
        <v>3</v>
      </c>
      <c r="X49" s="13">
        <f t="shared" ca="1" si="13"/>
        <v>8</v>
      </c>
      <c r="Y49" s="81" t="str">
        <f t="shared" ca="1" si="14"/>
        <v>MONITOR</v>
      </c>
      <c r="Z49" s="13">
        <v>14</v>
      </c>
      <c r="AA49" s="75">
        <v>46059</v>
      </c>
      <c r="AB49" s="75">
        <f t="shared" si="15"/>
        <v>45920</v>
      </c>
      <c r="AC49" s="88">
        <f t="shared" si="16"/>
        <v>19.857142857142858</v>
      </c>
      <c r="AD49" s="89" t="str">
        <f t="shared" ca="1" si="17"/>
        <v>STABLE</v>
      </c>
      <c r="AE49" s="89" t="str">
        <f t="shared" si="22"/>
        <v>SLOW SELLING</v>
      </c>
      <c r="AF49" s="89" t="str">
        <f t="shared" si="19"/>
        <v>AT RISK</v>
      </c>
      <c r="AG49" s="89" t="str">
        <f t="shared" si="20"/>
        <v>FEASIBLE</v>
      </c>
      <c r="AH49" s="81" t="str">
        <f t="shared" ca="1" si="21"/>
        <v>MONITOR</v>
      </c>
      <c r="AI49" s="75"/>
      <c r="AJ49" s="75"/>
      <c r="AK49" s="13"/>
      <c r="AL49" s="79"/>
      <c r="AM49" s="79"/>
      <c r="AN49" s="79"/>
      <c r="AO49" s="79"/>
      <c r="AP49" s="79"/>
      <c r="AQ49" s="75"/>
      <c r="AR49" s="75"/>
      <c r="AS49" s="75"/>
      <c r="AT49" s="75"/>
      <c r="AU49" s="75"/>
      <c r="AV49" s="13"/>
      <c r="AW49" s="13"/>
      <c r="AX49" s="13"/>
      <c r="AY49" s="13"/>
      <c r="AZ49" s="13"/>
      <c r="BA49" s="105"/>
      <c r="BB49" s="13"/>
      <c r="BC49" s="13"/>
      <c r="BD49" s="13"/>
      <c r="BE49" s="13"/>
      <c r="BF49" s="88"/>
      <c r="BG49" s="88"/>
      <c r="BH49" s="88"/>
      <c r="BI49" s="88"/>
      <c r="BJ49" s="88"/>
      <c r="BK49" s="105"/>
      <c r="BL49" s="105"/>
      <c r="BM49" s="105"/>
      <c r="BN49" s="105"/>
      <c r="BO49" s="105"/>
      <c r="BP49" s="105"/>
      <c r="BQ49" s="79"/>
      <c r="BR49" s="79"/>
      <c r="BS49" s="79"/>
      <c r="BT49" s="79"/>
      <c r="BU49" s="79"/>
      <c r="BV49" s="90"/>
      <c r="BW49" s="106"/>
      <c r="BX49" s="106"/>
      <c r="BY49" s="106"/>
      <c r="BZ49" s="106"/>
      <c r="CA49" s="106"/>
    </row>
    <row r="50" spans="1:79" x14ac:dyDescent="0.35">
      <c r="A50" s="25" t="s">
        <v>64</v>
      </c>
      <c r="B50" s="10" t="s">
        <v>316</v>
      </c>
      <c r="C50" s="10" t="s">
        <v>341</v>
      </c>
      <c r="D50" s="10" t="s">
        <v>346</v>
      </c>
      <c r="E50" s="11">
        <v>45906</v>
      </c>
      <c r="F50" s="17">
        <v>45892</v>
      </c>
      <c r="G50" s="14">
        <f t="shared" ca="1" si="1"/>
        <v>207</v>
      </c>
      <c r="H50" s="17">
        <v>599</v>
      </c>
      <c r="I50" s="17">
        <v>317</v>
      </c>
      <c r="J50" s="75">
        <f t="shared" si="2"/>
        <v>806</v>
      </c>
      <c r="K50" s="17">
        <v>1000</v>
      </c>
      <c r="L50" s="85">
        <v>194</v>
      </c>
      <c r="M50" s="86">
        <f t="shared" ca="1" si="3"/>
        <v>0.9371980676328503</v>
      </c>
      <c r="N50" s="86">
        <f t="shared" si="4"/>
        <v>0.92883099285538351</v>
      </c>
      <c r="O50" s="86">
        <f t="shared" si="5"/>
        <v>0.59146341463414631</v>
      </c>
      <c r="P50" s="87">
        <f t="shared" si="6"/>
        <v>48.5</v>
      </c>
      <c r="Q50" s="104">
        <f t="shared" si="7"/>
        <v>16.618556701030929</v>
      </c>
      <c r="R50" s="88">
        <f t="shared" si="8"/>
        <v>47.078464106844741</v>
      </c>
      <c r="S50" s="88">
        <f t="shared" si="9"/>
        <v>19.400000000000002</v>
      </c>
      <c r="T50" s="13">
        <f t="shared" si="10"/>
        <v>1</v>
      </c>
      <c r="U50" s="13">
        <f t="shared" si="0"/>
        <v>1</v>
      </c>
      <c r="V50" s="13">
        <f t="shared" si="11"/>
        <v>2</v>
      </c>
      <c r="W50" s="13">
        <f t="shared" ca="1" si="12"/>
        <v>3</v>
      </c>
      <c r="X50" s="13">
        <f t="shared" ca="1" si="13"/>
        <v>7</v>
      </c>
      <c r="Y50" s="81" t="str">
        <f t="shared" ca="1" si="14"/>
        <v>MONITOR</v>
      </c>
      <c r="Z50" s="13">
        <v>14</v>
      </c>
      <c r="AA50" s="75">
        <v>46059</v>
      </c>
      <c r="AB50" s="75">
        <f t="shared" si="15"/>
        <v>45920</v>
      </c>
      <c r="AC50" s="88">
        <f t="shared" si="16"/>
        <v>19.857142857142858</v>
      </c>
      <c r="AD50" s="89" t="str">
        <f t="shared" ca="1" si="17"/>
        <v>STABLE</v>
      </c>
      <c r="AE50" s="89" t="str">
        <f t="shared" si="22"/>
        <v>SLOW SELLING</v>
      </c>
      <c r="AF50" s="89" t="str">
        <f t="shared" si="19"/>
        <v>AT RISK</v>
      </c>
      <c r="AG50" s="89" t="str">
        <f t="shared" si="20"/>
        <v>FEASIBLE</v>
      </c>
      <c r="AH50" s="81" t="str">
        <f t="shared" ca="1" si="21"/>
        <v>MONITOR</v>
      </c>
      <c r="AI50" s="75"/>
      <c r="AJ50" s="75"/>
      <c r="AK50" s="13"/>
      <c r="AL50" s="79"/>
      <c r="AM50" s="79"/>
      <c r="AN50" s="79"/>
      <c r="AO50" s="79"/>
      <c r="AP50" s="79"/>
      <c r="AQ50" s="75"/>
      <c r="AR50" s="75"/>
      <c r="AS50" s="75"/>
      <c r="AT50" s="75"/>
      <c r="AU50" s="75"/>
      <c r="AV50" s="13"/>
      <c r="AW50" s="13"/>
      <c r="AX50" s="13"/>
      <c r="AY50" s="13"/>
      <c r="AZ50" s="13"/>
      <c r="BA50" s="105"/>
      <c r="BB50" s="13"/>
      <c r="BC50" s="13"/>
      <c r="BD50" s="13"/>
      <c r="BE50" s="13"/>
      <c r="BF50" s="88"/>
      <c r="BG50" s="88"/>
      <c r="BH50" s="88"/>
      <c r="BI50" s="88"/>
      <c r="BJ50" s="88"/>
      <c r="BK50" s="105"/>
      <c r="BL50" s="105"/>
      <c r="BM50" s="105"/>
      <c r="BN50" s="105"/>
      <c r="BO50" s="105"/>
      <c r="BP50" s="105"/>
      <c r="BQ50" s="79"/>
      <c r="BR50" s="79"/>
      <c r="BS50" s="79"/>
      <c r="BT50" s="79"/>
      <c r="BU50" s="79"/>
      <c r="BV50" s="90"/>
      <c r="BW50" s="106"/>
      <c r="BX50" s="106"/>
      <c r="BY50" s="106"/>
      <c r="BZ50" s="106"/>
      <c r="CA50" s="106"/>
    </row>
    <row r="51" spans="1:79" x14ac:dyDescent="0.35">
      <c r="A51" s="25" t="s">
        <v>65</v>
      </c>
      <c r="B51" s="10" t="s">
        <v>316</v>
      </c>
      <c r="C51" s="10" t="s">
        <v>341</v>
      </c>
      <c r="D51" s="10" t="s">
        <v>346</v>
      </c>
      <c r="E51" s="11">
        <v>45906</v>
      </c>
      <c r="F51" s="17">
        <v>45892</v>
      </c>
      <c r="G51" s="14">
        <f t="shared" ca="1" si="1"/>
        <v>207</v>
      </c>
      <c r="H51" s="17">
        <v>599</v>
      </c>
      <c r="I51" s="17">
        <v>317</v>
      </c>
      <c r="J51" s="75">
        <f t="shared" si="2"/>
        <v>823</v>
      </c>
      <c r="K51" s="17">
        <v>1100</v>
      </c>
      <c r="L51" s="85">
        <v>277</v>
      </c>
      <c r="M51" s="86">
        <f t="shared" ca="1" si="3"/>
        <v>1.3381642512077294</v>
      </c>
      <c r="N51" s="86">
        <f t="shared" si="4"/>
        <v>0.92883099285538351</v>
      </c>
      <c r="O51" s="86">
        <f t="shared" si="5"/>
        <v>0.84451219512195119</v>
      </c>
      <c r="P51" s="87">
        <f t="shared" si="6"/>
        <v>69.25</v>
      </c>
      <c r="Q51" s="104">
        <f t="shared" si="7"/>
        <v>11.884476534296029</v>
      </c>
      <c r="R51" s="88">
        <f t="shared" si="8"/>
        <v>47.078464106844741</v>
      </c>
      <c r="S51" s="88">
        <f t="shared" si="9"/>
        <v>25.181818181818183</v>
      </c>
      <c r="T51" s="13">
        <f t="shared" si="10"/>
        <v>2</v>
      </c>
      <c r="U51" s="13">
        <f t="shared" si="0"/>
        <v>1</v>
      </c>
      <c r="V51" s="13">
        <f t="shared" si="11"/>
        <v>2</v>
      </c>
      <c r="W51" s="13">
        <f t="shared" ca="1" si="12"/>
        <v>3</v>
      </c>
      <c r="X51" s="13">
        <f t="shared" ca="1" si="13"/>
        <v>8</v>
      </c>
      <c r="Y51" s="81" t="str">
        <f t="shared" ca="1" si="14"/>
        <v>MONITOR</v>
      </c>
      <c r="Z51" s="13">
        <v>14</v>
      </c>
      <c r="AA51" s="75">
        <v>46059</v>
      </c>
      <c r="AB51" s="75">
        <f t="shared" si="15"/>
        <v>45920</v>
      </c>
      <c r="AC51" s="88">
        <f t="shared" si="16"/>
        <v>19.857142857142858</v>
      </c>
      <c r="AD51" s="89" t="str">
        <f t="shared" ca="1" si="17"/>
        <v>STABLE</v>
      </c>
      <c r="AE51" s="89" t="str">
        <f t="shared" si="22"/>
        <v>SLOW SELLING</v>
      </c>
      <c r="AF51" s="89" t="str">
        <f t="shared" si="19"/>
        <v>AT RISK</v>
      </c>
      <c r="AG51" s="89" t="str">
        <f t="shared" si="20"/>
        <v>FEASIBLE</v>
      </c>
      <c r="AH51" s="81" t="str">
        <f t="shared" ca="1" si="21"/>
        <v>MONITOR</v>
      </c>
      <c r="AI51" s="75"/>
      <c r="AJ51" s="75"/>
      <c r="AK51" s="13"/>
      <c r="AL51" s="79"/>
      <c r="AM51" s="79"/>
      <c r="AN51" s="79"/>
      <c r="AO51" s="79"/>
      <c r="AP51" s="79"/>
      <c r="AQ51" s="75"/>
      <c r="AR51" s="75"/>
      <c r="AS51" s="75"/>
      <c r="AT51" s="75"/>
      <c r="AU51" s="75"/>
      <c r="AV51" s="13"/>
      <c r="AW51" s="13"/>
      <c r="AX51" s="13"/>
      <c r="AY51" s="13"/>
      <c r="AZ51" s="13"/>
      <c r="BA51" s="105"/>
      <c r="BB51" s="13"/>
      <c r="BC51" s="13"/>
      <c r="BD51" s="13"/>
      <c r="BE51" s="13"/>
      <c r="BF51" s="88"/>
      <c r="BG51" s="88"/>
      <c r="BH51" s="88"/>
      <c r="BI51" s="88"/>
      <c r="BJ51" s="88"/>
      <c r="BK51" s="105"/>
      <c r="BL51" s="105"/>
      <c r="BM51" s="105"/>
      <c r="BN51" s="105"/>
      <c r="BO51" s="105"/>
      <c r="BP51" s="105"/>
      <c r="BQ51" s="79"/>
      <c r="BR51" s="79"/>
      <c r="BS51" s="79"/>
      <c r="BT51" s="79"/>
      <c r="BU51" s="79"/>
      <c r="BV51" s="90"/>
      <c r="BW51" s="106"/>
      <c r="BX51" s="106"/>
      <c r="BY51" s="106"/>
      <c r="BZ51" s="106"/>
      <c r="CA51" s="106"/>
    </row>
    <row r="52" spans="1:79" x14ac:dyDescent="0.35">
      <c r="A52" s="25" t="s">
        <v>66</v>
      </c>
      <c r="B52" s="10" t="s">
        <v>316</v>
      </c>
      <c r="C52" s="10" t="s">
        <v>341</v>
      </c>
      <c r="D52" s="10" t="s">
        <v>346</v>
      </c>
      <c r="E52" s="11">
        <v>45906</v>
      </c>
      <c r="F52" s="17">
        <v>45892</v>
      </c>
      <c r="G52" s="14">
        <f t="shared" ca="1" si="1"/>
        <v>207</v>
      </c>
      <c r="H52" s="17">
        <v>599</v>
      </c>
      <c r="I52" s="17">
        <v>317</v>
      </c>
      <c r="J52" s="75">
        <f t="shared" si="2"/>
        <v>920</v>
      </c>
      <c r="K52" s="17">
        <v>1000</v>
      </c>
      <c r="L52" s="85">
        <v>80</v>
      </c>
      <c r="M52" s="86">
        <f t="shared" ca="1" si="3"/>
        <v>0.38647342995169082</v>
      </c>
      <c r="N52" s="86">
        <f t="shared" si="4"/>
        <v>0.92883099285538351</v>
      </c>
      <c r="O52" s="86">
        <f t="shared" si="5"/>
        <v>0.24390243902439024</v>
      </c>
      <c r="P52" s="87">
        <f t="shared" si="6"/>
        <v>20</v>
      </c>
      <c r="Q52" s="104">
        <f t="shared" si="7"/>
        <v>46</v>
      </c>
      <c r="R52" s="88">
        <f t="shared" si="8"/>
        <v>47.078464106844741</v>
      </c>
      <c r="S52" s="88">
        <f t="shared" si="9"/>
        <v>8</v>
      </c>
      <c r="T52" s="13">
        <f t="shared" si="10"/>
        <v>1</v>
      </c>
      <c r="U52" s="13">
        <f t="shared" si="0"/>
        <v>1</v>
      </c>
      <c r="V52" s="13">
        <f t="shared" si="11"/>
        <v>2</v>
      </c>
      <c r="W52" s="13">
        <f t="shared" ca="1" si="12"/>
        <v>3</v>
      </c>
      <c r="X52" s="13">
        <f t="shared" ca="1" si="13"/>
        <v>7</v>
      </c>
      <c r="Y52" s="81" t="str">
        <f t="shared" ca="1" si="14"/>
        <v>MONITOR</v>
      </c>
      <c r="Z52" s="13">
        <v>14</v>
      </c>
      <c r="AA52" s="75">
        <v>46059</v>
      </c>
      <c r="AB52" s="75">
        <f t="shared" si="15"/>
        <v>45920</v>
      </c>
      <c r="AC52" s="88">
        <f t="shared" si="16"/>
        <v>19.857142857142858</v>
      </c>
      <c r="AD52" s="89" t="str">
        <f t="shared" ca="1" si="17"/>
        <v>STABLE</v>
      </c>
      <c r="AE52" s="89" t="str">
        <f t="shared" si="22"/>
        <v>SLOW SELLING</v>
      </c>
      <c r="AF52" s="89" t="str">
        <f t="shared" si="19"/>
        <v>AT RISK</v>
      </c>
      <c r="AG52" s="89" t="str">
        <f t="shared" si="20"/>
        <v>FEASIBLE</v>
      </c>
      <c r="AH52" s="81" t="str">
        <f t="shared" ca="1" si="21"/>
        <v>MONITOR</v>
      </c>
      <c r="AI52" s="75"/>
      <c r="AJ52" s="75"/>
      <c r="AK52" s="13"/>
      <c r="AL52" s="79"/>
      <c r="AM52" s="79"/>
      <c r="AN52" s="79"/>
      <c r="AO52" s="79"/>
      <c r="AP52" s="79"/>
      <c r="AQ52" s="75"/>
      <c r="AR52" s="75"/>
      <c r="AS52" s="75"/>
      <c r="AT52" s="75"/>
      <c r="AU52" s="75"/>
      <c r="AV52" s="13"/>
      <c r="AW52" s="13"/>
      <c r="AX52" s="13"/>
      <c r="AY52" s="13"/>
      <c r="AZ52" s="13"/>
      <c r="BA52" s="105"/>
      <c r="BB52" s="13"/>
      <c r="BC52" s="13"/>
      <c r="BD52" s="13"/>
      <c r="BE52" s="13"/>
      <c r="BF52" s="88"/>
      <c r="BG52" s="88"/>
      <c r="BH52" s="88"/>
      <c r="BI52" s="88"/>
      <c r="BJ52" s="88"/>
      <c r="BK52" s="105"/>
      <c r="BL52" s="105"/>
      <c r="BM52" s="105"/>
      <c r="BN52" s="105"/>
      <c r="BO52" s="105"/>
      <c r="BP52" s="105"/>
      <c r="BQ52" s="79"/>
      <c r="BR52" s="79"/>
      <c r="BS52" s="79"/>
      <c r="BT52" s="79"/>
      <c r="BU52" s="79"/>
      <c r="BV52" s="90"/>
      <c r="BW52" s="106"/>
      <c r="BX52" s="106"/>
      <c r="BY52" s="106"/>
      <c r="BZ52" s="106"/>
      <c r="CA52" s="106"/>
    </row>
    <row r="53" spans="1:79" x14ac:dyDescent="0.35">
      <c r="A53" s="25" t="s">
        <v>67</v>
      </c>
      <c r="B53" s="10" t="s">
        <v>316</v>
      </c>
      <c r="C53" s="10" t="s">
        <v>341</v>
      </c>
      <c r="D53" s="10" t="s">
        <v>346</v>
      </c>
      <c r="E53" s="11">
        <v>45906</v>
      </c>
      <c r="F53" s="17">
        <v>45892</v>
      </c>
      <c r="G53" s="14">
        <f t="shared" ca="1" si="1"/>
        <v>207</v>
      </c>
      <c r="H53" s="17">
        <v>599</v>
      </c>
      <c r="I53" s="17">
        <v>317</v>
      </c>
      <c r="J53" s="75">
        <f t="shared" si="2"/>
        <v>677</v>
      </c>
      <c r="K53" s="17">
        <v>1100</v>
      </c>
      <c r="L53" s="85">
        <v>423</v>
      </c>
      <c r="M53" s="86">
        <f t="shared" ca="1" si="3"/>
        <v>2.0434782608695654</v>
      </c>
      <c r="N53" s="86">
        <f t="shared" si="4"/>
        <v>0.92883099285538351</v>
      </c>
      <c r="O53" s="86">
        <f t="shared" si="5"/>
        <v>1.2896341463414633</v>
      </c>
      <c r="P53" s="87">
        <f t="shared" si="6"/>
        <v>105.75</v>
      </c>
      <c r="Q53" s="104">
        <f t="shared" si="7"/>
        <v>6.4018912529550827</v>
      </c>
      <c r="R53" s="88">
        <f t="shared" si="8"/>
        <v>47.078464106844741</v>
      </c>
      <c r="S53" s="88">
        <f t="shared" si="9"/>
        <v>38.454545454545453</v>
      </c>
      <c r="T53" s="13">
        <f t="shared" si="10"/>
        <v>3</v>
      </c>
      <c r="U53" s="13">
        <f t="shared" si="0"/>
        <v>1</v>
      </c>
      <c r="V53" s="13">
        <f t="shared" si="11"/>
        <v>2</v>
      </c>
      <c r="W53" s="13">
        <f t="shared" ca="1" si="12"/>
        <v>3</v>
      </c>
      <c r="X53" s="13">
        <f t="shared" ca="1" si="13"/>
        <v>9</v>
      </c>
      <c r="Y53" s="81" t="str">
        <f t="shared" ca="1" si="14"/>
        <v>RE-BUY</v>
      </c>
      <c r="Z53" s="13">
        <v>14</v>
      </c>
      <c r="AA53" s="75">
        <v>46059</v>
      </c>
      <c r="AB53" s="75">
        <f t="shared" si="15"/>
        <v>45920</v>
      </c>
      <c r="AC53" s="88">
        <f t="shared" si="16"/>
        <v>19.857142857142858</v>
      </c>
      <c r="AD53" s="89" t="str">
        <f t="shared" ca="1" si="17"/>
        <v>STABLE</v>
      </c>
      <c r="AE53" s="89" t="str">
        <f t="shared" si="22"/>
        <v>FAST SELLING</v>
      </c>
      <c r="AF53" s="89" t="str">
        <f t="shared" si="19"/>
        <v>AT RISK</v>
      </c>
      <c r="AG53" s="89" t="str">
        <f t="shared" si="20"/>
        <v>FEASIBLE</v>
      </c>
      <c r="AH53" s="81" t="str">
        <f t="shared" ca="1" si="21"/>
        <v>IMMEDIATE REBUY</v>
      </c>
      <c r="AI53" s="75"/>
      <c r="AJ53" s="75"/>
      <c r="AK53" s="13"/>
      <c r="AL53" s="79"/>
      <c r="AM53" s="79"/>
      <c r="AN53" s="79"/>
      <c r="AO53" s="79"/>
      <c r="AP53" s="79"/>
      <c r="AQ53" s="75"/>
      <c r="AR53" s="75"/>
      <c r="AS53" s="75"/>
      <c r="AT53" s="75"/>
      <c r="AU53" s="75"/>
      <c r="AV53" s="13"/>
      <c r="AW53" s="13"/>
      <c r="AX53" s="13"/>
      <c r="AY53" s="13"/>
      <c r="AZ53" s="13"/>
      <c r="BA53" s="105"/>
      <c r="BB53" s="13"/>
      <c r="BC53" s="13"/>
      <c r="BD53" s="13"/>
      <c r="BE53" s="13"/>
      <c r="BF53" s="88"/>
      <c r="BG53" s="88"/>
      <c r="BH53" s="88"/>
      <c r="BI53" s="88"/>
      <c r="BJ53" s="88"/>
      <c r="BK53" s="105"/>
      <c r="BL53" s="105"/>
      <c r="BM53" s="105"/>
      <c r="BN53" s="105"/>
      <c r="BO53" s="105"/>
      <c r="BP53" s="105"/>
      <c r="BQ53" s="79"/>
      <c r="BR53" s="79"/>
      <c r="BS53" s="79"/>
      <c r="BT53" s="79"/>
      <c r="BU53" s="79"/>
      <c r="BV53" s="90"/>
      <c r="BW53" s="106"/>
      <c r="BX53" s="106"/>
      <c r="BY53" s="106"/>
      <c r="BZ53" s="106"/>
      <c r="CA53" s="106"/>
    </row>
    <row r="54" spans="1:79" x14ac:dyDescent="0.35">
      <c r="A54" s="25" t="s">
        <v>68</v>
      </c>
      <c r="B54" s="10" t="s">
        <v>316</v>
      </c>
      <c r="C54" s="10" t="s">
        <v>341</v>
      </c>
      <c r="D54" s="10" t="s">
        <v>346</v>
      </c>
      <c r="E54" s="11">
        <v>45927</v>
      </c>
      <c r="F54" s="17">
        <v>45892</v>
      </c>
      <c r="G54" s="14">
        <f t="shared" ca="1" si="1"/>
        <v>207</v>
      </c>
      <c r="H54" s="17">
        <v>599</v>
      </c>
      <c r="I54" s="17">
        <v>317</v>
      </c>
      <c r="J54" s="75">
        <f t="shared" si="2"/>
        <v>655</v>
      </c>
      <c r="K54" s="17">
        <v>1000</v>
      </c>
      <c r="L54" s="85">
        <v>345</v>
      </c>
      <c r="M54" s="86">
        <f t="shared" ca="1" si="3"/>
        <v>1.6666666666666667</v>
      </c>
      <c r="N54" s="86">
        <f t="shared" si="4"/>
        <v>0.92883099285538351</v>
      </c>
      <c r="O54" s="86">
        <f t="shared" si="5"/>
        <v>1.0518292682926829</v>
      </c>
      <c r="P54" s="87">
        <f t="shared" si="6"/>
        <v>86.25</v>
      </c>
      <c r="Q54" s="104">
        <f t="shared" si="7"/>
        <v>7.5942028985507246</v>
      </c>
      <c r="R54" s="88">
        <f t="shared" si="8"/>
        <v>47.078464106844741</v>
      </c>
      <c r="S54" s="88">
        <f t="shared" si="9"/>
        <v>34.5</v>
      </c>
      <c r="T54" s="13">
        <f t="shared" si="10"/>
        <v>3</v>
      </c>
      <c r="U54" s="13">
        <f t="shared" si="0"/>
        <v>1</v>
      </c>
      <c r="V54" s="13">
        <f t="shared" si="11"/>
        <v>2</v>
      </c>
      <c r="W54" s="13">
        <f t="shared" ca="1" si="12"/>
        <v>3</v>
      </c>
      <c r="X54" s="13">
        <f t="shared" ca="1" si="13"/>
        <v>9</v>
      </c>
      <c r="Y54" s="81" t="str">
        <f t="shared" ca="1" si="14"/>
        <v>RE-BUY</v>
      </c>
      <c r="Z54" s="13">
        <v>14</v>
      </c>
      <c r="AA54" s="75">
        <v>46059</v>
      </c>
      <c r="AB54" s="75">
        <f t="shared" si="15"/>
        <v>45920</v>
      </c>
      <c r="AC54" s="88">
        <f t="shared" si="16"/>
        <v>19.857142857142858</v>
      </c>
      <c r="AD54" s="89" t="str">
        <f t="shared" ca="1" si="17"/>
        <v>STABLE</v>
      </c>
      <c r="AE54" s="89" t="str">
        <f t="shared" si="22"/>
        <v>FAST SELLING</v>
      </c>
      <c r="AF54" s="89" t="str">
        <f t="shared" si="19"/>
        <v>AT RISK</v>
      </c>
      <c r="AG54" s="89" t="str">
        <f t="shared" si="20"/>
        <v>FEASIBLE</v>
      </c>
      <c r="AH54" s="81" t="str">
        <f t="shared" ca="1" si="21"/>
        <v>IMMEDIATE REBUY</v>
      </c>
      <c r="AI54" s="75"/>
      <c r="AJ54" s="75"/>
      <c r="AK54" s="13"/>
      <c r="AL54" s="79"/>
      <c r="AM54" s="79"/>
      <c r="AN54" s="79"/>
      <c r="AO54" s="79"/>
      <c r="AP54" s="79"/>
      <c r="AQ54" s="75"/>
      <c r="AR54" s="75"/>
      <c r="AS54" s="75"/>
      <c r="AT54" s="75"/>
      <c r="AU54" s="75"/>
      <c r="AV54" s="13"/>
      <c r="AW54" s="13"/>
      <c r="AX54" s="13"/>
      <c r="AY54" s="13"/>
      <c r="AZ54" s="13"/>
      <c r="BA54" s="105"/>
      <c r="BB54" s="13"/>
      <c r="BC54" s="13"/>
      <c r="BD54" s="13"/>
      <c r="BE54" s="13"/>
      <c r="BF54" s="88"/>
      <c r="BG54" s="88"/>
      <c r="BH54" s="88"/>
      <c r="BI54" s="88"/>
      <c r="BJ54" s="88"/>
      <c r="BK54" s="105"/>
      <c r="BL54" s="105"/>
      <c r="BM54" s="105"/>
      <c r="BN54" s="105"/>
      <c r="BO54" s="105"/>
      <c r="BP54" s="105"/>
      <c r="BQ54" s="79"/>
      <c r="BR54" s="79"/>
      <c r="BS54" s="79"/>
      <c r="BT54" s="79"/>
      <c r="BU54" s="79"/>
      <c r="BV54" s="90"/>
      <c r="BW54" s="106"/>
      <c r="BX54" s="106"/>
      <c r="BY54" s="106"/>
      <c r="BZ54" s="106"/>
      <c r="CA54" s="106"/>
    </row>
    <row r="55" spans="1:79" x14ac:dyDescent="0.35">
      <c r="A55" s="25" t="s">
        <v>69</v>
      </c>
      <c r="B55" s="10" t="s">
        <v>321</v>
      </c>
      <c r="C55" s="10" t="s">
        <v>341</v>
      </c>
      <c r="D55" s="10" t="s">
        <v>346</v>
      </c>
      <c r="E55" s="11">
        <v>45878</v>
      </c>
      <c r="F55" s="17">
        <v>45892</v>
      </c>
      <c r="G55" s="14">
        <f t="shared" ca="1" si="1"/>
        <v>207</v>
      </c>
      <c r="H55" s="17">
        <v>799</v>
      </c>
      <c r="I55" s="17">
        <v>410</v>
      </c>
      <c r="J55" s="75">
        <f t="shared" si="2"/>
        <v>886</v>
      </c>
      <c r="K55" s="17">
        <v>1100</v>
      </c>
      <c r="L55" s="85">
        <v>214</v>
      </c>
      <c r="M55" s="86">
        <f t="shared" ca="1" si="3"/>
        <v>1.0338164251207729</v>
      </c>
      <c r="N55" s="86">
        <f t="shared" si="4"/>
        <v>0.92883099285538351</v>
      </c>
      <c r="O55" s="86">
        <f t="shared" si="5"/>
        <v>0.65243902439024393</v>
      </c>
      <c r="P55" s="87">
        <f t="shared" si="6"/>
        <v>53.5</v>
      </c>
      <c r="Q55" s="104">
        <f t="shared" si="7"/>
        <v>16.560747663551403</v>
      </c>
      <c r="R55" s="88">
        <f t="shared" si="8"/>
        <v>48.685857321652065</v>
      </c>
      <c r="S55" s="88">
        <f t="shared" si="9"/>
        <v>19.454545454545453</v>
      </c>
      <c r="T55" s="13">
        <f t="shared" si="10"/>
        <v>1</v>
      </c>
      <c r="U55" s="13">
        <f t="shared" si="0"/>
        <v>1</v>
      </c>
      <c r="V55" s="13">
        <f t="shared" si="11"/>
        <v>2</v>
      </c>
      <c r="W55" s="13">
        <f t="shared" ca="1" si="12"/>
        <v>3</v>
      </c>
      <c r="X55" s="13">
        <f t="shared" ca="1" si="13"/>
        <v>7</v>
      </c>
      <c r="Y55" s="81" t="str">
        <f t="shared" ca="1" si="14"/>
        <v>MONITOR</v>
      </c>
      <c r="Z55" s="13">
        <v>14</v>
      </c>
      <c r="AA55" s="75">
        <v>46059</v>
      </c>
      <c r="AB55" s="75">
        <f t="shared" si="15"/>
        <v>45920</v>
      </c>
      <c r="AC55" s="88">
        <f t="shared" si="16"/>
        <v>19.857142857142858</v>
      </c>
      <c r="AD55" s="89" t="str">
        <f t="shared" ca="1" si="17"/>
        <v>STABLE</v>
      </c>
      <c r="AE55" s="89" t="str">
        <f t="shared" si="22"/>
        <v>SLOW SELLING</v>
      </c>
      <c r="AF55" s="89" t="str">
        <f t="shared" si="19"/>
        <v>AT RISK</v>
      </c>
      <c r="AG55" s="89" t="str">
        <f t="shared" si="20"/>
        <v>FEASIBLE</v>
      </c>
      <c r="AH55" s="81" t="str">
        <f t="shared" ca="1" si="21"/>
        <v>MONITOR</v>
      </c>
      <c r="AI55" s="75"/>
      <c r="AJ55" s="75"/>
      <c r="AK55" s="13"/>
      <c r="AL55" s="79"/>
      <c r="AM55" s="79"/>
      <c r="AN55" s="79"/>
      <c r="AO55" s="79"/>
      <c r="AP55" s="79"/>
      <c r="AQ55" s="75"/>
      <c r="AR55" s="75"/>
      <c r="AS55" s="75"/>
      <c r="AT55" s="75"/>
      <c r="AU55" s="75"/>
      <c r="AV55" s="13"/>
      <c r="AW55" s="13"/>
      <c r="AX55" s="13"/>
      <c r="AY55" s="13"/>
      <c r="AZ55" s="13"/>
      <c r="BA55" s="105"/>
      <c r="BB55" s="13"/>
      <c r="BC55" s="13"/>
      <c r="BD55" s="13"/>
      <c r="BE55" s="13"/>
      <c r="BF55" s="88"/>
      <c r="BG55" s="88"/>
      <c r="BH55" s="88"/>
      <c r="BI55" s="88"/>
      <c r="BJ55" s="88"/>
      <c r="BK55" s="105"/>
      <c r="BL55" s="105"/>
      <c r="BM55" s="105"/>
      <c r="BN55" s="105"/>
      <c r="BO55" s="105"/>
      <c r="BP55" s="105"/>
      <c r="BQ55" s="79"/>
      <c r="BR55" s="79"/>
      <c r="BS55" s="79"/>
      <c r="BT55" s="79"/>
      <c r="BU55" s="79"/>
      <c r="BV55" s="90"/>
      <c r="BW55" s="106"/>
      <c r="BX55" s="106"/>
      <c r="BY55" s="106"/>
      <c r="BZ55" s="106"/>
      <c r="CA55" s="106"/>
    </row>
    <row r="56" spans="1:79" x14ac:dyDescent="0.35">
      <c r="A56" s="25" t="s">
        <v>70</v>
      </c>
      <c r="B56" s="10" t="s">
        <v>321</v>
      </c>
      <c r="C56" s="10" t="s">
        <v>341</v>
      </c>
      <c r="D56" s="10" t="s">
        <v>346</v>
      </c>
      <c r="E56" s="11">
        <v>45878</v>
      </c>
      <c r="F56" s="17">
        <v>45892</v>
      </c>
      <c r="G56" s="14">
        <f t="shared" ca="1" si="1"/>
        <v>207</v>
      </c>
      <c r="H56" s="17">
        <v>799</v>
      </c>
      <c r="I56" s="17">
        <v>410</v>
      </c>
      <c r="J56" s="75">
        <f t="shared" si="2"/>
        <v>989</v>
      </c>
      <c r="K56" s="17">
        <v>1200</v>
      </c>
      <c r="L56" s="85">
        <v>211</v>
      </c>
      <c r="M56" s="86">
        <f t="shared" ca="1" si="3"/>
        <v>1.0193236714975846</v>
      </c>
      <c r="N56" s="86">
        <f t="shared" si="4"/>
        <v>0.92883099285538351</v>
      </c>
      <c r="O56" s="86">
        <f t="shared" si="5"/>
        <v>0.64329268292682928</v>
      </c>
      <c r="P56" s="87">
        <f t="shared" si="6"/>
        <v>52.75</v>
      </c>
      <c r="Q56" s="104">
        <f t="shared" si="7"/>
        <v>18.748815165876778</v>
      </c>
      <c r="R56" s="88">
        <f t="shared" si="8"/>
        <v>48.685857321652065</v>
      </c>
      <c r="S56" s="88">
        <f t="shared" si="9"/>
        <v>17.583333333333336</v>
      </c>
      <c r="T56" s="13">
        <f t="shared" si="10"/>
        <v>1</v>
      </c>
      <c r="U56" s="13">
        <f t="shared" si="0"/>
        <v>1</v>
      </c>
      <c r="V56" s="13">
        <f t="shared" si="11"/>
        <v>2</v>
      </c>
      <c r="W56" s="13">
        <f t="shared" ca="1" si="12"/>
        <v>3</v>
      </c>
      <c r="X56" s="13">
        <f t="shared" ca="1" si="13"/>
        <v>7</v>
      </c>
      <c r="Y56" s="81" t="str">
        <f t="shared" ca="1" si="14"/>
        <v>MONITOR</v>
      </c>
      <c r="Z56" s="13">
        <v>14</v>
      </c>
      <c r="AA56" s="75">
        <v>46059</v>
      </c>
      <c r="AB56" s="75">
        <f t="shared" si="15"/>
        <v>45920</v>
      </c>
      <c r="AC56" s="88">
        <f t="shared" si="16"/>
        <v>19.857142857142858</v>
      </c>
      <c r="AD56" s="89" t="str">
        <f t="shared" ca="1" si="17"/>
        <v>STABLE</v>
      </c>
      <c r="AE56" s="89" t="str">
        <f t="shared" si="22"/>
        <v>SLOW SELLING</v>
      </c>
      <c r="AF56" s="89" t="str">
        <f t="shared" si="19"/>
        <v>AT RISK</v>
      </c>
      <c r="AG56" s="89" t="str">
        <f t="shared" si="20"/>
        <v>FEASIBLE</v>
      </c>
      <c r="AH56" s="81" t="str">
        <f t="shared" ca="1" si="21"/>
        <v>MONITOR</v>
      </c>
      <c r="AI56" s="75"/>
      <c r="AJ56" s="75"/>
      <c r="AK56" s="13"/>
      <c r="AL56" s="79"/>
      <c r="AM56" s="79"/>
      <c r="AN56" s="79"/>
      <c r="AO56" s="79"/>
      <c r="AP56" s="79"/>
      <c r="AQ56" s="75"/>
      <c r="AR56" s="75"/>
      <c r="AS56" s="75"/>
      <c r="AT56" s="75"/>
      <c r="AU56" s="75"/>
      <c r="AV56" s="13"/>
      <c r="AW56" s="13"/>
      <c r="AX56" s="13"/>
      <c r="AY56" s="13"/>
      <c r="AZ56" s="13"/>
      <c r="BA56" s="105"/>
      <c r="BB56" s="13"/>
      <c r="BC56" s="13"/>
      <c r="BD56" s="13"/>
      <c r="BE56" s="13"/>
      <c r="BF56" s="88"/>
      <c r="BG56" s="88"/>
      <c r="BH56" s="88"/>
      <c r="BI56" s="88"/>
      <c r="BJ56" s="88"/>
      <c r="BK56" s="105"/>
      <c r="BL56" s="105"/>
      <c r="BM56" s="105"/>
      <c r="BN56" s="105"/>
      <c r="BO56" s="105"/>
      <c r="BP56" s="105"/>
      <c r="BQ56" s="79"/>
      <c r="BR56" s="79"/>
      <c r="BS56" s="79"/>
      <c r="BT56" s="79"/>
      <c r="BU56" s="79"/>
      <c r="BV56" s="90"/>
      <c r="BW56" s="106"/>
      <c r="BX56" s="106"/>
      <c r="BY56" s="106"/>
      <c r="BZ56" s="106"/>
      <c r="CA56" s="106"/>
    </row>
    <row r="57" spans="1:79" x14ac:dyDescent="0.35">
      <c r="A57" s="25" t="s">
        <v>71</v>
      </c>
      <c r="B57" s="10" t="s">
        <v>321</v>
      </c>
      <c r="C57" s="10" t="s">
        <v>341</v>
      </c>
      <c r="D57" s="10" t="s">
        <v>346</v>
      </c>
      <c r="E57" s="11">
        <v>45878</v>
      </c>
      <c r="F57" s="17">
        <v>45892</v>
      </c>
      <c r="G57" s="14">
        <f t="shared" ca="1" si="1"/>
        <v>207</v>
      </c>
      <c r="H57" s="17">
        <v>799</v>
      </c>
      <c r="I57" s="17">
        <v>410</v>
      </c>
      <c r="J57" s="75">
        <f t="shared" si="2"/>
        <v>1097</v>
      </c>
      <c r="K57" s="17">
        <v>1200</v>
      </c>
      <c r="L57" s="85">
        <v>103</v>
      </c>
      <c r="M57" s="86">
        <f t="shared" ca="1" si="3"/>
        <v>0.49758454106280192</v>
      </c>
      <c r="N57" s="86">
        <f t="shared" si="4"/>
        <v>0.92883099285538351</v>
      </c>
      <c r="O57" s="86">
        <f t="shared" si="5"/>
        <v>0.31402439024390244</v>
      </c>
      <c r="P57" s="87">
        <f t="shared" si="6"/>
        <v>25.75</v>
      </c>
      <c r="Q57" s="104">
        <f t="shared" si="7"/>
        <v>42.601941747572816</v>
      </c>
      <c r="R57" s="88">
        <f t="shared" si="8"/>
        <v>48.685857321652065</v>
      </c>
      <c r="S57" s="88">
        <f t="shared" si="9"/>
        <v>8.5833333333333339</v>
      </c>
      <c r="T57" s="13">
        <f t="shared" si="10"/>
        <v>1</v>
      </c>
      <c r="U57" s="13">
        <f t="shared" si="0"/>
        <v>1</v>
      </c>
      <c r="V57" s="13">
        <f t="shared" si="11"/>
        <v>2</v>
      </c>
      <c r="W57" s="13">
        <f t="shared" ca="1" si="12"/>
        <v>3</v>
      </c>
      <c r="X57" s="13">
        <f t="shared" ca="1" si="13"/>
        <v>7</v>
      </c>
      <c r="Y57" s="81" t="str">
        <f t="shared" ca="1" si="14"/>
        <v>MONITOR</v>
      </c>
      <c r="Z57" s="13">
        <v>14</v>
      </c>
      <c r="AA57" s="75">
        <v>46059</v>
      </c>
      <c r="AB57" s="75">
        <f t="shared" si="15"/>
        <v>45920</v>
      </c>
      <c r="AC57" s="88">
        <f t="shared" si="16"/>
        <v>19.857142857142858</v>
      </c>
      <c r="AD57" s="89" t="str">
        <f t="shared" ca="1" si="17"/>
        <v>STABLE</v>
      </c>
      <c r="AE57" s="89" t="str">
        <f t="shared" si="22"/>
        <v>SLOW SELLING</v>
      </c>
      <c r="AF57" s="89" t="str">
        <f t="shared" si="19"/>
        <v>AT RISK</v>
      </c>
      <c r="AG57" s="89" t="str">
        <f t="shared" si="20"/>
        <v>FEASIBLE</v>
      </c>
      <c r="AH57" s="81" t="str">
        <f t="shared" ca="1" si="21"/>
        <v>MONITOR</v>
      </c>
      <c r="AI57" s="75"/>
      <c r="AJ57" s="75"/>
      <c r="AK57" s="13"/>
      <c r="AL57" s="79"/>
      <c r="AM57" s="79"/>
      <c r="AN57" s="79"/>
      <c r="AO57" s="79"/>
      <c r="AP57" s="79"/>
      <c r="AQ57" s="75"/>
      <c r="AR57" s="75"/>
      <c r="AS57" s="75"/>
      <c r="AT57" s="75"/>
      <c r="AU57" s="75"/>
      <c r="AV57" s="13"/>
      <c r="AW57" s="13"/>
      <c r="AX57" s="13"/>
      <c r="AY57" s="13"/>
      <c r="AZ57" s="13"/>
      <c r="BA57" s="105"/>
      <c r="BB57" s="13"/>
      <c r="BC57" s="13"/>
      <c r="BD57" s="13"/>
      <c r="BE57" s="13"/>
      <c r="BF57" s="88"/>
      <c r="BG57" s="88"/>
      <c r="BH57" s="88"/>
      <c r="BI57" s="88"/>
      <c r="BJ57" s="88"/>
      <c r="BK57" s="105"/>
      <c r="BL57" s="105"/>
      <c r="BM57" s="105"/>
      <c r="BN57" s="105"/>
      <c r="BO57" s="105"/>
      <c r="BP57" s="105"/>
      <c r="BQ57" s="79"/>
      <c r="BR57" s="79"/>
      <c r="BS57" s="79"/>
      <c r="BT57" s="79"/>
      <c r="BU57" s="79"/>
      <c r="BV57" s="90"/>
      <c r="BW57" s="106"/>
      <c r="BX57" s="106"/>
      <c r="BY57" s="106"/>
      <c r="BZ57" s="106"/>
      <c r="CA57" s="106"/>
    </row>
    <row r="58" spans="1:79" x14ac:dyDescent="0.35">
      <c r="A58" s="25" t="s">
        <v>72</v>
      </c>
      <c r="B58" s="10" t="s">
        <v>321</v>
      </c>
      <c r="C58" s="10" t="s">
        <v>341</v>
      </c>
      <c r="D58" s="10" t="s">
        <v>346</v>
      </c>
      <c r="E58" s="11">
        <v>45878</v>
      </c>
      <c r="F58" s="17">
        <v>45892</v>
      </c>
      <c r="G58" s="14">
        <f t="shared" ca="1" si="1"/>
        <v>207</v>
      </c>
      <c r="H58" s="17">
        <v>799</v>
      </c>
      <c r="I58" s="17">
        <v>410</v>
      </c>
      <c r="J58" s="75">
        <f t="shared" si="2"/>
        <v>1173</v>
      </c>
      <c r="K58" s="17">
        <v>1300</v>
      </c>
      <c r="L58" s="85">
        <v>127</v>
      </c>
      <c r="M58" s="86">
        <f t="shared" ca="1" si="3"/>
        <v>0.61352657004830913</v>
      </c>
      <c r="N58" s="86">
        <f t="shared" si="4"/>
        <v>0.92883099285538351</v>
      </c>
      <c r="O58" s="86">
        <f t="shared" si="5"/>
        <v>0.38719512195121952</v>
      </c>
      <c r="P58" s="87">
        <f t="shared" si="6"/>
        <v>31.75</v>
      </c>
      <c r="Q58" s="104">
        <f t="shared" si="7"/>
        <v>36.944881889763778</v>
      </c>
      <c r="R58" s="88">
        <f t="shared" si="8"/>
        <v>48.685857321652065</v>
      </c>
      <c r="S58" s="88">
        <f t="shared" si="9"/>
        <v>9.7692307692307683</v>
      </c>
      <c r="T58" s="13">
        <f t="shared" si="10"/>
        <v>1</v>
      </c>
      <c r="U58" s="13">
        <f t="shared" si="0"/>
        <v>1</v>
      </c>
      <c r="V58" s="13">
        <f t="shared" si="11"/>
        <v>2</v>
      </c>
      <c r="W58" s="13">
        <f t="shared" ca="1" si="12"/>
        <v>3</v>
      </c>
      <c r="X58" s="13">
        <f t="shared" ca="1" si="13"/>
        <v>7</v>
      </c>
      <c r="Y58" s="81" t="str">
        <f t="shared" ca="1" si="14"/>
        <v>MONITOR</v>
      </c>
      <c r="Z58" s="13">
        <v>14</v>
      </c>
      <c r="AA58" s="75">
        <v>46059</v>
      </c>
      <c r="AB58" s="75">
        <f t="shared" si="15"/>
        <v>45920</v>
      </c>
      <c r="AC58" s="88">
        <f t="shared" si="16"/>
        <v>19.857142857142858</v>
      </c>
      <c r="AD58" s="89" t="str">
        <f t="shared" ca="1" si="17"/>
        <v>STABLE</v>
      </c>
      <c r="AE58" s="89" t="str">
        <f t="shared" si="22"/>
        <v>SLOW SELLING</v>
      </c>
      <c r="AF58" s="89" t="str">
        <f t="shared" si="19"/>
        <v>AT RISK</v>
      </c>
      <c r="AG58" s="89" t="str">
        <f t="shared" si="20"/>
        <v>FEASIBLE</v>
      </c>
      <c r="AH58" s="81" t="str">
        <f t="shared" ca="1" si="21"/>
        <v>MONITOR</v>
      </c>
      <c r="AI58" s="75"/>
      <c r="AJ58" s="75"/>
      <c r="AK58" s="13"/>
      <c r="AL58" s="79"/>
      <c r="AM58" s="79"/>
      <c r="AN58" s="79"/>
      <c r="AO58" s="79"/>
      <c r="AP58" s="79"/>
      <c r="AQ58" s="75"/>
      <c r="AR58" s="75"/>
      <c r="AS58" s="75"/>
      <c r="AT58" s="75"/>
      <c r="AU58" s="75"/>
      <c r="AV58" s="13"/>
      <c r="AW58" s="13"/>
      <c r="AX58" s="13"/>
      <c r="AY58" s="13"/>
      <c r="AZ58" s="13"/>
      <c r="BA58" s="105"/>
      <c r="BB58" s="13"/>
      <c r="BC58" s="13"/>
      <c r="BD58" s="13"/>
      <c r="BE58" s="13"/>
      <c r="BF58" s="88"/>
      <c r="BG58" s="88"/>
      <c r="BH58" s="88"/>
      <c r="BI58" s="88"/>
      <c r="BJ58" s="88"/>
      <c r="BK58" s="105"/>
      <c r="BL58" s="105"/>
      <c r="BM58" s="105"/>
      <c r="BN58" s="105"/>
      <c r="BO58" s="105"/>
      <c r="BP58" s="105"/>
      <c r="BQ58" s="79"/>
      <c r="BR58" s="79"/>
      <c r="BS58" s="79"/>
      <c r="BT58" s="79"/>
      <c r="BU58" s="79"/>
      <c r="BV58" s="90"/>
      <c r="BW58" s="106"/>
      <c r="BX58" s="106"/>
      <c r="BY58" s="106"/>
      <c r="BZ58" s="106"/>
      <c r="CA58" s="106"/>
    </row>
    <row r="59" spans="1:79" x14ac:dyDescent="0.35">
      <c r="A59" s="25" t="s">
        <v>73</v>
      </c>
      <c r="B59" s="10" t="s">
        <v>321</v>
      </c>
      <c r="C59" s="10" t="s">
        <v>341</v>
      </c>
      <c r="D59" s="10" t="s">
        <v>346</v>
      </c>
      <c r="E59" s="11">
        <v>45920</v>
      </c>
      <c r="F59" s="17">
        <v>45892</v>
      </c>
      <c r="G59" s="14">
        <f t="shared" ca="1" si="1"/>
        <v>207</v>
      </c>
      <c r="H59" s="17">
        <v>799</v>
      </c>
      <c r="I59" s="17">
        <v>410</v>
      </c>
      <c r="J59" s="75">
        <f t="shared" si="2"/>
        <v>958</v>
      </c>
      <c r="K59" s="17">
        <v>1300</v>
      </c>
      <c r="L59" s="85">
        <v>342</v>
      </c>
      <c r="M59" s="86">
        <f t="shared" ca="1" si="3"/>
        <v>1.6521739130434783</v>
      </c>
      <c r="N59" s="86">
        <f t="shared" si="4"/>
        <v>0.92883099285538351</v>
      </c>
      <c r="O59" s="86">
        <f t="shared" si="5"/>
        <v>1.0426829268292683</v>
      </c>
      <c r="P59" s="87">
        <f t="shared" si="6"/>
        <v>85.5</v>
      </c>
      <c r="Q59" s="104">
        <f t="shared" si="7"/>
        <v>11.2046783625731</v>
      </c>
      <c r="R59" s="88">
        <f t="shared" si="8"/>
        <v>48.685857321652065</v>
      </c>
      <c r="S59" s="88">
        <f t="shared" si="9"/>
        <v>26.30769230769231</v>
      </c>
      <c r="T59" s="13">
        <f t="shared" si="10"/>
        <v>3</v>
      </c>
      <c r="U59" s="13">
        <f t="shared" si="0"/>
        <v>1</v>
      </c>
      <c r="V59" s="13">
        <f t="shared" si="11"/>
        <v>2</v>
      </c>
      <c r="W59" s="13">
        <f t="shared" ca="1" si="12"/>
        <v>3</v>
      </c>
      <c r="X59" s="13">
        <f t="shared" ca="1" si="13"/>
        <v>9</v>
      </c>
      <c r="Y59" s="81" t="str">
        <f t="shared" ca="1" si="14"/>
        <v>RE-BUY</v>
      </c>
      <c r="Z59" s="13">
        <v>14</v>
      </c>
      <c r="AA59" s="75">
        <v>46059</v>
      </c>
      <c r="AB59" s="75">
        <f t="shared" si="15"/>
        <v>45920</v>
      </c>
      <c r="AC59" s="88">
        <f t="shared" si="16"/>
        <v>19.857142857142858</v>
      </c>
      <c r="AD59" s="89" t="str">
        <f t="shared" ca="1" si="17"/>
        <v>STABLE</v>
      </c>
      <c r="AE59" s="89" t="str">
        <f t="shared" si="22"/>
        <v>FAST SELLING</v>
      </c>
      <c r="AF59" s="89" t="str">
        <f t="shared" si="19"/>
        <v>AT RISK</v>
      </c>
      <c r="AG59" s="89" t="str">
        <f t="shared" si="20"/>
        <v>FEASIBLE</v>
      </c>
      <c r="AH59" s="81" t="str">
        <f t="shared" ca="1" si="21"/>
        <v>IMMEDIATE REBUY</v>
      </c>
      <c r="AI59" s="75"/>
      <c r="AJ59" s="75"/>
      <c r="AK59" s="13"/>
      <c r="AL59" s="79"/>
      <c r="AM59" s="79"/>
      <c r="AN59" s="79"/>
      <c r="AO59" s="79"/>
      <c r="AP59" s="79"/>
      <c r="AQ59" s="75"/>
      <c r="AR59" s="75"/>
      <c r="AS59" s="75"/>
      <c r="AT59" s="75"/>
      <c r="AU59" s="75"/>
      <c r="AV59" s="13"/>
      <c r="AW59" s="13"/>
      <c r="AX59" s="13"/>
      <c r="AY59" s="13"/>
      <c r="AZ59" s="13"/>
      <c r="BA59" s="105"/>
      <c r="BB59" s="13"/>
      <c r="BC59" s="13"/>
      <c r="BD59" s="13"/>
      <c r="BE59" s="13"/>
      <c r="BF59" s="88"/>
      <c r="BG59" s="88"/>
      <c r="BH59" s="88"/>
      <c r="BI59" s="88"/>
      <c r="BJ59" s="88"/>
      <c r="BK59" s="105"/>
      <c r="BL59" s="105"/>
      <c r="BM59" s="105"/>
      <c r="BN59" s="105"/>
      <c r="BO59" s="105"/>
      <c r="BP59" s="105"/>
      <c r="BQ59" s="79"/>
      <c r="BR59" s="79"/>
      <c r="BS59" s="79"/>
      <c r="BT59" s="79"/>
      <c r="BU59" s="79"/>
      <c r="BV59" s="90"/>
      <c r="BW59" s="106"/>
      <c r="BX59" s="106"/>
      <c r="BY59" s="106"/>
      <c r="BZ59" s="106"/>
      <c r="CA59" s="106"/>
    </row>
    <row r="60" spans="1:79" x14ac:dyDescent="0.35">
      <c r="A60" s="25" t="s">
        <v>74</v>
      </c>
      <c r="B60" s="10" t="s">
        <v>321</v>
      </c>
      <c r="C60" s="10" t="s">
        <v>341</v>
      </c>
      <c r="D60" s="10" t="s">
        <v>346</v>
      </c>
      <c r="E60" s="11">
        <v>45920</v>
      </c>
      <c r="F60" s="17">
        <v>45892</v>
      </c>
      <c r="G60" s="14">
        <f t="shared" ca="1" si="1"/>
        <v>207</v>
      </c>
      <c r="H60" s="17">
        <v>799</v>
      </c>
      <c r="I60" s="17">
        <v>410</v>
      </c>
      <c r="J60" s="75">
        <f t="shared" si="2"/>
        <v>793</v>
      </c>
      <c r="K60" s="17">
        <v>1100</v>
      </c>
      <c r="L60" s="85">
        <v>307</v>
      </c>
      <c r="M60" s="86">
        <f t="shared" ca="1" si="3"/>
        <v>1.4830917874396135</v>
      </c>
      <c r="N60" s="86">
        <f t="shared" si="4"/>
        <v>0.92883099285538351</v>
      </c>
      <c r="O60" s="86">
        <f t="shared" si="5"/>
        <v>0.93597560975609762</v>
      </c>
      <c r="P60" s="87">
        <f t="shared" si="6"/>
        <v>76.75</v>
      </c>
      <c r="Q60" s="104">
        <f t="shared" si="7"/>
        <v>10.332247557003257</v>
      </c>
      <c r="R60" s="88">
        <f t="shared" si="8"/>
        <v>48.685857321652065</v>
      </c>
      <c r="S60" s="88">
        <f t="shared" si="9"/>
        <v>27.90909090909091</v>
      </c>
      <c r="T60" s="13">
        <f t="shared" si="10"/>
        <v>3</v>
      </c>
      <c r="U60" s="13">
        <f t="shared" si="0"/>
        <v>1</v>
      </c>
      <c r="V60" s="13">
        <f t="shared" si="11"/>
        <v>2</v>
      </c>
      <c r="W60" s="13">
        <f t="shared" ca="1" si="12"/>
        <v>3</v>
      </c>
      <c r="X60" s="13">
        <f t="shared" ca="1" si="13"/>
        <v>9</v>
      </c>
      <c r="Y60" s="81" t="str">
        <f t="shared" ca="1" si="14"/>
        <v>RE-BUY</v>
      </c>
      <c r="Z60" s="13">
        <v>14</v>
      </c>
      <c r="AA60" s="75">
        <v>46059</v>
      </c>
      <c r="AB60" s="75">
        <f t="shared" si="15"/>
        <v>45920</v>
      </c>
      <c r="AC60" s="88">
        <f t="shared" si="16"/>
        <v>19.857142857142858</v>
      </c>
      <c r="AD60" s="89" t="str">
        <f t="shared" ca="1" si="17"/>
        <v>STABLE</v>
      </c>
      <c r="AE60" s="89" t="str">
        <f t="shared" si="22"/>
        <v>FAST SELLING</v>
      </c>
      <c r="AF60" s="89" t="str">
        <f t="shared" si="19"/>
        <v>AT RISK</v>
      </c>
      <c r="AG60" s="89" t="str">
        <f t="shared" si="20"/>
        <v>FEASIBLE</v>
      </c>
      <c r="AH60" s="81" t="str">
        <f t="shared" ca="1" si="21"/>
        <v>IMMEDIATE REBUY</v>
      </c>
      <c r="AI60" s="75"/>
      <c r="AJ60" s="75"/>
      <c r="AK60" s="13"/>
      <c r="AL60" s="79"/>
      <c r="AM60" s="79"/>
      <c r="AN60" s="79"/>
      <c r="AO60" s="79"/>
      <c r="AP60" s="79"/>
      <c r="AQ60" s="75"/>
      <c r="AR60" s="75"/>
      <c r="AS60" s="75"/>
      <c r="AT60" s="75"/>
      <c r="AU60" s="75"/>
      <c r="AV60" s="13"/>
      <c r="AW60" s="13"/>
      <c r="AX60" s="13"/>
      <c r="AY60" s="13"/>
      <c r="AZ60" s="13"/>
      <c r="BA60" s="105"/>
      <c r="BB60" s="13"/>
      <c r="BC60" s="13"/>
      <c r="BD60" s="13"/>
      <c r="BE60" s="13"/>
      <c r="BF60" s="88"/>
      <c r="BG60" s="88"/>
      <c r="BH60" s="88"/>
      <c r="BI60" s="88"/>
      <c r="BJ60" s="88"/>
      <c r="BK60" s="105"/>
      <c r="BL60" s="105"/>
      <c r="BM60" s="105"/>
      <c r="BN60" s="105"/>
      <c r="BO60" s="105"/>
      <c r="BP60" s="105"/>
      <c r="BQ60" s="79"/>
      <c r="BR60" s="79"/>
      <c r="BS60" s="79"/>
      <c r="BT60" s="79"/>
      <c r="BU60" s="79"/>
      <c r="BV60" s="90"/>
      <c r="BW60" s="106"/>
      <c r="BX60" s="106"/>
      <c r="BY60" s="106"/>
      <c r="BZ60" s="106"/>
      <c r="CA60" s="106"/>
    </row>
    <row r="61" spans="1:79" x14ac:dyDescent="0.35">
      <c r="A61" s="25" t="s">
        <v>75</v>
      </c>
      <c r="B61" s="10" t="s">
        <v>321</v>
      </c>
      <c r="C61" s="10" t="s">
        <v>341</v>
      </c>
      <c r="D61" s="10" t="s">
        <v>346</v>
      </c>
      <c r="E61" s="11">
        <v>45871</v>
      </c>
      <c r="F61" s="17">
        <v>45892</v>
      </c>
      <c r="G61" s="14">
        <f t="shared" ca="1" si="1"/>
        <v>207</v>
      </c>
      <c r="H61" s="17">
        <v>799</v>
      </c>
      <c r="I61" s="17">
        <v>425</v>
      </c>
      <c r="J61" s="75">
        <f t="shared" si="2"/>
        <v>1155</v>
      </c>
      <c r="K61" s="17">
        <v>1200</v>
      </c>
      <c r="L61" s="85">
        <v>45</v>
      </c>
      <c r="M61" s="86">
        <f t="shared" ca="1" si="3"/>
        <v>0.21739130434782608</v>
      </c>
      <c r="N61" s="86">
        <f t="shared" si="4"/>
        <v>0.92883099285538351</v>
      </c>
      <c r="O61" s="86">
        <f t="shared" si="5"/>
        <v>0.13719512195121952</v>
      </c>
      <c r="P61" s="87">
        <f t="shared" si="6"/>
        <v>11.25</v>
      </c>
      <c r="Q61" s="104">
        <f t="shared" si="7"/>
        <v>102.66666666666667</v>
      </c>
      <c r="R61" s="88">
        <f t="shared" si="8"/>
        <v>46.808510638297875</v>
      </c>
      <c r="S61" s="88">
        <f t="shared" si="9"/>
        <v>3.75</v>
      </c>
      <c r="T61" s="13">
        <f t="shared" si="10"/>
        <v>1</v>
      </c>
      <c r="U61" s="13">
        <f t="shared" si="0"/>
        <v>1</v>
      </c>
      <c r="V61" s="13">
        <f t="shared" si="11"/>
        <v>2</v>
      </c>
      <c r="W61" s="13">
        <f t="shared" ca="1" si="12"/>
        <v>3</v>
      </c>
      <c r="X61" s="13">
        <f t="shared" ca="1" si="13"/>
        <v>7</v>
      </c>
      <c r="Y61" s="81" t="str">
        <f t="shared" ca="1" si="14"/>
        <v>MONITOR</v>
      </c>
      <c r="Z61" s="13">
        <v>14</v>
      </c>
      <c r="AA61" s="75">
        <v>46059</v>
      </c>
      <c r="AB61" s="75">
        <f t="shared" si="15"/>
        <v>45920</v>
      </c>
      <c r="AC61" s="88">
        <f t="shared" si="16"/>
        <v>19.857142857142858</v>
      </c>
      <c r="AD61" s="89" t="str">
        <f t="shared" ca="1" si="17"/>
        <v>STABLE</v>
      </c>
      <c r="AE61" s="89" t="str">
        <f t="shared" si="22"/>
        <v>SLOW SELLING</v>
      </c>
      <c r="AF61" s="89" t="str">
        <f t="shared" si="19"/>
        <v>AT RISK</v>
      </c>
      <c r="AG61" s="89" t="str">
        <f t="shared" si="20"/>
        <v>FEASIBLE</v>
      </c>
      <c r="AH61" s="81" t="str">
        <f t="shared" ca="1" si="21"/>
        <v>MONITOR</v>
      </c>
      <c r="AI61" s="75"/>
      <c r="AJ61" s="75"/>
      <c r="AK61" s="13"/>
      <c r="AL61" s="79"/>
      <c r="AM61" s="79"/>
      <c r="AN61" s="79"/>
      <c r="AO61" s="79"/>
      <c r="AP61" s="79"/>
      <c r="AQ61" s="75"/>
      <c r="AR61" s="75"/>
      <c r="AS61" s="75"/>
      <c r="AT61" s="75"/>
      <c r="AU61" s="75"/>
      <c r="AV61" s="13"/>
      <c r="AW61" s="13"/>
      <c r="AX61" s="13"/>
      <c r="AY61" s="13"/>
      <c r="AZ61" s="13"/>
      <c r="BA61" s="105"/>
      <c r="BB61" s="13"/>
      <c r="BC61" s="13"/>
      <c r="BD61" s="13"/>
      <c r="BE61" s="13"/>
      <c r="BF61" s="88"/>
      <c r="BG61" s="88"/>
      <c r="BH61" s="88"/>
      <c r="BI61" s="88"/>
      <c r="BJ61" s="88"/>
      <c r="BK61" s="105"/>
      <c r="BL61" s="105"/>
      <c r="BM61" s="105"/>
      <c r="BN61" s="105"/>
      <c r="BO61" s="105"/>
      <c r="BP61" s="105"/>
      <c r="BQ61" s="79"/>
      <c r="BR61" s="79"/>
      <c r="BS61" s="79"/>
      <c r="BT61" s="79"/>
      <c r="BU61" s="79"/>
      <c r="BV61" s="90"/>
      <c r="BW61" s="106"/>
      <c r="BX61" s="106"/>
      <c r="BY61" s="106"/>
      <c r="BZ61" s="106"/>
      <c r="CA61" s="106"/>
    </row>
    <row r="62" spans="1:79" x14ac:dyDescent="0.35">
      <c r="A62" s="25" t="s">
        <v>76</v>
      </c>
      <c r="B62" s="10" t="s">
        <v>316</v>
      </c>
      <c r="C62" s="10" t="s">
        <v>341</v>
      </c>
      <c r="D62" s="10" t="s">
        <v>346</v>
      </c>
      <c r="E62" s="11">
        <v>45871</v>
      </c>
      <c r="F62" s="17">
        <v>45892</v>
      </c>
      <c r="G62" s="14">
        <f t="shared" ca="1" si="1"/>
        <v>207</v>
      </c>
      <c r="H62" s="17">
        <v>799</v>
      </c>
      <c r="I62" s="17">
        <v>410</v>
      </c>
      <c r="J62" s="75">
        <f t="shared" si="2"/>
        <v>821</v>
      </c>
      <c r="K62" s="17">
        <v>1200</v>
      </c>
      <c r="L62" s="85">
        <v>379</v>
      </c>
      <c r="M62" s="86">
        <f t="shared" ca="1" si="3"/>
        <v>1.8309178743961352</v>
      </c>
      <c r="N62" s="86">
        <f t="shared" si="4"/>
        <v>0.92883099285538351</v>
      </c>
      <c r="O62" s="86">
        <f t="shared" si="5"/>
        <v>1.1554878048780488</v>
      </c>
      <c r="P62" s="87">
        <f t="shared" si="6"/>
        <v>94.75</v>
      </c>
      <c r="Q62" s="104">
        <f t="shared" si="7"/>
        <v>8.6649076517150387</v>
      </c>
      <c r="R62" s="88">
        <f t="shared" si="8"/>
        <v>48.685857321652065</v>
      </c>
      <c r="S62" s="88">
        <f t="shared" si="9"/>
        <v>31.583333333333336</v>
      </c>
      <c r="T62" s="13">
        <f t="shared" si="10"/>
        <v>3</v>
      </c>
      <c r="U62" s="13">
        <f t="shared" si="0"/>
        <v>1</v>
      </c>
      <c r="V62" s="13">
        <f t="shared" si="11"/>
        <v>2</v>
      </c>
      <c r="W62" s="13">
        <f t="shared" ca="1" si="12"/>
        <v>3</v>
      </c>
      <c r="X62" s="13">
        <f t="shared" ca="1" si="13"/>
        <v>9</v>
      </c>
      <c r="Y62" s="81" t="str">
        <f t="shared" ca="1" si="14"/>
        <v>RE-BUY</v>
      </c>
      <c r="Z62" s="13">
        <v>14</v>
      </c>
      <c r="AA62" s="75">
        <v>46059</v>
      </c>
      <c r="AB62" s="75">
        <f t="shared" si="15"/>
        <v>45920</v>
      </c>
      <c r="AC62" s="88">
        <f t="shared" si="16"/>
        <v>19.857142857142858</v>
      </c>
      <c r="AD62" s="89" t="str">
        <f t="shared" ca="1" si="17"/>
        <v>STABLE</v>
      </c>
      <c r="AE62" s="89" t="str">
        <f t="shared" si="22"/>
        <v>FAST SELLING</v>
      </c>
      <c r="AF62" s="89" t="str">
        <f t="shared" si="19"/>
        <v>AT RISK</v>
      </c>
      <c r="AG62" s="89" t="str">
        <f t="shared" si="20"/>
        <v>FEASIBLE</v>
      </c>
      <c r="AH62" s="81" t="str">
        <f t="shared" ca="1" si="21"/>
        <v>IMMEDIATE REBUY</v>
      </c>
      <c r="AI62" s="75"/>
      <c r="AJ62" s="75"/>
      <c r="AK62" s="13"/>
      <c r="AL62" s="79"/>
      <c r="AM62" s="79"/>
      <c r="AN62" s="79"/>
      <c r="AO62" s="79"/>
      <c r="AP62" s="79"/>
      <c r="AQ62" s="75"/>
      <c r="AR62" s="75"/>
      <c r="AS62" s="75"/>
      <c r="AT62" s="75"/>
      <c r="AU62" s="75"/>
      <c r="AV62" s="13"/>
      <c r="AW62" s="13"/>
      <c r="AX62" s="13"/>
      <c r="AY62" s="13"/>
      <c r="AZ62" s="13"/>
      <c r="BA62" s="105"/>
      <c r="BB62" s="13"/>
      <c r="BC62" s="13"/>
      <c r="BD62" s="13"/>
      <c r="BE62" s="13"/>
      <c r="BF62" s="88"/>
      <c r="BG62" s="88"/>
      <c r="BH62" s="88"/>
      <c r="BI62" s="88"/>
      <c r="BJ62" s="88"/>
      <c r="BK62" s="105"/>
      <c r="BL62" s="105"/>
      <c r="BM62" s="105"/>
      <c r="BN62" s="105"/>
      <c r="BO62" s="105"/>
      <c r="BP62" s="105"/>
      <c r="BQ62" s="79"/>
      <c r="BR62" s="79"/>
      <c r="BS62" s="79"/>
      <c r="BT62" s="79"/>
      <c r="BU62" s="79"/>
      <c r="BV62" s="90"/>
      <c r="BW62" s="106"/>
      <c r="BX62" s="106"/>
      <c r="BY62" s="106"/>
      <c r="BZ62" s="106"/>
      <c r="CA62" s="106"/>
    </row>
    <row r="63" spans="1:79" x14ac:dyDescent="0.35">
      <c r="A63" s="25" t="s">
        <v>77</v>
      </c>
      <c r="B63" s="10" t="s">
        <v>321</v>
      </c>
      <c r="C63" s="10" t="s">
        <v>341</v>
      </c>
      <c r="D63" s="10" t="s">
        <v>346</v>
      </c>
      <c r="E63" s="11">
        <v>45871</v>
      </c>
      <c r="F63" s="17">
        <v>45892</v>
      </c>
      <c r="G63" s="14">
        <f t="shared" ca="1" si="1"/>
        <v>207</v>
      </c>
      <c r="H63" s="17">
        <v>799</v>
      </c>
      <c r="I63" s="17">
        <v>425</v>
      </c>
      <c r="J63" s="75">
        <f t="shared" si="2"/>
        <v>955</v>
      </c>
      <c r="K63" s="17">
        <v>1200</v>
      </c>
      <c r="L63" s="85">
        <v>245</v>
      </c>
      <c r="M63" s="86">
        <f t="shared" ca="1" si="3"/>
        <v>1.1835748792270531</v>
      </c>
      <c r="N63" s="86">
        <f t="shared" si="4"/>
        <v>0.92883099285538351</v>
      </c>
      <c r="O63" s="86">
        <f t="shared" si="5"/>
        <v>0.74695121951219512</v>
      </c>
      <c r="P63" s="87">
        <f t="shared" si="6"/>
        <v>61.25</v>
      </c>
      <c r="Q63" s="104">
        <f t="shared" si="7"/>
        <v>15.591836734693878</v>
      </c>
      <c r="R63" s="88">
        <f t="shared" si="8"/>
        <v>46.808510638297875</v>
      </c>
      <c r="S63" s="88">
        <f t="shared" si="9"/>
        <v>20.416666666666668</v>
      </c>
      <c r="T63" s="13">
        <f t="shared" si="10"/>
        <v>2</v>
      </c>
      <c r="U63" s="13">
        <f t="shared" si="0"/>
        <v>1</v>
      </c>
      <c r="V63" s="13">
        <f t="shared" si="11"/>
        <v>2</v>
      </c>
      <c r="W63" s="13">
        <f t="shared" ca="1" si="12"/>
        <v>3</v>
      </c>
      <c r="X63" s="13">
        <f t="shared" ca="1" si="13"/>
        <v>8</v>
      </c>
      <c r="Y63" s="81" t="str">
        <f t="shared" ca="1" si="14"/>
        <v>MONITOR</v>
      </c>
      <c r="Z63" s="13">
        <v>14</v>
      </c>
      <c r="AA63" s="75">
        <v>46059</v>
      </c>
      <c r="AB63" s="75">
        <f t="shared" si="15"/>
        <v>45920</v>
      </c>
      <c r="AC63" s="88">
        <f t="shared" si="16"/>
        <v>19.857142857142858</v>
      </c>
      <c r="AD63" s="89" t="str">
        <f t="shared" ca="1" si="17"/>
        <v>STABLE</v>
      </c>
      <c r="AE63" s="89" t="str">
        <f t="shared" si="22"/>
        <v>SLOW SELLING</v>
      </c>
      <c r="AF63" s="89" t="str">
        <f t="shared" si="19"/>
        <v>AT RISK</v>
      </c>
      <c r="AG63" s="89" t="str">
        <f t="shared" si="20"/>
        <v>FEASIBLE</v>
      </c>
      <c r="AH63" s="81" t="str">
        <f t="shared" ca="1" si="21"/>
        <v>MONITOR</v>
      </c>
      <c r="AI63" s="75"/>
      <c r="AJ63" s="75"/>
      <c r="AK63" s="13"/>
      <c r="AL63" s="79"/>
      <c r="AM63" s="79"/>
      <c r="AN63" s="79"/>
      <c r="AO63" s="79"/>
      <c r="AP63" s="79"/>
      <c r="AQ63" s="75"/>
      <c r="AR63" s="75"/>
      <c r="AS63" s="75"/>
      <c r="AT63" s="75"/>
      <c r="AU63" s="75"/>
      <c r="AV63" s="13"/>
      <c r="AW63" s="13"/>
      <c r="AX63" s="13"/>
      <c r="AY63" s="13"/>
      <c r="AZ63" s="13"/>
      <c r="BA63" s="105"/>
      <c r="BB63" s="13"/>
      <c r="BC63" s="13"/>
      <c r="BD63" s="13"/>
      <c r="BE63" s="13"/>
      <c r="BF63" s="88"/>
      <c r="BG63" s="88"/>
      <c r="BH63" s="88"/>
      <c r="BI63" s="88"/>
      <c r="BJ63" s="88"/>
      <c r="BK63" s="105"/>
      <c r="BL63" s="105"/>
      <c r="BM63" s="105"/>
      <c r="BN63" s="105"/>
      <c r="BO63" s="105"/>
      <c r="BP63" s="105"/>
      <c r="BQ63" s="79"/>
      <c r="BR63" s="79"/>
      <c r="BS63" s="79"/>
      <c r="BT63" s="79"/>
      <c r="BU63" s="79"/>
      <c r="BV63" s="90"/>
      <c r="BW63" s="106"/>
      <c r="BX63" s="106"/>
      <c r="BY63" s="106"/>
      <c r="BZ63" s="106"/>
      <c r="CA63" s="106"/>
    </row>
    <row r="64" spans="1:79" x14ac:dyDescent="0.35">
      <c r="A64" s="25" t="s">
        <v>78</v>
      </c>
      <c r="B64" s="10" t="s">
        <v>316</v>
      </c>
      <c r="C64" s="10" t="s">
        <v>341</v>
      </c>
      <c r="D64" s="10" t="s">
        <v>346</v>
      </c>
      <c r="E64" s="11">
        <v>45920</v>
      </c>
      <c r="F64" s="17">
        <v>45892</v>
      </c>
      <c r="G64" s="14">
        <f t="shared" ca="1" si="1"/>
        <v>207</v>
      </c>
      <c r="H64" s="17">
        <v>799</v>
      </c>
      <c r="I64" s="17">
        <v>410</v>
      </c>
      <c r="J64" s="75">
        <f t="shared" si="2"/>
        <v>1039</v>
      </c>
      <c r="K64" s="17">
        <v>1200</v>
      </c>
      <c r="L64" s="85">
        <v>161</v>
      </c>
      <c r="M64" s="86">
        <f t="shared" ca="1" si="3"/>
        <v>0.77777777777777779</v>
      </c>
      <c r="N64" s="86">
        <f t="shared" si="4"/>
        <v>0.92883099285538351</v>
      </c>
      <c r="O64" s="86">
        <f t="shared" si="5"/>
        <v>0.49085365853658536</v>
      </c>
      <c r="P64" s="87">
        <f t="shared" si="6"/>
        <v>40.25</v>
      </c>
      <c r="Q64" s="104">
        <f t="shared" si="7"/>
        <v>25.813664596273291</v>
      </c>
      <c r="R64" s="88">
        <f t="shared" si="8"/>
        <v>48.685857321652065</v>
      </c>
      <c r="S64" s="88">
        <f t="shared" si="9"/>
        <v>13.416666666666666</v>
      </c>
      <c r="T64" s="13">
        <f t="shared" si="10"/>
        <v>1</v>
      </c>
      <c r="U64" s="13">
        <f t="shared" si="0"/>
        <v>1</v>
      </c>
      <c r="V64" s="13">
        <f t="shared" si="11"/>
        <v>2</v>
      </c>
      <c r="W64" s="13">
        <f t="shared" ca="1" si="12"/>
        <v>3</v>
      </c>
      <c r="X64" s="13">
        <f t="shared" ca="1" si="13"/>
        <v>7</v>
      </c>
      <c r="Y64" s="81" t="str">
        <f t="shared" ca="1" si="14"/>
        <v>MONITOR</v>
      </c>
      <c r="Z64" s="13">
        <v>14</v>
      </c>
      <c r="AA64" s="75">
        <v>46059</v>
      </c>
      <c r="AB64" s="75">
        <f t="shared" si="15"/>
        <v>45920</v>
      </c>
      <c r="AC64" s="88">
        <f t="shared" si="16"/>
        <v>19.857142857142858</v>
      </c>
      <c r="AD64" s="89" t="str">
        <f t="shared" ca="1" si="17"/>
        <v>STABLE</v>
      </c>
      <c r="AE64" s="89" t="str">
        <f t="shared" si="22"/>
        <v>SLOW SELLING</v>
      </c>
      <c r="AF64" s="89" t="str">
        <f t="shared" si="19"/>
        <v>AT RISK</v>
      </c>
      <c r="AG64" s="89" t="str">
        <f t="shared" si="20"/>
        <v>FEASIBLE</v>
      </c>
      <c r="AH64" s="81" t="str">
        <f t="shared" ca="1" si="21"/>
        <v>MONITOR</v>
      </c>
      <c r="AI64" s="75"/>
      <c r="AJ64" s="75"/>
      <c r="AK64" s="13"/>
      <c r="AL64" s="79"/>
      <c r="AM64" s="79"/>
      <c r="AN64" s="79"/>
      <c r="AO64" s="79"/>
      <c r="AP64" s="79"/>
      <c r="AQ64" s="75"/>
      <c r="AR64" s="75"/>
      <c r="AS64" s="75"/>
      <c r="AT64" s="75"/>
      <c r="AU64" s="75"/>
      <c r="AV64" s="13"/>
      <c r="AW64" s="13"/>
      <c r="AX64" s="13"/>
      <c r="AY64" s="13"/>
      <c r="AZ64" s="13"/>
      <c r="BA64" s="105"/>
      <c r="BB64" s="13"/>
      <c r="BC64" s="13"/>
      <c r="BD64" s="13"/>
      <c r="BE64" s="13"/>
      <c r="BF64" s="88"/>
      <c r="BG64" s="88"/>
      <c r="BH64" s="88"/>
      <c r="BI64" s="88"/>
      <c r="BJ64" s="88"/>
      <c r="BK64" s="105"/>
      <c r="BL64" s="105"/>
      <c r="BM64" s="105"/>
      <c r="BN64" s="105"/>
      <c r="BO64" s="105"/>
      <c r="BP64" s="105"/>
      <c r="BQ64" s="79"/>
      <c r="BR64" s="79"/>
      <c r="BS64" s="79"/>
      <c r="BT64" s="79"/>
      <c r="BU64" s="79"/>
      <c r="BV64" s="90"/>
      <c r="BW64" s="106"/>
      <c r="BX64" s="106"/>
      <c r="BY64" s="106"/>
      <c r="BZ64" s="106"/>
      <c r="CA64" s="106"/>
    </row>
    <row r="65" spans="1:79" x14ac:dyDescent="0.35">
      <c r="A65" s="25" t="s">
        <v>79</v>
      </c>
      <c r="B65" s="10" t="s">
        <v>321</v>
      </c>
      <c r="C65" s="10" t="s">
        <v>341</v>
      </c>
      <c r="D65" s="10" t="s">
        <v>346</v>
      </c>
      <c r="E65" s="11">
        <v>45871</v>
      </c>
      <c r="F65" s="17">
        <v>45892</v>
      </c>
      <c r="G65" s="14">
        <f t="shared" ca="1" si="1"/>
        <v>207</v>
      </c>
      <c r="H65" s="17">
        <v>799</v>
      </c>
      <c r="I65" s="17">
        <v>425</v>
      </c>
      <c r="J65" s="75">
        <f t="shared" si="2"/>
        <v>1198</v>
      </c>
      <c r="K65" s="17">
        <v>1300</v>
      </c>
      <c r="L65" s="85">
        <v>102</v>
      </c>
      <c r="M65" s="86">
        <f t="shared" ca="1" si="3"/>
        <v>0.49275362318840582</v>
      </c>
      <c r="N65" s="86">
        <f t="shared" si="4"/>
        <v>0.92883099285538351</v>
      </c>
      <c r="O65" s="86">
        <f t="shared" si="5"/>
        <v>0.31097560975609756</v>
      </c>
      <c r="P65" s="87">
        <f t="shared" si="6"/>
        <v>25.5</v>
      </c>
      <c r="Q65" s="104">
        <f t="shared" si="7"/>
        <v>46.980392156862742</v>
      </c>
      <c r="R65" s="88">
        <f t="shared" si="8"/>
        <v>46.808510638297875</v>
      </c>
      <c r="S65" s="88">
        <f t="shared" si="9"/>
        <v>7.8461538461538458</v>
      </c>
      <c r="T65" s="13">
        <f t="shared" si="10"/>
        <v>1</v>
      </c>
      <c r="U65" s="13">
        <f t="shared" si="0"/>
        <v>1</v>
      </c>
      <c r="V65" s="13">
        <f t="shared" si="11"/>
        <v>2</v>
      </c>
      <c r="W65" s="13">
        <f t="shared" ca="1" si="12"/>
        <v>3</v>
      </c>
      <c r="X65" s="13">
        <f t="shared" ca="1" si="13"/>
        <v>7</v>
      </c>
      <c r="Y65" s="81" t="str">
        <f t="shared" ca="1" si="14"/>
        <v>MONITOR</v>
      </c>
      <c r="Z65" s="13">
        <v>14</v>
      </c>
      <c r="AA65" s="75">
        <v>46059</v>
      </c>
      <c r="AB65" s="75">
        <f t="shared" si="15"/>
        <v>45920</v>
      </c>
      <c r="AC65" s="88">
        <f t="shared" si="16"/>
        <v>19.857142857142858</v>
      </c>
      <c r="AD65" s="89" t="str">
        <f t="shared" ca="1" si="17"/>
        <v>STABLE</v>
      </c>
      <c r="AE65" s="89" t="str">
        <f t="shared" si="22"/>
        <v>SLOW SELLING</v>
      </c>
      <c r="AF65" s="89" t="str">
        <f t="shared" si="19"/>
        <v>AT RISK</v>
      </c>
      <c r="AG65" s="89" t="str">
        <f t="shared" si="20"/>
        <v>FEASIBLE</v>
      </c>
      <c r="AH65" s="81" t="str">
        <f t="shared" ca="1" si="21"/>
        <v>MONITOR</v>
      </c>
      <c r="AI65" s="75"/>
      <c r="AJ65" s="75"/>
      <c r="AK65" s="13"/>
      <c r="AL65" s="79"/>
      <c r="AM65" s="79"/>
      <c r="AN65" s="79"/>
      <c r="AO65" s="79"/>
      <c r="AP65" s="79"/>
      <c r="AQ65" s="75"/>
      <c r="AR65" s="75"/>
      <c r="AS65" s="75"/>
      <c r="AT65" s="75"/>
      <c r="AU65" s="75"/>
      <c r="AV65" s="13"/>
      <c r="AW65" s="13"/>
      <c r="AX65" s="13"/>
      <c r="AY65" s="13"/>
      <c r="AZ65" s="13"/>
      <c r="BA65" s="105"/>
      <c r="BB65" s="13"/>
      <c r="BC65" s="13"/>
      <c r="BD65" s="13"/>
      <c r="BE65" s="13"/>
      <c r="BF65" s="88"/>
      <c r="BG65" s="88"/>
      <c r="BH65" s="88"/>
      <c r="BI65" s="88"/>
      <c r="BJ65" s="88"/>
      <c r="BK65" s="105"/>
      <c r="BL65" s="105"/>
      <c r="BM65" s="105"/>
      <c r="BN65" s="105"/>
      <c r="BO65" s="105"/>
      <c r="BP65" s="105"/>
      <c r="BQ65" s="79"/>
      <c r="BR65" s="79"/>
      <c r="BS65" s="79"/>
      <c r="BT65" s="79"/>
      <c r="BU65" s="79"/>
      <c r="BV65" s="90"/>
      <c r="BW65" s="106"/>
      <c r="BX65" s="106"/>
      <c r="BY65" s="106"/>
      <c r="BZ65" s="106"/>
      <c r="CA65" s="106"/>
    </row>
    <row r="66" spans="1:79" x14ac:dyDescent="0.35">
      <c r="A66" s="25" t="s">
        <v>80</v>
      </c>
      <c r="B66" s="10" t="s">
        <v>321</v>
      </c>
      <c r="C66" s="10" t="s">
        <v>341</v>
      </c>
      <c r="D66" s="10" t="s">
        <v>346</v>
      </c>
      <c r="E66" s="11">
        <v>45871</v>
      </c>
      <c r="F66" s="17">
        <v>45892</v>
      </c>
      <c r="G66" s="14">
        <f t="shared" ca="1" si="1"/>
        <v>207</v>
      </c>
      <c r="H66" s="17">
        <v>799</v>
      </c>
      <c r="I66" s="17">
        <v>350</v>
      </c>
      <c r="J66" s="75">
        <f t="shared" si="2"/>
        <v>1016</v>
      </c>
      <c r="K66" s="17">
        <v>1200</v>
      </c>
      <c r="L66" s="85">
        <v>184</v>
      </c>
      <c r="M66" s="86">
        <f t="shared" ca="1" si="3"/>
        <v>0.88888888888888884</v>
      </c>
      <c r="N66" s="86">
        <f t="shared" si="4"/>
        <v>0.92883099285538351</v>
      </c>
      <c r="O66" s="86">
        <f t="shared" si="5"/>
        <v>0.56097560975609762</v>
      </c>
      <c r="P66" s="87">
        <f t="shared" si="6"/>
        <v>46.000000000000007</v>
      </c>
      <c r="Q66" s="104">
        <f t="shared" si="7"/>
        <v>22.086956521739125</v>
      </c>
      <c r="R66" s="88">
        <f t="shared" si="8"/>
        <v>56.195244055068841</v>
      </c>
      <c r="S66" s="88">
        <f t="shared" si="9"/>
        <v>15.333333333333332</v>
      </c>
      <c r="T66" s="13">
        <f t="shared" si="10"/>
        <v>1</v>
      </c>
      <c r="U66" s="13">
        <f t="shared" si="0"/>
        <v>1</v>
      </c>
      <c r="V66" s="13">
        <f t="shared" si="11"/>
        <v>2</v>
      </c>
      <c r="W66" s="13">
        <f t="shared" ca="1" si="12"/>
        <v>3</v>
      </c>
      <c r="X66" s="13">
        <f t="shared" ca="1" si="13"/>
        <v>7</v>
      </c>
      <c r="Y66" s="81" t="str">
        <f t="shared" ca="1" si="14"/>
        <v>MONITOR</v>
      </c>
      <c r="Z66" s="13">
        <v>14</v>
      </c>
      <c r="AA66" s="75">
        <v>46059</v>
      </c>
      <c r="AB66" s="75">
        <f t="shared" si="15"/>
        <v>45920</v>
      </c>
      <c r="AC66" s="88">
        <f t="shared" si="16"/>
        <v>19.857142857142858</v>
      </c>
      <c r="AD66" s="89" t="str">
        <f t="shared" ca="1" si="17"/>
        <v>STABLE</v>
      </c>
      <c r="AE66" s="89" t="str">
        <f t="shared" si="22"/>
        <v>SLOW SELLING</v>
      </c>
      <c r="AF66" s="89" t="str">
        <f t="shared" si="19"/>
        <v>AT RISK</v>
      </c>
      <c r="AG66" s="89" t="str">
        <f t="shared" si="20"/>
        <v>FEASIBLE</v>
      </c>
      <c r="AH66" s="81" t="str">
        <f t="shared" ca="1" si="21"/>
        <v>MONITOR</v>
      </c>
      <c r="AI66" s="75"/>
      <c r="AJ66" s="75"/>
      <c r="AK66" s="13"/>
      <c r="AL66" s="79"/>
      <c r="AM66" s="79"/>
      <c r="AN66" s="79"/>
      <c r="AO66" s="79"/>
      <c r="AP66" s="79"/>
      <c r="AQ66" s="75"/>
      <c r="AR66" s="75"/>
      <c r="AS66" s="75"/>
      <c r="AT66" s="75"/>
      <c r="AU66" s="75"/>
      <c r="AV66" s="13"/>
      <c r="AW66" s="13"/>
      <c r="AX66" s="13"/>
      <c r="AY66" s="13"/>
      <c r="AZ66" s="13"/>
      <c r="BA66" s="105"/>
      <c r="BB66" s="13"/>
      <c r="BC66" s="13"/>
      <c r="BD66" s="13"/>
      <c r="BE66" s="13"/>
      <c r="BF66" s="88"/>
      <c r="BG66" s="88"/>
      <c r="BH66" s="88"/>
      <c r="BI66" s="88"/>
      <c r="BJ66" s="88"/>
      <c r="BK66" s="105"/>
      <c r="BL66" s="105"/>
      <c r="BM66" s="105"/>
      <c r="BN66" s="105"/>
      <c r="BO66" s="105"/>
      <c r="BP66" s="105"/>
      <c r="BQ66" s="79"/>
      <c r="BR66" s="79"/>
      <c r="BS66" s="79"/>
      <c r="BT66" s="79"/>
      <c r="BU66" s="79"/>
      <c r="BV66" s="90"/>
      <c r="BW66" s="106"/>
      <c r="BX66" s="106"/>
      <c r="BY66" s="106"/>
      <c r="BZ66" s="106"/>
      <c r="CA66" s="106"/>
    </row>
    <row r="67" spans="1:79" x14ac:dyDescent="0.35">
      <c r="A67" s="25" t="s">
        <v>81</v>
      </c>
      <c r="B67" s="10" t="s">
        <v>321</v>
      </c>
      <c r="C67" s="10" t="s">
        <v>341</v>
      </c>
      <c r="D67" s="10" t="s">
        <v>346</v>
      </c>
      <c r="E67" s="11">
        <v>45920</v>
      </c>
      <c r="F67" s="17">
        <v>45892</v>
      </c>
      <c r="G67" s="14">
        <f t="shared" ref="G67:G130" ca="1" si="23">TODAY()-F67</f>
        <v>207</v>
      </c>
      <c r="H67" s="17">
        <v>799</v>
      </c>
      <c r="I67" s="17">
        <v>350</v>
      </c>
      <c r="J67" s="75">
        <f t="shared" ref="J67:J130" si="24">K67-L67</f>
        <v>1183</v>
      </c>
      <c r="K67" s="17">
        <v>1500</v>
      </c>
      <c r="L67" s="85">
        <v>317</v>
      </c>
      <c r="M67" s="86">
        <f t="shared" ref="M67:M130" ca="1" si="25">L67/G67</f>
        <v>1.5314009661835748</v>
      </c>
      <c r="N67" s="86">
        <f t="shared" ref="N67:N130" si="26">AVERAGEIFS(O:O,C:C,C67)</f>
        <v>0.92883099285538351</v>
      </c>
      <c r="O67" s="86">
        <f t="shared" ref="O67:O130" si="27">L67/328</f>
        <v>0.96646341463414631</v>
      </c>
      <c r="P67" s="87">
        <f t="shared" ref="P67:P130" si="28">O67*82</f>
        <v>79.25</v>
      </c>
      <c r="Q67" s="104">
        <f t="shared" ref="Q67:Q130" si="29">J67/P67</f>
        <v>14.927444794952681</v>
      </c>
      <c r="R67" s="88">
        <f t="shared" ref="R67:R130" si="30">(H67-I67)/H67*100</f>
        <v>56.195244055068841</v>
      </c>
      <c r="S67" s="88">
        <f t="shared" ref="S67:S130" si="31">L67/K67*100</f>
        <v>21.133333333333333</v>
      </c>
      <c r="T67" s="13">
        <f t="shared" ref="T67:T130" si="32">IF(O67&gt;=N67,3,IF(O67&gt;=0.8*N67,2,1))</f>
        <v>3</v>
      </c>
      <c r="U67" s="13">
        <f t="shared" ref="U67:U130" si="33">IF(Q67&lt;=4,3,IF(Q67&lt;=6,2,1))</f>
        <v>1</v>
      </c>
      <c r="V67" s="13">
        <f t="shared" ref="V67:V130" si="34">IF(R67&gt;=60,3,IF(R67&gt;=45,2,1))</f>
        <v>2</v>
      </c>
      <c r="W67" s="13">
        <f t="shared" ref="W67:W130" ca="1" si="35">IF(M67&lt;=10,3,IF(M67&lt;=25,2,1))</f>
        <v>3</v>
      </c>
      <c r="X67" s="13">
        <f t="shared" ref="X67:X130" ca="1" si="36">T67+U67+V67+W67</f>
        <v>9</v>
      </c>
      <c r="Y67" s="81" t="str">
        <f t="shared" ref="Y67:Y130" ca="1" si="37">IFERROR(IF(X67&gt;=9,"RE-BUY",IF(X67&gt;=6,"MONITOR","EXIT")),"EXIT")</f>
        <v>RE-BUY</v>
      </c>
      <c r="Z67" s="13">
        <v>14</v>
      </c>
      <c r="AA67" s="75">
        <v>46059</v>
      </c>
      <c r="AB67" s="75">
        <f t="shared" ref="AB67:AB130" si="38">F67+28</f>
        <v>45920</v>
      </c>
      <c r="AC67" s="88">
        <f t="shared" ref="AC67:AC130" si="39">(AA67-AB67)/7</f>
        <v>19.857142857142858</v>
      </c>
      <c r="AD67" s="89" t="str">
        <f t="shared" ref="AD67:AD130" ca="1" si="40">IF(G67&gt;=21,"STABLE","TOO EARLY")</f>
        <v>STABLE</v>
      </c>
      <c r="AE67" s="89" t="str">
        <f t="shared" si="22"/>
        <v>FAST SELLING</v>
      </c>
      <c r="AF67" s="89" t="str">
        <f t="shared" ref="AF67:AF130" si="41">IF(U67&lt;=Z67,"AT RISK","SAFE")</f>
        <v>AT RISK</v>
      </c>
      <c r="AG67" s="89" t="str">
        <f t="shared" ref="AG67:AG130" si="42">IF(Z67&lt;=AC67,"FEASIBLE","NOT FEASIBLE")</f>
        <v>FEASIBLE</v>
      </c>
      <c r="AH67" s="81" t="str">
        <f t="shared" ref="AH67:AH130" ca="1" si="43">IF(AND(Y67="RE-BUY",AD67="STABLE",AE67="FAST SELLING",AG67="FEASIBLE"),"IMMEDIATE REBUY","MONITOR")</f>
        <v>IMMEDIATE REBUY</v>
      </c>
      <c r="AI67" s="75"/>
      <c r="AJ67" s="75"/>
      <c r="AK67" s="13"/>
      <c r="AL67" s="79"/>
      <c r="AM67" s="79"/>
      <c r="AN67" s="79"/>
      <c r="AO67" s="79"/>
      <c r="AP67" s="79"/>
      <c r="AQ67" s="75"/>
      <c r="AR67" s="75"/>
      <c r="AS67" s="75"/>
      <c r="AT67" s="75"/>
      <c r="AU67" s="75"/>
      <c r="AV67" s="13"/>
      <c r="AW67" s="13"/>
      <c r="AX67" s="13"/>
      <c r="AY67" s="13"/>
      <c r="AZ67" s="13"/>
      <c r="BA67" s="105"/>
      <c r="BB67" s="13"/>
      <c r="BC67" s="13"/>
      <c r="BD67" s="13"/>
      <c r="BE67" s="13"/>
      <c r="BF67" s="88"/>
      <c r="BG67" s="88"/>
      <c r="BH67" s="88"/>
      <c r="BI67" s="88"/>
      <c r="BJ67" s="88"/>
      <c r="BK67" s="105"/>
      <c r="BL67" s="105"/>
      <c r="BM67" s="105"/>
      <c r="BN67" s="105"/>
      <c r="BO67" s="105"/>
      <c r="BP67" s="105"/>
      <c r="BQ67" s="79"/>
      <c r="BR67" s="79"/>
      <c r="BS67" s="79"/>
      <c r="BT67" s="79"/>
      <c r="BU67" s="79"/>
      <c r="BV67" s="90"/>
      <c r="BW67" s="106"/>
      <c r="BX67" s="106"/>
      <c r="BY67" s="106"/>
      <c r="BZ67" s="106"/>
      <c r="CA67" s="106"/>
    </row>
    <row r="68" spans="1:79" x14ac:dyDescent="0.35">
      <c r="A68" s="25" t="s">
        <v>82</v>
      </c>
      <c r="B68" s="10" t="s">
        <v>321</v>
      </c>
      <c r="C68" s="10" t="s">
        <v>341</v>
      </c>
      <c r="D68" s="10" t="s">
        <v>346</v>
      </c>
      <c r="E68" s="11">
        <v>45920</v>
      </c>
      <c r="F68" s="17">
        <v>45892</v>
      </c>
      <c r="G68" s="14">
        <f t="shared" ca="1" si="23"/>
        <v>207</v>
      </c>
      <c r="H68" s="17">
        <v>799</v>
      </c>
      <c r="I68" s="17">
        <v>425</v>
      </c>
      <c r="J68" s="75">
        <f t="shared" si="24"/>
        <v>1118</v>
      </c>
      <c r="K68" s="17">
        <v>1400</v>
      </c>
      <c r="L68" s="85">
        <v>282</v>
      </c>
      <c r="M68" s="86">
        <f t="shared" ca="1" si="25"/>
        <v>1.3623188405797102</v>
      </c>
      <c r="N68" s="86">
        <f t="shared" si="26"/>
        <v>0.92883099285538351</v>
      </c>
      <c r="O68" s="86">
        <f t="shared" si="27"/>
        <v>0.8597560975609756</v>
      </c>
      <c r="P68" s="87">
        <f t="shared" si="28"/>
        <v>70.5</v>
      </c>
      <c r="Q68" s="104">
        <f t="shared" si="29"/>
        <v>15.858156028368795</v>
      </c>
      <c r="R68" s="88">
        <f t="shared" si="30"/>
        <v>46.808510638297875</v>
      </c>
      <c r="S68" s="88">
        <f t="shared" si="31"/>
        <v>20.142857142857142</v>
      </c>
      <c r="T68" s="13">
        <f t="shared" si="32"/>
        <v>2</v>
      </c>
      <c r="U68" s="13">
        <f t="shared" si="33"/>
        <v>1</v>
      </c>
      <c r="V68" s="13">
        <f t="shared" si="34"/>
        <v>2</v>
      </c>
      <c r="W68" s="13">
        <f t="shared" ca="1" si="35"/>
        <v>3</v>
      </c>
      <c r="X68" s="13">
        <f t="shared" ca="1" si="36"/>
        <v>8</v>
      </c>
      <c r="Y68" s="81" t="str">
        <f t="shared" ca="1" si="37"/>
        <v>MONITOR</v>
      </c>
      <c r="Z68" s="13">
        <v>14</v>
      </c>
      <c r="AA68" s="75">
        <v>46059</v>
      </c>
      <c r="AB68" s="75">
        <f t="shared" si="38"/>
        <v>45920</v>
      </c>
      <c r="AC68" s="88">
        <f t="shared" si="39"/>
        <v>19.857142857142858</v>
      </c>
      <c r="AD68" s="89" t="str">
        <f t="shared" ca="1" si="40"/>
        <v>STABLE</v>
      </c>
      <c r="AE68" s="89" t="str">
        <f t="shared" si="22"/>
        <v>SLOW SELLING</v>
      </c>
      <c r="AF68" s="89" t="str">
        <f t="shared" si="41"/>
        <v>AT RISK</v>
      </c>
      <c r="AG68" s="89" t="str">
        <f t="shared" si="42"/>
        <v>FEASIBLE</v>
      </c>
      <c r="AH68" s="81" t="str">
        <f t="shared" ca="1" si="43"/>
        <v>MONITOR</v>
      </c>
      <c r="AI68" s="75"/>
      <c r="AJ68" s="75"/>
      <c r="AK68" s="13"/>
      <c r="AL68" s="79"/>
      <c r="AM68" s="79"/>
      <c r="AN68" s="79"/>
      <c r="AO68" s="79"/>
      <c r="AP68" s="79"/>
      <c r="AQ68" s="75"/>
      <c r="AR68" s="75"/>
      <c r="AS68" s="75"/>
      <c r="AT68" s="75"/>
      <c r="AU68" s="75"/>
      <c r="AV68" s="13"/>
      <c r="AW68" s="13"/>
      <c r="AX68" s="13"/>
      <c r="AY68" s="13"/>
      <c r="AZ68" s="13"/>
      <c r="BA68" s="105"/>
      <c r="BB68" s="13"/>
      <c r="BC68" s="13"/>
      <c r="BD68" s="13"/>
      <c r="BE68" s="13"/>
      <c r="BF68" s="88"/>
      <c r="BG68" s="88"/>
      <c r="BH68" s="88"/>
      <c r="BI68" s="88"/>
      <c r="BJ68" s="88"/>
      <c r="BK68" s="105"/>
      <c r="BL68" s="105"/>
      <c r="BM68" s="105"/>
      <c r="BN68" s="105"/>
      <c r="BO68" s="105"/>
      <c r="BP68" s="105"/>
      <c r="BQ68" s="79"/>
      <c r="BR68" s="79"/>
      <c r="BS68" s="79"/>
      <c r="BT68" s="79"/>
      <c r="BU68" s="79"/>
      <c r="BV68" s="90"/>
      <c r="BW68" s="106"/>
      <c r="BX68" s="106"/>
      <c r="BY68" s="106"/>
      <c r="BZ68" s="106"/>
      <c r="CA68" s="106"/>
    </row>
    <row r="69" spans="1:79" x14ac:dyDescent="0.35">
      <c r="A69" s="25" t="s">
        <v>83</v>
      </c>
      <c r="B69" s="10" t="s">
        <v>316</v>
      </c>
      <c r="C69" s="10" t="s">
        <v>341</v>
      </c>
      <c r="D69" s="10" t="s">
        <v>346</v>
      </c>
      <c r="E69" s="11">
        <v>45871</v>
      </c>
      <c r="F69" s="17">
        <v>45892</v>
      </c>
      <c r="G69" s="14">
        <f t="shared" ca="1" si="23"/>
        <v>207</v>
      </c>
      <c r="H69" s="17">
        <v>999</v>
      </c>
      <c r="I69" s="17">
        <v>500</v>
      </c>
      <c r="J69" s="75">
        <f t="shared" si="24"/>
        <v>1131</v>
      </c>
      <c r="K69" s="17">
        <v>1200</v>
      </c>
      <c r="L69" s="85">
        <v>69</v>
      </c>
      <c r="M69" s="86">
        <f t="shared" ca="1" si="25"/>
        <v>0.33333333333333331</v>
      </c>
      <c r="N69" s="86">
        <f t="shared" si="26"/>
        <v>0.92883099285538351</v>
      </c>
      <c r="O69" s="86">
        <f t="shared" si="27"/>
        <v>0.21036585365853658</v>
      </c>
      <c r="P69" s="87">
        <f t="shared" si="28"/>
        <v>17.25</v>
      </c>
      <c r="Q69" s="104">
        <f t="shared" si="29"/>
        <v>65.565217391304344</v>
      </c>
      <c r="R69" s="88">
        <f t="shared" si="30"/>
        <v>49.949949949949954</v>
      </c>
      <c r="S69" s="88">
        <f t="shared" si="31"/>
        <v>5.75</v>
      </c>
      <c r="T69" s="13">
        <f t="shared" si="32"/>
        <v>1</v>
      </c>
      <c r="U69" s="13">
        <f t="shared" si="33"/>
        <v>1</v>
      </c>
      <c r="V69" s="13">
        <f t="shared" si="34"/>
        <v>2</v>
      </c>
      <c r="W69" s="13">
        <f t="shared" ca="1" si="35"/>
        <v>3</v>
      </c>
      <c r="X69" s="13">
        <f t="shared" ca="1" si="36"/>
        <v>7</v>
      </c>
      <c r="Y69" s="81" t="str">
        <f t="shared" ca="1" si="37"/>
        <v>MONITOR</v>
      </c>
      <c r="Z69" s="13">
        <v>14</v>
      </c>
      <c r="AA69" s="75">
        <v>46059</v>
      </c>
      <c r="AB69" s="75">
        <f t="shared" si="38"/>
        <v>45920</v>
      </c>
      <c r="AC69" s="88">
        <f t="shared" si="39"/>
        <v>19.857142857142858</v>
      </c>
      <c r="AD69" s="89" t="str">
        <f t="shared" ca="1" si="40"/>
        <v>STABLE</v>
      </c>
      <c r="AE69" s="89" t="str">
        <f t="shared" si="22"/>
        <v>SLOW SELLING</v>
      </c>
      <c r="AF69" s="89" t="str">
        <f t="shared" si="41"/>
        <v>AT RISK</v>
      </c>
      <c r="AG69" s="89" t="str">
        <f t="shared" si="42"/>
        <v>FEASIBLE</v>
      </c>
      <c r="AH69" s="81" t="str">
        <f t="shared" ca="1" si="43"/>
        <v>MONITOR</v>
      </c>
      <c r="AI69" s="75"/>
      <c r="AJ69" s="75"/>
      <c r="AK69" s="13"/>
      <c r="AL69" s="79"/>
      <c r="AM69" s="79"/>
      <c r="AN69" s="79"/>
      <c r="AO69" s="79"/>
      <c r="AP69" s="79"/>
      <c r="AQ69" s="75"/>
      <c r="AR69" s="75"/>
      <c r="AS69" s="75"/>
      <c r="AT69" s="75"/>
      <c r="AU69" s="75"/>
      <c r="AV69" s="13"/>
      <c r="AW69" s="13"/>
      <c r="AX69" s="13"/>
      <c r="AY69" s="13"/>
      <c r="AZ69" s="13"/>
      <c r="BA69" s="105"/>
      <c r="BB69" s="13"/>
      <c r="BC69" s="13"/>
      <c r="BD69" s="13"/>
      <c r="BE69" s="13"/>
      <c r="BF69" s="88"/>
      <c r="BG69" s="88"/>
      <c r="BH69" s="88"/>
      <c r="BI69" s="88"/>
      <c r="BJ69" s="88"/>
      <c r="BK69" s="105"/>
      <c r="BL69" s="105"/>
      <c r="BM69" s="105"/>
      <c r="BN69" s="105"/>
      <c r="BO69" s="105"/>
      <c r="BP69" s="105"/>
      <c r="BQ69" s="79"/>
      <c r="BR69" s="79"/>
      <c r="BS69" s="79"/>
      <c r="BT69" s="79"/>
      <c r="BU69" s="79"/>
      <c r="BV69" s="90"/>
      <c r="BW69" s="106"/>
      <c r="BX69" s="106"/>
      <c r="BY69" s="106"/>
      <c r="BZ69" s="106"/>
      <c r="CA69" s="106"/>
    </row>
    <row r="70" spans="1:79" x14ac:dyDescent="0.35">
      <c r="A70" s="25" t="s">
        <v>84</v>
      </c>
      <c r="B70" s="10" t="s">
        <v>321</v>
      </c>
      <c r="C70" s="10" t="s">
        <v>341</v>
      </c>
      <c r="D70" s="10" t="s">
        <v>346</v>
      </c>
      <c r="E70" s="11">
        <v>45920</v>
      </c>
      <c r="F70" s="17">
        <v>45892</v>
      </c>
      <c r="G70" s="14">
        <f t="shared" ca="1" si="23"/>
        <v>207</v>
      </c>
      <c r="H70" s="17">
        <v>799</v>
      </c>
      <c r="I70" s="17">
        <v>413</v>
      </c>
      <c r="J70" s="75">
        <f t="shared" si="24"/>
        <v>1544</v>
      </c>
      <c r="K70" s="17">
        <v>1600</v>
      </c>
      <c r="L70" s="85">
        <v>56</v>
      </c>
      <c r="M70" s="86">
        <f t="shared" ca="1" si="25"/>
        <v>0.27053140096618356</v>
      </c>
      <c r="N70" s="86">
        <f t="shared" si="26"/>
        <v>0.92883099285538351</v>
      </c>
      <c r="O70" s="86">
        <f t="shared" si="27"/>
        <v>0.17073170731707318</v>
      </c>
      <c r="P70" s="87">
        <f t="shared" si="28"/>
        <v>14.000000000000002</v>
      </c>
      <c r="Q70" s="104">
        <f t="shared" si="29"/>
        <v>110.28571428571428</v>
      </c>
      <c r="R70" s="88">
        <f t="shared" si="30"/>
        <v>48.310387984981226</v>
      </c>
      <c r="S70" s="88">
        <f t="shared" si="31"/>
        <v>3.5000000000000004</v>
      </c>
      <c r="T70" s="13">
        <f t="shared" si="32"/>
        <v>1</v>
      </c>
      <c r="U70" s="13">
        <f t="shared" si="33"/>
        <v>1</v>
      </c>
      <c r="V70" s="13">
        <f t="shared" si="34"/>
        <v>2</v>
      </c>
      <c r="W70" s="13">
        <f t="shared" ca="1" si="35"/>
        <v>3</v>
      </c>
      <c r="X70" s="13">
        <f t="shared" ca="1" si="36"/>
        <v>7</v>
      </c>
      <c r="Y70" s="81" t="str">
        <f t="shared" ca="1" si="37"/>
        <v>MONITOR</v>
      </c>
      <c r="Z70" s="13">
        <v>14</v>
      </c>
      <c r="AA70" s="75">
        <v>46059</v>
      </c>
      <c r="AB70" s="75">
        <f t="shared" si="38"/>
        <v>45920</v>
      </c>
      <c r="AC70" s="88">
        <f t="shared" si="39"/>
        <v>19.857142857142858</v>
      </c>
      <c r="AD70" s="89" t="str">
        <f t="shared" ca="1" si="40"/>
        <v>STABLE</v>
      </c>
      <c r="AE70" s="89" t="str">
        <f t="shared" si="22"/>
        <v>SLOW SELLING</v>
      </c>
      <c r="AF70" s="89" t="str">
        <f t="shared" si="41"/>
        <v>AT RISK</v>
      </c>
      <c r="AG70" s="89" t="str">
        <f t="shared" si="42"/>
        <v>FEASIBLE</v>
      </c>
      <c r="AH70" s="81" t="str">
        <f t="shared" ca="1" si="43"/>
        <v>MONITOR</v>
      </c>
      <c r="AI70" s="75"/>
      <c r="AJ70" s="75"/>
      <c r="AK70" s="13"/>
      <c r="AL70" s="79"/>
      <c r="AM70" s="79"/>
      <c r="AN70" s="79"/>
      <c r="AO70" s="79"/>
      <c r="AP70" s="79"/>
      <c r="AQ70" s="75"/>
      <c r="AR70" s="75"/>
      <c r="AS70" s="75"/>
      <c r="AT70" s="75"/>
      <c r="AU70" s="75"/>
      <c r="AV70" s="13"/>
      <c r="AW70" s="13"/>
      <c r="AX70" s="13"/>
      <c r="AY70" s="13"/>
      <c r="AZ70" s="13"/>
      <c r="BA70" s="105"/>
      <c r="BB70" s="13"/>
      <c r="BC70" s="13"/>
      <c r="BD70" s="13"/>
      <c r="BE70" s="13"/>
      <c r="BF70" s="88"/>
      <c r="BG70" s="88"/>
      <c r="BH70" s="88"/>
      <c r="BI70" s="88"/>
      <c r="BJ70" s="88"/>
      <c r="BK70" s="105"/>
      <c r="BL70" s="105"/>
      <c r="BM70" s="105"/>
      <c r="BN70" s="105"/>
      <c r="BO70" s="105"/>
      <c r="BP70" s="105"/>
      <c r="BQ70" s="79"/>
      <c r="BR70" s="79"/>
      <c r="BS70" s="79"/>
      <c r="BT70" s="79"/>
      <c r="BU70" s="79"/>
      <c r="BV70" s="90"/>
      <c r="BW70" s="106"/>
      <c r="BX70" s="106"/>
      <c r="BY70" s="106"/>
      <c r="BZ70" s="106"/>
      <c r="CA70" s="106"/>
    </row>
    <row r="71" spans="1:79" x14ac:dyDescent="0.35">
      <c r="A71" s="25" t="s">
        <v>85</v>
      </c>
      <c r="B71" s="10" t="s">
        <v>316</v>
      </c>
      <c r="C71" s="10" t="s">
        <v>341</v>
      </c>
      <c r="D71" s="10" t="s">
        <v>346</v>
      </c>
      <c r="E71" s="11">
        <v>45871</v>
      </c>
      <c r="F71" s="17">
        <v>45892</v>
      </c>
      <c r="G71" s="14">
        <f t="shared" ca="1" si="23"/>
        <v>207</v>
      </c>
      <c r="H71" s="17">
        <v>799</v>
      </c>
      <c r="I71" s="17">
        <v>455</v>
      </c>
      <c r="J71" s="75">
        <f t="shared" si="24"/>
        <v>1059</v>
      </c>
      <c r="K71" s="17">
        <v>1200</v>
      </c>
      <c r="L71" s="85">
        <v>141</v>
      </c>
      <c r="M71" s="86">
        <f t="shared" ca="1" si="25"/>
        <v>0.6811594202898551</v>
      </c>
      <c r="N71" s="86">
        <f t="shared" si="26"/>
        <v>0.92883099285538351</v>
      </c>
      <c r="O71" s="86">
        <f t="shared" si="27"/>
        <v>0.4298780487804878</v>
      </c>
      <c r="P71" s="87">
        <f t="shared" si="28"/>
        <v>35.25</v>
      </c>
      <c r="Q71" s="104">
        <f t="shared" si="29"/>
        <v>30.042553191489361</v>
      </c>
      <c r="R71" s="88">
        <f t="shared" si="30"/>
        <v>43.053817271589487</v>
      </c>
      <c r="S71" s="88">
        <f t="shared" si="31"/>
        <v>11.75</v>
      </c>
      <c r="T71" s="13">
        <f t="shared" si="32"/>
        <v>1</v>
      </c>
      <c r="U71" s="13">
        <f t="shared" si="33"/>
        <v>1</v>
      </c>
      <c r="V71" s="13">
        <f t="shared" si="34"/>
        <v>1</v>
      </c>
      <c r="W71" s="13">
        <f t="shared" ca="1" si="35"/>
        <v>3</v>
      </c>
      <c r="X71" s="13">
        <f t="shared" ca="1" si="36"/>
        <v>6</v>
      </c>
      <c r="Y71" s="81" t="str">
        <f t="shared" ca="1" si="37"/>
        <v>MONITOR</v>
      </c>
      <c r="Z71" s="13">
        <v>14</v>
      </c>
      <c r="AA71" s="75">
        <v>46059</v>
      </c>
      <c r="AB71" s="75">
        <f t="shared" si="38"/>
        <v>45920</v>
      </c>
      <c r="AC71" s="88">
        <f t="shared" si="39"/>
        <v>19.857142857142858</v>
      </c>
      <c r="AD71" s="89" t="str">
        <f t="shared" ca="1" si="40"/>
        <v>STABLE</v>
      </c>
      <c r="AE71" s="89" t="str">
        <f t="shared" si="22"/>
        <v>SLOW SELLING</v>
      </c>
      <c r="AF71" s="89" t="str">
        <f t="shared" si="41"/>
        <v>AT RISK</v>
      </c>
      <c r="AG71" s="89" t="str">
        <f t="shared" si="42"/>
        <v>FEASIBLE</v>
      </c>
      <c r="AH71" s="81" t="str">
        <f t="shared" ca="1" si="43"/>
        <v>MONITOR</v>
      </c>
      <c r="AI71" s="75"/>
      <c r="AJ71" s="75"/>
      <c r="AK71" s="13"/>
      <c r="AL71" s="79"/>
      <c r="AM71" s="79"/>
      <c r="AN71" s="79"/>
      <c r="AO71" s="79"/>
      <c r="AP71" s="79"/>
      <c r="AQ71" s="75"/>
      <c r="AR71" s="75"/>
      <c r="AS71" s="75"/>
      <c r="AT71" s="75"/>
      <c r="AU71" s="75"/>
      <c r="AV71" s="13"/>
      <c r="AW71" s="13"/>
      <c r="AX71" s="13"/>
      <c r="AY71" s="13"/>
      <c r="AZ71" s="13"/>
      <c r="BA71" s="105"/>
      <c r="BB71" s="13"/>
      <c r="BC71" s="13"/>
      <c r="BD71" s="13"/>
      <c r="BE71" s="13"/>
      <c r="BF71" s="88"/>
      <c r="BG71" s="88"/>
      <c r="BH71" s="88"/>
      <c r="BI71" s="88"/>
      <c r="BJ71" s="88"/>
      <c r="BK71" s="105"/>
      <c r="BL71" s="105"/>
      <c r="BM71" s="105"/>
      <c r="BN71" s="105"/>
      <c r="BO71" s="105"/>
      <c r="BP71" s="105"/>
      <c r="BQ71" s="79"/>
      <c r="BR71" s="79"/>
      <c r="BS71" s="79"/>
      <c r="BT71" s="79"/>
      <c r="BU71" s="79"/>
      <c r="BV71" s="90"/>
      <c r="BW71" s="106"/>
      <c r="BX71" s="106"/>
      <c r="BY71" s="106"/>
      <c r="BZ71" s="106"/>
      <c r="CA71" s="106"/>
    </row>
    <row r="72" spans="1:79" x14ac:dyDescent="0.35">
      <c r="A72" s="25" t="s">
        <v>86</v>
      </c>
      <c r="B72" s="10" t="s">
        <v>316</v>
      </c>
      <c r="C72" s="10" t="s">
        <v>341</v>
      </c>
      <c r="D72" s="10" t="s">
        <v>346</v>
      </c>
      <c r="E72" s="11">
        <v>45871</v>
      </c>
      <c r="F72" s="17">
        <v>45892</v>
      </c>
      <c r="G72" s="14">
        <f t="shared" ca="1" si="23"/>
        <v>207</v>
      </c>
      <c r="H72" s="17">
        <v>799</v>
      </c>
      <c r="I72" s="17">
        <v>455</v>
      </c>
      <c r="J72" s="75">
        <f t="shared" si="24"/>
        <v>777</v>
      </c>
      <c r="K72" s="17">
        <v>1000</v>
      </c>
      <c r="L72" s="85">
        <v>223</v>
      </c>
      <c r="M72" s="86">
        <f t="shared" ca="1" si="25"/>
        <v>1.0772946859903381</v>
      </c>
      <c r="N72" s="86">
        <f t="shared" si="26"/>
        <v>0.92883099285538351</v>
      </c>
      <c r="O72" s="86">
        <f t="shared" si="27"/>
        <v>0.67987804878048785</v>
      </c>
      <c r="P72" s="87">
        <f t="shared" si="28"/>
        <v>55.750000000000007</v>
      </c>
      <c r="Q72" s="104">
        <f t="shared" si="29"/>
        <v>13.937219730941703</v>
      </c>
      <c r="R72" s="88">
        <f t="shared" si="30"/>
        <v>43.053817271589487</v>
      </c>
      <c r="S72" s="88">
        <f t="shared" si="31"/>
        <v>22.3</v>
      </c>
      <c r="T72" s="13">
        <f t="shared" si="32"/>
        <v>1</v>
      </c>
      <c r="U72" s="13">
        <f t="shared" si="33"/>
        <v>1</v>
      </c>
      <c r="V72" s="13">
        <f t="shared" si="34"/>
        <v>1</v>
      </c>
      <c r="W72" s="13">
        <f t="shared" ca="1" si="35"/>
        <v>3</v>
      </c>
      <c r="X72" s="13">
        <f t="shared" ca="1" si="36"/>
        <v>6</v>
      </c>
      <c r="Y72" s="81" t="str">
        <f t="shared" ca="1" si="37"/>
        <v>MONITOR</v>
      </c>
      <c r="Z72" s="13">
        <v>14</v>
      </c>
      <c r="AA72" s="75">
        <v>46059</v>
      </c>
      <c r="AB72" s="75">
        <f t="shared" si="38"/>
        <v>45920</v>
      </c>
      <c r="AC72" s="88">
        <f t="shared" si="39"/>
        <v>19.857142857142858</v>
      </c>
      <c r="AD72" s="89" t="str">
        <f t="shared" ca="1" si="40"/>
        <v>STABLE</v>
      </c>
      <c r="AE72" s="89" t="str">
        <f t="shared" si="22"/>
        <v>SLOW SELLING</v>
      </c>
      <c r="AF72" s="89" t="str">
        <f t="shared" si="41"/>
        <v>AT RISK</v>
      </c>
      <c r="AG72" s="89" t="str">
        <f t="shared" si="42"/>
        <v>FEASIBLE</v>
      </c>
      <c r="AH72" s="81" t="str">
        <f t="shared" ca="1" si="43"/>
        <v>MONITOR</v>
      </c>
      <c r="AI72" s="75"/>
      <c r="AJ72" s="75"/>
      <c r="AK72" s="13"/>
      <c r="AL72" s="79"/>
      <c r="AM72" s="79"/>
      <c r="AN72" s="79"/>
      <c r="AO72" s="79"/>
      <c r="AP72" s="79"/>
      <c r="AQ72" s="75"/>
      <c r="AR72" s="75"/>
      <c r="AS72" s="75"/>
      <c r="AT72" s="75"/>
      <c r="AU72" s="75"/>
      <c r="AV72" s="13"/>
      <c r="AW72" s="13"/>
      <c r="AX72" s="13"/>
      <c r="AY72" s="13"/>
      <c r="AZ72" s="13"/>
      <c r="BA72" s="105"/>
      <c r="BB72" s="13"/>
      <c r="BC72" s="13"/>
      <c r="BD72" s="13"/>
      <c r="BE72" s="13"/>
      <c r="BF72" s="88"/>
      <c r="BG72" s="88"/>
      <c r="BH72" s="88"/>
      <c r="BI72" s="88"/>
      <c r="BJ72" s="88"/>
      <c r="BK72" s="105"/>
      <c r="BL72" s="105"/>
      <c r="BM72" s="105"/>
      <c r="BN72" s="105"/>
      <c r="BO72" s="105"/>
      <c r="BP72" s="105"/>
      <c r="BQ72" s="79"/>
      <c r="BR72" s="79"/>
      <c r="BS72" s="79"/>
      <c r="BT72" s="79"/>
      <c r="BU72" s="79"/>
      <c r="BV72" s="90"/>
      <c r="BW72" s="106"/>
      <c r="BX72" s="106"/>
      <c r="BY72" s="106"/>
      <c r="BZ72" s="106"/>
      <c r="CA72" s="106"/>
    </row>
    <row r="73" spans="1:79" x14ac:dyDescent="0.35">
      <c r="A73" s="25" t="s">
        <v>87</v>
      </c>
      <c r="B73" s="10" t="s">
        <v>316</v>
      </c>
      <c r="C73" s="10" t="s">
        <v>341</v>
      </c>
      <c r="D73" s="10" t="s">
        <v>346</v>
      </c>
      <c r="E73" s="11">
        <v>45871</v>
      </c>
      <c r="F73" s="17">
        <v>45892</v>
      </c>
      <c r="G73" s="14">
        <f t="shared" ca="1" si="23"/>
        <v>207</v>
      </c>
      <c r="H73" s="17">
        <v>799</v>
      </c>
      <c r="I73" s="17">
        <v>390</v>
      </c>
      <c r="J73" s="75">
        <f t="shared" si="24"/>
        <v>640</v>
      </c>
      <c r="K73" s="17">
        <v>800</v>
      </c>
      <c r="L73" s="85">
        <v>160</v>
      </c>
      <c r="M73" s="86">
        <f t="shared" ca="1" si="25"/>
        <v>0.77294685990338163</v>
      </c>
      <c r="N73" s="86">
        <f t="shared" si="26"/>
        <v>0.92883099285538351</v>
      </c>
      <c r="O73" s="86">
        <f t="shared" si="27"/>
        <v>0.48780487804878048</v>
      </c>
      <c r="P73" s="87">
        <f t="shared" si="28"/>
        <v>40</v>
      </c>
      <c r="Q73" s="104">
        <f t="shared" si="29"/>
        <v>16</v>
      </c>
      <c r="R73" s="88">
        <f t="shared" si="30"/>
        <v>51.188986232790988</v>
      </c>
      <c r="S73" s="88">
        <f t="shared" si="31"/>
        <v>20</v>
      </c>
      <c r="T73" s="13">
        <f t="shared" si="32"/>
        <v>1</v>
      </c>
      <c r="U73" s="13">
        <f t="shared" si="33"/>
        <v>1</v>
      </c>
      <c r="V73" s="13">
        <f t="shared" si="34"/>
        <v>2</v>
      </c>
      <c r="W73" s="13">
        <f t="shared" ca="1" si="35"/>
        <v>3</v>
      </c>
      <c r="X73" s="13">
        <f t="shared" ca="1" si="36"/>
        <v>7</v>
      </c>
      <c r="Y73" s="81" t="str">
        <f t="shared" ca="1" si="37"/>
        <v>MONITOR</v>
      </c>
      <c r="Z73" s="13">
        <v>14</v>
      </c>
      <c r="AA73" s="75">
        <v>46059</v>
      </c>
      <c r="AB73" s="75">
        <f t="shared" si="38"/>
        <v>45920</v>
      </c>
      <c r="AC73" s="88">
        <f t="shared" si="39"/>
        <v>19.857142857142858</v>
      </c>
      <c r="AD73" s="89" t="str">
        <f t="shared" ca="1" si="40"/>
        <v>STABLE</v>
      </c>
      <c r="AE73" s="89" t="str">
        <f t="shared" si="22"/>
        <v>SLOW SELLING</v>
      </c>
      <c r="AF73" s="89" t="str">
        <f t="shared" si="41"/>
        <v>AT RISK</v>
      </c>
      <c r="AG73" s="89" t="str">
        <f t="shared" si="42"/>
        <v>FEASIBLE</v>
      </c>
      <c r="AH73" s="81" t="str">
        <f t="shared" ca="1" si="43"/>
        <v>MONITOR</v>
      </c>
      <c r="AI73" s="75"/>
      <c r="AJ73" s="75"/>
      <c r="AK73" s="13"/>
      <c r="AL73" s="79"/>
      <c r="AM73" s="79"/>
      <c r="AN73" s="79"/>
      <c r="AO73" s="79"/>
      <c r="AP73" s="79"/>
      <c r="AQ73" s="75"/>
      <c r="AR73" s="75"/>
      <c r="AS73" s="75"/>
      <c r="AT73" s="75"/>
      <c r="AU73" s="75"/>
      <c r="AV73" s="13"/>
      <c r="AW73" s="13"/>
      <c r="AX73" s="13"/>
      <c r="AY73" s="13"/>
      <c r="AZ73" s="13"/>
      <c r="BA73" s="105"/>
      <c r="BB73" s="13"/>
      <c r="BC73" s="13"/>
      <c r="BD73" s="13"/>
      <c r="BE73" s="13"/>
      <c r="BF73" s="88"/>
      <c r="BG73" s="88"/>
      <c r="BH73" s="88"/>
      <c r="BI73" s="88"/>
      <c r="BJ73" s="88"/>
      <c r="BK73" s="105"/>
      <c r="BL73" s="105"/>
      <c r="BM73" s="105"/>
      <c r="BN73" s="105"/>
      <c r="BO73" s="105"/>
      <c r="BP73" s="105"/>
      <c r="BQ73" s="79"/>
      <c r="BR73" s="79"/>
      <c r="BS73" s="79"/>
      <c r="BT73" s="79"/>
      <c r="BU73" s="79"/>
      <c r="BV73" s="90"/>
      <c r="BW73" s="106"/>
      <c r="BX73" s="106"/>
      <c r="BY73" s="106"/>
      <c r="BZ73" s="106"/>
      <c r="CA73" s="106"/>
    </row>
    <row r="74" spans="1:79" x14ac:dyDescent="0.35">
      <c r="A74" s="25" t="s">
        <v>88</v>
      </c>
      <c r="B74" s="10" t="s">
        <v>316</v>
      </c>
      <c r="C74" s="10" t="s">
        <v>341</v>
      </c>
      <c r="D74" s="10" t="s">
        <v>346</v>
      </c>
      <c r="E74" s="11">
        <v>45871</v>
      </c>
      <c r="F74" s="17">
        <v>45892</v>
      </c>
      <c r="G74" s="14">
        <f t="shared" ca="1" si="23"/>
        <v>207</v>
      </c>
      <c r="H74" s="17">
        <v>799</v>
      </c>
      <c r="I74" s="17">
        <v>390</v>
      </c>
      <c r="J74" s="75">
        <f t="shared" si="24"/>
        <v>564</v>
      </c>
      <c r="K74" s="17">
        <v>800</v>
      </c>
      <c r="L74" s="85">
        <v>236</v>
      </c>
      <c r="M74" s="86">
        <f t="shared" ca="1" si="25"/>
        <v>1.1400966183574879</v>
      </c>
      <c r="N74" s="86">
        <f t="shared" si="26"/>
        <v>0.92883099285538351</v>
      </c>
      <c r="O74" s="86">
        <f t="shared" si="27"/>
        <v>0.71951219512195119</v>
      </c>
      <c r="P74" s="87">
        <f t="shared" si="28"/>
        <v>59</v>
      </c>
      <c r="Q74" s="104">
        <f t="shared" si="29"/>
        <v>9.5593220338983045</v>
      </c>
      <c r="R74" s="88">
        <f t="shared" si="30"/>
        <v>51.188986232790988</v>
      </c>
      <c r="S74" s="88">
        <f t="shared" si="31"/>
        <v>29.5</v>
      </c>
      <c r="T74" s="13">
        <f t="shared" si="32"/>
        <v>1</v>
      </c>
      <c r="U74" s="13">
        <f t="shared" si="33"/>
        <v>1</v>
      </c>
      <c r="V74" s="13">
        <f t="shared" si="34"/>
        <v>2</v>
      </c>
      <c r="W74" s="13">
        <f t="shared" ca="1" si="35"/>
        <v>3</v>
      </c>
      <c r="X74" s="13">
        <f t="shared" ca="1" si="36"/>
        <v>7</v>
      </c>
      <c r="Y74" s="81" t="str">
        <f t="shared" ca="1" si="37"/>
        <v>MONITOR</v>
      </c>
      <c r="Z74" s="13">
        <v>14</v>
      </c>
      <c r="AA74" s="75">
        <v>46059</v>
      </c>
      <c r="AB74" s="75">
        <f t="shared" si="38"/>
        <v>45920</v>
      </c>
      <c r="AC74" s="88">
        <f t="shared" si="39"/>
        <v>19.857142857142858</v>
      </c>
      <c r="AD74" s="89" t="str">
        <f t="shared" ca="1" si="40"/>
        <v>STABLE</v>
      </c>
      <c r="AE74" s="89" t="str">
        <f t="shared" si="22"/>
        <v>SLOW SELLING</v>
      </c>
      <c r="AF74" s="89" t="str">
        <f t="shared" si="41"/>
        <v>AT RISK</v>
      </c>
      <c r="AG74" s="89" t="str">
        <f t="shared" si="42"/>
        <v>FEASIBLE</v>
      </c>
      <c r="AH74" s="81" t="str">
        <f t="shared" ca="1" si="43"/>
        <v>MONITOR</v>
      </c>
      <c r="AI74" s="75"/>
      <c r="AJ74" s="75"/>
      <c r="AK74" s="13"/>
      <c r="AL74" s="79"/>
      <c r="AM74" s="79"/>
      <c r="AN74" s="79"/>
      <c r="AO74" s="79"/>
      <c r="AP74" s="79"/>
      <c r="AQ74" s="75"/>
      <c r="AR74" s="75"/>
      <c r="AS74" s="75"/>
      <c r="AT74" s="75"/>
      <c r="AU74" s="75"/>
      <c r="AV74" s="13"/>
      <c r="AW74" s="13"/>
      <c r="AX74" s="13"/>
      <c r="AY74" s="13"/>
      <c r="AZ74" s="13"/>
      <c r="BA74" s="105"/>
      <c r="BB74" s="13"/>
      <c r="BC74" s="13"/>
      <c r="BD74" s="13"/>
      <c r="BE74" s="13"/>
      <c r="BF74" s="88"/>
      <c r="BG74" s="88"/>
      <c r="BH74" s="88"/>
      <c r="BI74" s="88"/>
      <c r="BJ74" s="88"/>
      <c r="BK74" s="105"/>
      <c r="BL74" s="105"/>
      <c r="BM74" s="105"/>
      <c r="BN74" s="105"/>
      <c r="BO74" s="105"/>
      <c r="BP74" s="105"/>
      <c r="BQ74" s="79"/>
      <c r="BR74" s="79"/>
      <c r="BS74" s="79"/>
      <c r="BT74" s="79"/>
      <c r="BU74" s="79"/>
      <c r="BV74" s="90"/>
      <c r="BW74" s="106"/>
      <c r="BX74" s="106"/>
      <c r="BY74" s="106"/>
      <c r="BZ74" s="106"/>
      <c r="CA74" s="106"/>
    </row>
    <row r="75" spans="1:79" x14ac:dyDescent="0.35">
      <c r="A75" s="25" t="s">
        <v>89</v>
      </c>
      <c r="B75" s="10" t="s">
        <v>316</v>
      </c>
      <c r="C75" s="10" t="s">
        <v>341</v>
      </c>
      <c r="D75" s="10" t="s">
        <v>346</v>
      </c>
      <c r="E75" s="11">
        <v>45976</v>
      </c>
      <c r="F75" s="17">
        <v>45892</v>
      </c>
      <c r="G75" s="14">
        <f t="shared" ca="1" si="23"/>
        <v>207</v>
      </c>
      <c r="H75" s="17">
        <v>799</v>
      </c>
      <c r="I75" s="17">
        <v>390</v>
      </c>
      <c r="J75" s="75">
        <f t="shared" si="24"/>
        <v>500</v>
      </c>
      <c r="K75" s="17">
        <v>800</v>
      </c>
      <c r="L75" s="85">
        <v>300</v>
      </c>
      <c r="M75" s="86">
        <f t="shared" ca="1" si="25"/>
        <v>1.4492753623188406</v>
      </c>
      <c r="N75" s="86">
        <f t="shared" si="26"/>
        <v>0.92883099285538351</v>
      </c>
      <c r="O75" s="86">
        <f t="shared" si="27"/>
        <v>0.91463414634146345</v>
      </c>
      <c r="P75" s="87">
        <f t="shared" si="28"/>
        <v>75</v>
      </c>
      <c r="Q75" s="104">
        <f t="shared" si="29"/>
        <v>6.666666666666667</v>
      </c>
      <c r="R75" s="88">
        <f t="shared" si="30"/>
        <v>51.188986232790988</v>
      </c>
      <c r="S75" s="88">
        <f t="shared" si="31"/>
        <v>37.5</v>
      </c>
      <c r="T75" s="13">
        <f t="shared" si="32"/>
        <v>2</v>
      </c>
      <c r="U75" s="13">
        <f t="shared" si="33"/>
        <v>1</v>
      </c>
      <c r="V75" s="13">
        <f t="shared" si="34"/>
        <v>2</v>
      </c>
      <c r="W75" s="13">
        <f t="shared" ca="1" si="35"/>
        <v>3</v>
      </c>
      <c r="X75" s="13">
        <f t="shared" ca="1" si="36"/>
        <v>8</v>
      </c>
      <c r="Y75" s="81" t="str">
        <f t="shared" ca="1" si="37"/>
        <v>MONITOR</v>
      </c>
      <c r="Z75" s="13">
        <v>14</v>
      </c>
      <c r="AA75" s="75">
        <v>46059</v>
      </c>
      <c r="AB75" s="75">
        <f t="shared" si="38"/>
        <v>45920</v>
      </c>
      <c r="AC75" s="88">
        <f t="shared" si="39"/>
        <v>19.857142857142858</v>
      </c>
      <c r="AD75" s="89" t="str">
        <f t="shared" ca="1" si="40"/>
        <v>STABLE</v>
      </c>
      <c r="AE75" s="89" t="str">
        <f t="shared" si="22"/>
        <v>SLOW SELLING</v>
      </c>
      <c r="AF75" s="89" t="str">
        <f t="shared" si="41"/>
        <v>AT RISK</v>
      </c>
      <c r="AG75" s="89" t="str">
        <f t="shared" si="42"/>
        <v>FEASIBLE</v>
      </c>
      <c r="AH75" s="81" t="str">
        <f t="shared" ca="1" si="43"/>
        <v>MONITOR</v>
      </c>
      <c r="AI75" s="75"/>
      <c r="AJ75" s="75"/>
      <c r="AK75" s="13"/>
      <c r="AL75" s="79"/>
      <c r="AM75" s="79"/>
      <c r="AN75" s="79"/>
      <c r="AO75" s="79"/>
      <c r="AP75" s="79"/>
      <c r="AQ75" s="75"/>
      <c r="AR75" s="75"/>
      <c r="AS75" s="75"/>
      <c r="AT75" s="75"/>
      <c r="AU75" s="75"/>
      <c r="AV75" s="13"/>
      <c r="AW75" s="13"/>
      <c r="AX75" s="13"/>
      <c r="AY75" s="13"/>
      <c r="AZ75" s="13"/>
      <c r="BA75" s="105"/>
      <c r="BB75" s="13"/>
      <c r="BC75" s="13"/>
      <c r="BD75" s="13"/>
      <c r="BE75" s="13"/>
      <c r="BF75" s="88"/>
      <c r="BG75" s="88"/>
      <c r="BH75" s="88"/>
      <c r="BI75" s="88"/>
      <c r="BJ75" s="88"/>
      <c r="BK75" s="105"/>
      <c r="BL75" s="105"/>
      <c r="BM75" s="105"/>
      <c r="BN75" s="105"/>
      <c r="BO75" s="105"/>
      <c r="BP75" s="105"/>
      <c r="BQ75" s="79"/>
      <c r="BR75" s="79"/>
      <c r="BS75" s="79"/>
      <c r="BT75" s="79"/>
      <c r="BU75" s="79"/>
      <c r="BV75" s="90"/>
      <c r="BW75" s="106"/>
      <c r="BX75" s="106"/>
      <c r="BY75" s="106"/>
      <c r="BZ75" s="106"/>
      <c r="CA75" s="106"/>
    </row>
    <row r="76" spans="1:79" x14ac:dyDescent="0.35">
      <c r="A76" s="25" t="s">
        <v>90</v>
      </c>
      <c r="B76" s="10" t="s">
        <v>322</v>
      </c>
      <c r="C76" s="10" t="s">
        <v>341</v>
      </c>
      <c r="D76" s="10" t="s">
        <v>346</v>
      </c>
      <c r="E76" s="11">
        <v>45871</v>
      </c>
      <c r="F76" s="17">
        <v>45892</v>
      </c>
      <c r="G76" s="14">
        <f t="shared" ca="1" si="23"/>
        <v>207</v>
      </c>
      <c r="H76" s="17">
        <v>499</v>
      </c>
      <c r="I76" s="17">
        <v>261</v>
      </c>
      <c r="J76" s="75">
        <f t="shared" si="24"/>
        <v>784</v>
      </c>
      <c r="K76" s="17">
        <v>1000</v>
      </c>
      <c r="L76" s="85">
        <v>216</v>
      </c>
      <c r="M76" s="86">
        <f t="shared" ca="1" si="25"/>
        <v>1.0434782608695652</v>
      </c>
      <c r="N76" s="86">
        <f t="shared" si="26"/>
        <v>0.92883099285538351</v>
      </c>
      <c r="O76" s="86">
        <f t="shared" si="27"/>
        <v>0.65853658536585369</v>
      </c>
      <c r="P76" s="87">
        <f t="shared" si="28"/>
        <v>54</v>
      </c>
      <c r="Q76" s="104">
        <f t="shared" si="29"/>
        <v>14.518518518518519</v>
      </c>
      <c r="R76" s="88">
        <f t="shared" si="30"/>
        <v>47.695390781563127</v>
      </c>
      <c r="S76" s="88">
        <f t="shared" si="31"/>
        <v>21.6</v>
      </c>
      <c r="T76" s="13">
        <f t="shared" si="32"/>
        <v>1</v>
      </c>
      <c r="U76" s="13">
        <f t="shared" si="33"/>
        <v>1</v>
      </c>
      <c r="V76" s="13">
        <f t="shared" si="34"/>
        <v>2</v>
      </c>
      <c r="W76" s="13">
        <f t="shared" ca="1" si="35"/>
        <v>3</v>
      </c>
      <c r="X76" s="13">
        <f t="shared" ca="1" si="36"/>
        <v>7</v>
      </c>
      <c r="Y76" s="81" t="str">
        <f t="shared" ca="1" si="37"/>
        <v>MONITOR</v>
      </c>
      <c r="Z76" s="13">
        <v>14</v>
      </c>
      <c r="AA76" s="75">
        <v>46059</v>
      </c>
      <c r="AB76" s="75">
        <f t="shared" si="38"/>
        <v>45920</v>
      </c>
      <c r="AC76" s="88">
        <f t="shared" si="39"/>
        <v>19.857142857142858</v>
      </c>
      <c r="AD76" s="89" t="str">
        <f t="shared" ca="1" si="40"/>
        <v>STABLE</v>
      </c>
      <c r="AE76" s="89" t="str">
        <f t="shared" si="22"/>
        <v>SLOW SELLING</v>
      </c>
      <c r="AF76" s="89" t="str">
        <f t="shared" si="41"/>
        <v>AT RISK</v>
      </c>
      <c r="AG76" s="89" t="str">
        <f t="shared" si="42"/>
        <v>FEASIBLE</v>
      </c>
      <c r="AH76" s="81" t="str">
        <f t="shared" ca="1" si="43"/>
        <v>MONITOR</v>
      </c>
      <c r="AI76" s="75"/>
      <c r="AJ76" s="75"/>
      <c r="AK76" s="13"/>
      <c r="AL76" s="79"/>
      <c r="AM76" s="79"/>
      <c r="AN76" s="79"/>
      <c r="AO76" s="79"/>
      <c r="AP76" s="79"/>
      <c r="AQ76" s="75"/>
      <c r="AR76" s="75"/>
      <c r="AS76" s="75"/>
      <c r="AT76" s="75"/>
      <c r="AU76" s="75"/>
      <c r="AV76" s="13"/>
      <c r="AW76" s="13"/>
      <c r="AX76" s="13"/>
      <c r="AY76" s="13"/>
      <c r="AZ76" s="13"/>
      <c r="BA76" s="105"/>
      <c r="BB76" s="13"/>
      <c r="BC76" s="13"/>
      <c r="BD76" s="13"/>
      <c r="BE76" s="13"/>
      <c r="BF76" s="88"/>
      <c r="BG76" s="88"/>
      <c r="BH76" s="88"/>
      <c r="BI76" s="88"/>
      <c r="BJ76" s="88"/>
      <c r="BK76" s="105"/>
      <c r="BL76" s="105"/>
      <c r="BM76" s="105"/>
      <c r="BN76" s="105"/>
      <c r="BO76" s="105"/>
      <c r="BP76" s="105"/>
      <c r="BQ76" s="79"/>
      <c r="BR76" s="79"/>
      <c r="BS76" s="79"/>
      <c r="BT76" s="79"/>
      <c r="BU76" s="79"/>
      <c r="BV76" s="90"/>
      <c r="BW76" s="106"/>
      <c r="BX76" s="106"/>
      <c r="BY76" s="106"/>
      <c r="BZ76" s="106"/>
      <c r="CA76" s="106"/>
    </row>
    <row r="77" spans="1:79" x14ac:dyDescent="0.35">
      <c r="A77" s="25" t="s">
        <v>91</v>
      </c>
      <c r="B77" s="10" t="s">
        <v>322</v>
      </c>
      <c r="C77" s="10" t="s">
        <v>341</v>
      </c>
      <c r="D77" s="10" t="s">
        <v>346</v>
      </c>
      <c r="E77" s="11">
        <v>45913</v>
      </c>
      <c r="F77" s="17">
        <v>45892</v>
      </c>
      <c r="G77" s="14">
        <f t="shared" ca="1" si="23"/>
        <v>207</v>
      </c>
      <c r="H77" s="17">
        <v>499</v>
      </c>
      <c r="I77" s="17">
        <v>261</v>
      </c>
      <c r="J77" s="75">
        <f t="shared" si="24"/>
        <v>465</v>
      </c>
      <c r="K77" s="17">
        <v>1000</v>
      </c>
      <c r="L77" s="85">
        <v>535</v>
      </c>
      <c r="M77" s="86">
        <f t="shared" ca="1" si="25"/>
        <v>2.5845410628019323</v>
      </c>
      <c r="N77" s="86">
        <f t="shared" si="26"/>
        <v>0.92883099285538351</v>
      </c>
      <c r="O77" s="86">
        <f t="shared" si="27"/>
        <v>1.6310975609756098</v>
      </c>
      <c r="P77" s="87">
        <f t="shared" si="28"/>
        <v>133.75</v>
      </c>
      <c r="Q77" s="104">
        <f t="shared" si="29"/>
        <v>3.4766355140186915</v>
      </c>
      <c r="R77" s="88">
        <f t="shared" si="30"/>
        <v>47.695390781563127</v>
      </c>
      <c r="S77" s="88">
        <f t="shared" si="31"/>
        <v>53.5</v>
      </c>
      <c r="T77" s="13">
        <f t="shared" si="32"/>
        <v>3</v>
      </c>
      <c r="U77" s="13">
        <f t="shared" si="33"/>
        <v>3</v>
      </c>
      <c r="V77" s="13">
        <f t="shared" si="34"/>
        <v>2</v>
      </c>
      <c r="W77" s="13">
        <f t="shared" ca="1" si="35"/>
        <v>3</v>
      </c>
      <c r="X77" s="13">
        <f t="shared" ca="1" si="36"/>
        <v>11</v>
      </c>
      <c r="Y77" s="81" t="str">
        <f t="shared" ca="1" si="37"/>
        <v>RE-BUY</v>
      </c>
      <c r="Z77" s="13">
        <v>14</v>
      </c>
      <c r="AA77" s="75">
        <v>46059</v>
      </c>
      <c r="AB77" s="75">
        <f t="shared" si="38"/>
        <v>45920</v>
      </c>
      <c r="AC77" s="88">
        <f t="shared" si="39"/>
        <v>19.857142857142858</v>
      </c>
      <c r="AD77" s="89" t="str">
        <f t="shared" ca="1" si="40"/>
        <v>STABLE</v>
      </c>
      <c r="AE77" s="89" t="str">
        <f t="shared" si="22"/>
        <v>FAST SELLING</v>
      </c>
      <c r="AF77" s="89" t="str">
        <f t="shared" si="41"/>
        <v>AT RISK</v>
      </c>
      <c r="AG77" s="89" t="str">
        <f t="shared" si="42"/>
        <v>FEASIBLE</v>
      </c>
      <c r="AH77" s="81" t="str">
        <f t="shared" ca="1" si="43"/>
        <v>IMMEDIATE REBUY</v>
      </c>
      <c r="AI77" s="75"/>
      <c r="AJ77" s="75"/>
      <c r="AK77" s="13"/>
      <c r="AL77" s="79"/>
      <c r="AM77" s="79"/>
      <c r="AN77" s="79"/>
      <c r="AO77" s="79"/>
      <c r="AP77" s="79"/>
      <c r="AQ77" s="75"/>
      <c r="AR77" s="75"/>
      <c r="AS77" s="75"/>
      <c r="AT77" s="75"/>
      <c r="AU77" s="75"/>
      <c r="AV77" s="13"/>
      <c r="AW77" s="13"/>
      <c r="AX77" s="13"/>
      <c r="AY77" s="13"/>
      <c r="AZ77" s="13"/>
      <c r="BA77" s="105"/>
      <c r="BB77" s="13"/>
      <c r="BC77" s="13"/>
      <c r="BD77" s="13"/>
      <c r="BE77" s="13"/>
      <c r="BF77" s="88"/>
      <c r="BG77" s="88"/>
      <c r="BH77" s="88"/>
      <c r="BI77" s="88"/>
      <c r="BJ77" s="88"/>
      <c r="BK77" s="105"/>
      <c r="BL77" s="105"/>
      <c r="BM77" s="105"/>
      <c r="BN77" s="105"/>
      <c r="BO77" s="105"/>
      <c r="BP77" s="105"/>
      <c r="BQ77" s="79"/>
      <c r="BR77" s="79"/>
      <c r="BS77" s="79"/>
      <c r="BT77" s="79"/>
      <c r="BU77" s="79"/>
      <c r="BV77" s="90"/>
      <c r="BW77" s="106"/>
      <c r="BX77" s="106"/>
      <c r="BY77" s="106"/>
      <c r="BZ77" s="106"/>
      <c r="CA77" s="106"/>
    </row>
    <row r="78" spans="1:79" x14ac:dyDescent="0.35">
      <c r="A78" s="25" t="s">
        <v>92</v>
      </c>
      <c r="B78" s="10" t="s">
        <v>322</v>
      </c>
      <c r="C78" s="10" t="s">
        <v>341</v>
      </c>
      <c r="D78" s="10" t="s">
        <v>346</v>
      </c>
      <c r="E78" s="11">
        <v>45871</v>
      </c>
      <c r="F78" s="17">
        <v>45892</v>
      </c>
      <c r="G78" s="14">
        <f t="shared" ca="1" si="23"/>
        <v>207</v>
      </c>
      <c r="H78" s="17">
        <v>499</v>
      </c>
      <c r="I78" s="17">
        <v>261</v>
      </c>
      <c r="J78" s="75">
        <f t="shared" si="24"/>
        <v>879</v>
      </c>
      <c r="K78" s="17">
        <v>1000</v>
      </c>
      <c r="L78" s="85">
        <v>121</v>
      </c>
      <c r="M78" s="86">
        <f t="shared" ca="1" si="25"/>
        <v>0.58454106280193241</v>
      </c>
      <c r="N78" s="86">
        <f t="shared" si="26"/>
        <v>0.92883099285538351</v>
      </c>
      <c r="O78" s="86">
        <f t="shared" si="27"/>
        <v>0.36890243902439024</v>
      </c>
      <c r="P78" s="87">
        <f t="shared" si="28"/>
        <v>30.25</v>
      </c>
      <c r="Q78" s="104">
        <f t="shared" si="29"/>
        <v>29.057851239669422</v>
      </c>
      <c r="R78" s="88">
        <f t="shared" si="30"/>
        <v>47.695390781563127</v>
      </c>
      <c r="S78" s="88">
        <f t="shared" si="31"/>
        <v>12.1</v>
      </c>
      <c r="T78" s="13">
        <f t="shared" si="32"/>
        <v>1</v>
      </c>
      <c r="U78" s="13">
        <f t="shared" si="33"/>
        <v>1</v>
      </c>
      <c r="V78" s="13">
        <f t="shared" si="34"/>
        <v>2</v>
      </c>
      <c r="W78" s="13">
        <f t="shared" ca="1" si="35"/>
        <v>3</v>
      </c>
      <c r="X78" s="13">
        <f t="shared" ca="1" si="36"/>
        <v>7</v>
      </c>
      <c r="Y78" s="81" t="str">
        <f t="shared" ca="1" si="37"/>
        <v>MONITOR</v>
      </c>
      <c r="Z78" s="13">
        <v>14</v>
      </c>
      <c r="AA78" s="75">
        <v>46059</v>
      </c>
      <c r="AB78" s="75">
        <f t="shared" si="38"/>
        <v>45920</v>
      </c>
      <c r="AC78" s="88">
        <f t="shared" si="39"/>
        <v>19.857142857142858</v>
      </c>
      <c r="AD78" s="89" t="str">
        <f t="shared" ca="1" si="40"/>
        <v>STABLE</v>
      </c>
      <c r="AE78" s="89" t="str">
        <f t="shared" si="22"/>
        <v>SLOW SELLING</v>
      </c>
      <c r="AF78" s="89" t="str">
        <f t="shared" si="41"/>
        <v>AT RISK</v>
      </c>
      <c r="AG78" s="89" t="str">
        <f t="shared" si="42"/>
        <v>FEASIBLE</v>
      </c>
      <c r="AH78" s="81" t="str">
        <f t="shared" ca="1" si="43"/>
        <v>MONITOR</v>
      </c>
      <c r="AI78" s="75"/>
      <c r="AJ78" s="75"/>
      <c r="AK78" s="13"/>
      <c r="AL78" s="79"/>
      <c r="AM78" s="79"/>
      <c r="AN78" s="79"/>
      <c r="AO78" s="79"/>
      <c r="AP78" s="79"/>
      <c r="AQ78" s="75"/>
      <c r="AR78" s="75"/>
      <c r="AS78" s="75"/>
      <c r="AT78" s="75"/>
      <c r="AU78" s="75"/>
      <c r="AV78" s="13"/>
      <c r="AW78" s="13"/>
      <c r="AX78" s="13"/>
      <c r="AY78" s="13"/>
      <c r="AZ78" s="13"/>
      <c r="BA78" s="105"/>
      <c r="BB78" s="13"/>
      <c r="BC78" s="13"/>
      <c r="BD78" s="13"/>
      <c r="BE78" s="13"/>
      <c r="BF78" s="88"/>
      <c r="BG78" s="88"/>
      <c r="BH78" s="88"/>
      <c r="BI78" s="88"/>
      <c r="BJ78" s="88"/>
      <c r="BK78" s="105"/>
      <c r="BL78" s="105"/>
      <c r="BM78" s="105"/>
      <c r="BN78" s="105"/>
      <c r="BO78" s="105"/>
      <c r="BP78" s="105"/>
      <c r="BQ78" s="79"/>
      <c r="BR78" s="79"/>
      <c r="BS78" s="79"/>
      <c r="BT78" s="79"/>
      <c r="BU78" s="79"/>
      <c r="BV78" s="90"/>
      <c r="BW78" s="106"/>
      <c r="BX78" s="106"/>
      <c r="BY78" s="106"/>
      <c r="BZ78" s="106"/>
      <c r="CA78" s="106"/>
    </row>
    <row r="79" spans="1:79" x14ac:dyDescent="0.35">
      <c r="A79" s="25" t="s">
        <v>93</v>
      </c>
      <c r="B79" s="10" t="s">
        <v>322</v>
      </c>
      <c r="C79" s="10" t="s">
        <v>341</v>
      </c>
      <c r="D79" s="10" t="s">
        <v>346</v>
      </c>
      <c r="E79" s="11">
        <v>45913</v>
      </c>
      <c r="F79" s="17">
        <v>45892</v>
      </c>
      <c r="G79" s="14">
        <f t="shared" ca="1" si="23"/>
        <v>207</v>
      </c>
      <c r="H79" s="17">
        <v>499</v>
      </c>
      <c r="I79" s="17">
        <v>261</v>
      </c>
      <c r="J79" s="75">
        <f t="shared" si="24"/>
        <v>560</v>
      </c>
      <c r="K79" s="17">
        <v>1000</v>
      </c>
      <c r="L79" s="85">
        <v>440</v>
      </c>
      <c r="M79" s="86">
        <f t="shared" ca="1" si="25"/>
        <v>2.1256038647342996</v>
      </c>
      <c r="N79" s="86">
        <f t="shared" si="26"/>
        <v>0.92883099285538351</v>
      </c>
      <c r="O79" s="86">
        <f t="shared" si="27"/>
        <v>1.3414634146341464</v>
      </c>
      <c r="P79" s="87">
        <f t="shared" si="28"/>
        <v>110</v>
      </c>
      <c r="Q79" s="104">
        <f t="shared" si="29"/>
        <v>5.0909090909090908</v>
      </c>
      <c r="R79" s="88">
        <f t="shared" si="30"/>
        <v>47.695390781563127</v>
      </c>
      <c r="S79" s="88">
        <f t="shared" si="31"/>
        <v>44</v>
      </c>
      <c r="T79" s="13">
        <f t="shared" si="32"/>
        <v>3</v>
      </c>
      <c r="U79" s="13">
        <f t="shared" si="33"/>
        <v>2</v>
      </c>
      <c r="V79" s="13">
        <f t="shared" si="34"/>
        <v>2</v>
      </c>
      <c r="W79" s="13">
        <f t="shared" ca="1" si="35"/>
        <v>3</v>
      </c>
      <c r="X79" s="13">
        <f t="shared" ca="1" si="36"/>
        <v>10</v>
      </c>
      <c r="Y79" s="81" t="str">
        <f t="shared" ca="1" si="37"/>
        <v>RE-BUY</v>
      </c>
      <c r="Z79" s="13">
        <v>14</v>
      </c>
      <c r="AA79" s="75">
        <v>46059</v>
      </c>
      <c r="AB79" s="75">
        <f t="shared" si="38"/>
        <v>45920</v>
      </c>
      <c r="AC79" s="88">
        <f t="shared" si="39"/>
        <v>19.857142857142858</v>
      </c>
      <c r="AD79" s="89" t="str">
        <f t="shared" ca="1" si="40"/>
        <v>STABLE</v>
      </c>
      <c r="AE79" s="89" t="str">
        <f t="shared" si="22"/>
        <v>FAST SELLING</v>
      </c>
      <c r="AF79" s="89" t="str">
        <f t="shared" si="41"/>
        <v>AT RISK</v>
      </c>
      <c r="AG79" s="89" t="str">
        <f t="shared" si="42"/>
        <v>FEASIBLE</v>
      </c>
      <c r="AH79" s="81" t="str">
        <f t="shared" ca="1" si="43"/>
        <v>IMMEDIATE REBUY</v>
      </c>
      <c r="AI79" s="75"/>
      <c r="AJ79" s="75"/>
      <c r="AK79" s="13"/>
      <c r="AL79" s="79"/>
      <c r="AM79" s="79"/>
      <c r="AN79" s="79"/>
      <c r="AO79" s="79"/>
      <c r="AP79" s="79"/>
      <c r="AQ79" s="75"/>
      <c r="AR79" s="75"/>
      <c r="AS79" s="75"/>
      <c r="AT79" s="75"/>
      <c r="AU79" s="75"/>
      <c r="AV79" s="13"/>
      <c r="AW79" s="13"/>
      <c r="AX79" s="13"/>
      <c r="AY79" s="13"/>
      <c r="AZ79" s="13"/>
      <c r="BA79" s="105"/>
      <c r="BB79" s="13"/>
      <c r="BC79" s="13"/>
      <c r="BD79" s="13"/>
      <c r="BE79" s="13"/>
      <c r="BF79" s="88"/>
      <c r="BG79" s="88"/>
      <c r="BH79" s="88"/>
      <c r="BI79" s="88"/>
      <c r="BJ79" s="88"/>
      <c r="BK79" s="105"/>
      <c r="BL79" s="105"/>
      <c r="BM79" s="105"/>
      <c r="BN79" s="105"/>
      <c r="BO79" s="105"/>
      <c r="BP79" s="105"/>
      <c r="BQ79" s="79"/>
      <c r="BR79" s="79"/>
      <c r="BS79" s="79"/>
      <c r="BT79" s="79"/>
      <c r="BU79" s="79"/>
      <c r="BV79" s="90"/>
      <c r="BW79" s="106"/>
      <c r="BX79" s="106"/>
      <c r="BY79" s="106"/>
      <c r="BZ79" s="106"/>
      <c r="CA79" s="106"/>
    </row>
    <row r="80" spans="1:79" x14ac:dyDescent="0.35">
      <c r="A80" s="25" t="s">
        <v>94</v>
      </c>
      <c r="B80" s="10" t="s">
        <v>322</v>
      </c>
      <c r="C80" s="10" t="s">
        <v>341</v>
      </c>
      <c r="D80" s="10" t="s">
        <v>346</v>
      </c>
      <c r="E80" s="11">
        <v>45871</v>
      </c>
      <c r="F80" s="17">
        <v>45892</v>
      </c>
      <c r="G80" s="14">
        <f t="shared" ca="1" si="23"/>
        <v>207</v>
      </c>
      <c r="H80" s="17">
        <v>499</v>
      </c>
      <c r="I80" s="17">
        <v>261</v>
      </c>
      <c r="J80" s="75">
        <f t="shared" si="24"/>
        <v>771</v>
      </c>
      <c r="K80" s="17">
        <v>1000</v>
      </c>
      <c r="L80" s="85">
        <v>229</v>
      </c>
      <c r="M80" s="86">
        <f t="shared" ca="1" si="25"/>
        <v>1.106280193236715</v>
      </c>
      <c r="N80" s="86">
        <f t="shared" si="26"/>
        <v>0.92883099285538351</v>
      </c>
      <c r="O80" s="86">
        <f t="shared" si="27"/>
        <v>0.69817073170731703</v>
      </c>
      <c r="P80" s="87">
        <f t="shared" si="28"/>
        <v>57.249999999999993</v>
      </c>
      <c r="Q80" s="104">
        <f t="shared" si="29"/>
        <v>13.467248908296945</v>
      </c>
      <c r="R80" s="88">
        <f t="shared" si="30"/>
        <v>47.695390781563127</v>
      </c>
      <c r="S80" s="88">
        <f t="shared" si="31"/>
        <v>22.900000000000002</v>
      </c>
      <c r="T80" s="13">
        <f t="shared" si="32"/>
        <v>1</v>
      </c>
      <c r="U80" s="13">
        <f t="shared" si="33"/>
        <v>1</v>
      </c>
      <c r="V80" s="13">
        <f t="shared" si="34"/>
        <v>2</v>
      </c>
      <c r="W80" s="13">
        <f t="shared" ca="1" si="35"/>
        <v>3</v>
      </c>
      <c r="X80" s="13">
        <f t="shared" ca="1" si="36"/>
        <v>7</v>
      </c>
      <c r="Y80" s="81" t="str">
        <f t="shared" ca="1" si="37"/>
        <v>MONITOR</v>
      </c>
      <c r="Z80" s="13">
        <v>14</v>
      </c>
      <c r="AA80" s="75">
        <v>46059</v>
      </c>
      <c r="AB80" s="75">
        <f t="shared" si="38"/>
        <v>45920</v>
      </c>
      <c r="AC80" s="88">
        <f t="shared" si="39"/>
        <v>19.857142857142858</v>
      </c>
      <c r="AD80" s="89" t="str">
        <f t="shared" ca="1" si="40"/>
        <v>STABLE</v>
      </c>
      <c r="AE80" s="89" t="str">
        <f t="shared" si="22"/>
        <v>SLOW SELLING</v>
      </c>
      <c r="AF80" s="89" t="str">
        <f t="shared" si="41"/>
        <v>AT RISK</v>
      </c>
      <c r="AG80" s="89" t="str">
        <f t="shared" si="42"/>
        <v>FEASIBLE</v>
      </c>
      <c r="AH80" s="81" t="str">
        <f t="shared" ca="1" si="43"/>
        <v>MONITOR</v>
      </c>
      <c r="AI80" s="75"/>
      <c r="AJ80" s="75"/>
      <c r="AK80" s="13"/>
      <c r="AL80" s="79"/>
      <c r="AM80" s="79"/>
      <c r="AN80" s="79"/>
      <c r="AO80" s="79"/>
      <c r="AP80" s="79"/>
      <c r="AQ80" s="75"/>
      <c r="AR80" s="75"/>
      <c r="AS80" s="75"/>
      <c r="AT80" s="75"/>
      <c r="AU80" s="75"/>
      <c r="AV80" s="13"/>
      <c r="AW80" s="13"/>
      <c r="AX80" s="13"/>
      <c r="AY80" s="13"/>
      <c r="AZ80" s="13"/>
      <c r="BA80" s="105"/>
      <c r="BB80" s="13"/>
      <c r="BC80" s="13"/>
      <c r="BD80" s="13"/>
      <c r="BE80" s="13"/>
      <c r="BF80" s="88"/>
      <c r="BG80" s="88"/>
      <c r="BH80" s="88"/>
      <c r="BI80" s="88"/>
      <c r="BJ80" s="88"/>
      <c r="BK80" s="105"/>
      <c r="BL80" s="105"/>
      <c r="BM80" s="105"/>
      <c r="BN80" s="105"/>
      <c r="BO80" s="105"/>
      <c r="BP80" s="105"/>
      <c r="BQ80" s="79"/>
      <c r="BR80" s="79"/>
      <c r="BS80" s="79"/>
      <c r="BT80" s="79"/>
      <c r="BU80" s="79"/>
      <c r="BV80" s="90"/>
      <c r="BW80" s="106"/>
      <c r="BX80" s="106"/>
      <c r="BY80" s="106"/>
      <c r="BZ80" s="106"/>
      <c r="CA80" s="106"/>
    </row>
    <row r="81" spans="1:79" x14ac:dyDescent="0.35">
      <c r="A81" s="25" t="s">
        <v>95</v>
      </c>
      <c r="B81" s="10" t="s">
        <v>322</v>
      </c>
      <c r="C81" s="10" t="s">
        <v>341</v>
      </c>
      <c r="D81" s="10" t="s">
        <v>346</v>
      </c>
      <c r="E81" s="11">
        <v>45871</v>
      </c>
      <c r="F81" s="17">
        <v>45892</v>
      </c>
      <c r="G81" s="14">
        <f t="shared" ca="1" si="23"/>
        <v>207</v>
      </c>
      <c r="H81" s="17">
        <v>499</v>
      </c>
      <c r="I81" s="17">
        <v>261</v>
      </c>
      <c r="J81" s="75">
        <f t="shared" si="24"/>
        <v>750</v>
      </c>
      <c r="K81" s="17">
        <v>1000</v>
      </c>
      <c r="L81" s="85">
        <v>250</v>
      </c>
      <c r="M81" s="86">
        <f t="shared" ca="1" si="25"/>
        <v>1.2077294685990339</v>
      </c>
      <c r="N81" s="86">
        <f t="shared" si="26"/>
        <v>0.92883099285538351</v>
      </c>
      <c r="O81" s="86">
        <f t="shared" si="27"/>
        <v>0.76219512195121952</v>
      </c>
      <c r="P81" s="87">
        <f t="shared" si="28"/>
        <v>62.5</v>
      </c>
      <c r="Q81" s="104">
        <f t="shared" si="29"/>
        <v>12</v>
      </c>
      <c r="R81" s="88">
        <f t="shared" si="30"/>
        <v>47.695390781563127</v>
      </c>
      <c r="S81" s="88">
        <f t="shared" si="31"/>
        <v>25</v>
      </c>
      <c r="T81" s="13">
        <f t="shared" si="32"/>
        <v>2</v>
      </c>
      <c r="U81" s="13">
        <f t="shared" si="33"/>
        <v>1</v>
      </c>
      <c r="V81" s="13">
        <f t="shared" si="34"/>
        <v>2</v>
      </c>
      <c r="W81" s="13">
        <f t="shared" ca="1" si="35"/>
        <v>3</v>
      </c>
      <c r="X81" s="13">
        <f t="shared" ca="1" si="36"/>
        <v>8</v>
      </c>
      <c r="Y81" s="81" t="str">
        <f t="shared" ca="1" si="37"/>
        <v>MONITOR</v>
      </c>
      <c r="Z81" s="13">
        <v>14</v>
      </c>
      <c r="AA81" s="75">
        <v>46059</v>
      </c>
      <c r="AB81" s="75">
        <f t="shared" si="38"/>
        <v>45920</v>
      </c>
      <c r="AC81" s="88">
        <f t="shared" si="39"/>
        <v>19.857142857142858</v>
      </c>
      <c r="AD81" s="89" t="str">
        <f t="shared" ca="1" si="40"/>
        <v>STABLE</v>
      </c>
      <c r="AE81" s="89" t="str">
        <f t="shared" si="22"/>
        <v>SLOW SELLING</v>
      </c>
      <c r="AF81" s="89" t="str">
        <f t="shared" si="41"/>
        <v>AT RISK</v>
      </c>
      <c r="AG81" s="89" t="str">
        <f t="shared" si="42"/>
        <v>FEASIBLE</v>
      </c>
      <c r="AH81" s="81" t="str">
        <f t="shared" ca="1" si="43"/>
        <v>MONITOR</v>
      </c>
      <c r="AI81" s="75"/>
      <c r="AJ81" s="75"/>
      <c r="AK81" s="13"/>
      <c r="AL81" s="79"/>
      <c r="AM81" s="79"/>
      <c r="AN81" s="79"/>
      <c r="AO81" s="79"/>
      <c r="AP81" s="79"/>
      <c r="AQ81" s="75"/>
      <c r="AR81" s="75"/>
      <c r="AS81" s="75"/>
      <c r="AT81" s="75"/>
      <c r="AU81" s="75"/>
      <c r="AV81" s="13"/>
      <c r="AW81" s="13"/>
      <c r="AX81" s="13"/>
      <c r="AY81" s="13"/>
      <c r="AZ81" s="13"/>
      <c r="BA81" s="105"/>
      <c r="BB81" s="13"/>
      <c r="BC81" s="13"/>
      <c r="BD81" s="13"/>
      <c r="BE81" s="13"/>
      <c r="BF81" s="88"/>
      <c r="BG81" s="88"/>
      <c r="BH81" s="88"/>
      <c r="BI81" s="88"/>
      <c r="BJ81" s="88"/>
      <c r="BK81" s="105"/>
      <c r="BL81" s="105"/>
      <c r="BM81" s="105"/>
      <c r="BN81" s="105"/>
      <c r="BO81" s="105"/>
      <c r="BP81" s="105"/>
      <c r="BQ81" s="79"/>
      <c r="BR81" s="79"/>
      <c r="BS81" s="79"/>
      <c r="BT81" s="79"/>
      <c r="BU81" s="79"/>
      <c r="BV81" s="90"/>
      <c r="BW81" s="106"/>
      <c r="BX81" s="106"/>
      <c r="BY81" s="106"/>
      <c r="BZ81" s="106"/>
      <c r="CA81" s="106"/>
    </row>
    <row r="82" spans="1:79" x14ac:dyDescent="0.35">
      <c r="A82" s="25" t="s">
        <v>96</v>
      </c>
      <c r="B82" s="10" t="s">
        <v>322</v>
      </c>
      <c r="C82" s="10" t="s">
        <v>341</v>
      </c>
      <c r="D82" s="10" t="s">
        <v>346</v>
      </c>
      <c r="E82" s="11">
        <v>45920</v>
      </c>
      <c r="F82" s="17">
        <v>45892</v>
      </c>
      <c r="G82" s="14">
        <f t="shared" ca="1" si="23"/>
        <v>207</v>
      </c>
      <c r="H82" s="17">
        <v>499</v>
      </c>
      <c r="I82" s="17">
        <v>261</v>
      </c>
      <c r="J82" s="75">
        <f t="shared" si="24"/>
        <v>302</v>
      </c>
      <c r="K82" s="17">
        <v>750</v>
      </c>
      <c r="L82" s="85">
        <v>448</v>
      </c>
      <c r="M82" s="86">
        <f t="shared" ca="1" si="25"/>
        <v>2.1642512077294684</v>
      </c>
      <c r="N82" s="86">
        <f t="shared" si="26"/>
        <v>0.92883099285538351</v>
      </c>
      <c r="O82" s="86">
        <f t="shared" si="27"/>
        <v>1.3658536585365855</v>
      </c>
      <c r="P82" s="87">
        <f t="shared" si="28"/>
        <v>112.00000000000001</v>
      </c>
      <c r="Q82" s="104">
        <f t="shared" si="29"/>
        <v>2.6964285714285712</v>
      </c>
      <c r="R82" s="88">
        <f t="shared" si="30"/>
        <v>47.695390781563127</v>
      </c>
      <c r="S82" s="88">
        <f t="shared" si="31"/>
        <v>59.733333333333341</v>
      </c>
      <c r="T82" s="13">
        <f t="shared" si="32"/>
        <v>3</v>
      </c>
      <c r="U82" s="13">
        <f t="shared" si="33"/>
        <v>3</v>
      </c>
      <c r="V82" s="13">
        <f t="shared" si="34"/>
        <v>2</v>
      </c>
      <c r="W82" s="13">
        <f t="shared" ca="1" si="35"/>
        <v>3</v>
      </c>
      <c r="X82" s="13">
        <f t="shared" ca="1" si="36"/>
        <v>11</v>
      </c>
      <c r="Y82" s="81" t="str">
        <f t="shared" ca="1" si="37"/>
        <v>RE-BUY</v>
      </c>
      <c r="Z82" s="13">
        <v>14</v>
      </c>
      <c r="AA82" s="75">
        <v>46059</v>
      </c>
      <c r="AB82" s="75">
        <f t="shared" si="38"/>
        <v>45920</v>
      </c>
      <c r="AC82" s="88">
        <f t="shared" si="39"/>
        <v>19.857142857142858</v>
      </c>
      <c r="AD82" s="89" t="str">
        <f t="shared" ca="1" si="40"/>
        <v>STABLE</v>
      </c>
      <c r="AE82" s="89" t="str">
        <f t="shared" si="22"/>
        <v>FAST SELLING</v>
      </c>
      <c r="AF82" s="89" t="str">
        <f t="shared" si="41"/>
        <v>AT RISK</v>
      </c>
      <c r="AG82" s="89" t="str">
        <f t="shared" si="42"/>
        <v>FEASIBLE</v>
      </c>
      <c r="AH82" s="81" t="str">
        <f t="shared" ca="1" si="43"/>
        <v>IMMEDIATE REBUY</v>
      </c>
      <c r="AI82" s="75"/>
      <c r="AJ82" s="75"/>
      <c r="AK82" s="13"/>
      <c r="AL82" s="79"/>
      <c r="AM82" s="79"/>
      <c r="AN82" s="79"/>
      <c r="AO82" s="79"/>
      <c r="AP82" s="79"/>
      <c r="AQ82" s="75"/>
      <c r="AR82" s="75"/>
      <c r="AS82" s="75"/>
      <c r="AT82" s="75"/>
      <c r="AU82" s="75"/>
      <c r="AV82" s="13"/>
      <c r="AW82" s="13"/>
      <c r="AX82" s="13"/>
      <c r="AY82" s="13"/>
      <c r="AZ82" s="13"/>
      <c r="BA82" s="105"/>
      <c r="BB82" s="13"/>
      <c r="BC82" s="13"/>
      <c r="BD82" s="13"/>
      <c r="BE82" s="13"/>
      <c r="BF82" s="88"/>
      <c r="BG82" s="88"/>
      <c r="BH82" s="88"/>
      <c r="BI82" s="88"/>
      <c r="BJ82" s="88"/>
      <c r="BK82" s="105"/>
      <c r="BL82" s="105"/>
      <c r="BM82" s="105"/>
      <c r="BN82" s="105"/>
      <c r="BO82" s="105"/>
      <c r="BP82" s="105"/>
      <c r="BQ82" s="79"/>
      <c r="BR82" s="79"/>
      <c r="BS82" s="79"/>
      <c r="BT82" s="79"/>
      <c r="BU82" s="79"/>
      <c r="BV82" s="90"/>
      <c r="BW82" s="106"/>
      <c r="BX82" s="106"/>
      <c r="BY82" s="106"/>
      <c r="BZ82" s="106"/>
      <c r="CA82" s="106"/>
    </row>
    <row r="83" spans="1:79" x14ac:dyDescent="0.35">
      <c r="A83" s="25" t="s">
        <v>97</v>
      </c>
      <c r="B83" s="10" t="s">
        <v>322</v>
      </c>
      <c r="C83" s="10" t="s">
        <v>341</v>
      </c>
      <c r="D83" s="10" t="s">
        <v>346</v>
      </c>
      <c r="E83" s="11">
        <v>45920</v>
      </c>
      <c r="F83" s="17">
        <v>45892</v>
      </c>
      <c r="G83" s="14">
        <f t="shared" ca="1" si="23"/>
        <v>207</v>
      </c>
      <c r="H83" s="17">
        <v>499</v>
      </c>
      <c r="I83" s="17">
        <v>261</v>
      </c>
      <c r="J83" s="75">
        <f t="shared" si="24"/>
        <v>234</v>
      </c>
      <c r="K83" s="17">
        <v>750</v>
      </c>
      <c r="L83" s="85">
        <v>516</v>
      </c>
      <c r="M83" s="86">
        <f t="shared" ca="1" si="25"/>
        <v>2.4927536231884058</v>
      </c>
      <c r="N83" s="86">
        <f t="shared" si="26"/>
        <v>0.92883099285538351</v>
      </c>
      <c r="O83" s="86">
        <f t="shared" si="27"/>
        <v>1.5731707317073171</v>
      </c>
      <c r="P83" s="87">
        <f t="shared" si="28"/>
        <v>129</v>
      </c>
      <c r="Q83" s="104">
        <f t="shared" si="29"/>
        <v>1.8139534883720929</v>
      </c>
      <c r="R83" s="88">
        <f t="shared" si="30"/>
        <v>47.695390781563127</v>
      </c>
      <c r="S83" s="88">
        <f t="shared" si="31"/>
        <v>68.8</v>
      </c>
      <c r="T83" s="13">
        <f t="shared" si="32"/>
        <v>3</v>
      </c>
      <c r="U83" s="13">
        <f t="shared" si="33"/>
        <v>3</v>
      </c>
      <c r="V83" s="13">
        <f t="shared" si="34"/>
        <v>2</v>
      </c>
      <c r="W83" s="13">
        <f t="shared" ca="1" si="35"/>
        <v>3</v>
      </c>
      <c r="X83" s="13">
        <f t="shared" ca="1" si="36"/>
        <v>11</v>
      </c>
      <c r="Y83" s="81" t="str">
        <f t="shared" ca="1" si="37"/>
        <v>RE-BUY</v>
      </c>
      <c r="Z83" s="13">
        <v>14</v>
      </c>
      <c r="AA83" s="75">
        <v>46059</v>
      </c>
      <c r="AB83" s="75">
        <f t="shared" si="38"/>
        <v>45920</v>
      </c>
      <c r="AC83" s="88">
        <f t="shared" si="39"/>
        <v>19.857142857142858</v>
      </c>
      <c r="AD83" s="89" t="str">
        <f t="shared" ca="1" si="40"/>
        <v>STABLE</v>
      </c>
      <c r="AE83" s="89" t="str">
        <f t="shared" si="22"/>
        <v>FAST SELLING</v>
      </c>
      <c r="AF83" s="89" t="str">
        <f t="shared" si="41"/>
        <v>AT RISK</v>
      </c>
      <c r="AG83" s="89" t="str">
        <f t="shared" si="42"/>
        <v>FEASIBLE</v>
      </c>
      <c r="AH83" s="81" t="str">
        <f t="shared" ca="1" si="43"/>
        <v>IMMEDIATE REBUY</v>
      </c>
      <c r="AI83" s="75"/>
      <c r="AJ83" s="75"/>
      <c r="AK83" s="13"/>
      <c r="AL83" s="79"/>
      <c r="AM83" s="79"/>
      <c r="AN83" s="79"/>
      <c r="AO83" s="79"/>
      <c r="AP83" s="79"/>
      <c r="AQ83" s="75"/>
      <c r="AR83" s="75"/>
      <c r="AS83" s="75"/>
      <c r="AT83" s="75"/>
      <c r="AU83" s="75"/>
      <c r="AV83" s="13"/>
      <c r="AW83" s="13"/>
      <c r="AX83" s="13"/>
      <c r="AY83" s="13"/>
      <c r="AZ83" s="13"/>
      <c r="BA83" s="105"/>
      <c r="BB83" s="13"/>
      <c r="BC83" s="13"/>
      <c r="BD83" s="13"/>
      <c r="BE83" s="13"/>
      <c r="BF83" s="88"/>
      <c r="BG83" s="88"/>
      <c r="BH83" s="88"/>
      <c r="BI83" s="88"/>
      <c r="BJ83" s="88"/>
      <c r="BK83" s="105"/>
      <c r="BL83" s="105"/>
      <c r="BM83" s="105"/>
      <c r="BN83" s="105"/>
      <c r="BO83" s="105"/>
      <c r="BP83" s="105"/>
      <c r="BQ83" s="79"/>
      <c r="BR83" s="79"/>
      <c r="BS83" s="79"/>
      <c r="BT83" s="79"/>
      <c r="BU83" s="79"/>
      <c r="BV83" s="90"/>
      <c r="BW83" s="106"/>
      <c r="BX83" s="106"/>
      <c r="BY83" s="106"/>
      <c r="BZ83" s="106"/>
      <c r="CA83" s="106"/>
    </row>
    <row r="84" spans="1:79" x14ac:dyDescent="0.35">
      <c r="A84" s="25" t="s">
        <v>98</v>
      </c>
      <c r="B84" s="10" t="s">
        <v>322</v>
      </c>
      <c r="C84" s="10" t="s">
        <v>341</v>
      </c>
      <c r="D84" s="10" t="s">
        <v>346</v>
      </c>
      <c r="E84" s="11">
        <v>45920</v>
      </c>
      <c r="F84" s="17">
        <v>45892</v>
      </c>
      <c r="G84" s="14">
        <f t="shared" ca="1" si="23"/>
        <v>207</v>
      </c>
      <c r="H84" s="17">
        <v>499</v>
      </c>
      <c r="I84" s="17">
        <v>261</v>
      </c>
      <c r="J84" s="75">
        <f t="shared" si="24"/>
        <v>330</v>
      </c>
      <c r="K84" s="17">
        <v>750</v>
      </c>
      <c r="L84" s="85">
        <v>420</v>
      </c>
      <c r="M84" s="86">
        <f t="shared" ca="1" si="25"/>
        <v>2.0289855072463769</v>
      </c>
      <c r="N84" s="86">
        <f t="shared" si="26"/>
        <v>0.92883099285538351</v>
      </c>
      <c r="O84" s="86">
        <f t="shared" si="27"/>
        <v>1.2804878048780488</v>
      </c>
      <c r="P84" s="87">
        <f t="shared" si="28"/>
        <v>105</v>
      </c>
      <c r="Q84" s="104">
        <f t="shared" si="29"/>
        <v>3.1428571428571428</v>
      </c>
      <c r="R84" s="88">
        <f t="shared" si="30"/>
        <v>47.695390781563127</v>
      </c>
      <c r="S84" s="88">
        <f t="shared" si="31"/>
        <v>56.000000000000007</v>
      </c>
      <c r="T84" s="13">
        <f t="shared" si="32"/>
        <v>3</v>
      </c>
      <c r="U84" s="13">
        <f t="shared" si="33"/>
        <v>3</v>
      </c>
      <c r="V84" s="13">
        <f t="shared" si="34"/>
        <v>2</v>
      </c>
      <c r="W84" s="13">
        <f t="shared" ca="1" si="35"/>
        <v>3</v>
      </c>
      <c r="X84" s="13">
        <f t="shared" ca="1" si="36"/>
        <v>11</v>
      </c>
      <c r="Y84" s="81" t="str">
        <f t="shared" ca="1" si="37"/>
        <v>RE-BUY</v>
      </c>
      <c r="Z84" s="13">
        <v>14</v>
      </c>
      <c r="AA84" s="75">
        <v>46059</v>
      </c>
      <c r="AB84" s="75">
        <f t="shared" si="38"/>
        <v>45920</v>
      </c>
      <c r="AC84" s="88">
        <f t="shared" si="39"/>
        <v>19.857142857142858</v>
      </c>
      <c r="AD84" s="89" t="str">
        <f t="shared" ca="1" si="40"/>
        <v>STABLE</v>
      </c>
      <c r="AE84" s="89" t="str">
        <f t="shared" si="22"/>
        <v>FAST SELLING</v>
      </c>
      <c r="AF84" s="89" t="str">
        <f t="shared" si="41"/>
        <v>AT RISK</v>
      </c>
      <c r="AG84" s="89" t="str">
        <f t="shared" si="42"/>
        <v>FEASIBLE</v>
      </c>
      <c r="AH84" s="81" t="str">
        <f t="shared" ca="1" si="43"/>
        <v>IMMEDIATE REBUY</v>
      </c>
      <c r="AI84" s="75"/>
      <c r="AJ84" s="75"/>
      <c r="AK84" s="13"/>
      <c r="AL84" s="79"/>
      <c r="AM84" s="79"/>
      <c r="AN84" s="79"/>
      <c r="AO84" s="79"/>
      <c r="AP84" s="79"/>
      <c r="AQ84" s="75"/>
      <c r="AR84" s="75"/>
      <c r="AS84" s="75"/>
      <c r="AT84" s="75"/>
      <c r="AU84" s="75"/>
      <c r="AV84" s="13"/>
      <c r="AW84" s="13"/>
      <c r="AX84" s="13"/>
      <c r="AY84" s="13"/>
      <c r="AZ84" s="13"/>
      <c r="BA84" s="105"/>
      <c r="BB84" s="13"/>
      <c r="BC84" s="13"/>
      <c r="BD84" s="13"/>
      <c r="BE84" s="13"/>
      <c r="BF84" s="88"/>
      <c r="BG84" s="88"/>
      <c r="BH84" s="88"/>
      <c r="BI84" s="88"/>
      <c r="BJ84" s="88"/>
      <c r="BK84" s="105"/>
      <c r="BL84" s="105"/>
      <c r="BM84" s="105"/>
      <c r="BN84" s="105"/>
      <c r="BO84" s="105"/>
      <c r="BP84" s="105"/>
      <c r="BQ84" s="79"/>
      <c r="BR84" s="79"/>
      <c r="BS84" s="79"/>
      <c r="BT84" s="79"/>
      <c r="BU84" s="79"/>
      <c r="BV84" s="90"/>
      <c r="BW84" s="106"/>
      <c r="BX84" s="106"/>
      <c r="BY84" s="106"/>
      <c r="BZ84" s="106"/>
      <c r="CA84" s="106"/>
    </row>
    <row r="85" spans="1:79" x14ac:dyDescent="0.35">
      <c r="A85" s="25" t="s">
        <v>99</v>
      </c>
      <c r="B85" s="15" t="s">
        <v>323</v>
      </c>
      <c r="C85" s="10" t="s">
        <v>343</v>
      </c>
      <c r="D85" s="10" t="s">
        <v>346</v>
      </c>
      <c r="E85" s="11">
        <v>45920</v>
      </c>
      <c r="F85" s="17">
        <v>45892</v>
      </c>
      <c r="G85" s="14">
        <f t="shared" ca="1" si="23"/>
        <v>207</v>
      </c>
      <c r="H85" s="17">
        <v>699</v>
      </c>
      <c r="I85" s="17">
        <v>338</v>
      </c>
      <c r="J85" s="75">
        <f t="shared" si="24"/>
        <v>687</v>
      </c>
      <c r="K85" s="17">
        <v>1050</v>
      </c>
      <c r="L85" s="85">
        <v>363</v>
      </c>
      <c r="M85" s="86">
        <f t="shared" ca="1" si="25"/>
        <v>1.7536231884057971</v>
      </c>
      <c r="N85" s="86">
        <f t="shared" si="26"/>
        <v>0.56143292682926838</v>
      </c>
      <c r="O85" s="86">
        <f t="shared" si="27"/>
        <v>1.1067073170731707</v>
      </c>
      <c r="P85" s="87">
        <f t="shared" si="28"/>
        <v>90.75</v>
      </c>
      <c r="Q85" s="104">
        <f t="shared" si="29"/>
        <v>7.5702479338842972</v>
      </c>
      <c r="R85" s="88">
        <f t="shared" si="30"/>
        <v>51.645207439198856</v>
      </c>
      <c r="S85" s="88">
        <f t="shared" si="31"/>
        <v>34.571428571428569</v>
      </c>
      <c r="T85" s="13">
        <f t="shared" si="32"/>
        <v>3</v>
      </c>
      <c r="U85" s="13">
        <f t="shared" si="33"/>
        <v>1</v>
      </c>
      <c r="V85" s="13">
        <f t="shared" si="34"/>
        <v>2</v>
      </c>
      <c r="W85" s="13">
        <f t="shared" ca="1" si="35"/>
        <v>3</v>
      </c>
      <c r="X85" s="13">
        <f t="shared" ca="1" si="36"/>
        <v>9</v>
      </c>
      <c r="Y85" s="81" t="str">
        <f t="shared" ca="1" si="37"/>
        <v>RE-BUY</v>
      </c>
      <c r="Z85" s="13">
        <v>14</v>
      </c>
      <c r="AA85" s="75">
        <v>46059</v>
      </c>
      <c r="AB85" s="75">
        <f t="shared" si="38"/>
        <v>45920</v>
      </c>
      <c r="AC85" s="88">
        <f t="shared" si="39"/>
        <v>19.857142857142858</v>
      </c>
      <c r="AD85" s="89" t="str">
        <f t="shared" ca="1" si="40"/>
        <v>STABLE</v>
      </c>
      <c r="AE85" s="89" t="str">
        <f t="shared" si="22"/>
        <v>FAST SELLING</v>
      </c>
      <c r="AF85" s="89" t="str">
        <f t="shared" si="41"/>
        <v>AT RISK</v>
      </c>
      <c r="AG85" s="89" t="str">
        <f t="shared" si="42"/>
        <v>FEASIBLE</v>
      </c>
      <c r="AH85" s="81" t="str">
        <f t="shared" ca="1" si="43"/>
        <v>IMMEDIATE REBUY</v>
      </c>
      <c r="AI85" s="75"/>
      <c r="AJ85" s="75"/>
      <c r="AK85" s="13"/>
      <c r="AL85" s="79"/>
      <c r="AM85" s="79"/>
      <c r="AN85" s="79"/>
      <c r="AO85" s="79"/>
      <c r="AP85" s="79"/>
      <c r="AQ85" s="75"/>
      <c r="AR85" s="75"/>
      <c r="AS85" s="75"/>
      <c r="AT85" s="75"/>
      <c r="AU85" s="75"/>
      <c r="AV85" s="13"/>
      <c r="AW85" s="13"/>
      <c r="AX85" s="13"/>
      <c r="AY85" s="13"/>
      <c r="AZ85" s="13"/>
      <c r="BA85" s="105"/>
      <c r="BB85" s="13"/>
      <c r="BC85" s="13"/>
      <c r="BD85" s="13"/>
      <c r="BE85" s="13"/>
      <c r="BF85" s="88"/>
      <c r="BG85" s="88"/>
      <c r="BH85" s="88"/>
      <c r="BI85" s="88"/>
      <c r="BJ85" s="88"/>
      <c r="BK85" s="105"/>
      <c r="BL85" s="105"/>
      <c r="BM85" s="105"/>
      <c r="BN85" s="105"/>
      <c r="BO85" s="105"/>
      <c r="BP85" s="105"/>
      <c r="BQ85" s="79"/>
      <c r="BR85" s="79"/>
      <c r="BS85" s="79"/>
      <c r="BT85" s="79"/>
      <c r="BU85" s="79"/>
      <c r="BV85" s="90"/>
      <c r="BW85" s="106"/>
      <c r="BX85" s="106"/>
      <c r="BY85" s="106"/>
      <c r="BZ85" s="106"/>
      <c r="CA85" s="106"/>
    </row>
    <row r="86" spans="1:79" x14ac:dyDescent="0.35">
      <c r="A86" s="25" t="s">
        <v>100</v>
      </c>
      <c r="B86" s="15" t="s">
        <v>323</v>
      </c>
      <c r="C86" s="10" t="s">
        <v>343</v>
      </c>
      <c r="D86" s="10" t="s">
        <v>346</v>
      </c>
      <c r="E86" s="11">
        <v>45920</v>
      </c>
      <c r="F86" s="17">
        <v>45892</v>
      </c>
      <c r="G86" s="14">
        <f t="shared" ca="1" si="23"/>
        <v>207</v>
      </c>
      <c r="H86" s="17">
        <v>699</v>
      </c>
      <c r="I86" s="17">
        <v>338</v>
      </c>
      <c r="J86" s="75">
        <f t="shared" si="24"/>
        <v>830</v>
      </c>
      <c r="K86" s="17">
        <v>1050</v>
      </c>
      <c r="L86" s="85">
        <v>220</v>
      </c>
      <c r="M86" s="86">
        <f t="shared" ca="1" si="25"/>
        <v>1.0628019323671498</v>
      </c>
      <c r="N86" s="86">
        <f t="shared" si="26"/>
        <v>0.56143292682926838</v>
      </c>
      <c r="O86" s="86">
        <f t="shared" si="27"/>
        <v>0.67073170731707321</v>
      </c>
      <c r="P86" s="87">
        <f t="shared" si="28"/>
        <v>55</v>
      </c>
      <c r="Q86" s="104">
        <f t="shared" si="29"/>
        <v>15.090909090909092</v>
      </c>
      <c r="R86" s="88">
        <f t="shared" si="30"/>
        <v>51.645207439198856</v>
      </c>
      <c r="S86" s="88">
        <f t="shared" si="31"/>
        <v>20.952380952380953</v>
      </c>
      <c r="T86" s="13">
        <f t="shared" si="32"/>
        <v>3</v>
      </c>
      <c r="U86" s="13">
        <f t="shared" si="33"/>
        <v>1</v>
      </c>
      <c r="V86" s="13">
        <f t="shared" si="34"/>
        <v>2</v>
      </c>
      <c r="W86" s="13">
        <f t="shared" ca="1" si="35"/>
        <v>3</v>
      </c>
      <c r="X86" s="13">
        <f t="shared" ca="1" si="36"/>
        <v>9</v>
      </c>
      <c r="Y86" s="81" t="str">
        <f t="shared" ca="1" si="37"/>
        <v>RE-BUY</v>
      </c>
      <c r="Z86" s="13">
        <v>14</v>
      </c>
      <c r="AA86" s="75">
        <v>46059</v>
      </c>
      <c r="AB86" s="75">
        <f t="shared" si="38"/>
        <v>45920</v>
      </c>
      <c r="AC86" s="88">
        <f t="shared" si="39"/>
        <v>19.857142857142858</v>
      </c>
      <c r="AD86" s="89" t="str">
        <f t="shared" ca="1" si="40"/>
        <v>STABLE</v>
      </c>
      <c r="AE86" s="89" t="str">
        <f t="shared" si="22"/>
        <v>FAST SELLING</v>
      </c>
      <c r="AF86" s="89" t="str">
        <f t="shared" si="41"/>
        <v>AT RISK</v>
      </c>
      <c r="AG86" s="89" t="str">
        <f t="shared" si="42"/>
        <v>FEASIBLE</v>
      </c>
      <c r="AH86" s="81" t="str">
        <f t="shared" ca="1" si="43"/>
        <v>IMMEDIATE REBUY</v>
      </c>
      <c r="AI86" s="75"/>
      <c r="AJ86" s="75"/>
      <c r="AK86" s="13"/>
      <c r="AL86" s="79"/>
      <c r="AM86" s="79"/>
      <c r="AN86" s="79"/>
      <c r="AO86" s="79"/>
      <c r="AP86" s="79"/>
      <c r="AQ86" s="75"/>
      <c r="AR86" s="75"/>
      <c r="AS86" s="75"/>
      <c r="AT86" s="75"/>
      <c r="AU86" s="75"/>
      <c r="AV86" s="13"/>
      <c r="AW86" s="13"/>
      <c r="AX86" s="13"/>
      <c r="AY86" s="13"/>
      <c r="AZ86" s="13"/>
      <c r="BA86" s="105"/>
      <c r="BB86" s="13"/>
      <c r="BC86" s="13"/>
      <c r="BD86" s="13"/>
      <c r="BE86" s="13"/>
      <c r="BF86" s="88"/>
      <c r="BG86" s="88"/>
      <c r="BH86" s="88"/>
      <c r="BI86" s="88"/>
      <c r="BJ86" s="88"/>
      <c r="BK86" s="105"/>
      <c r="BL86" s="105"/>
      <c r="BM86" s="105"/>
      <c r="BN86" s="105"/>
      <c r="BO86" s="105"/>
      <c r="BP86" s="105"/>
      <c r="BQ86" s="79"/>
      <c r="BR86" s="79"/>
      <c r="BS86" s="79"/>
      <c r="BT86" s="79"/>
      <c r="BU86" s="79"/>
      <c r="BV86" s="90"/>
      <c r="BW86" s="106"/>
      <c r="BX86" s="106"/>
      <c r="BY86" s="106"/>
      <c r="BZ86" s="106"/>
      <c r="CA86" s="106"/>
    </row>
    <row r="87" spans="1:79" x14ac:dyDescent="0.35">
      <c r="A87" s="25" t="s">
        <v>101</v>
      </c>
      <c r="B87" s="15" t="s">
        <v>323</v>
      </c>
      <c r="C87" s="10" t="s">
        <v>343</v>
      </c>
      <c r="D87" s="10" t="s">
        <v>346</v>
      </c>
      <c r="E87" s="11">
        <v>45920</v>
      </c>
      <c r="F87" s="17">
        <v>45892</v>
      </c>
      <c r="G87" s="14">
        <f t="shared" ca="1" si="23"/>
        <v>207</v>
      </c>
      <c r="H87" s="17">
        <v>699</v>
      </c>
      <c r="I87" s="17">
        <v>338</v>
      </c>
      <c r="J87" s="75">
        <f t="shared" si="24"/>
        <v>834</v>
      </c>
      <c r="K87" s="17">
        <v>1050</v>
      </c>
      <c r="L87" s="85">
        <v>216</v>
      </c>
      <c r="M87" s="86">
        <f t="shared" ca="1" si="25"/>
        <v>1.0434782608695652</v>
      </c>
      <c r="N87" s="86">
        <f t="shared" si="26"/>
        <v>0.56143292682926838</v>
      </c>
      <c r="O87" s="86">
        <f t="shared" si="27"/>
        <v>0.65853658536585369</v>
      </c>
      <c r="P87" s="87">
        <f t="shared" si="28"/>
        <v>54</v>
      </c>
      <c r="Q87" s="104">
        <f t="shared" si="29"/>
        <v>15.444444444444445</v>
      </c>
      <c r="R87" s="88">
        <f t="shared" si="30"/>
        <v>51.645207439198856</v>
      </c>
      <c r="S87" s="88">
        <f t="shared" si="31"/>
        <v>20.571428571428569</v>
      </c>
      <c r="T87" s="13">
        <f t="shared" si="32"/>
        <v>3</v>
      </c>
      <c r="U87" s="13">
        <f t="shared" si="33"/>
        <v>1</v>
      </c>
      <c r="V87" s="13">
        <f t="shared" si="34"/>
        <v>2</v>
      </c>
      <c r="W87" s="13">
        <f t="shared" ca="1" si="35"/>
        <v>3</v>
      </c>
      <c r="X87" s="13">
        <f t="shared" ca="1" si="36"/>
        <v>9</v>
      </c>
      <c r="Y87" s="81" t="str">
        <f t="shared" ca="1" si="37"/>
        <v>RE-BUY</v>
      </c>
      <c r="Z87" s="13">
        <v>14</v>
      </c>
      <c r="AA87" s="75">
        <v>46059</v>
      </c>
      <c r="AB87" s="75">
        <f t="shared" si="38"/>
        <v>45920</v>
      </c>
      <c r="AC87" s="88">
        <f t="shared" si="39"/>
        <v>19.857142857142858</v>
      </c>
      <c r="AD87" s="89" t="str">
        <f t="shared" ca="1" si="40"/>
        <v>STABLE</v>
      </c>
      <c r="AE87" s="89" t="str">
        <f t="shared" si="22"/>
        <v>FAST SELLING</v>
      </c>
      <c r="AF87" s="89" t="str">
        <f t="shared" si="41"/>
        <v>AT RISK</v>
      </c>
      <c r="AG87" s="89" t="str">
        <f t="shared" si="42"/>
        <v>FEASIBLE</v>
      </c>
      <c r="AH87" s="81" t="str">
        <f t="shared" ca="1" si="43"/>
        <v>IMMEDIATE REBUY</v>
      </c>
      <c r="AI87" s="75"/>
      <c r="AJ87" s="75"/>
      <c r="AK87" s="13"/>
      <c r="AL87" s="79"/>
      <c r="AM87" s="79"/>
      <c r="AN87" s="79"/>
      <c r="AO87" s="79"/>
      <c r="AP87" s="79"/>
      <c r="AQ87" s="75"/>
      <c r="AR87" s="75"/>
      <c r="AS87" s="75"/>
      <c r="AT87" s="75"/>
      <c r="AU87" s="75"/>
      <c r="AV87" s="13"/>
      <c r="AW87" s="13"/>
      <c r="AX87" s="13"/>
      <c r="AY87" s="13"/>
      <c r="AZ87" s="13"/>
      <c r="BA87" s="105"/>
      <c r="BB87" s="13"/>
      <c r="BC87" s="13"/>
      <c r="BD87" s="13"/>
      <c r="BE87" s="13"/>
      <c r="BF87" s="88"/>
      <c r="BG87" s="88"/>
      <c r="BH87" s="88"/>
      <c r="BI87" s="88"/>
      <c r="BJ87" s="88"/>
      <c r="BK87" s="105"/>
      <c r="BL87" s="105"/>
      <c r="BM87" s="105"/>
      <c r="BN87" s="105"/>
      <c r="BO87" s="105"/>
      <c r="BP87" s="105"/>
      <c r="BQ87" s="79"/>
      <c r="BR87" s="79"/>
      <c r="BS87" s="79"/>
      <c r="BT87" s="79"/>
      <c r="BU87" s="79"/>
      <c r="BV87" s="90"/>
      <c r="BW87" s="106"/>
      <c r="BX87" s="106"/>
      <c r="BY87" s="106"/>
      <c r="BZ87" s="106"/>
      <c r="CA87" s="106"/>
    </row>
    <row r="88" spans="1:79" x14ac:dyDescent="0.35">
      <c r="A88" s="25" t="s">
        <v>102</v>
      </c>
      <c r="B88" s="15" t="s">
        <v>323</v>
      </c>
      <c r="C88" s="10" t="s">
        <v>343</v>
      </c>
      <c r="D88" s="10" t="s">
        <v>346</v>
      </c>
      <c r="E88" s="11">
        <v>45920</v>
      </c>
      <c r="F88" s="17">
        <v>45892</v>
      </c>
      <c r="G88" s="14">
        <f t="shared" ca="1" si="23"/>
        <v>207</v>
      </c>
      <c r="H88" s="17">
        <v>699</v>
      </c>
      <c r="I88" s="17">
        <v>338</v>
      </c>
      <c r="J88" s="75">
        <f t="shared" si="24"/>
        <v>598</v>
      </c>
      <c r="K88" s="17">
        <v>1050</v>
      </c>
      <c r="L88" s="85">
        <v>452</v>
      </c>
      <c r="M88" s="86">
        <f t="shared" ca="1" si="25"/>
        <v>2.1835748792270531</v>
      </c>
      <c r="N88" s="86">
        <f t="shared" si="26"/>
        <v>0.56143292682926838</v>
      </c>
      <c r="O88" s="86">
        <f t="shared" si="27"/>
        <v>1.3780487804878048</v>
      </c>
      <c r="P88" s="87">
        <f t="shared" si="28"/>
        <v>112.99999999999999</v>
      </c>
      <c r="Q88" s="104">
        <f t="shared" si="29"/>
        <v>5.2920353982300892</v>
      </c>
      <c r="R88" s="88">
        <f t="shared" si="30"/>
        <v>51.645207439198856</v>
      </c>
      <c r="S88" s="88">
        <f t="shared" si="31"/>
        <v>43.047619047619044</v>
      </c>
      <c r="T88" s="13">
        <f t="shared" si="32"/>
        <v>3</v>
      </c>
      <c r="U88" s="13">
        <f t="shared" si="33"/>
        <v>2</v>
      </c>
      <c r="V88" s="13">
        <f t="shared" si="34"/>
        <v>2</v>
      </c>
      <c r="W88" s="13">
        <f t="shared" ca="1" si="35"/>
        <v>3</v>
      </c>
      <c r="X88" s="13">
        <f t="shared" ca="1" si="36"/>
        <v>10</v>
      </c>
      <c r="Y88" s="81" t="str">
        <f t="shared" ca="1" si="37"/>
        <v>RE-BUY</v>
      </c>
      <c r="Z88" s="13">
        <v>14</v>
      </c>
      <c r="AA88" s="75">
        <v>46059</v>
      </c>
      <c r="AB88" s="75">
        <f t="shared" si="38"/>
        <v>45920</v>
      </c>
      <c r="AC88" s="88">
        <f t="shared" si="39"/>
        <v>19.857142857142858</v>
      </c>
      <c r="AD88" s="89" t="str">
        <f t="shared" ca="1" si="40"/>
        <v>STABLE</v>
      </c>
      <c r="AE88" s="89" t="str">
        <f t="shared" ref="AE88:AE151" si="44">IF(O88&gt;=N88,"FAST SELLING","SLOW SELLING")</f>
        <v>FAST SELLING</v>
      </c>
      <c r="AF88" s="89" t="str">
        <f t="shared" si="41"/>
        <v>AT RISK</v>
      </c>
      <c r="AG88" s="89" t="str">
        <f t="shared" si="42"/>
        <v>FEASIBLE</v>
      </c>
      <c r="AH88" s="81" t="str">
        <f t="shared" ca="1" si="43"/>
        <v>IMMEDIATE REBUY</v>
      </c>
      <c r="AI88" s="75"/>
      <c r="AJ88" s="75"/>
      <c r="AK88" s="13"/>
      <c r="AL88" s="79"/>
      <c r="AM88" s="79"/>
      <c r="AN88" s="79"/>
      <c r="AO88" s="79"/>
      <c r="AP88" s="79"/>
      <c r="AQ88" s="75"/>
      <c r="AR88" s="75"/>
      <c r="AS88" s="75"/>
      <c r="AT88" s="75"/>
      <c r="AU88" s="75"/>
      <c r="AV88" s="13"/>
      <c r="AW88" s="13"/>
      <c r="AX88" s="13"/>
      <c r="AY88" s="13"/>
      <c r="AZ88" s="13"/>
      <c r="BA88" s="105"/>
      <c r="BB88" s="13"/>
      <c r="BC88" s="13"/>
      <c r="BD88" s="13"/>
      <c r="BE88" s="13"/>
      <c r="BF88" s="88"/>
      <c r="BG88" s="88"/>
      <c r="BH88" s="88"/>
      <c r="BI88" s="88"/>
      <c r="BJ88" s="88"/>
      <c r="BK88" s="105"/>
      <c r="BL88" s="105"/>
      <c r="BM88" s="105"/>
      <c r="BN88" s="105"/>
      <c r="BO88" s="105"/>
      <c r="BP88" s="105"/>
      <c r="BQ88" s="79"/>
      <c r="BR88" s="79"/>
      <c r="BS88" s="79"/>
      <c r="BT88" s="79"/>
      <c r="BU88" s="79"/>
      <c r="BV88" s="90"/>
      <c r="BW88" s="106"/>
      <c r="BX88" s="106"/>
      <c r="BY88" s="106"/>
      <c r="BZ88" s="106"/>
      <c r="CA88" s="106"/>
    </row>
    <row r="89" spans="1:79" x14ac:dyDescent="0.35">
      <c r="A89" s="25" t="s">
        <v>103</v>
      </c>
      <c r="B89" s="10" t="s">
        <v>324</v>
      </c>
      <c r="C89" s="10" t="s">
        <v>344</v>
      </c>
      <c r="D89" s="10" t="s">
        <v>346</v>
      </c>
      <c r="E89" s="11">
        <v>45878</v>
      </c>
      <c r="F89" s="17">
        <v>45892</v>
      </c>
      <c r="G89" s="14">
        <f t="shared" ca="1" si="23"/>
        <v>207</v>
      </c>
      <c r="H89" s="17">
        <v>599</v>
      </c>
      <c r="I89" s="17">
        <v>340</v>
      </c>
      <c r="J89" s="75">
        <f t="shared" si="24"/>
        <v>991</v>
      </c>
      <c r="K89" s="17">
        <v>1050</v>
      </c>
      <c r="L89" s="85">
        <v>59</v>
      </c>
      <c r="M89" s="86">
        <f t="shared" ca="1" si="25"/>
        <v>0.28502415458937197</v>
      </c>
      <c r="N89" s="86">
        <f t="shared" si="26"/>
        <v>0.33193597560975613</v>
      </c>
      <c r="O89" s="86">
        <f t="shared" si="27"/>
        <v>0.1798780487804878</v>
      </c>
      <c r="P89" s="87">
        <f t="shared" si="28"/>
        <v>14.75</v>
      </c>
      <c r="Q89" s="104">
        <f t="shared" si="29"/>
        <v>67.186440677966104</v>
      </c>
      <c r="R89" s="88">
        <f t="shared" si="30"/>
        <v>43.238731218697829</v>
      </c>
      <c r="S89" s="88">
        <f t="shared" si="31"/>
        <v>5.6190476190476195</v>
      </c>
      <c r="T89" s="13">
        <f t="shared" si="32"/>
        <v>1</v>
      </c>
      <c r="U89" s="13">
        <f t="shared" si="33"/>
        <v>1</v>
      </c>
      <c r="V89" s="13">
        <f t="shared" si="34"/>
        <v>1</v>
      </c>
      <c r="W89" s="13">
        <f t="shared" ca="1" si="35"/>
        <v>3</v>
      </c>
      <c r="X89" s="13">
        <f t="shared" ca="1" si="36"/>
        <v>6</v>
      </c>
      <c r="Y89" s="81" t="str">
        <f t="shared" ca="1" si="37"/>
        <v>MONITOR</v>
      </c>
      <c r="Z89" s="13">
        <v>14</v>
      </c>
      <c r="AA89" s="75">
        <v>46059</v>
      </c>
      <c r="AB89" s="75">
        <f t="shared" si="38"/>
        <v>45920</v>
      </c>
      <c r="AC89" s="88">
        <f t="shared" si="39"/>
        <v>19.857142857142858</v>
      </c>
      <c r="AD89" s="89" t="str">
        <f t="shared" ca="1" si="40"/>
        <v>STABLE</v>
      </c>
      <c r="AE89" s="89" t="str">
        <f t="shared" si="44"/>
        <v>SLOW SELLING</v>
      </c>
      <c r="AF89" s="89" t="str">
        <f t="shared" si="41"/>
        <v>AT RISK</v>
      </c>
      <c r="AG89" s="89" t="str">
        <f t="shared" si="42"/>
        <v>FEASIBLE</v>
      </c>
      <c r="AH89" s="81" t="str">
        <f t="shared" ca="1" si="43"/>
        <v>MONITOR</v>
      </c>
      <c r="AI89" s="75"/>
      <c r="AJ89" s="75"/>
      <c r="AK89" s="13"/>
      <c r="AL89" s="79"/>
      <c r="AM89" s="79"/>
      <c r="AN89" s="79"/>
      <c r="AO89" s="79"/>
      <c r="AP89" s="79"/>
      <c r="AQ89" s="75"/>
      <c r="AR89" s="75"/>
      <c r="AS89" s="75"/>
      <c r="AT89" s="75"/>
      <c r="AU89" s="75"/>
      <c r="AV89" s="13"/>
      <c r="AW89" s="13"/>
      <c r="AX89" s="13"/>
      <c r="AY89" s="13"/>
      <c r="AZ89" s="13"/>
      <c r="BA89" s="105"/>
      <c r="BB89" s="13"/>
      <c r="BC89" s="13"/>
      <c r="BD89" s="13"/>
      <c r="BE89" s="13"/>
      <c r="BF89" s="88"/>
      <c r="BG89" s="88"/>
      <c r="BH89" s="88"/>
      <c r="BI89" s="88"/>
      <c r="BJ89" s="88"/>
      <c r="BK89" s="105"/>
      <c r="BL89" s="105"/>
      <c r="BM89" s="105"/>
      <c r="BN89" s="105"/>
      <c r="BO89" s="105"/>
      <c r="BP89" s="105"/>
      <c r="BQ89" s="79"/>
      <c r="BR89" s="79"/>
      <c r="BS89" s="79"/>
      <c r="BT89" s="79"/>
      <c r="BU89" s="79"/>
      <c r="BV89" s="90"/>
      <c r="BW89" s="106"/>
      <c r="BX89" s="106"/>
      <c r="BY89" s="106"/>
      <c r="BZ89" s="106"/>
      <c r="CA89" s="106"/>
    </row>
    <row r="90" spans="1:79" x14ac:dyDescent="0.35">
      <c r="A90" s="25" t="s">
        <v>104</v>
      </c>
      <c r="B90" s="10" t="s">
        <v>324</v>
      </c>
      <c r="C90" s="10" t="s">
        <v>344</v>
      </c>
      <c r="D90" s="10" t="s">
        <v>346</v>
      </c>
      <c r="E90" s="11">
        <v>45878</v>
      </c>
      <c r="F90" s="17">
        <v>45892</v>
      </c>
      <c r="G90" s="14">
        <f t="shared" ca="1" si="23"/>
        <v>207</v>
      </c>
      <c r="H90" s="17">
        <v>599</v>
      </c>
      <c r="I90" s="17">
        <v>330</v>
      </c>
      <c r="J90" s="75">
        <f t="shared" si="24"/>
        <v>945</v>
      </c>
      <c r="K90" s="17">
        <v>1050</v>
      </c>
      <c r="L90" s="85">
        <v>105</v>
      </c>
      <c r="M90" s="86">
        <f t="shared" ca="1" si="25"/>
        <v>0.50724637681159424</v>
      </c>
      <c r="N90" s="86">
        <f t="shared" si="26"/>
        <v>0.33193597560975613</v>
      </c>
      <c r="O90" s="86">
        <f t="shared" si="27"/>
        <v>0.3201219512195122</v>
      </c>
      <c r="P90" s="87">
        <f t="shared" si="28"/>
        <v>26.25</v>
      </c>
      <c r="Q90" s="104">
        <f t="shared" si="29"/>
        <v>36</v>
      </c>
      <c r="R90" s="88">
        <f t="shared" si="30"/>
        <v>44.908180300500831</v>
      </c>
      <c r="S90" s="88">
        <f t="shared" si="31"/>
        <v>10</v>
      </c>
      <c r="T90" s="13">
        <f t="shared" si="32"/>
        <v>2</v>
      </c>
      <c r="U90" s="13">
        <f t="shared" si="33"/>
        <v>1</v>
      </c>
      <c r="V90" s="13">
        <f t="shared" si="34"/>
        <v>1</v>
      </c>
      <c r="W90" s="13">
        <f t="shared" ca="1" si="35"/>
        <v>3</v>
      </c>
      <c r="X90" s="13">
        <f t="shared" ca="1" si="36"/>
        <v>7</v>
      </c>
      <c r="Y90" s="81" t="str">
        <f t="shared" ca="1" si="37"/>
        <v>MONITOR</v>
      </c>
      <c r="Z90" s="13">
        <v>14</v>
      </c>
      <c r="AA90" s="75">
        <v>46059</v>
      </c>
      <c r="AB90" s="75">
        <f t="shared" si="38"/>
        <v>45920</v>
      </c>
      <c r="AC90" s="88">
        <f t="shared" si="39"/>
        <v>19.857142857142858</v>
      </c>
      <c r="AD90" s="89" t="str">
        <f t="shared" ca="1" si="40"/>
        <v>STABLE</v>
      </c>
      <c r="AE90" s="89" t="str">
        <f t="shared" si="44"/>
        <v>SLOW SELLING</v>
      </c>
      <c r="AF90" s="89" t="str">
        <f t="shared" si="41"/>
        <v>AT RISK</v>
      </c>
      <c r="AG90" s="89" t="str">
        <f t="shared" si="42"/>
        <v>FEASIBLE</v>
      </c>
      <c r="AH90" s="81" t="str">
        <f t="shared" ca="1" si="43"/>
        <v>MONITOR</v>
      </c>
      <c r="AI90" s="75"/>
      <c r="AJ90" s="75"/>
      <c r="AK90" s="13"/>
      <c r="AL90" s="79"/>
      <c r="AM90" s="79"/>
      <c r="AN90" s="79"/>
      <c r="AO90" s="79"/>
      <c r="AP90" s="79"/>
      <c r="AQ90" s="75"/>
      <c r="AR90" s="75"/>
      <c r="AS90" s="75"/>
      <c r="AT90" s="75"/>
      <c r="AU90" s="75"/>
      <c r="AV90" s="13"/>
      <c r="AW90" s="13"/>
      <c r="AX90" s="13"/>
      <c r="AY90" s="13"/>
      <c r="AZ90" s="13"/>
      <c r="BA90" s="105"/>
      <c r="BB90" s="13"/>
      <c r="BC90" s="13"/>
      <c r="BD90" s="13"/>
      <c r="BE90" s="13"/>
      <c r="BF90" s="88"/>
      <c r="BG90" s="88"/>
      <c r="BH90" s="88"/>
      <c r="BI90" s="88"/>
      <c r="BJ90" s="88"/>
      <c r="BK90" s="105"/>
      <c r="BL90" s="105"/>
      <c r="BM90" s="105"/>
      <c r="BN90" s="105"/>
      <c r="BO90" s="105"/>
      <c r="BP90" s="105"/>
      <c r="BQ90" s="79"/>
      <c r="BR90" s="79"/>
      <c r="BS90" s="79"/>
      <c r="BT90" s="79"/>
      <c r="BU90" s="79"/>
      <c r="BV90" s="90"/>
      <c r="BW90" s="106"/>
      <c r="BX90" s="106"/>
      <c r="BY90" s="106"/>
      <c r="BZ90" s="106"/>
      <c r="CA90" s="106"/>
    </row>
    <row r="91" spans="1:79" x14ac:dyDescent="0.35">
      <c r="A91" s="25" t="s">
        <v>105</v>
      </c>
      <c r="B91" s="10" t="s">
        <v>325</v>
      </c>
      <c r="C91" s="10" t="s">
        <v>344</v>
      </c>
      <c r="D91" s="10" t="s">
        <v>346</v>
      </c>
      <c r="E91" s="11">
        <v>45878</v>
      </c>
      <c r="F91" s="17">
        <v>45892</v>
      </c>
      <c r="G91" s="14">
        <f t="shared" ca="1" si="23"/>
        <v>207</v>
      </c>
      <c r="H91" s="17">
        <v>599</v>
      </c>
      <c r="I91" s="17">
        <v>295</v>
      </c>
      <c r="J91" s="75">
        <f t="shared" si="24"/>
        <v>908</v>
      </c>
      <c r="K91" s="17">
        <v>1050</v>
      </c>
      <c r="L91" s="85">
        <v>142</v>
      </c>
      <c r="M91" s="86">
        <f t="shared" ca="1" si="25"/>
        <v>0.68599033816425126</v>
      </c>
      <c r="N91" s="86">
        <f t="shared" si="26"/>
        <v>0.33193597560975613</v>
      </c>
      <c r="O91" s="86">
        <f t="shared" si="27"/>
        <v>0.43292682926829268</v>
      </c>
      <c r="P91" s="87">
        <f t="shared" si="28"/>
        <v>35.5</v>
      </c>
      <c r="Q91" s="104">
        <f t="shared" si="29"/>
        <v>25.577464788732396</v>
      </c>
      <c r="R91" s="88">
        <f t="shared" si="30"/>
        <v>50.751252086811348</v>
      </c>
      <c r="S91" s="88">
        <f t="shared" si="31"/>
        <v>13.523809523809524</v>
      </c>
      <c r="T91" s="13">
        <f t="shared" si="32"/>
        <v>3</v>
      </c>
      <c r="U91" s="13">
        <f t="shared" si="33"/>
        <v>1</v>
      </c>
      <c r="V91" s="13">
        <f t="shared" si="34"/>
        <v>2</v>
      </c>
      <c r="W91" s="13">
        <f t="shared" ca="1" si="35"/>
        <v>3</v>
      </c>
      <c r="X91" s="13">
        <f t="shared" ca="1" si="36"/>
        <v>9</v>
      </c>
      <c r="Y91" s="81" t="str">
        <f t="shared" ca="1" si="37"/>
        <v>RE-BUY</v>
      </c>
      <c r="Z91" s="13">
        <v>14</v>
      </c>
      <c r="AA91" s="75">
        <v>46059</v>
      </c>
      <c r="AB91" s="75">
        <f t="shared" si="38"/>
        <v>45920</v>
      </c>
      <c r="AC91" s="88">
        <f t="shared" si="39"/>
        <v>19.857142857142858</v>
      </c>
      <c r="AD91" s="89" t="str">
        <f t="shared" ca="1" si="40"/>
        <v>STABLE</v>
      </c>
      <c r="AE91" s="89" t="str">
        <f t="shared" si="44"/>
        <v>FAST SELLING</v>
      </c>
      <c r="AF91" s="89" t="str">
        <f t="shared" si="41"/>
        <v>AT RISK</v>
      </c>
      <c r="AG91" s="89" t="str">
        <f t="shared" si="42"/>
        <v>FEASIBLE</v>
      </c>
      <c r="AH91" s="81" t="str">
        <f t="shared" ca="1" si="43"/>
        <v>IMMEDIATE REBUY</v>
      </c>
      <c r="AI91" s="75"/>
      <c r="AJ91" s="75"/>
      <c r="AK91" s="13"/>
      <c r="AL91" s="79"/>
      <c r="AM91" s="79"/>
      <c r="AN91" s="79"/>
      <c r="AO91" s="79"/>
      <c r="AP91" s="79"/>
      <c r="AQ91" s="75"/>
      <c r="AR91" s="75"/>
      <c r="AS91" s="75"/>
      <c r="AT91" s="75"/>
      <c r="AU91" s="75"/>
      <c r="AV91" s="13"/>
      <c r="AW91" s="13"/>
      <c r="AX91" s="13"/>
      <c r="AY91" s="13"/>
      <c r="AZ91" s="13"/>
      <c r="BA91" s="105"/>
      <c r="BB91" s="13"/>
      <c r="BC91" s="13"/>
      <c r="BD91" s="13"/>
      <c r="BE91" s="13"/>
      <c r="BF91" s="88"/>
      <c r="BG91" s="88"/>
      <c r="BH91" s="88"/>
      <c r="BI91" s="88"/>
      <c r="BJ91" s="88"/>
      <c r="BK91" s="105"/>
      <c r="BL91" s="105"/>
      <c r="BM91" s="105"/>
      <c r="BN91" s="105"/>
      <c r="BO91" s="105"/>
      <c r="BP91" s="105"/>
      <c r="BQ91" s="79"/>
      <c r="BR91" s="79"/>
      <c r="BS91" s="79"/>
      <c r="BT91" s="79"/>
      <c r="BU91" s="79"/>
      <c r="BV91" s="90"/>
      <c r="BW91" s="106"/>
      <c r="BX91" s="106"/>
      <c r="BY91" s="106"/>
      <c r="BZ91" s="106"/>
      <c r="CA91" s="106"/>
    </row>
    <row r="92" spans="1:79" x14ac:dyDescent="0.35">
      <c r="A92" s="25" t="s">
        <v>106</v>
      </c>
      <c r="B92" s="10" t="s">
        <v>325</v>
      </c>
      <c r="C92" s="10" t="s">
        <v>344</v>
      </c>
      <c r="D92" s="10" t="s">
        <v>346</v>
      </c>
      <c r="E92" s="11">
        <v>45878</v>
      </c>
      <c r="F92" s="17">
        <v>45892</v>
      </c>
      <c r="G92" s="14">
        <f t="shared" ca="1" si="23"/>
        <v>207</v>
      </c>
      <c r="H92" s="17">
        <v>599</v>
      </c>
      <c r="I92" s="17">
        <v>295</v>
      </c>
      <c r="J92" s="75">
        <f t="shared" si="24"/>
        <v>929</v>
      </c>
      <c r="K92" s="17">
        <v>1050</v>
      </c>
      <c r="L92" s="85">
        <v>121</v>
      </c>
      <c r="M92" s="86">
        <f t="shared" ca="1" si="25"/>
        <v>0.58454106280193241</v>
      </c>
      <c r="N92" s="86">
        <f t="shared" si="26"/>
        <v>0.33193597560975613</v>
      </c>
      <c r="O92" s="86">
        <f t="shared" si="27"/>
        <v>0.36890243902439024</v>
      </c>
      <c r="P92" s="87">
        <f t="shared" si="28"/>
        <v>30.25</v>
      </c>
      <c r="Q92" s="104">
        <f t="shared" si="29"/>
        <v>30.710743801652892</v>
      </c>
      <c r="R92" s="88">
        <f t="shared" si="30"/>
        <v>50.751252086811348</v>
      </c>
      <c r="S92" s="88">
        <f t="shared" si="31"/>
        <v>11.523809523809524</v>
      </c>
      <c r="T92" s="13">
        <f t="shared" si="32"/>
        <v>3</v>
      </c>
      <c r="U92" s="13">
        <f t="shared" si="33"/>
        <v>1</v>
      </c>
      <c r="V92" s="13">
        <f t="shared" si="34"/>
        <v>2</v>
      </c>
      <c r="W92" s="13">
        <f t="shared" ca="1" si="35"/>
        <v>3</v>
      </c>
      <c r="X92" s="13">
        <f t="shared" ca="1" si="36"/>
        <v>9</v>
      </c>
      <c r="Y92" s="81" t="str">
        <f t="shared" ca="1" si="37"/>
        <v>RE-BUY</v>
      </c>
      <c r="Z92" s="13">
        <v>14</v>
      </c>
      <c r="AA92" s="75">
        <v>46059</v>
      </c>
      <c r="AB92" s="75">
        <f t="shared" si="38"/>
        <v>45920</v>
      </c>
      <c r="AC92" s="88">
        <f t="shared" si="39"/>
        <v>19.857142857142858</v>
      </c>
      <c r="AD92" s="89" t="str">
        <f t="shared" ca="1" si="40"/>
        <v>STABLE</v>
      </c>
      <c r="AE92" s="89" t="str">
        <f t="shared" si="44"/>
        <v>FAST SELLING</v>
      </c>
      <c r="AF92" s="89" t="str">
        <f t="shared" si="41"/>
        <v>AT RISK</v>
      </c>
      <c r="AG92" s="89" t="str">
        <f t="shared" si="42"/>
        <v>FEASIBLE</v>
      </c>
      <c r="AH92" s="81" t="str">
        <f t="shared" ca="1" si="43"/>
        <v>IMMEDIATE REBUY</v>
      </c>
      <c r="AI92" s="75"/>
      <c r="AJ92" s="75"/>
      <c r="AK92" s="13"/>
      <c r="AL92" s="79"/>
      <c r="AM92" s="79"/>
      <c r="AN92" s="79"/>
      <c r="AO92" s="79"/>
      <c r="AP92" s="79"/>
      <c r="AQ92" s="75"/>
      <c r="AR92" s="75"/>
      <c r="AS92" s="75"/>
      <c r="AT92" s="75"/>
      <c r="AU92" s="75"/>
      <c r="AV92" s="13"/>
      <c r="AW92" s="13"/>
      <c r="AX92" s="13"/>
      <c r="AY92" s="13"/>
      <c r="AZ92" s="13"/>
      <c r="BA92" s="105"/>
      <c r="BB92" s="13"/>
      <c r="BC92" s="13"/>
      <c r="BD92" s="13"/>
      <c r="BE92" s="13"/>
      <c r="BF92" s="88"/>
      <c r="BG92" s="88"/>
      <c r="BH92" s="88"/>
      <c r="BI92" s="88"/>
      <c r="BJ92" s="88"/>
      <c r="BK92" s="105"/>
      <c r="BL92" s="105"/>
      <c r="BM92" s="105"/>
      <c r="BN92" s="105"/>
      <c r="BO92" s="105"/>
      <c r="BP92" s="105"/>
      <c r="BQ92" s="79"/>
      <c r="BR92" s="79"/>
      <c r="BS92" s="79"/>
      <c r="BT92" s="79"/>
      <c r="BU92" s="79"/>
      <c r="BV92" s="90"/>
      <c r="BW92" s="106"/>
      <c r="BX92" s="106"/>
      <c r="BY92" s="106"/>
      <c r="BZ92" s="106"/>
      <c r="CA92" s="106"/>
    </row>
    <row r="93" spans="1:79" x14ac:dyDescent="0.35">
      <c r="A93" s="25" t="s">
        <v>107</v>
      </c>
      <c r="B93" s="10" t="s">
        <v>325</v>
      </c>
      <c r="C93" s="10" t="s">
        <v>344</v>
      </c>
      <c r="D93" s="10" t="s">
        <v>346</v>
      </c>
      <c r="E93" s="11">
        <v>45878</v>
      </c>
      <c r="F93" s="17">
        <v>45892</v>
      </c>
      <c r="G93" s="14">
        <f t="shared" ca="1" si="23"/>
        <v>207</v>
      </c>
      <c r="H93" s="17">
        <v>599</v>
      </c>
      <c r="I93" s="17">
        <v>295</v>
      </c>
      <c r="J93" s="75">
        <f t="shared" si="24"/>
        <v>647</v>
      </c>
      <c r="K93" s="17">
        <v>700</v>
      </c>
      <c r="L93" s="85">
        <v>53</v>
      </c>
      <c r="M93" s="86">
        <f t="shared" ca="1" si="25"/>
        <v>0.2560386473429952</v>
      </c>
      <c r="N93" s="86">
        <f t="shared" si="26"/>
        <v>0.33193597560975613</v>
      </c>
      <c r="O93" s="86">
        <f t="shared" si="27"/>
        <v>0.16158536585365854</v>
      </c>
      <c r="P93" s="87">
        <f t="shared" si="28"/>
        <v>13.25</v>
      </c>
      <c r="Q93" s="104">
        <f t="shared" si="29"/>
        <v>48.830188679245282</v>
      </c>
      <c r="R93" s="88">
        <f t="shared" si="30"/>
        <v>50.751252086811348</v>
      </c>
      <c r="S93" s="88">
        <f t="shared" si="31"/>
        <v>7.5714285714285721</v>
      </c>
      <c r="T93" s="13">
        <f t="shared" si="32"/>
        <v>1</v>
      </c>
      <c r="U93" s="13">
        <f t="shared" si="33"/>
        <v>1</v>
      </c>
      <c r="V93" s="13">
        <f t="shared" si="34"/>
        <v>2</v>
      </c>
      <c r="W93" s="13">
        <f t="shared" ca="1" si="35"/>
        <v>3</v>
      </c>
      <c r="X93" s="13">
        <f t="shared" ca="1" si="36"/>
        <v>7</v>
      </c>
      <c r="Y93" s="81" t="str">
        <f t="shared" ca="1" si="37"/>
        <v>MONITOR</v>
      </c>
      <c r="Z93" s="13">
        <v>14</v>
      </c>
      <c r="AA93" s="75">
        <v>46059</v>
      </c>
      <c r="AB93" s="75">
        <f t="shared" si="38"/>
        <v>45920</v>
      </c>
      <c r="AC93" s="88">
        <f t="shared" si="39"/>
        <v>19.857142857142858</v>
      </c>
      <c r="AD93" s="89" t="str">
        <f t="shared" ca="1" si="40"/>
        <v>STABLE</v>
      </c>
      <c r="AE93" s="89" t="str">
        <f t="shared" si="44"/>
        <v>SLOW SELLING</v>
      </c>
      <c r="AF93" s="89" t="str">
        <f t="shared" si="41"/>
        <v>AT RISK</v>
      </c>
      <c r="AG93" s="89" t="str">
        <f t="shared" si="42"/>
        <v>FEASIBLE</v>
      </c>
      <c r="AH93" s="81" t="str">
        <f t="shared" ca="1" si="43"/>
        <v>MONITOR</v>
      </c>
      <c r="AI93" s="75"/>
      <c r="AJ93" s="75"/>
      <c r="AK93" s="13"/>
      <c r="AL93" s="79"/>
      <c r="AM93" s="79"/>
      <c r="AN93" s="79"/>
      <c r="AO93" s="79"/>
      <c r="AP93" s="79"/>
      <c r="AQ93" s="75"/>
      <c r="AR93" s="75"/>
      <c r="AS93" s="75"/>
      <c r="AT93" s="75"/>
      <c r="AU93" s="75"/>
      <c r="AV93" s="13"/>
      <c r="AW93" s="13"/>
      <c r="AX93" s="13"/>
      <c r="AY93" s="13"/>
      <c r="AZ93" s="13"/>
      <c r="BA93" s="105"/>
      <c r="BB93" s="13"/>
      <c r="BC93" s="13"/>
      <c r="BD93" s="13"/>
      <c r="BE93" s="13"/>
      <c r="BF93" s="88"/>
      <c r="BG93" s="88"/>
      <c r="BH93" s="88"/>
      <c r="BI93" s="88"/>
      <c r="BJ93" s="88"/>
      <c r="BK93" s="105"/>
      <c r="BL93" s="105"/>
      <c r="BM93" s="105"/>
      <c r="BN93" s="105"/>
      <c r="BO93" s="105"/>
      <c r="BP93" s="105"/>
      <c r="BQ93" s="79"/>
      <c r="BR93" s="79"/>
      <c r="BS93" s="79"/>
      <c r="BT93" s="79"/>
      <c r="BU93" s="79"/>
      <c r="BV93" s="90"/>
      <c r="BW93" s="106"/>
      <c r="BX93" s="106"/>
      <c r="BY93" s="106"/>
      <c r="BZ93" s="106"/>
      <c r="CA93" s="106"/>
    </row>
    <row r="94" spans="1:79" x14ac:dyDescent="0.35">
      <c r="A94" s="25" t="s">
        <v>108</v>
      </c>
      <c r="B94" s="10" t="s">
        <v>324</v>
      </c>
      <c r="C94" s="10" t="s">
        <v>344</v>
      </c>
      <c r="D94" s="10" t="s">
        <v>346</v>
      </c>
      <c r="E94" s="11">
        <v>45878</v>
      </c>
      <c r="F94" s="17">
        <v>45892</v>
      </c>
      <c r="G94" s="14">
        <f t="shared" ca="1" si="23"/>
        <v>207</v>
      </c>
      <c r="H94" s="17">
        <v>599</v>
      </c>
      <c r="I94" s="17">
        <v>340</v>
      </c>
      <c r="J94" s="75">
        <f t="shared" si="24"/>
        <v>629</v>
      </c>
      <c r="K94" s="17">
        <v>700</v>
      </c>
      <c r="L94" s="85">
        <v>71</v>
      </c>
      <c r="M94" s="86">
        <f t="shared" ca="1" si="25"/>
        <v>0.34299516908212563</v>
      </c>
      <c r="N94" s="86">
        <f t="shared" si="26"/>
        <v>0.33193597560975613</v>
      </c>
      <c r="O94" s="86">
        <f t="shared" si="27"/>
        <v>0.21646341463414634</v>
      </c>
      <c r="P94" s="87">
        <f t="shared" si="28"/>
        <v>17.75</v>
      </c>
      <c r="Q94" s="104">
        <f t="shared" si="29"/>
        <v>35.436619718309856</v>
      </c>
      <c r="R94" s="88">
        <f t="shared" si="30"/>
        <v>43.238731218697829</v>
      </c>
      <c r="S94" s="88">
        <f t="shared" si="31"/>
        <v>10.142857142857142</v>
      </c>
      <c r="T94" s="13">
        <f t="shared" si="32"/>
        <v>1</v>
      </c>
      <c r="U94" s="13">
        <f t="shared" si="33"/>
        <v>1</v>
      </c>
      <c r="V94" s="13">
        <f t="shared" si="34"/>
        <v>1</v>
      </c>
      <c r="W94" s="13">
        <f t="shared" ca="1" si="35"/>
        <v>3</v>
      </c>
      <c r="X94" s="13">
        <f t="shared" ca="1" si="36"/>
        <v>6</v>
      </c>
      <c r="Y94" s="81" t="str">
        <f t="shared" ca="1" si="37"/>
        <v>MONITOR</v>
      </c>
      <c r="Z94" s="13">
        <v>14</v>
      </c>
      <c r="AA94" s="75">
        <v>46059</v>
      </c>
      <c r="AB94" s="75">
        <f t="shared" si="38"/>
        <v>45920</v>
      </c>
      <c r="AC94" s="88">
        <f t="shared" si="39"/>
        <v>19.857142857142858</v>
      </c>
      <c r="AD94" s="89" t="str">
        <f t="shared" ca="1" si="40"/>
        <v>STABLE</v>
      </c>
      <c r="AE94" s="89" t="str">
        <f t="shared" si="44"/>
        <v>SLOW SELLING</v>
      </c>
      <c r="AF94" s="89" t="str">
        <f t="shared" si="41"/>
        <v>AT RISK</v>
      </c>
      <c r="AG94" s="89" t="str">
        <f t="shared" si="42"/>
        <v>FEASIBLE</v>
      </c>
      <c r="AH94" s="81" t="str">
        <f t="shared" ca="1" si="43"/>
        <v>MONITOR</v>
      </c>
      <c r="AI94" s="75"/>
      <c r="AJ94" s="75"/>
      <c r="AK94" s="13"/>
      <c r="AL94" s="79"/>
      <c r="AM94" s="79"/>
      <c r="AN94" s="79"/>
      <c r="AO94" s="79"/>
      <c r="AP94" s="79"/>
      <c r="AQ94" s="75"/>
      <c r="AR94" s="75"/>
      <c r="AS94" s="75"/>
      <c r="AT94" s="75"/>
      <c r="AU94" s="75"/>
      <c r="AV94" s="13"/>
      <c r="AW94" s="13"/>
      <c r="AX94" s="13"/>
      <c r="AY94" s="13"/>
      <c r="AZ94" s="13"/>
      <c r="BA94" s="105"/>
      <c r="BB94" s="13"/>
      <c r="BC94" s="13"/>
      <c r="BD94" s="13"/>
      <c r="BE94" s="13"/>
      <c r="BF94" s="88"/>
      <c r="BG94" s="88"/>
      <c r="BH94" s="88"/>
      <c r="BI94" s="88"/>
      <c r="BJ94" s="88"/>
      <c r="BK94" s="105"/>
      <c r="BL94" s="105"/>
      <c r="BM94" s="105"/>
      <c r="BN94" s="105"/>
      <c r="BO94" s="105"/>
      <c r="BP94" s="105"/>
      <c r="BQ94" s="79"/>
      <c r="BR94" s="79"/>
      <c r="BS94" s="79"/>
      <c r="BT94" s="79"/>
      <c r="BU94" s="79"/>
      <c r="BV94" s="90"/>
      <c r="BW94" s="106"/>
      <c r="BX94" s="106"/>
      <c r="BY94" s="106"/>
      <c r="BZ94" s="106"/>
      <c r="CA94" s="106"/>
    </row>
    <row r="95" spans="1:79" x14ac:dyDescent="0.35">
      <c r="A95" s="25" t="s">
        <v>109</v>
      </c>
      <c r="B95" s="10" t="s">
        <v>324</v>
      </c>
      <c r="C95" s="10" t="s">
        <v>344</v>
      </c>
      <c r="D95" s="10" t="s">
        <v>346</v>
      </c>
      <c r="E95" s="11">
        <v>45878</v>
      </c>
      <c r="F95" s="17">
        <v>45892</v>
      </c>
      <c r="G95" s="14">
        <f t="shared" ca="1" si="23"/>
        <v>207</v>
      </c>
      <c r="H95" s="17">
        <v>599</v>
      </c>
      <c r="I95" s="17">
        <v>340</v>
      </c>
      <c r="J95" s="75">
        <f t="shared" si="24"/>
        <v>647</v>
      </c>
      <c r="K95" s="17">
        <v>700</v>
      </c>
      <c r="L95" s="85">
        <v>53</v>
      </c>
      <c r="M95" s="86">
        <f t="shared" ca="1" si="25"/>
        <v>0.2560386473429952</v>
      </c>
      <c r="N95" s="86">
        <f t="shared" si="26"/>
        <v>0.33193597560975613</v>
      </c>
      <c r="O95" s="86">
        <f t="shared" si="27"/>
        <v>0.16158536585365854</v>
      </c>
      <c r="P95" s="87">
        <f t="shared" si="28"/>
        <v>13.25</v>
      </c>
      <c r="Q95" s="104">
        <f t="shared" si="29"/>
        <v>48.830188679245282</v>
      </c>
      <c r="R95" s="88">
        <f t="shared" si="30"/>
        <v>43.238731218697829</v>
      </c>
      <c r="S95" s="88">
        <f t="shared" si="31"/>
        <v>7.5714285714285721</v>
      </c>
      <c r="T95" s="13">
        <f t="shared" si="32"/>
        <v>1</v>
      </c>
      <c r="U95" s="13">
        <f t="shared" si="33"/>
        <v>1</v>
      </c>
      <c r="V95" s="13">
        <f t="shared" si="34"/>
        <v>1</v>
      </c>
      <c r="W95" s="13">
        <f t="shared" ca="1" si="35"/>
        <v>3</v>
      </c>
      <c r="X95" s="13">
        <f t="shared" ca="1" si="36"/>
        <v>6</v>
      </c>
      <c r="Y95" s="81" t="str">
        <f t="shared" ca="1" si="37"/>
        <v>MONITOR</v>
      </c>
      <c r="Z95" s="13">
        <v>14</v>
      </c>
      <c r="AA95" s="75">
        <v>46059</v>
      </c>
      <c r="AB95" s="75">
        <f t="shared" si="38"/>
        <v>45920</v>
      </c>
      <c r="AC95" s="88">
        <f t="shared" si="39"/>
        <v>19.857142857142858</v>
      </c>
      <c r="AD95" s="89" t="str">
        <f t="shared" ca="1" si="40"/>
        <v>STABLE</v>
      </c>
      <c r="AE95" s="89" t="str">
        <f t="shared" si="44"/>
        <v>SLOW SELLING</v>
      </c>
      <c r="AF95" s="89" t="str">
        <f t="shared" si="41"/>
        <v>AT RISK</v>
      </c>
      <c r="AG95" s="89" t="str">
        <f t="shared" si="42"/>
        <v>FEASIBLE</v>
      </c>
      <c r="AH95" s="81" t="str">
        <f t="shared" ca="1" si="43"/>
        <v>MONITOR</v>
      </c>
      <c r="AI95" s="75"/>
      <c r="AJ95" s="75"/>
      <c r="AK95" s="13"/>
      <c r="AL95" s="79"/>
      <c r="AM95" s="79"/>
      <c r="AN95" s="79"/>
      <c r="AO95" s="79"/>
      <c r="AP95" s="79"/>
      <c r="AQ95" s="75"/>
      <c r="AR95" s="75"/>
      <c r="AS95" s="75"/>
      <c r="AT95" s="75"/>
      <c r="AU95" s="75"/>
      <c r="AV95" s="13"/>
      <c r="AW95" s="13"/>
      <c r="AX95" s="13"/>
      <c r="AY95" s="13"/>
      <c r="AZ95" s="13"/>
      <c r="BA95" s="105"/>
      <c r="BB95" s="13"/>
      <c r="BC95" s="13"/>
      <c r="BD95" s="13"/>
      <c r="BE95" s="13"/>
      <c r="BF95" s="88"/>
      <c r="BG95" s="88"/>
      <c r="BH95" s="88"/>
      <c r="BI95" s="88"/>
      <c r="BJ95" s="88"/>
      <c r="BK95" s="105"/>
      <c r="BL95" s="105"/>
      <c r="BM95" s="105"/>
      <c r="BN95" s="105"/>
      <c r="BO95" s="105"/>
      <c r="BP95" s="105"/>
      <c r="BQ95" s="79"/>
      <c r="BR95" s="79"/>
      <c r="BS95" s="79"/>
      <c r="BT95" s="79"/>
      <c r="BU95" s="79"/>
      <c r="BV95" s="90"/>
      <c r="BW95" s="106"/>
      <c r="BX95" s="106"/>
      <c r="BY95" s="106"/>
      <c r="BZ95" s="106"/>
      <c r="CA95" s="106"/>
    </row>
    <row r="96" spans="1:79" x14ac:dyDescent="0.35">
      <c r="A96" s="25" t="s">
        <v>110</v>
      </c>
      <c r="B96" s="10" t="s">
        <v>324</v>
      </c>
      <c r="C96" s="10" t="s">
        <v>344</v>
      </c>
      <c r="D96" s="10" t="s">
        <v>346</v>
      </c>
      <c r="E96" s="11">
        <v>45878</v>
      </c>
      <c r="F96" s="17">
        <v>45892</v>
      </c>
      <c r="G96" s="14">
        <f t="shared" ca="1" si="23"/>
        <v>207</v>
      </c>
      <c r="H96" s="17">
        <v>599</v>
      </c>
      <c r="I96" s="17">
        <v>340</v>
      </c>
      <c r="J96" s="75">
        <f t="shared" si="24"/>
        <v>627</v>
      </c>
      <c r="K96" s="17">
        <v>700</v>
      </c>
      <c r="L96" s="85">
        <v>73</v>
      </c>
      <c r="M96" s="86">
        <f t="shared" ca="1" si="25"/>
        <v>0.35265700483091789</v>
      </c>
      <c r="N96" s="86">
        <f t="shared" si="26"/>
        <v>0.33193597560975613</v>
      </c>
      <c r="O96" s="86">
        <f t="shared" si="27"/>
        <v>0.2225609756097561</v>
      </c>
      <c r="P96" s="87">
        <f t="shared" si="28"/>
        <v>18.25</v>
      </c>
      <c r="Q96" s="104">
        <f t="shared" si="29"/>
        <v>34.356164383561641</v>
      </c>
      <c r="R96" s="88">
        <f t="shared" si="30"/>
        <v>43.238731218697829</v>
      </c>
      <c r="S96" s="88">
        <f t="shared" si="31"/>
        <v>10.428571428571429</v>
      </c>
      <c r="T96" s="13">
        <f t="shared" si="32"/>
        <v>1</v>
      </c>
      <c r="U96" s="13">
        <f t="shared" si="33"/>
        <v>1</v>
      </c>
      <c r="V96" s="13">
        <f t="shared" si="34"/>
        <v>1</v>
      </c>
      <c r="W96" s="13">
        <f t="shared" ca="1" si="35"/>
        <v>3</v>
      </c>
      <c r="X96" s="13">
        <f t="shared" ca="1" si="36"/>
        <v>6</v>
      </c>
      <c r="Y96" s="81" t="str">
        <f t="shared" ca="1" si="37"/>
        <v>MONITOR</v>
      </c>
      <c r="Z96" s="13">
        <v>14</v>
      </c>
      <c r="AA96" s="75">
        <v>46059</v>
      </c>
      <c r="AB96" s="75">
        <f t="shared" si="38"/>
        <v>45920</v>
      </c>
      <c r="AC96" s="88">
        <f t="shared" si="39"/>
        <v>19.857142857142858</v>
      </c>
      <c r="AD96" s="89" t="str">
        <f t="shared" ca="1" si="40"/>
        <v>STABLE</v>
      </c>
      <c r="AE96" s="89" t="str">
        <f t="shared" si="44"/>
        <v>SLOW SELLING</v>
      </c>
      <c r="AF96" s="89" t="str">
        <f t="shared" si="41"/>
        <v>AT RISK</v>
      </c>
      <c r="AG96" s="89" t="str">
        <f t="shared" si="42"/>
        <v>FEASIBLE</v>
      </c>
      <c r="AH96" s="81" t="str">
        <f t="shared" ca="1" si="43"/>
        <v>MONITOR</v>
      </c>
      <c r="AI96" s="75"/>
      <c r="AJ96" s="75"/>
      <c r="AK96" s="13"/>
      <c r="AL96" s="79"/>
      <c r="AM96" s="79"/>
      <c r="AN96" s="79"/>
      <c r="AO96" s="79"/>
      <c r="AP96" s="79"/>
      <c r="AQ96" s="75"/>
      <c r="AR96" s="75"/>
      <c r="AS96" s="75"/>
      <c r="AT96" s="75"/>
      <c r="AU96" s="75"/>
      <c r="AV96" s="13"/>
      <c r="AW96" s="13"/>
      <c r="AX96" s="13"/>
      <c r="AY96" s="13"/>
      <c r="AZ96" s="13"/>
      <c r="BA96" s="105"/>
      <c r="BB96" s="13"/>
      <c r="BC96" s="13"/>
      <c r="BD96" s="13"/>
      <c r="BE96" s="13"/>
      <c r="BF96" s="88"/>
      <c r="BG96" s="88"/>
      <c r="BH96" s="88"/>
      <c r="BI96" s="88"/>
      <c r="BJ96" s="88"/>
      <c r="BK96" s="105"/>
      <c r="BL96" s="105"/>
      <c r="BM96" s="105"/>
      <c r="BN96" s="105"/>
      <c r="BO96" s="105"/>
      <c r="BP96" s="105"/>
      <c r="BQ96" s="79"/>
      <c r="BR96" s="79"/>
      <c r="BS96" s="79"/>
      <c r="BT96" s="79"/>
      <c r="BU96" s="79"/>
      <c r="BV96" s="90"/>
      <c r="BW96" s="106"/>
      <c r="BX96" s="106"/>
      <c r="BY96" s="106"/>
      <c r="BZ96" s="106"/>
      <c r="CA96" s="106"/>
    </row>
    <row r="97" spans="1:79" x14ac:dyDescent="0.35">
      <c r="A97" s="25" t="s">
        <v>111</v>
      </c>
      <c r="B97" s="10" t="s">
        <v>324</v>
      </c>
      <c r="C97" s="10" t="s">
        <v>344</v>
      </c>
      <c r="D97" s="10" t="s">
        <v>346</v>
      </c>
      <c r="E97" s="11">
        <v>45878</v>
      </c>
      <c r="F97" s="17">
        <v>45892</v>
      </c>
      <c r="G97" s="14">
        <f t="shared" ca="1" si="23"/>
        <v>207</v>
      </c>
      <c r="H97" s="17">
        <v>599</v>
      </c>
      <c r="I97" s="17">
        <v>340</v>
      </c>
      <c r="J97" s="75">
        <f t="shared" si="24"/>
        <v>634</v>
      </c>
      <c r="K97" s="17">
        <v>700</v>
      </c>
      <c r="L97" s="85">
        <v>66</v>
      </c>
      <c r="M97" s="86">
        <f t="shared" ca="1" si="25"/>
        <v>0.3188405797101449</v>
      </c>
      <c r="N97" s="86">
        <f t="shared" si="26"/>
        <v>0.33193597560975613</v>
      </c>
      <c r="O97" s="86">
        <f t="shared" si="27"/>
        <v>0.20121951219512196</v>
      </c>
      <c r="P97" s="87">
        <f t="shared" si="28"/>
        <v>16.5</v>
      </c>
      <c r="Q97" s="104">
        <f t="shared" si="29"/>
        <v>38.424242424242422</v>
      </c>
      <c r="R97" s="88">
        <f t="shared" si="30"/>
        <v>43.238731218697829</v>
      </c>
      <c r="S97" s="88">
        <f t="shared" si="31"/>
        <v>9.4285714285714288</v>
      </c>
      <c r="T97" s="13">
        <f t="shared" si="32"/>
        <v>1</v>
      </c>
      <c r="U97" s="13">
        <f t="shared" si="33"/>
        <v>1</v>
      </c>
      <c r="V97" s="13">
        <f t="shared" si="34"/>
        <v>1</v>
      </c>
      <c r="W97" s="13">
        <f t="shared" ca="1" si="35"/>
        <v>3</v>
      </c>
      <c r="X97" s="13">
        <f t="shared" ca="1" si="36"/>
        <v>6</v>
      </c>
      <c r="Y97" s="81" t="str">
        <f t="shared" ca="1" si="37"/>
        <v>MONITOR</v>
      </c>
      <c r="Z97" s="13">
        <v>14</v>
      </c>
      <c r="AA97" s="75">
        <v>46059</v>
      </c>
      <c r="AB97" s="75">
        <f t="shared" si="38"/>
        <v>45920</v>
      </c>
      <c r="AC97" s="88">
        <f t="shared" si="39"/>
        <v>19.857142857142858</v>
      </c>
      <c r="AD97" s="89" t="str">
        <f t="shared" ca="1" si="40"/>
        <v>STABLE</v>
      </c>
      <c r="AE97" s="89" t="str">
        <f t="shared" si="44"/>
        <v>SLOW SELLING</v>
      </c>
      <c r="AF97" s="89" t="str">
        <f t="shared" si="41"/>
        <v>AT RISK</v>
      </c>
      <c r="AG97" s="89" t="str">
        <f t="shared" si="42"/>
        <v>FEASIBLE</v>
      </c>
      <c r="AH97" s="81" t="str">
        <f t="shared" ca="1" si="43"/>
        <v>MONITOR</v>
      </c>
      <c r="AI97" s="75"/>
      <c r="AJ97" s="75"/>
      <c r="AK97" s="13"/>
      <c r="AL97" s="79"/>
      <c r="AM97" s="79"/>
      <c r="AN97" s="79"/>
      <c r="AO97" s="79"/>
      <c r="AP97" s="79"/>
      <c r="AQ97" s="75"/>
      <c r="AR97" s="75"/>
      <c r="AS97" s="75"/>
      <c r="AT97" s="75"/>
      <c r="AU97" s="75"/>
      <c r="AV97" s="13"/>
      <c r="AW97" s="13"/>
      <c r="AX97" s="13"/>
      <c r="AY97" s="13"/>
      <c r="AZ97" s="13"/>
      <c r="BA97" s="105"/>
      <c r="BB97" s="13"/>
      <c r="BC97" s="13"/>
      <c r="BD97" s="13"/>
      <c r="BE97" s="13"/>
      <c r="BF97" s="88"/>
      <c r="BG97" s="88"/>
      <c r="BH97" s="88"/>
      <c r="BI97" s="88"/>
      <c r="BJ97" s="88"/>
      <c r="BK97" s="105"/>
      <c r="BL97" s="105"/>
      <c r="BM97" s="105"/>
      <c r="BN97" s="105"/>
      <c r="BO97" s="105"/>
      <c r="BP97" s="105"/>
      <c r="BQ97" s="79"/>
      <c r="BR97" s="79"/>
      <c r="BS97" s="79"/>
      <c r="BT97" s="79"/>
      <c r="BU97" s="79"/>
      <c r="BV97" s="90"/>
      <c r="BW97" s="106"/>
      <c r="BX97" s="106"/>
      <c r="BY97" s="106"/>
      <c r="BZ97" s="106"/>
      <c r="CA97" s="106"/>
    </row>
    <row r="98" spans="1:79" x14ac:dyDescent="0.35">
      <c r="A98" s="25" t="s">
        <v>112</v>
      </c>
      <c r="B98" s="10" t="s">
        <v>324</v>
      </c>
      <c r="C98" s="10" t="s">
        <v>344</v>
      </c>
      <c r="D98" s="10" t="s">
        <v>346</v>
      </c>
      <c r="E98" s="11">
        <v>45878</v>
      </c>
      <c r="F98" s="17">
        <v>45892</v>
      </c>
      <c r="G98" s="14">
        <f t="shared" ca="1" si="23"/>
        <v>207</v>
      </c>
      <c r="H98" s="17">
        <v>599</v>
      </c>
      <c r="I98" s="17">
        <v>330</v>
      </c>
      <c r="J98" s="75">
        <f t="shared" si="24"/>
        <v>624</v>
      </c>
      <c r="K98" s="17">
        <v>700</v>
      </c>
      <c r="L98" s="85">
        <v>76</v>
      </c>
      <c r="M98" s="86">
        <f t="shared" ca="1" si="25"/>
        <v>0.3671497584541063</v>
      </c>
      <c r="N98" s="86">
        <f t="shared" si="26"/>
        <v>0.33193597560975613</v>
      </c>
      <c r="O98" s="86">
        <f t="shared" si="27"/>
        <v>0.23170731707317074</v>
      </c>
      <c r="P98" s="87">
        <f t="shared" si="28"/>
        <v>19</v>
      </c>
      <c r="Q98" s="104">
        <f t="shared" si="29"/>
        <v>32.842105263157897</v>
      </c>
      <c r="R98" s="88">
        <f t="shared" si="30"/>
        <v>44.908180300500831</v>
      </c>
      <c r="S98" s="88">
        <f t="shared" si="31"/>
        <v>10.857142857142858</v>
      </c>
      <c r="T98" s="13">
        <f t="shared" si="32"/>
        <v>1</v>
      </c>
      <c r="U98" s="13">
        <f t="shared" si="33"/>
        <v>1</v>
      </c>
      <c r="V98" s="13">
        <f t="shared" si="34"/>
        <v>1</v>
      </c>
      <c r="W98" s="13">
        <f t="shared" ca="1" si="35"/>
        <v>3</v>
      </c>
      <c r="X98" s="13">
        <f t="shared" ca="1" si="36"/>
        <v>6</v>
      </c>
      <c r="Y98" s="81" t="str">
        <f t="shared" ca="1" si="37"/>
        <v>MONITOR</v>
      </c>
      <c r="Z98" s="13">
        <v>14</v>
      </c>
      <c r="AA98" s="75">
        <v>46059</v>
      </c>
      <c r="AB98" s="75">
        <f t="shared" si="38"/>
        <v>45920</v>
      </c>
      <c r="AC98" s="88">
        <f t="shared" si="39"/>
        <v>19.857142857142858</v>
      </c>
      <c r="AD98" s="89" t="str">
        <f t="shared" ca="1" si="40"/>
        <v>STABLE</v>
      </c>
      <c r="AE98" s="89" t="str">
        <f t="shared" si="44"/>
        <v>SLOW SELLING</v>
      </c>
      <c r="AF98" s="89" t="str">
        <f t="shared" si="41"/>
        <v>AT RISK</v>
      </c>
      <c r="AG98" s="89" t="str">
        <f t="shared" si="42"/>
        <v>FEASIBLE</v>
      </c>
      <c r="AH98" s="81" t="str">
        <f t="shared" ca="1" si="43"/>
        <v>MONITOR</v>
      </c>
      <c r="AI98" s="75"/>
      <c r="AJ98" s="75"/>
      <c r="AK98" s="13"/>
      <c r="AL98" s="79"/>
      <c r="AM98" s="79"/>
      <c r="AN98" s="79"/>
      <c r="AO98" s="79"/>
      <c r="AP98" s="79"/>
      <c r="AQ98" s="75"/>
      <c r="AR98" s="75"/>
      <c r="AS98" s="75"/>
      <c r="AT98" s="75"/>
      <c r="AU98" s="75"/>
      <c r="AV98" s="13"/>
      <c r="AW98" s="13"/>
      <c r="AX98" s="13"/>
      <c r="AY98" s="13"/>
      <c r="AZ98" s="13"/>
      <c r="BA98" s="105"/>
      <c r="BB98" s="13"/>
      <c r="BC98" s="13"/>
      <c r="BD98" s="13"/>
      <c r="BE98" s="13"/>
      <c r="BF98" s="88"/>
      <c r="BG98" s="88"/>
      <c r="BH98" s="88"/>
      <c r="BI98" s="88"/>
      <c r="BJ98" s="88"/>
      <c r="BK98" s="105"/>
      <c r="BL98" s="105"/>
      <c r="BM98" s="105"/>
      <c r="BN98" s="105"/>
      <c r="BO98" s="105"/>
      <c r="BP98" s="105"/>
      <c r="BQ98" s="79"/>
      <c r="BR98" s="79"/>
      <c r="BS98" s="79"/>
      <c r="BT98" s="79"/>
      <c r="BU98" s="79"/>
      <c r="BV98" s="90"/>
      <c r="BW98" s="106"/>
      <c r="BX98" s="106"/>
      <c r="BY98" s="106"/>
      <c r="BZ98" s="106"/>
      <c r="CA98" s="106"/>
    </row>
    <row r="99" spans="1:79" x14ac:dyDescent="0.35">
      <c r="A99" s="25" t="s">
        <v>113</v>
      </c>
      <c r="B99" s="10" t="s">
        <v>324</v>
      </c>
      <c r="C99" s="10" t="s">
        <v>344</v>
      </c>
      <c r="D99" s="10" t="s">
        <v>346</v>
      </c>
      <c r="E99" s="11">
        <v>45878</v>
      </c>
      <c r="F99" s="17">
        <v>45892</v>
      </c>
      <c r="G99" s="14">
        <f t="shared" ca="1" si="23"/>
        <v>207</v>
      </c>
      <c r="H99" s="17">
        <v>599</v>
      </c>
      <c r="I99" s="17">
        <v>330</v>
      </c>
      <c r="J99" s="75">
        <f t="shared" si="24"/>
        <v>629</v>
      </c>
      <c r="K99" s="17">
        <v>700</v>
      </c>
      <c r="L99" s="85">
        <v>71</v>
      </c>
      <c r="M99" s="86">
        <f t="shared" ca="1" si="25"/>
        <v>0.34299516908212563</v>
      </c>
      <c r="N99" s="86">
        <f t="shared" si="26"/>
        <v>0.33193597560975613</v>
      </c>
      <c r="O99" s="86">
        <f t="shared" si="27"/>
        <v>0.21646341463414634</v>
      </c>
      <c r="P99" s="87">
        <f t="shared" si="28"/>
        <v>17.75</v>
      </c>
      <c r="Q99" s="104">
        <f t="shared" si="29"/>
        <v>35.436619718309856</v>
      </c>
      <c r="R99" s="88">
        <f t="shared" si="30"/>
        <v>44.908180300500831</v>
      </c>
      <c r="S99" s="88">
        <f t="shared" si="31"/>
        <v>10.142857142857142</v>
      </c>
      <c r="T99" s="13">
        <f t="shared" si="32"/>
        <v>1</v>
      </c>
      <c r="U99" s="13">
        <f t="shared" si="33"/>
        <v>1</v>
      </c>
      <c r="V99" s="13">
        <f t="shared" si="34"/>
        <v>1</v>
      </c>
      <c r="W99" s="13">
        <f t="shared" ca="1" si="35"/>
        <v>3</v>
      </c>
      <c r="X99" s="13">
        <f t="shared" ca="1" si="36"/>
        <v>6</v>
      </c>
      <c r="Y99" s="81" t="str">
        <f t="shared" ca="1" si="37"/>
        <v>MONITOR</v>
      </c>
      <c r="Z99" s="13">
        <v>14</v>
      </c>
      <c r="AA99" s="75">
        <v>46059</v>
      </c>
      <c r="AB99" s="75">
        <f t="shared" si="38"/>
        <v>45920</v>
      </c>
      <c r="AC99" s="88">
        <f t="shared" si="39"/>
        <v>19.857142857142858</v>
      </c>
      <c r="AD99" s="89" t="str">
        <f t="shared" ca="1" si="40"/>
        <v>STABLE</v>
      </c>
      <c r="AE99" s="89" t="str">
        <f t="shared" si="44"/>
        <v>SLOW SELLING</v>
      </c>
      <c r="AF99" s="89" t="str">
        <f t="shared" si="41"/>
        <v>AT RISK</v>
      </c>
      <c r="AG99" s="89" t="str">
        <f t="shared" si="42"/>
        <v>FEASIBLE</v>
      </c>
      <c r="AH99" s="81" t="str">
        <f t="shared" ca="1" si="43"/>
        <v>MONITOR</v>
      </c>
      <c r="AI99" s="75"/>
      <c r="AJ99" s="75"/>
      <c r="AK99" s="13"/>
      <c r="AL99" s="79"/>
      <c r="AM99" s="79"/>
      <c r="AN99" s="79"/>
      <c r="AO99" s="79"/>
      <c r="AP99" s="79"/>
      <c r="AQ99" s="75"/>
      <c r="AR99" s="75"/>
      <c r="AS99" s="75"/>
      <c r="AT99" s="75"/>
      <c r="AU99" s="75"/>
      <c r="AV99" s="13"/>
      <c r="AW99" s="13"/>
      <c r="AX99" s="13"/>
      <c r="AY99" s="13"/>
      <c r="AZ99" s="13"/>
      <c r="BA99" s="105"/>
      <c r="BB99" s="13"/>
      <c r="BC99" s="13"/>
      <c r="BD99" s="13"/>
      <c r="BE99" s="13"/>
      <c r="BF99" s="88"/>
      <c r="BG99" s="88"/>
      <c r="BH99" s="88"/>
      <c r="BI99" s="88"/>
      <c r="BJ99" s="88"/>
      <c r="BK99" s="105"/>
      <c r="BL99" s="105"/>
      <c r="BM99" s="105"/>
      <c r="BN99" s="105"/>
      <c r="BO99" s="105"/>
      <c r="BP99" s="105"/>
      <c r="BQ99" s="79"/>
      <c r="BR99" s="79"/>
      <c r="BS99" s="79"/>
      <c r="BT99" s="79"/>
      <c r="BU99" s="79"/>
      <c r="BV99" s="90"/>
      <c r="BW99" s="106"/>
      <c r="BX99" s="106"/>
      <c r="BY99" s="106"/>
      <c r="BZ99" s="106"/>
      <c r="CA99" s="106"/>
    </row>
    <row r="100" spans="1:79" x14ac:dyDescent="0.35">
      <c r="A100" s="25" t="s">
        <v>114</v>
      </c>
      <c r="B100" s="10" t="s">
        <v>324</v>
      </c>
      <c r="C100" s="10" t="s">
        <v>344</v>
      </c>
      <c r="D100" s="10" t="s">
        <v>346</v>
      </c>
      <c r="E100" s="11">
        <v>45920</v>
      </c>
      <c r="F100" s="17">
        <v>45892</v>
      </c>
      <c r="G100" s="14">
        <f t="shared" ca="1" si="23"/>
        <v>207</v>
      </c>
      <c r="H100" s="17">
        <v>599</v>
      </c>
      <c r="I100" s="17">
        <v>300</v>
      </c>
      <c r="J100" s="75">
        <f t="shared" si="24"/>
        <v>587</v>
      </c>
      <c r="K100" s="17">
        <v>700</v>
      </c>
      <c r="L100" s="85">
        <v>113</v>
      </c>
      <c r="M100" s="86">
        <f t="shared" ca="1" si="25"/>
        <v>0.54589371980676327</v>
      </c>
      <c r="N100" s="86">
        <f t="shared" si="26"/>
        <v>0.33193597560975613</v>
      </c>
      <c r="O100" s="86">
        <f t="shared" si="27"/>
        <v>0.34451219512195119</v>
      </c>
      <c r="P100" s="87">
        <f t="shared" si="28"/>
        <v>28.249999999999996</v>
      </c>
      <c r="Q100" s="104">
        <f t="shared" si="29"/>
        <v>20.778761061946906</v>
      </c>
      <c r="R100" s="88">
        <f t="shared" si="30"/>
        <v>49.916527545909851</v>
      </c>
      <c r="S100" s="88">
        <f t="shared" si="31"/>
        <v>16.142857142857142</v>
      </c>
      <c r="T100" s="13">
        <f t="shared" si="32"/>
        <v>3</v>
      </c>
      <c r="U100" s="13">
        <f t="shared" si="33"/>
        <v>1</v>
      </c>
      <c r="V100" s="13">
        <f t="shared" si="34"/>
        <v>2</v>
      </c>
      <c r="W100" s="13">
        <f t="shared" ca="1" si="35"/>
        <v>3</v>
      </c>
      <c r="X100" s="13">
        <f t="shared" ca="1" si="36"/>
        <v>9</v>
      </c>
      <c r="Y100" s="81" t="str">
        <f t="shared" ca="1" si="37"/>
        <v>RE-BUY</v>
      </c>
      <c r="Z100" s="13">
        <v>14</v>
      </c>
      <c r="AA100" s="75">
        <v>46059</v>
      </c>
      <c r="AB100" s="75">
        <f t="shared" si="38"/>
        <v>45920</v>
      </c>
      <c r="AC100" s="88">
        <f t="shared" si="39"/>
        <v>19.857142857142858</v>
      </c>
      <c r="AD100" s="89" t="str">
        <f t="shared" ca="1" si="40"/>
        <v>STABLE</v>
      </c>
      <c r="AE100" s="89" t="str">
        <f t="shared" si="44"/>
        <v>FAST SELLING</v>
      </c>
      <c r="AF100" s="89" t="str">
        <f t="shared" si="41"/>
        <v>AT RISK</v>
      </c>
      <c r="AG100" s="89" t="str">
        <f t="shared" si="42"/>
        <v>FEASIBLE</v>
      </c>
      <c r="AH100" s="81" t="str">
        <f t="shared" ca="1" si="43"/>
        <v>IMMEDIATE REBUY</v>
      </c>
      <c r="AI100" s="75"/>
      <c r="AJ100" s="75"/>
      <c r="AK100" s="13"/>
      <c r="AL100" s="79"/>
      <c r="AM100" s="79"/>
      <c r="AN100" s="79"/>
      <c r="AO100" s="79"/>
      <c r="AP100" s="79"/>
      <c r="AQ100" s="75"/>
      <c r="AR100" s="75"/>
      <c r="AS100" s="75"/>
      <c r="AT100" s="75"/>
      <c r="AU100" s="75"/>
      <c r="AV100" s="13"/>
      <c r="AW100" s="13"/>
      <c r="AX100" s="13"/>
      <c r="AY100" s="13"/>
      <c r="AZ100" s="13"/>
      <c r="BA100" s="105"/>
      <c r="BB100" s="13"/>
      <c r="BC100" s="13"/>
      <c r="BD100" s="13"/>
      <c r="BE100" s="13"/>
      <c r="BF100" s="88"/>
      <c r="BG100" s="88"/>
      <c r="BH100" s="88"/>
      <c r="BI100" s="88"/>
      <c r="BJ100" s="88"/>
      <c r="BK100" s="105"/>
      <c r="BL100" s="105"/>
      <c r="BM100" s="105"/>
      <c r="BN100" s="105"/>
      <c r="BO100" s="105"/>
      <c r="BP100" s="105"/>
      <c r="BQ100" s="79"/>
      <c r="BR100" s="79"/>
      <c r="BS100" s="79"/>
      <c r="BT100" s="79"/>
      <c r="BU100" s="79"/>
      <c r="BV100" s="90"/>
      <c r="BW100" s="106"/>
      <c r="BX100" s="106"/>
      <c r="BY100" s="106"/>
      <c r="BZ100" s="106"/>
      <c r="CA100" s="106"/>
    </row>
    <row r="101" spans="1:79" x14ac:dyDescent="0.35">
      <c r="A101" s="25" t="s">
        <v>115</v>
      </c>
      <c r="B101" s="10" t="s">
        <v>324</v>
      </c>
      <c r="C101" s="10" t="s">
        <v>344</v>
      </c>
      <c r="D101" s="10" t="s">
        <v>346</v>
      </c>
      <c r="E101" s="11">
        <v>45920</v>
      </c>
      <c r="F101" s="17">
        <v>45892</v>
      </c>
      <c r="G101" s="14">
        <f t="shared" ca="1" si="23"/>
        <v>207</v>
      </c>
      <c r="H101" s="17">
        <v>599</v>
      </c>
      <c r="I101" s="17">
        <v>300</v>
      </c>
      <c r="J101" s="75">
        <f t="shared" si="24"/>
        <v>587</v>
      </c>
      <c r="K101" s="17">
        <v>700</v>
      </c>
      <c r="L101" s="85">
        <v>113</v>
      </c>
      <c r="M101" s="86">
        <f t="shared" ca="1" si="25"/>
        <v>0.54589371980676327</v>
      </c>
      <c r="N101" s="86">
        <f t="shared" si="26"/>
        <v>0.33193597560975613</v>
      </c>
      <c r="O101" s="86">
        <f t="shared" si="27"/>
        <v>0.34451219512195119</v>
      </c>
      <c r="P101" s="87">
        <f t="shared" si="28"/>
        <v>28.249999999999996</v>
      </c>
      <c r="Q101" s="104">
        <f t="shared" si="29"/>
        <v>20.778761061946906</v>
      </c>
      <c r="R101" s="88">
        <f t="shared" si="30"/>
        <v>49.916527545909851</v>
      </c>
      <c r="S101" s="88">
        <f t="shared" si="31"/>
        <v>16.142857142857142</v>
      </c>
      <c r="T101" s="13">
        <f t="shared" si="32"/>
        <v>3</v>
      </c>
      <c r="U101" s="13">
        <f t="shared" si="33"/>
        <v>1</v>
      </c>
      <c r="V101" s="13">
        <f t="shared" si="34"/>
        <v>2</v>
      </c>
      <c r="W101" s="13">
        <f t="shared" ca="1" si="35"/>
        <v>3</v>
      </c>
      <c r="X101" s="13">
        <f t="shared" ca="1" si="36"/>
        <v>9</v>
      </c>
      <c r="Y101" s="81" t="str">
        <f t="shared" ca="1" si="37"/>
        <v>RE-BUY</v>
      </c>
      <c r="Z101" s="13">
        <v>14</v>
      </c>
      <c r="AA101" s="75">
        <v>46059</v>
      </c>
      <c r="AB101" s="75">
        <f t="shared" si="38"/>
        <v>45920</v>
      </c>
      <c r="AC101" s="88">
        <f t="shared" si="39"/>
        <v>19.857142857142858</v>
      </c>
      <c r="AD101" s="89" t="str">
        <f t="shared" ca="1" si="40"/>
        <v>STABLE</v>
      </c>
      <c r="AE101" s="89" t="str">
        <f t="shared" si="44"/>
        <v>FAST SELLING</v>
      </c>
      <c r="AF101" s="89" t="str">
        <f t="shared" si="41"/>
        <v>AT RISK</v>
      </c>
      <c r="AG101" s="89" t="str">
        <f t="shared" si="42"/>
        <v>FEASIBLE</v>
      </c>
      <c r="AH101" s="81" t="str">
        <f t="shared" ca="1" si="43"/>
        <v>IMMEDIATE REBUY</v>
      </c>
      <c r="AI101" s="75"/>
      <c r="AJ101" s="75"/>
      <c r="AK101" s="13"/>
      <c r="AL101" s="79"/>
      <c r="AM101" s="79"/>
      <c r="AN101" s="79"/>
      <c r="AO101" s="79"/>
      <c r="AP101" s="79"/>
      <c r="AQ101" s="75"/>
      <c r="AR101" s="75"/>
      <c r="AS101" s="75"/>
      <c r="AT101" s="75"/>
      <c r="AU101" s="75"/>
      <c r="AV101" s="13"/>
      <c r="AW101" s="13"/>
      <c r="AX101" s="13"/>
      <c r="AY101" s="13"/>
      <c r="AZ101" s="13"/>
      <c r="BA101" s="105"/>
      <c r="BB101" s="13"/>
      <c r="BC101" s="13"/>
      <c r="BD101" s="13"/>
      <c r="BE101" s="13"/>
      <c r="BF101" s="88"/>
      <c r="BG101" s="88"/>
      <c r="BH101" s="88"/>
      <c r="BI101" s="88"/>
      <c r="BJ101" s="88"/>
      <c r="BK101" s="105"/>
      <c r="BL101" s="105"/>
      <c r="BM101" s="105"/>
      <c r="BN101" s="105"/>
      <c r="BO101" s="105"/>
      <c r="BP101" s="105"/>
      <c r="BQ101" s="79"/>
      <c r="BR101" s="79"/>
      <c r="BS101" s="79"/>
      <c r="BT101" s="79"/>
      <c r="BU101" s="79"/>
      <c r="BV101" s="90"/>
      <c r="BW101" s="106"/>
      <c r="BX101" s="106"/>
      <c r="BY101" s="106"/>
      <c r="BZ101" s="106"/>
      <c r="CA101" s="106"/>
    </row>
    <row r="102" spans="1:79" x14ac:dyDescent="0.35">
      <c r="A102" s="25" t="s">
        <v>116</v>
      </c>
      <c r="B102" s="10" t="s">
        <v>324</v>
      </c>
      <c r="C102" s="10" t="s">
        <v>344</v>
      </c>
      <c r="D102" s="10" t="s">
        <v>346</v>
      </c>
      <c r="E102" s="11">
        <v>45920</v>
      </c>
      <c r="F102" s="17">
        <v>45892</v>
      </c>
      <c r="G102" s="14">
        <f t="shared" ca="1" si="23"/>
        <v>207</v>
      </c>
      <c r="H102" s="17">
        <v>599</v>
      </c>
      <c r="I102" s="17">
        <v>300</v>
      </c>
      <c r="J102" s="75">
        <f t="shared" si="24"/>
        <v>587</v>
      </c>
      <c r="K102" s="17">
        <v>700</v>
      </c>
      <c r="L102" s="85">
        <v>113</v>
      </c>
      <c r="M102" s="86">
        <f t="shared" ca="1" si="25"/>
        <v>0.54589371980676327</v>
      </c>
      <c r="N102" s="86">
        <f t="shared" si="26"/>
        <v>0.33193597560975613</v>
      </c>
      <c r="O102" s="86">
        <f t="shared" si="27"/>
        <v>0.34451219512195119</v>
      </c>
      <c r="P102" s="87">
        <f t="shared" si="28"/>
        <v>28.249999999999996</v>
      </c>
      <c r="Q102" s="104">
        <f t="shared" si="29"/>
        <v>20.778761061946906</v>
      </c>
      <c r="R102" s="88">
        <f t="shared" si="30"/>
        <v>49.916527545909851</v>
      </c>
      <c r="S102" s="88">
        <f t="shared" si="31"/>
        <v>16.142857142857142</v>
      </c>
      <c r="T102" s="13">
        <f t="shared" si="32"/>
        <v>3</v>
      </c>
      <c r="U102" s="13">
        <f t="shared" si="33"/>
        <v>1</v>
      </c>
      <c r="V102" s="13">
        <f t="shared" si="34"/>
        <v>2</v>
      </c>
      <c r="W102" s="13">
        <f t="shared" ca="1" si="35"/>
        <v>3</v>
      </c>
      <c r="X102" s="13">
        <f t="shared" ca="1" si="36"/>
        <v>9</v>
      </c>
      <c r="Y102" s="81" t="str">
        <f t="shared" ca="1" si="37"/>
        <v>RE-BUY</v>
      </c>
      <c r="Z102" s="13">
        <v>14</v>
      </c>
      <c r="AA102" s="75">
        <v>46059</v>
      </c>
      <c r="AB102" s="75">
        <f t="shared" si="38"/>
        <v>45920</v>
      </c>
      <c r="AC102" s="88">
        <f t="shared" si="39"/>
        <v>19.857142857142858</v>
      </c>
      <c r="AD102" s="89" t="str">
        <f t="shared" ca="1" si="40"/>
        <v>STABLE</v>
      </c>
      <c r="AE102" s="89" t="str">
        <f t="shared" si="44"/>
        <v>FAST SELLING</v>
      </c>
      <c r="AF102" s="89" t="str">
        <f t="shared" si="41"/>
        <v>AT RISK</v>
      </c>
      <c r="AG102" s="89" t="str">
        <f t="shared" si="42"/>
        <v>FEASIBLE</v>
      </c>
      <c r="AH102" s="81" t="str">
        <f t="shared" ca="1" si="43"/>
        <v>IMMEDIATE REBUY</v>
      </c>
      <c r="AI102" s="75"/>
      <c r="AJ102" s="75"/>
      <c r="AK102" s="13"/>
      <c r="AL102" s="79"/>
      <c r="AM102" s="79"/>
      <c r="AN102" s="79"/>
      <c r="AO102" s="79"/>
      <c r="AP102" s="79"/>
      <c r="AQ102" s="75"/>
      <c r="AR102" s="75"/>
      <c r="AS102" s="75"/>
      <c r="AT102" s="75"/>
      <c r="AU102" s="75"/>
      <c r="AV102" s="13"/>
      <c r="AW102" s="13"/>
      <c r="AX102" s="13"/>
      <c r="AY102" s="13"/>
      <c r="AZ102" s="13"/>
      <c r="BA102" s="105"/>
      <c r="BB102" s="13"/>
      <c r="BC102" s="13"/>
      <c r="BD102" s="13"/>
      <c r="BE102" s="13"/>
      <c r="BF102" s="88"/>
      <c r="BG102" s="88"/>
      <c r="BH102" s="88"/>
      <c r="BI102" s="88"/>
      <c r="BJ102" s="88"/>
      <c r="BK102" s="105"/>
      <c r="BL102" s="105"/>
      <c r="BM102" s="105"/>
      <c r="BN102" s="105"/>
      <c r="BO102" s="105"/>
      <c r="BP102" s="105"/>
      <c r="BQ102" s="79"/>
      <c r="BR102" s="79"/>
      <c r="BS102" s="79"/>
      <c r="BT102" s="79"/>
      <c r="BU102" s="79"/>
      <c r="BV102" s="90"/>
      <c r="BW102" s="106"/>
      <c r="BX102" s="106"/>
      <c r="BY102" s="106"/>
      <c r="BZ102" s="106"/>
      <c r="CA102" s="106"/>
    </row>
    <row r="103" spans="1:79" x14ac:dyDescent="0.35">
      <c r="A103" s="25" t="s">
        <v>117</v>
      </c>
      <c r="B103" s="10" t="s">
        <v>324</v>
      </c>
      <c r="C103" s="10" t="s">
        <v>344</v>
      </c>
      <c r="D103" s="10" t="s">
        <v>346</v>
      </c>
      <c r="E103" s="11">
        <v>45920</v>
      </c>
      <c r="F103" s="17">
        <v>45892</v>
      </c>
      <c r="G103" s="14">
        <f t="shared" ca="1" si="23"/>
        <v>207</v>
      </c>
      <c r="H103" s="17">
        <v>599</v>
      </c>
      <c r="I103" s="17">
        <v>300</v>
      </c>
      <c r="J103" s="75">
        <f t="shared" si="24"/>
        <v>534</v>
      </c>
      <c r="K103" s="17">
        <v>700</v>
      </c>
      <c r="L103" s="85">
        <v>166</v>
      </c>
      <c r="M103" s="86">
        <f t="shared" ca="1" si="25"/>
        <v>0.80193236714975846</v>
      </c>
      <c r="N103" s="86">
        <f t="shared" si="26"/>
        <v>0.33193597560975613</v>
      </c>
      <c r="O103" s="86">
        <f t="shared" si="27"/>
        <v>0.50609756097560976</v>
      </c>
      <c r="P103" s="87">
        <f t="shared" si="28"/>
        <v>41.5</v>
      </c>
      <c r="Q103" s="104">
        <f t="shared" si="29"/>
        <v>12.867469879518072</v>
      </c>
      <c r="R103" s="88">
        <f t="shared" si="30"/>
        <v>49.916527545909851</v>
      </c>
      <c r="S103" s="88">
        <f t="shared" si="31"/>
        <v>23.714285714285715</v>
      </c>
      <c r="T103" s="13">
        <f t="shared" si="32"/>
        <v>3</v>
      </c>
      <c r="U103" s="13">
        <f t="shared" si="33"/>
        <v>1</v>
      </c>
      <c r="V103" s="13">
        <f t="shared" si="34"/>
        <v>2</v>
      </c>
      <c r="W103" s="13">
        <f t="shared" ca="1" si="35"/>
        <v>3</v>
      </c>
      <c r="X103" s="13">
        <f t="shared" ca="1" si="36"/>
        <v>9</v>
      </c>
      <c r="Y103" s="81" t="str">
        <f t="shared" ca="1" si="37"/>
        <v>RE-BUY</v>
      </c>
      <c r="Z103" s="13">
        <v>14</v>
      </c>
      <c r="AA103" s="75">
        <v>46059</v>
      </c>
      <c r="AB103" s="75">
        <f t="shared" si="38"/>
        <v>45920</v>
      </c>
      <c r="AC103" s="88">
        <f t="shared" si="39"/>
        <v>19.857142857142858</v>
      </c>
      <c r="AD103" s="89" t="str">
        <f t="shared" ca="1" si="40"/>
        <v>STABLE</v>
      </c>
      <c r="AE103" s="89" t="str">
        <f t="shared" si="44"/>
        <v>FAST SELLING</v>
      </c>
      <c r="AF103" s="89" t="str">
        <f t="shared" si="41"/>
        <v>AT RISK</v>
      </c>
      <c r="AG103" s="89" t="str">
        <f t="shared" si="42"/>
        <v>FEASIBLE</v>
      </c>
      <c r="AH103" s="81" t="str">
        <f t="shared" ca="1" si="43"/>
        <v>IMMEDIATE REBUY</v>
      </c>
      <c r="AI103" s="75"/>
      <c r="AJ103" s="75"/>
      <c r="AK103" s="13"/>
      <c r="AL103" s="79"/>
      <c r="AM103" s="79"/>
      <c r="AN103" s="79"/>
      <c r="AO103" s="79"/>
      <c r="AP103" s="79"/>
      <c r="AQ103" s="75"/>
      <c r="AR103" s="75"/>
      <c r="AS103" s="75"/>
      <c r="AT103" s="75"/>
      <c r="AU103" s="75"/>
      <c r="AV103" s="13"/>
      <c r="AW103" s="13"/>
      <c r="AX103" s="13"/>
      <c r="AY103" s="13"/>
      <c r="AZ103" s="13"/>
      <c r="BA103" s="105"/>
      <c r="BB103" s="13"/>
      <c r="BC103" s="13"/>
      <c r="BD103" s="13"/>
      <c r="BE103" s="13"/>
      <c r="BF103" s="88"/>
      <c r="BG103" s="88"/>
      <c r="BH103" s="88"/>
      <c r="BI103" s="88"/>
      <c r="BJ103" s="88"/>
      <c r="BK103" s="105"/>
      <c r="BL103" s="105"/>
      <c r="BM103" s="105"/>
      <c r="BN103" s="105"/>
      <c r="BO103" s="105"/>
      <c r="BP103" s="105"/>
      <c r="BQ103" s="79"/>
      <c r="BR103" s="79"/>
      <c r="BS103" s="79"/>
      <c r="BT103" s="79"/>
      <c r="BU103" s="79"/>
      <c r="BV103" s="90"/>
      <c r="BW103" s="106"/>
      <c r="BX103" s="106"/>
      <c r="BY103" s="106"/>
      <c r="BZ103" s="106"/>
      <c r="CA103" s="106"/>
    </row>
    <row r="104" spans="1:79" x14ac:dyDescent="0.35">
      <c r="A104" s="25" t="s">
        <v>118</v>
      </c>
      <c r="B104" s="10" t="s">
        <v>324</v>
      </c>
      <c r="C104" s="10" t="s">
        <v>344</v>
      </c>
      <c r="D104" s="10" t="s">
        <v>346</v>
      </c>
      <c r="E104" s="11">
        <v>45920</v>
      </c>
      <c r="F104" s="17">
        <v>45892</v>
      </c>
      <c r="G104" s="14">
        <f t="shared" ca="1" si="23"/>
        <v>207</v>
      </c>
      <c r="H104" s="17">
        <v>599</v>
      </c>
      <c r="I104" s="17">
        <v>300</v>
      </c>
      <c r="J104" s="75">
        <f t="shared" si="24"/>
        <v>602</v>
      </c>
      <c r="K104" s="17">
        <v>700</v>
      </c>
      <c r="L104" s="85">
        <v>98</v>
      </c>
      <c r="M104" s="86">
        <f t="shared" ca="1" si="25"/>
        <v>0.47342995169082125</v>
      </c>
      <c r="N104" s="86">
        <f t="shared" si="26"/>
        <v>0.33193597560975613</v>
      </c>
      <c r="O104" s="86">
        <f t="shared" si="27"/>
        <v>0.29878048780487804</v>
      </c>
      <c r="P104" s="87">
        <f t="shared" si="28"/>
        <v>24.5</v>
      </c>
      <c r="Q104" s="104">
        <f t="shared" si="29"/>
        <v>24.571428571428573</v>
      </c>
      <c r="R104" s="88">
        <f t="shared" si="30"/>
        <v>49.916527545909851</v>
      </c>
      <c r="S104" s="88">
        <f t="shared" si="31"/>
        <v>14.000000000000002</v>
      </c>
      <c r="T104" s="13">
        <f t="shared" si="32"/>
        <v>2</v>
      </c>
      <c r="U104" s="13">
        <f t="shared" si="33"/>
        <v>1</v>
      </c>
      <c r="V104" s="13">
        <f t="shared" si="34"/>
        <v>2</v>
      </c>
      <c r="W104" s="13">
        <f t="shared" ca="1" si="35"/>
        <v>3</v>
      </c>
      <c r="X104" s="13">
        <f t="shared" ca="1" si="36"/>
        <v>8</v>
      </c>
      <c r="Y104" s="81" t="str">
        <f t="shared" ca="1" si="37"/>
        <v>MONITOR</v>
      </c>
      <c r="Z104" s="13">
        <v>14</v>
      </c>
      <c r="AA104" s="75">
        <v>46059</v>
      </c>
      <c r="AB104" s="75">
        <f t="shared" si="38"/>
        <v>45920</v>
      </c>
      <c r="AC104" s="88">
        <f t="shared" si="39"/>
        <v>19.857142857142858</v>
      </c>
      <c r="AD104" s="89" t="str">
        <f t="shared" ca="1" si="40"/>
        <v>STABLE</v>
      </c>
      <c r="AE104" s="89" t="str">
        <f t="shared" si="44"/>
        <v>SLOW SELLING</v>
      </c>
      <c r="AF104" s="89" t="str">
        <f t="shared" si="41"/>
        <v>AT RISK</v>
      </c>
      <c r="AG104" s="89" t="str">
        <f t="shared" si="42"/>
        <v>FEASIBLE</v>
      </c>
      <c r="AH104" s="81" t="str">
        <f t="shared" ca="1" si="43"/>
        <v>MONITOR</v>
      </c>
      <c r="AI104" s="75"/>
      <c r="AJ104" s="75"/>
      <c r="AK104" s="13"/>
      <c r="AL104" s="79"/>
      <c r="AM104" s="79"/>
      <c r="AN104" s="79"/>
      <c r="AO104" s="79"/>
      <c r="AP104" s="79"/>
      <c r="AQ104" s="75"/>
      <c r="AR104" s="75"/>
      <c r="AS104" s="75"/>
      <c r="AT104" s="75"/>
      <c r="AU104" s="75"/>
      <c r="AV104" s="13"/>
      <c r="AW104" s="13"/>
      <c r="AX104" s="13"/>
      <c r="AY104" s="13"/>
      <c r="AZ104" s="13"/>
      <c r="BA104" s="105"/>
      <c r="BB104" s="13"/>
      <c r="BC104" s="13"/>
      <c r="BD104" s="13"/>
      <c r="BE104" s="13"/>
      <c r="BF104" s="88"/>
      <c r="BG104" s="88"/>
      <c r="BH104" s="88"/>
      <c r="BI104" s="88"/>
      <c r="BJ104" s="88"/>
      <c r="BK104" s="105"/>
      <c r="BL104" s="105"/>
      <c r="BM104" s="105"/>
      <c r="BN104" s="105"/>
      <c r="BO104" s="105"/>
      <c r="BP104" s="105"/>
      <c r="BQ104" s="79"/>
      <c r="BR104" s="79"/>
      <c r="BS104" s="79"/>
      <c r="BT104" s="79"/>
      <c r="BU104" s="79"/>
      <c r="BV104" s="90"/>
      <c r="BW104" s="106"/>
      <c r="BX104" s="106"/>
      <c r="BY104" s="106"/>
      <c r="BZ104" s="106"/>
      <c r="CA104" s="106"/>
    </row>
    <row r="105" spans="1:79" x14ac:dyDescent="0.35">
      <c r="A105" s="25" t="s">
        <v>119</v>
      </c>
      <c r="B105" s="10" t="s">
        <v>325</v>
      </c>
      <c r="C105" s="10" t="s">
        <v>344</v>
      </c>
      <c r="D105" s="10" t="s">
        <v>346</v>
      </c>
      <c r="E105" s="11">
        <v>45920</v>
      </c>
      <c r="F105" s="17">
        <v>45892</v>
      </c>
      <c r="G105" s="14">
        <f t="shared" ca="1" si="23"/>
        <v>207</v>
      </c>
      <c r="H105" s="17">
        <v>599</v>
      </c>
      <c r="I105" s="17">
        <v>300</v>
      </c>
      <c r="J105" s="75">
        <f t="shared" si="24"/>
        <v>625</v>
      </c>
      <c r="K105" s="17">
        <v>700</v>
      </c>
      <c r="L105" s="85">
        <v>75</v>
      </c>
      <c r="M105" s="86">
        <f t="shared" ca="1" si="25"/>
        <v>0.36231884057971014</v>
      </c>
      <c r="N105" s="86">
        <f t="shared" si="26"/>
        <v>0.33193597560975613</v>
      </c>
      <c r="O105" s="86">
        <f t="shared" si="27"/>
        <v>0.22865853658536586</v>
      </c>
      <c r="P105" s="87">
        <f t="shared" si="28"/>
        <v>18.75</v>
      </c>
      <c r="Q105" s="104">
        <f t="shared" si="29"/>
        <v>33.333333333333336</v>
      </c>
      <c r="R105" s="88">
        <f t="shared" si="30"/>
        <v>49.916527545909851</v>
      </c>
      <c r="S105" s="88">
        <f t="shared" si="31"/>
        <v>10.714285714285714</v>
      </c>
      <c r="T105" s="13">
        <f t="shared" si="32"/>
        <v>1</v>
      </c>
      <c r="U105" s="13">
        <f t="shared" si="33"/>
        <v>1</v>
      </c>
      <c r="V105" s="13">
        <f t="shared" si="34"/>
        <v>2</v>
      </c>
      <c r="W105" s="13">
        <f t="shared" ca="1" si="35"/>
        <v>3</v>
      </c>
      <c r="X105" s="13">
        <f t="shared" ca="1" si="36"/>
        <v>7</v>
      </c>
      <c r="Y105" s="81" t="str">
        <f t="shared" ca="1" si="37"/>
        <v>MONITOR</v>
      </c>
      <c r="Z105" s="13">
        <v>14</v>
      </c>
      <c r="AA105" s="75">
        <v>46059</v>
      </c>
      <c r="AB105" s="75">
        <f t="shared" si="38"/>
        <v>45920</v>
      </c>
      <c r="AC105" s="88">
        <f t="shared" si="39"/>
        <v>19.857142857142858</v>
      </c>
      <c r="AD105" s="89" t="str">
        <f t="shared" ca="1" si="40"/>
        <v>STABLE</v>
      </c>
      <c r="AE105" s="89" t="str">
        <f t="shared" si="44"/>
        <v>SLOW SELLING</v>
      </c>
      <c r="AF105" s="89" t="str">
        <f t="shared" si="41"/>
        <v>AT RISK</v>
      </c>
      <c r="AG105" s="89" t="str">
        <f t="shared" si="42"/>
        <v>FEASIBLE</v>
      </c>
      <c r="AH105" s="81" t="str">
        <f t="shared" ca="1" si="43"/>
        <v>MONITOR</v>
      </c>
      <c r="AI105" s="75"/>
      <c r="AJ105" s="75"/>
      <c r="AK105" s="13"/>
      <c r="AL105" s="79"/>
      <c r="AM105" s="79"/>
      <c r="AN105" s="79"/>
      <c r="AO105" s="79"/>
      <c r="AP105" s="79"/>
      <c r="AQ105" s="75"/>
      <c r="AR105" s="75"/>
      <c r="AS105" s="75"/>
      <c r="AT105" s="75"/>
      <c r="AU105" s="75"/>
      <c r="AV105" s="13"/>
      <c r="AW105" s="13"/>
      <c r="AX105" s="13"/>
      <c r="AY105" s="13"/>
      <c r="AZ105" s="13"/>
      <c r="BA105" s="105"/>
      <c r="BB105" s="13"/>
      <c r="BC105" s="13"/>
      <c r="BD105" s="13"/>
      <c r="BE105" s="13"/>
      <c r="BF105" s="88"/>
      <c r="BG105" s="88"/>
      <c r="BH105" s="88"/>
      <c r="BI105" s="88"/>
      <c r="BJ105" s="88"/>
      <c r="BK105" s="105"/>
      <c r="BL105" s="105"/>
      <c r="BM105" s="105"/>
      <c r="BN105" s="105"/>
      <c r="BO105" s="105"/>
      <c r="BP105" s="105"/>
      <c r="BQ105" s="79"/>
      <c r="BR105" s="79"/>
      <c r="BS105" s="79"/>
      <c r="BT105" s="79"/>
      <c r="BU105" s="79"/>
      <c r="BV105" s="90"/>
      <c r="BW105" s="106"/>
      <c r="BX105" s="106"/>
      <c r="BY105" s="106"/>
      <c r="BZ105" s="106"/>
      <c r="CA105" s="106"/>
    </row>
    <row r="106" spans="1:79" x14ac:dyDescent="0.35">
      <c r="A106" s="25" t="s">
        <v>120</v>
      </c>
      <c r="B106" s="10" t="s">
        <v>325</v>
      </c>
      <c r="C106" s="10" t="s">
        <v>344</v>
      </c>
      <c r="D106" s="10" t="s">
        <v>346</v>
      </c>
      <c r="E106" s="11">
        <v>45920</v>
      </c>
      <c r="F106" s="17">
        <v>45892</v>
      </c>
      <c r="G106" s="14">
        <f t="shared" ca="1" si="23"/>
        <v>207</v>
      </c>
      <c r="H106" s="17">
        <v>599</v>
      </c>
      <c r="I106" s="17">
        <v>300</v>
      </c>
      <c r="J106" s="75">
        <f t="shared" si="24"/>
        <v>628</v>
      </c>
      <c r="K106" s="17">
        <v>700</v>
      </c>
      <c r="L106" s="85">
        <v>72</v>
      </c>
      <c r="M106" s="86">
        <f t="shared" ca="1" si="25"/>
        <v>0.34782608695652173</v>
      </c>
      <c r="N106" s="86">
        <f t="shared" si="26"/>
        <v>0.33193597560975613</v>
      </c>
      <c r="O106" s="86">
        <f t="shared" si="27"/>
        <v>0.21951219512195122</v>
      </c>
      <c r="P106" s="87">
        <f t="shared" si="28"/>
        <v>18</v>
      </c>
      <c r="Q106" s="104">
        <f t="shared" si="29"/>
        <v>34.888888888888886</v>
      </c>
      <c r="R106" s="88">
        <f t="shared" si="30"/>
        <v>49.916527545909851</v>
      </c>
      <c r="S106" s="88">
        <f t="shared" si="31"/>
        <v>10.285714285714285</v>
      </c>
      <c r="T106" s="13">
        <f t="shared" si="32"/>
        <v>1</v>
      </c>
      <c r="U106" s="13">
        <f t="shared" si="33"/>
        <v>1</v>
      </c>
      <c r="V106" s="13">
        <f t="shared" si="34"/>
        <v>2</v>
      </c>
      <c r="W106" s="13">
        <f t="shared" ca="1" si="35"/>
        <v>3</v>
      </c>
      <c r="X106" s="13">
        <f t="shared" ca="1" si="36"/>
        <v>7</v>
      </c>
      <c r="Y106" s="81" t="str">
        <f t="shared" ca="1" si="37"/>
        <v>MONITOR</v>
      </c>
      <c r="Z106" s="13">
        <v>14</v>
      </c>
      <c r="AA106" s="75">
        <v>46059</v>
      </c>
      <c r="AB106" s="75">
        <f t="shared" si="38"/>
        <v>45920</v>
      </c>
      <c r="AC106" s="88">
        <f t="shared" si="39"/>
        <v>19.857142857142858</v>
      </c>
      <c r="AD106" s="89" t="str">
        <f t="shared" ca="1" si="40"/>
        <v>STABLE</v>
      </c>
      <c r="AE106" s="89" t="str">
        <f t="shared" si="44"/>
        <v>SLOW SELLING</v>
      </c>
      <c r="AF106" s="89" t="str">
        <f t="shared" si="41"/>
        <v>AT RISK</v>
      </c>
      <c r="AG106" s="89" t="str">
        <f t="shared" si="42"/>
        <v>FEASIBLE</v>
      </c>
      <c r="AH106" s="81" t="str">
        <f t="shared" ca="1" si="43"/>
        <v>MONITOR</v>
      </c>
      <c r="AI106" s="75"/>
      <c r="AJ106" s="75"/>
      <c r="AK106" s="13"/>
      <c r="AL106" s="79"/>
      <c r="AM106" s="79"/>
      <c r="AN106" s="79"/>
      <c r="AO106" s="79"/>
      <c r="AP106" s="79"/>
      <c r="AQ106" s="75"/>
      <c r="AR106" s="75"/>
      <c r="AS106" s="75"/>
      <c r="AT106" s="75"/>
      <c r="AU106" s="75"/>
      <c r="AV106" s="13"/>
      <c r="AW106" s="13"/>
      <c r="AX106" s="13"/>
      <c r="AY106" s="13"/>
      <c r="AZ106" s="13"/>
      <c r="BA106" s="105"/>
      <c r="BB106" s="13"/>
      <c r="BC106" s="13"/>
      <c r="BD106" s="13"/>
      <c r="BE106" s="13"/>
      <c r="BF106" s="88"/>
      <c r="BG106" s="88"/>
      <c r="BH106" s="88"/>
      <c r="BI106" s="88"/>
      <c r="BJ106" s="88"/>
      <c r="BK106" s="105"/>
      <c r="BL106" s="105"/>
      <c r="BM106" s="105"/>
      <c r="BN106" s="105"/>
      <c r="BO106" s="105"/>
      <c r="BP106" s="105"/>
      <c r="BQ106" s="79"/>
      <c r="BR106" s="79"/>
      <c r="BS106" s="79"/>
      <c r="BT106" s="79"/>
      <c r="BU106" s="79"/>
      <c r="BV106" s="90"/>
      <c r="BW106" s="106"/>
      <c r="BX106" s="106"/>
      <c r="BY106" s="106"/>
      <c r="BZ106" s="106"/>
      <c r="CA106" s="106"/>
    </row>
    <row r="107" spans="1:79" x14ac:dyDescent="0.35">
      <c r="A107" s="25" t="s">
        <v>121</v>
      </c>
      <c r="B107" s="10" t="s">
        <v>317</v>
      </c>
      <c r="C107" s="10" t="s">
        <v>344</v>
      </c>
      <c r="D107" s="10" t="s">
        <v>346</v>
      </c>
      <c r="E107" s="11">
        <v>45878</v>
      </c>
      <c r="F107" s="17">
        <v>45892</v>
      </c>
      <c r="G107" s="14">
        <f t="shared" ca="1" si="23"/>
        <v>207</v>
      </c>
      <c r="H107" s="17">
        <v>799</v>
      </c>
      <c r="I107" s="17">
        <v>450</v>
      </c>
      <c r="J107" s="75">
        <f t="shared" si="24"/>
        <v>744</v>
      </c>
      <c r="K107" s="17">
        <v>800</v>
      </c>
      <c r="L107" s="85">
        <v>56</v>
      </c>
      <c r="M107" s="86">
        <f t="shared" ca="1" si="25"/>
        <v>0.27053140096618356</v>
      </c>
      <c r="N107" s="86">
        <f t="shared" si="26"/>
        <v>0.33193597560975613</v>
      </c>
      <c r="O107" s="86">
        <f t="shared" si="27"/>
        <v>0.17073170731707318</v>
      </c>
      <c r="P107" s="87">
        <f t="shared" si="28"/>
        <v>14.000000000000002</v>
      </c>
      <c r="Q107" s="104">
        <f t="shared" si="29"/>
        <v>53.142857142857139</v>
      </c>
      <c r="R107" s="88">
        <f t="shared" si="30"/>
        <v>43.67959949937422</v>
      </c>
      <c r="S107" s="88">
        <f t="shared" si="31"/>
        <v>7.0000000000000009</v>
      </c>
      <c r="T107" s="13">
        <f t="shared" si="32"/>
        <v>1</v>
      </c>
      <c r="U107" s="13">
        <f t="shared" si="33"/>
        <v>1</v>
      </c>
      <c r="V107" s="13">
        <f t="shared" si="34"/>
        <v>1</v>
      </c>
      <c r="W107" s="13">
        <f t="shared" ca="1" si="35"/>
        <v>3</v>
      </c>
      <c r="X107" s="13">
        <f t="shared" ca="1" si="36"/>
        <v>6</v>
      </c>
      <c r="Y107" s="81" t="str">
        <f t="shared" ca="1" si="37"/>
        <v>MONITOR</v>
      </c>
      <c r="Z107" s="13">
        <v>14</v>
      </c>
      <c r="AA107" s="75">
        <v>46059</v>
      </c>
      <c r="AB107" s="75">
        <f t="shared" si="38"/>
        <v>45920</v>
      </c>
      <c r="AC107" s="88">
        <f t="shared" si="39"/>
        <v>19.857142857142858</v>
      </c>
      <c r="AD107" s="89" t="str">
        <f t="shared" ca="1" si="40"/>
        <v>STABLE</v>
      </c>
      <c r="AE107" s="89" t="str">
        <f t="shared" si="44"/>
        <v>SLOW SELLING</v>
      </c>
      <c r="AF107" s="89" t="str">
        <f t="shared" si="41"/>
        <v>AT RISK</v>
      </c>
      <c r="AG107" s="89" t="str">
        <f t="shared" si="42"/>
        <v>FEASIBLE</v>
      </c>
      <c r="AH107" s="81" t="str">
        <f t="shared" ca="1" si="43"/>
        <v>MONITOR</v>
      </c>
      <c r="AI107" s="75"/>
      <c r="AJ107" s="75"/>
      <c r="AK107" s="13"/>
      <c r="AL107" s="79"/>
      <c r="AM107" s="79"/>
      <c r="AN107" s="79"/>
      <c r="AO107" s="79"/>
      <c r="AP107" s="79"/>
      <c r="AQ107" s="75"/>
      <c r="AR107" s="75"/>
      <c r="AS107" s="75"/>
      <c r="AT107" s="75"/>
      <c r="AU107" s="75"/>
      <c r="AV107" s="13"/>
      <c r="AW107" s="13"/>
      <c r="AX107" s="13"/>
      <c r="AY107" s="13"/>
      <c r="AZ107" s="13"/>
      <c r="BA107" s="105"/>
      <c r="BB107" s="13"/>
      <c r="BC107" s="13"/>
      <c r="BD107" s="13"/>
      <c r="BE107" s="13"/>
      <c r="BF107" s="88"/>
      <c r="BG107" s="88"/>
      <c r="BH107" s="88"/>
      <c r="BI107" s="88"/>
      <c r="BJ107" s="88"/>
      <c r="BK107" s="105"/>
      <c r="BL107" s="105"/>
      <c r="BM107" s="105"/>
      <c r="BN107" s="105"/>
      <c r="BO107" s="105"/>
      <c r="BP107" s="105"/>
      <c r="BQ107" s="79"/>
      <c r="BR107" s="79"/>
      <c r="BS107" s="79"/>
      <c r="BT107" s="79"/>
      <c r="BU107" s="79"/>
      <c r="BV107" s="90"/>
      <c r="BW107" s="106"/>
      <c r="BX107" s="106"/>
      <c r="BY107" s="106"/>
      <c r="BZ107" s="106"/>
      <c r="CA107" s="106"/>
    </row>
    <row r="108" spans="1:79" x14ac:dyDescent="0.35">
      <c r="A108" s="25" t="s">
        <v>122</v>
      </c>
      <c r="B108" s="10" t="s">
        <v>317</v>
      </c>
      <c r="C108" s="10" t="s">
        <v>344</v>
      </c>
      <c r="D108" s="10" t="s">
        <v>346</v>
      </c>
      <c r="E108" s="11">
        <v>45878</v>
      </c>
      <c r="F108" s="17">
        <v>45892</v>
      </c>
      <c r="G108" s="14">
        <f t="shared" ca="1" si="23"/>
        <v>207</v>
      </c>
      <c r="H108" s="17">
        <v>799</v>
      </c>
      <c r="I108" s="17">
        <v>450</v>
      </c>
      <c r="J108" s="75">
        <f t="shared" si="24"/>
        <v>631</v>
      </c>
      <c r="K108" s="17">
        <v>800</v>
      </c>
      <c r="L108" s="85">
        <v>169</v>
      </c>
      <c r="M108" s="86">
        <f t="shared" ca="1" si="25"/>
        <v>0.81642512077294682</v>
      </c>
      <c r="N108" s="86">
        <f t="shared" si="26"/>
        <v>0.33193597560975613</v>
      </c>
      <c r="O108" s="86">
        <f t="shared" si="27"/>
        <v>0.5152439024390244</v>
      </c>
      <c r="P108" s="87">
        <f t="shared" si="28"/>
        <v>42.25</v>
      </c>
      <c r="Q108" s="104">
        <f t="shared" si="29"/>
        <v>14.934911242603551</v>
      </c>
      <c r="R108" s="88">
        <f t="shared" si="30"/>
        <v>43.67959949937422</v>
      </c>
      <c r="S108" s="88">
        <f t="shared" si="31"/>
        <v>21.125</v>
      </c>
      <c r="T108" s="13">
        <f t="shared" si="32"/>
        <v>3</v>
      </c>
      <c r="U108" s="13">
        <f t="shared" si="33"/>
        <v>1</v>
      </c>
      <c r="V108" s="13">
        <f t="shared" si="34"/>
        <v>1</v>
      </c>
      <c r="W108" s="13">
        <f t="shared" ca="1" si="35"/>
        <v>3</v>
      </c>
      <c r="X108" s="13">
        <f t="shared" ca="1" si="36"/>
        <v>8</v>
      </c>
      <c r="Y108" s="81" t="str">
        <f t="shared" ca="1" si="37"/>
        <v>MONITOR</v>
      </c>
      <c r="Z108" s="13">
        <v>14</v>
      </c>
      <c r="AA108" s="75">
        <v>46059</v>
      </c>
      <c r="AB108" s="75">
        <f t="shared" si="38"/>
        <v>45920</v>
      </c>
      <c r="AC108" s="88">
        <f t="shared" si="39"/>
        <v>19.857142857142858</v>
      </c>
      <c r="AD108" s="89" t="str">
        <f t="shared" ca="1" si="40"/>
        <v>STABLE</v>
      </c>
      <c r="AE108" s="89" t="str">
        <f t="shared" si="44"/>
        <v>FAST SELLING</v>
      </c>
      <c r="AF108" s="89" t="str">
        <f t="shared" si="41"/>
        <v>AT RISK</v>
      </c>
      <c r="AG108" s="89" t="str">
        <f t="shared" si="42"/>
        <v>FEASIBLE</v>
      </c>
      <c r="AH108" s="81" t="str">
        <f t="shared" ca="1" si="43"/>
        <v>MONITOR</v>
      </c>
      <c r="AI108" s="75"/>
      <c r="AJ108" s="75"/>
      <c r="AK108" s="13"/>
      <c r="AL108" s="79"/>
      <c r="AM108" s="79"/>
      <c r="AN108" s="79"/>
      <c r="AO108" s="79"/>
      <c r="AP108" s="79"/>
      <c r="AQ108" s="75"/>
      <c r="AR108" s="75"/>
      <c r="AS108" s="75"/>
      <c r="AT108" s="75"/>
      <c r="AU108" s="75"/>
      <c r="AV108" s="13"/>
      <c r="AW108" s="13"/>
      <c r="AX108" s="13"/>
      <c r="AY108" s="13"/>
      <c r="AZ108" s="13"/>
      <c r="BA108" s="105"/>
      <c r="BB108" s="13"/>
      <c r="BC108" s="13"/>
      <c r="BD108" s="13"/>
      <c r="BE108" s="13"/>
      <c r="BF108" s="88"/>
      <c r="BG108" s="88"/>
      <c r="BH108" s="88"/>
      <c r="BI108" s="88"/>
      <c r="BJ108" s="88"/>
      <c r="BK108" s="105"/>
      <c r="BL108" s="105"/>
      <c r="BM108" s="105"/>
      <c r="BN108" s="105"/>
      <c r="BO108" s="105"/>
      <c r="BP108" s="105"/>
      <c r="BQ108" s="79"/>
      <c r="BR108" s="79"/>
      <c r="BS108" s="79"/>
      <c r="BT108" s="79"/>
      <c r="BU108" s="79"/>
      <c r="BV108" s="90"/>
      <c r="BW108" s="106"/>
      <c r="BX108" s="106"/>
      <c r="BY108" s="106"/>
      <c r="BZ108" s="106"/>
      <c r="CA108" s="106"/>
    </row>
    <row r="109" spans="1:79" x14ac:dyDescent="0.35">
      <c r="A109" s="25" t="s">
        <v>123</v>
      </c>
      <c r="B109" s="10" t="s">
        <v>317</v>
      </c>
      <c r="C109" s="10" t="s">
        <v>344</v>
      </c>
      <c r="D109" s="10" t="s">
        <v>346</v>
      </c>
      <c r="E109" s="11">
        <v>45878</v>
      </c>
      <c r="F109" s="17">
        <v>45892</v>
      </c>
      <c r="G109" s="14">
        <f t="shared" ca="1" si="23"/>
        <v>207</v>
      </c>
      <c r="H109" s="17">
        <v>799</v>
      </c>
      <c r="I109" s="17">
        <v>450</v>
      </c>
      <c r="J109" s="75">
        <f t="shared" si="24"/>
        <v>643</v>
      </c>
      <c r="K109" s="17">
        <v>800</v>
      </c>
      <c r="L109" s="85">
        <v>157</v>
      </c>
      <c r="M109" s="86">
        <f t="shared" ca="1" si="25"/>
        <v>0.75845410628019327</v>
      </c>
      <c r="N109" s="86">
        <f t="shared" si="26"/>
        <v>0.33193597560975613</v>
      </c>
      <c r="O109" s="86">
        <f t="shared" si="27"/>
        <v>0.47865853658536583</v>
      </c>
      <c r="P109" s="87">
        <f t="shared" si="28"/>
        <v>39.25</v>
      </c>
      <c r="Q109" s="104">
        <f t="shared" si="29"/>
        <v>16.38216560509554</v>
      </c>
      <c r="R109" s="88">
        <f t="shared" si="30"/>
        <v>43.67959949937422</v>
      </c>
      <c r="S109" s="88">
        <f t="shared" si="31"/>
        <v>19.625</v>
      </c>
      <c r="T109" s="13">
        <f t="shared" si="32"/>
        <v>3</v>
      </c>
      <c r="U109" s="13">
        <f t="shared" si="33"/>
        <v>1</v>
      </c>
      <c r="V109" s="13">
        <f t="shared" si="34"/>
        <v>1</v>
      </c>
      <c r="W109" s="13">
        <f t="shared" ca="1" si="35"/>
        <v>3</v>
      </c>
      <c r="X109" s="13">
        <f t="shared" ca="1" si="36"/>
        <v>8</v>
      </c>
      <c r="Y109" s="81" t="str">
        <f t="shared" ca="1" si="37"/>
        <v>MONITOR</v>
      </c>
      <c r="Z109" s="13">
        <v>14</v>
      </c>
      <c r="AA109" s="75">
        <v>46059</v>
      </c>
      <c r="AB109" s="75">
        <f t="shared" si="38"/>
        <v>45920</v>
      </c>
      <c r="AC109" s="88">
        <f t="shared" si="39"/>
        <v>19.857142857142858</v>
      </c>
      <c r="AD109" s="89" t="str">
        <f t="shared" ca="1" si="40"/>
        <v>STABLE</v>
      </c>
      <c r="AE109" s="89" t="str">
        <f t="shared" si="44"/>
        <v>FAST SELLING</v>
      </c>
      <c r="AF109" s="89" t="str">
        <f t="shared" si="41"/>
        <v>AT RISK</v>
      </c>
      <c r="AG109" s="89" t="str">
        <f t="shared" si="42"/>
        <v>FEASIBLE</v>
      </c>
      <c r="AH109" s="81" t="str">
        <f t="shared" ca="1" si="43"/>
        <v>MONITOR</v>
      </c>
      <c r="AI109" s="75"/>
      <c r="AJ109" s="75"/>
      <c r="AK109" s="13"/>
      <c r="AL109" s="79"/>
      <c r="AM109" s="79"/>
      <c r="AN109" s="79"/>
      <c r="AO109" s="79"/>
      <c r="AP109" s="79"/>
      <c r="AQ109" s="75"/>
      <c r="AR109" s="75"/>
      <c r="AS109" s="75"/>
      <c r="AT109" s="75"/>
      <c r="AU109" s="75"/>
      <c r="AV109" s="13"/>
      <c r="AW109" s="13"/>
      <c r="AX109" s="13"/>
      <c r="AY109" s="13"/>
      <c r="AZ109" s="13"/>
      <c r="BA109" s="105"/>
      <c r="BB109" s="13"/>
      <c r="BC109" s="13"/>
      <c r="BD109" s="13"/>
      <c r="BE109" s="13"/>
      <c r="BF109" s="88"/>
      <c r="BG109" s="88"/>
      <c r="BH109" s="88"/>
      <c r="BI109" s="88"/>
      <c r="BJ109" s="88"/>
      <c r="BK109" s="105"/>
      <c r="BL109" s="105"/>
      <c r="BM109" s="105"/>
      <c r="BN109" s="105"/>
      <c r="BO109" s="105"/>
      <c r="BP109" s="105"/>
      <c r="BQ109" s="79"/>
      <c r="BR109" s="79"/>
      <c r="BS109" s="79"/>
      <c r="BT109" s="79"/>
      <c r="BU109" s="79"/>
      <c r="BV109" s="90"/>
      <c r="BW109" s="106"/>
      <c r="BX109" s="106"/>
      <c r="BY109" s="106"/>
      <c r="BZ109" s="106"/>
      <c r="CA109" s="106"/>
    </row>
    <row r="110" spans="1:79" x14ac:dyDescent="0.35">
      <c r="A110" s="25" t="s">
        <v>124</v>
      </c>
      <c r="B110" s="10" t="s">
        <v>317</v>
      </c>
      <c r="C110" s="10" t="s">
        <v>344</v>
      </c>
      <c r="D110" s="10" t="s">
        <v>346</v>
      </c>
      <c r="E110" s="11">
        <v>45878</v>
      </c>
      <c r="F110" s="17">
        <v>45892</v>
      </c>
      <c r="G110" s="14">
        <f t="shared" ca="1" si="23"/>
        <v>207</v>
      </c>
      <c r="H110" s="17">
        <v>799</v>
      </c>
      <c r="I110" s="17">
        <v>450</v>
      </c>
      <c r="J110" s="75">
        <f t="shared" si="24"/>
        <v>648</v>
      </c>
      <c r="K110" s="17">
        <v>800</v>
      </c>
      <c r="L110" s="85">
        <v>152</v>
      </c>
      <c r="M110" s="86">
        <f t="shared" ca="1" si="25"/>
        <v>0.7342995169082126</v>
      </c>
      <c r="N110" s="86">
        <f t="shared" si="26"/>
        <v>0.33193597560975613</v>
      </c>
      <c r="O110" s="86">
        <f t="shared" si="27"/>
        <v>0.46341463414634149</v>
      </c>
      <c r="P110" s="87">
        <f t="shared" si="28"/>
        <v>38</v>
      </c>
      <c r="Q110" s="104">
        <f t="shared" si="29"/>
        <v>17.05263157894737</v>
      </c>
      <c r="R110" s="88">
        <f t="shared" si="30"/>
        <v>43.67959949937422</v>
      </c>
      <c r="S110" s="88">
        <f t="shared" si="31"/>
        <v>19</v>
      </c>
      <c r="T110" s="13">
        <f t="shared" si="32"/>
        <v>3</v>
      </c>
      <c r="U110" s="13">
        <f t="shared" si="33"/>
        <v>1</v>
      </c>
      <c r="V110" s="13">
        <f t="shared" si="34"/>
        <v>1</v>
      </c>
      <c r="W110" s="13">
        <f t="shared" ca="1" si="35"/>
        <v>3</v>
      </c>
      <c r="X110" s="13">
        <f t="shared" ca="1" si="36"/>
        <v>8</v>
      </c>
      <c r="Y110" s="81" t="str">
        <f t="shared" ca="1" si="37"/>
        <v>MONITOR</v>
      </c>
      <c r="Z110" s="13">
        <v>14</v>
      </c>
      <c r="AA110" s="75">
        <v>46059</v>
      </c>
      <c r="AB110" s="75">
        <f t="shared" si="38"/>
        <v>45920</v>
      </c>
      <c r="AC110" s="88">
        <f t="shared" si="39"/>
        <v>19.857142857142858</v>
      </c>
      <c r="AD110" s="89" t="str">
        <f t="shared" ca="1" si="40"/>
        <v>STABLE</v>
      </c>
      <c r="AE110" s="89" t="str">
        <f t="shared" si="44"/>
        <v>FAST SELLING</v>
      </c>
      <c r="AF110" s="89" t="str">
        <f t="shared" si="41"/>
        <v>AT RISK</v>
      </c>
      <c r="AG110" s="89" t="str">
        <f t="shared" si="42"/>
        <v>FEASIBLE</v>
      </c>
      <c r="AH110" s="81" t="str">
        <f t="shared" ca="1" si="43"/>
        <v>MONITOR</v>
      </c>
      <c r="AI110" s="75"/>
      <c r="AJ110" s="75"/>
      <c r="AK110" s="13"/>
      <c r="AL110" s="79"/>
      <c r="AM110" s="79"/>
      <c r="AN110" s="79"/>
      <c r="AO110" s="79"/>
      <c r="AP110" s="79"/>
      <c r="AQ110" s="75"/>
      <c r="AR110" s="75"/>
      <c r="AS110" s="75"/>
      <c r="AT110" s="75"/>
      <c r="AU110" s="75"/>
      <c r="AV110" s="13"/>
      <c r="AW110" s="13"/>
      <c r="AX110" s="13"/>
      <c r="AY110" s="13"/>
      <c r="AZ110" s="13"/>
      <c r="BA110" s="105"/>
      <c r="BB110" s="13"/>
      <c r="BC110" s="13"/>
      <c r="BD110" s="13"/>
      <c r="BE110" s="13"/>
      <c r="BF110" s="88"/>
      <c r="BG110" s="88"/>
      <c r="BH110" s="88"/>
      <c r="BI110" s="88"/>
      <c r="BJ110" s="88"/>
      <c r="BK110" s="105"/>
      <c r="BL110" s="105"/>
      <c r="BM110" s="105"/>
      <c r="BN110" s="105"/>
      <c r="BO110" s="105"/>
      <c r="BP110" s="105"/>
      <c r="BQ110" s="79"/>
      <c r="BR110" s="79"/>
      <c r="BS110" s="79"/>
      <c r="BT110" s="79"/>
      <c r="BU110" s="79"/>
      <c r="BV110" s="90"/>
      <c r="BW110" s="106"/>
      <c r="BX110" s="106"/>
      <c r="BY110" s="106"/>
      <c r="BZ110" s="106"/>
      <c r="CA110" s="106"/>
    </row>
    <row r="111" spans="1:79" x14ac:dyDescent="0.35">
      <c r="A111" s="25" t="s">
        <v>125</v>
      </c>
      <c r="B111" s="10" t="s">
        <v>317</v>
      </c>
      <c r="C111" s="10" t="s">
        <v>344</v>
      </c>
      <c r="D111" s="10" t="s">
        <v>346</v>
      </c>
      <c r="E111" s="11">
        <v>45920</v>
      </c>
      <c r="F111" s="17">
        <v>45892</v>
      </c>
      <c r="G111" s="14">
        <f t="shared" ca="1" si="23"/>
        <v>207</v>
      </c>
      <c r="H111" s="17">
        <v>799</v>
      </c>
      <c r="I111" s="17">
        <v>450</v>
      </c>
      <c r="J111" s="75">
        <f t="shared" si="24"/>
        <v>566</v>
      </c>
      <c r="K111" s="17">
        <v>800</v>
      </c>
      <c r="L111" s="85">
        <v>234</v>
      </c>
      <c r="M111" s="86">
        <f t="shared" ca="1" si="25"/>
        <v>1.1304347826086956</v>
      </c>
      <c r="N111" s="86">
        <f t="shared" si="26"/>
        <v>0.33193597560975613</v>
      </c>
      <c r="O111" s="86">
        <f t="shared" si="27"/>
        <v>0.71341463414634143</v>
      </c>
      <c r="P111" s="87">
        <f t="shared" si="28"/>
        <v>58.5</v>
      </c>
      <c r="Q111" s="104">
        <f t="shared" si="29"/>
        <v>9.6752136752136746</v>
      </c>
      <c r="R111" s="88">
        <f t="shared" si="30"/>
        <v>43.67959949937422</v>
      </c>
      <c r="S111" s="88">
        <f t="shared" si="31"/>
        <v>29.25</v>
      </c>
      <c r="T111" s="13">
        <f t="shared" si="32"/>
        <v>3</v>
      </c>
      <c r="U111" s="13">
        <f t="shared" si="33"/>
        <v>1</v>
      </c>
      <c r="V111" s="13">
        <f t="shared" si="34"/>
        <v>1</v>
      </c>
      <c r="W111" s="13">
        <f t="shared" ca="1" si="35"/>
        <v>3</v>
      </c>
      <c r="X111" s="13">
        <f t="shared" ca="1" si="36"/>
        <v>8</v>
      </c>
      <c r="Y111" s="81" t="str">
        <f t="shared" ca="1" si="37"/>
        <v>MONITOR</v>
      </c>
      <c r="Z111" s="13">
        <v>14</v>
      </c>
      <c r="AA111" s="75">
        <v>46059</v>
      </c>
      <c r="AB111" s="75">
        <f t="shared" si="38"/>
        <v>45920</v>
      </c>
      <c r="AC111" s="88">
        <f t="shared" si="39"/>
        <v>19.857142857142858</v>
      </c>
      <c r="AD111" s="89" t="str">
        <f t="shared" ca="1" si="40"/>
        <v>STABLE</v>
      </c>
      <c r="AE111" s="89" t="str">
        <f t="shared" si="44"/>
        <v>FAST SELLING</v>
      </c>
      <c r="AF111" s="89" t="str">
        <f t="shared" si="41"/>
        <v>AT RISK</v>
      </c>
      <c r="AG111" s="89" t="str">
        <f t="shared" si="42"/>
        <v>FEASIBLE</v>
      </c>
      <c r="AH111" s="81" t="str">
        <f t="shared" ca="1" si="43"/>
        <v>MONITOR</v>
      </c>
      <c r="AI111" s="75"/>
      <c r="AJ111" s="75"/>
      <c r="AK111" s="13"/>
      <c r="AL111" s="79"/>
      <c r="AM111" s="79"/>
      <c r="AN111" s="79"/>
      <c r="AO111" s="79"/>
      <c r="AP111" s="79"/>
      <c r="AQ111" s="75"/>
      <c r="AR111" s="75"/>
      <c r="AS111" s="75"/>
      <c r="AT111" s="75"/>
      <c r="AU111" s="75"/>
      <c r="AV111" s="13"/>
      <c r="AW111" s="13"/>
      <c r="AX111" s="13"/>
      <c r="AY111" s="13"/>
      <c r="AZ111" s="13"/>
      <c r="BA111" s="105"/>
      <c r="BB111" s="13"/>
      <c r="BC111" s="13"/>
      <c r="BD111" s="13"/>
      <c r="BE111" s="13"/>
      <c r="BF111" s="88"/>
      <c r="BG111" s="88"/>
      <c r="BH111" s="88"/>
      <c r="BI111" s="88"/>
      <c r="BJ111" s="88"/>
      <c r="BK111" s="105"/>
      <c r="BL111" s="105"/>
      <c r="BM111" s="105"/>
      <c r="BN111" s="105"/>
      <c r="BO111" s="105"/>
      <c r="BP111" s="105"/>
      <c r="BQ111" s="79"/>
      <c r="BR111" s="79"/>
      <c r="BS111" s="79"/>
      <c r="BT111" s="79"/>
      <c r="BU111" s="79"/>
      <c r="BV111" s="90"/>
      <c r="BW111" s="106"/>
      <c r="BX111" s="106"/>
      <c r="BY111" s="106"/>
      <c r="BZ111" s="106"/>
      <c r="CA111" s="106"/>
    </row>
    <row r="112" spans="1:79" x14ac:dyDescent="0.35">
      <c r="A112" s="25" t="s">
        <v>126</v>
      </c>
      <c r="B112" s="10" t="s">
        <v>317</v>
      </c>
      <c r="C112" s="10" t="s">
        <v>344</v>
      </c>
      <c r="D112" s="10" t="s">
        <v>346</v>
      </c>
      <c r="E112" s="11">
        <v>45920</v>
      </c>
      <c r="F112" s="17">
        <v>45892</v>
      </c>
      <c r="G112" s="14">
        <f t="shared" ca="1" si="23"/>
        <v>207</v>
      </c>
      <c r="H112" s="17">
        <v>799</v>
      </c>
      <c r="I112" s="17">
        <v>450</v>
      </c>
      <c r="J112" s="75">
        <f t="shared" si="24"/>
        <v>595</v>
      </c>
      <c r="K112" s="17">
        <v>800</v>
      </c>
      <c r="L112" s="85">
        <v>205</v>
      </c>
      <c r="M112" s="86">
        <f t="shared" ca="1" si="25"/>
        <v>0.99033816425120769</v>
      </c>
      <c r="N112" s="86">
        <f t="shared" si="26"/>
        <v>0.33193597560975613</v>
      </c>
      <c r="O112" s="86">
        <f t="shared" si="27"/>
        <v>0.625</v>
      </c>
      <c r="P112" s="87">
        <f t="shared" si="28"/>
        <v>51.25</v>
      </c>
      <c r="Q112" s="104">
        <f t="shared" si="29"/>
        <v>11.609756097560975</v>
      </c>
      <c r="R112" s="88">
        <f t="shared" si="30"/>
        <v>43.67959949937422</v>
      </c>
      <c r="S112" s="88">
        <f t="shared" si="31"/>
        <v>25.624999999999996</v>
      </c>
      <c r="T112" s="13">
        <f t="shared" si="32"/>
        <v>3</v>
      </c>
      <c r="U112" s="13">
        <f t="shared" si="33"/>
        <v>1</v>
      </c>
      <c r="V112" s="13">
        <f t="shared" si="34"/>
        <v>1</v>
      </c>
      <c r="W112" s="13">
        <f t="shared" ca="1" si="35"/>
        <v>3</v>
      </c>
      <c r="X112" s="13">
        <f t="shared" ca="1" si="36"/>
        <v>8</v>
      </c>
      <c r="Y112" s="81" t="str">
        <f t="shared" ca="1" si="37"/>
        <v>MONITOR</v>
      </c>
      <c r="Z112" s="13">
        <v>14</v>
      </c>
      <c r="AA112" s="75">
        <v>46059</v>
      </c>
      <c r="AB112" s="75">
        <f t="shared" si="38"/>
        <v>45920</v>
      </c>
      <c r="AC112" s="88">
        <f t="shared" si="39"/>
        <v>19.857142857142858</v>
      </c>
      <c r="AD112" s="89" t="str">
        <f t="shared" ca="1" si="40"/>
        <v>STABLE</v>
      </c>
      <c r="AE112" s="89" t="str">
        <f t="shared" si="44"/>
        <v>FAST SELLING</v>
      </c>
      <c r="AF112" s="89" t="str">
        <f t="shared" si="41"/>
        <v>AT RISK</v>
      </c>
      <c r="AG112" s="89" t="str">
        <f t="shared" si="42"/>
        <v>FEASIBLE</v>
      </c>
      <c r="AH112" s="81" t="str">
        <f t="shared" ca="1" si="43"/>
        <v>MONITOR</v>
      </c>
      <c r="AI112" s="75"/>
      <c r="AJ112" s="75"/>
      <c r="AK112" s="13"/>
      <c r="AL112" s="79"/>
      <c r="AM112" s="79"/>
      <c r="AN112" s="79"/>
      <c r="AO112" s="79"/>
      <c r="AP112" s="79"/>
      <c r="AQ112" s="75"/>
      <c r="AR112" s="75"/>
      <c r="AS112" s="75"/>
      <c r="AT112" s="75"/>
      <c r="AU112" s="75"/>
      <c r="AV112" s="13"/>
      <c r="AW112" s="13"/>
      <c r="AX112" s="13"/>
      <c r="AY112" s="13"/>
      <c r="AZ112" s="13"/>
      <c r="BA112" s="105"/>
      <c r="BB112" s="13"/>
      <c r="BC112" s="13"/>
      <c r="BD112" s="13"/>
      <c r="BE112" s="13"/>
      <c r="BF112" s="88"/>
      <c r="BG112" s="88"/>
      <c r="BH112" s="88"/>
      <c r="BI112" s="88"/>
      <c r="BJ112" s="88"/>
      <c r="BK112" s="105"/>
      <c r="BL112" s="105"/>
      <c r="BM112" s="105"/>
      <c r="BN112" s="105"/>
      <c r="BO112" s="105"/>
      <c r="BP112" s="105"/>
      <c r="BQ112" s="79"/>
      <c r="BR112" s="79"/>
      <c r="BS112" s="79"/>
      <c r="BT112" s="79"/>
      <c r="BU112" s="79"/>
      <c r="BV112" s="90"/>
      <c r="BW112" s="106"/>
      <c r="BX112" s="106"/>
      <c r="BY112" s="106"/>
      <c r="BZ112" s="106"/>
      <c r="CA112" s="106"/>
    </row>
    <row r="113" spans="1:79" x14ac:dyDescent="0.35">
      <c r="A113" s="25" t="s">
        <v>127</v>
      </c>
      <c r="B113" s="10" t="s">
        <v>326</v>
      </c>
      <c r="C113" s="10" t="s">
        <v>342</v>
      </c>
      <c r="D113" s="10" t="s">
        <v>346</v>
      </c>
      <c r="E113" s="11">
        <v>45864</v>
      </c>
      <c r="F113" s="17">
        <v>45892</v>
      </c>
      <c r="G113" s="14">
        <f t="shared" ca="1" si="23"/>
        <v>207</v>
      </c>
      <c r="H113" s="17">
        <v>999</v>
      </c>
      <c r="I113" s="17">
        <v>500</v>
      </c>
      <c r="J113" s="75">
        <f t="shared" si="24"/>
        <v>685</v>
      </c>
      <c r="K113" s="17">
        <v>1050</v>
      </c>
      <c r="L113" s="85">
        <v>365</v>
      </c>
      <c r="M113" s="86">
        <f t="shared" ca="1" si="25"/>
        <v>1.7632850241545894</v>
      </c>
      <c r="N113" s="86">
        <f t="shared" si="26"/>
        <v>0.80451009251471861</v>
      </c>
      <c r="O113" s="86">
        <f t="shared" si="27"/>
        <v>1.1128048780487805</v>
      </c>
      <c r="P113" s="87">
        <f t="shared" si="28"/>
        <v>91.25</v>
      </c>
      <c r="Q113" s="104">
        <f t="shared" si="29"/>
        <v>7.506849315068493</v>
      </c>
      <c r="R113" s="88">
        <f t="shared" si="30"/>
        <v>49.949949949949954</v>
      </c>
      <c r="S113" s="88">
        <f t="shared" si="31"/>
        <v>34.761904761904759</v>
      </c>
      <c r="T113" s="13">
        <f t="shared" si="32"/>
        <v>3</v>
      </c>
      <c r="U113" s="13">
        <f t="shared" si="33"/>
        <v>1</v>
      </c>
      <c r="V113" s="13">
        <f t="shared" si="34"/>
        <v>2</v>
      </c>
      <c r="W113" s="13">
        <f t="shared" ca="1" si="35"/>
        <v>3</v>
      </c>
      <c r="X113" s="13">
        <f t="shared" ca="1" si="36"/>
        <v>9</v>
      </c>
      <c r="Y113" s="81" t="str">
        <f t="shared" ca="1" si="37"/>
        <v>RE-BUY</v>
      </c>
      <c r="Z113" s="13">
        <v>14</v>
      </c>
      <c r="AA113" s="75">
        <v>46059</v>
      </c>
      <c r="AB113" s="75">
        <f t="shared" si="38"/>
        <v>45920</v>
      </c>
      <c r="AC113" s="88">
        <f t="shared" si="39"/>
        <v>19.857142857142858</v>
      </c>
      <c r="AD113" s="89" t="str">
        <f t="shared" ca="1" si="40"/>
        <v>STABLE</v>
      </c>
      <c r="AE113" s="89" t="str">
        <f t="shared" si="44"/>
        <v>FAST SELLING</v>
      </c>
      <c r="AF113" s="89" t="str">
        <f t="shared" si="41"/>
        <v>AT RISK</v>
      </c>
      <c r="AG113" s="89" t="str">
        <f t="shared" si="42"/>
        <v>FEASIBLE</v>
      </c>
      <c r="AH113" s="81" t="str">
        <f t="shared" ca="1" si="43"/>
        <v>IMMEDIATE REBUY</v>
      </c>
      <c r="AI113" s="75"/>
      <c r="AJ113" s="75"/>
      <c r="AK113" s="13"/>
      <c r="AL113" s="79"/>
      <c r="AM113" s="79"/>
      <c r="AN113" s="79"/>
      <c r="AO113" s="79"/>
      <c r="AP113" s="79"/>
      <c r="AQ113" s="75"/>
      <c r="AR113" s="75"/>
      <c r="AS113" s="75"/>
      <c r="AT113" s="75"/>
      <c r="AU113" s="75"/>
      <c r="AV113" s="13"/>
      <c r="AW113" s="13"/>
      <c r="AX113" s="13"/>
      <c r="AY113" s="13"/>
      <c r="AZ113" s="13"/>
      <c r="BA113" s="105"/>
      <c r="BB113" s="13"/>
      <c r="BC113" s="13"/>
      <c r="BD113" s="13"/>
      <c r="BE113" s="13"/>
      <c r="BF113" s="88"/>
      <c r="BG113" s="88"/>
      <c r="BH113" s="88"/>
      <c r="BI113" s="88"/>
      <c r="BJ113" s="88"/>
      <c r="BK113" s="105"/>
      <c r="BL113" s="105"/>
      <c r="BM113" s="105"/>
      <c r="BN113" s="105"/>
      <c r="BO113" s="105"/>
      <c r="BP113" s="105"/>
      <c r="BQ113" s="79"/>
      <c r="BR113" s="79"/>
      <c r="BS113" s="79"/>
      <c r="BT113" s="79"/>
      <c r="BU113" s="79"/>
      <c r="BV113" s="90"/>
      <c r="BW113" s="106"/>
      <c r="BX113" s="106"/>
      <c r="BY113" s="106"/>
      <c r="BZ113" s="106"/>
      <c r="CA113" s="106"/>
    </row>
    <row r="114" spans="1:79" x14ac:dyDescent="0.35">
      <c r="A114" s="25" t="s">
        <v>128</v>
      </c>
      <c r="B114" s="10" t="s">
        <v>326</v>
      </c>
      <c r="C114" s="10" t="s">
        <v>342</v>
      </c>
      <c r="D114" s="10" t="s">
        <v>346</v>
      </c>
      <c r="E114" s="11">
        <v>45864</v>
      </c>
      <c r="F114" s="17">
        <v>45892</v>
      </c>
      <c r="G114" s="14">
        <f t="shared" ca="1" si="23"/>
        <v>207</v>
      </c>
      <c r="H114" s="17">
        <v>999</v>
      </c>
      <c r="I114" s="17">
        <v>520</v>
      </c>
      <c r="J114" s="75">
        <f t="shared" si="24"/>
        <v>830</v>
      </c>
      <c r="K114" s="17">
        <v>1050</v>
      </c>
      <c r="L114" s="85">
        <v>220</v>
      </c>
      <c r="M114" s="86">
        <f t="shared" ca="1" si="25"/>
        <v>1.0628019323671498</v>
      </c>
      <c r="N114" s="86">
        <f t="shared" si="26"/>
        <v>0.80451009251471861</v>
      </c>
      <c r="O114" s="86">
        <f t="shared" si="27"/>
        <v>0.67073170731707321</v>
      </c>
      <c r="P114" s="87">
        <f t="shared" si="28"/>
        <v>55</v>
      </c>
      <c r="Q114" s="104">
        <f t="shared" si="29"/>
        <v>15.090909090909092</v>
      </c>
      <c r="R114" s="88">
        <f t="shared" si="30"/>
        <v>47.947947947947952</v>
      </c>
      <c r="S114" s="88">
        <f t="shared" si="31"/>
        <v>20.952380952380953</v>
      </c>
      <c r="T114" s="13">
        <f t="shared" si="32"/>
        <v>2</v>
      </c>
      <c r="U114" s="13">
        <f t="shared" si="33"/>
        <v>1</v>
      </c>
      <c r="V114" s="13">
        <f t="shared" si="34"/>
        <v>2</v>
      </c>
      <c r="W114" s="13">
        <f t="shared" ca="1" si="35"/>
        <v>3</v>
      </c>
      <c r="X114" s="13">
        <f t="shared" ca="1" si="36"/>
        <v>8</v>
      </c>
      <c r="Y114" s="81" t="str">
        <f t="shared" ca="1" si="37"/>
        <v>MONITOR</v>
      </c>
      <c r="Z114" s="13">
        <v>14</v>
      </c>
      <c r="AA114" s="75">
        <v>46059</v>
      </c>
      <c r="AB114" s="75">
        <f t="shared" si="38"/>
        <v>45920</v>
      </c>
      <c r="AC114" s="88">
        <f t="shared" si="39"/>
        <v>19.857142857142858</v>
      </c>
      <c r="AD114" s="89" t="str">
        <f t="shared" ca="1" si="40"/>
        <v>STABLE</v>
      </c>
      <c r="AE114" s="89" t="str">
        <f t="shared" si="44"/>
        <v>SLOW SELLING</v>
      </c>
      <c r="AF114" s="89" t="str">
        <f t="shared" si="41"/>
        <v>AT RISK</v>
      </c>
      <c r="AG114" s="89" t="str">
        <f t="shared" si="42"/>
        <v>FEASIBLE</v>
      </c>
      <c r="AH114" s="81" t="str">
        <f t="shared" ca="1" si="43"/>
        <v>MONITOR</v>
      </c>
      <c r="AI114" s="75"/>
      <c r="AJ114" s="75"/>
      <c r="AK114" s="13"/>
      <c r="AL114" s="79"/>
      <c r="AM114" s="79"/>
      <c r="AN114" s="79"/>
      <c r="AO114" s="79"/>
      <c r="AP114" s="79"/>
      <c r="AQ114" s="75"/>
      <c r="AR114" s="75"/>
      <c r="AS114" s="75"/>
      <c r="AT114" s="75"/>
      <c r="AU114" s="75"/>
      <c r="AV114" s="13"/>
      <c r="AW114" s="13"/>
      <c r="AX114" s="13"/>
      <c r="AY114" s="13"/>
      <c r="AZ114" s="13"/>
      <c r="BA114" s="105"/>
      <c r="BB114" s="13"/>
      <c r="BC114" s="13"/>
      <c r="BD114" s="13"/>
      <c r="BE114" s="13"/>
      <c r="BF114" s="88"/>
      <c r="BG114" s="88"/>
      <c r="BH114" s="88"/>
      <c r="BI114" s="88"/>
      <c r="BJ114" s="88"/>
      <c r="BK114" s="105"/>
      <c r="BL114" s="105"/>
      <c r="BM114" s="105"/>
      <c r="BN114" s="105"/>
      <c r="BO114" s="105"/>
      <c r="BP114" s="105"/>
      <c r="BQ114" s="79"/>
      <c r="BR114" s="79"/>
      <c r="BS114" s="79"/>
      <c r="BT114" s="79"/>
      <c r="BU114" s="79"/>
      <c r="BV114" s="90"/>
      <c r="BW114" s="106"/>
      <c r="BX114" s="106"/>
      <c r="BY114" s="106"/>
      <c r="BZ114" s="106"/>
      <c r="CA114" s="106"/>
    </row>
    <row r="115" spans="1:79" x14ac:dyDescent="0.35">
      <c r="A115" s="25" t="s">
        <v>129</v>
      </c>
      <c r="B115" s="10" t="s">
        <v>326</v>
      </c>
      <c r="C115" s="10" t="s">
        <v>342</v>
      </c>
      <c r="D115" s="10" t="s">
        <v>346</v>
      </c>
      <c r="E115" s="11">
        <v>45864</v>
      </c>
      <c r="F115" s="17">
        <v>45892</v>
      </c>
      <c r="G115" s="14">
        <f t="shared" ca="1" si="23"/>
        <v>207</v>
      </c>
      <c r="H115" s="17">
        <v>999</v>
      </c>
      <c r="I115" s="17">
        <v>500</v>
      </c>
      <c r="J115" s="75">
        <f t="shared" si="24"/>
        <v>703</v>
      </c>
      <c r="K115" s="17">
        <v>1050</v>
      </c>
      <c r="L115" s="85">
        <v>347</v>
      </c>
      <c r="M115" s="86">
        <f t="shared" ca="1" si="25"/>
        <v>1.6763285024154588</v>
      </c>
      <c r="N115" s="86">
        <f t="shared" si="26"/>
        <v>0.80451009251471861</v>
      </c>
      <c r="O115" s="86">
        <f t="shared" si="27"/>
        <v>1.0579268292682926</v>
      </c>
      <c r="P115" s="87">
        <f t="shared" si="28"/>
        <v>86.75</v>
      </c>
      <c r="Q115" s="104">
        <f t="shared" si="29"/>
        <v>8.1037463976945237</v>
      </c>
      <c r="R115" s="88">
        <f t="shared" si="30"/>
        <v>49.949949949949954</v>
      </c>
      <c r="S115" s="88">
        <f t="shared" si="31"/>
        <v>33.047619047619051</v>
      </c>
      <c r="T115" s="13">
        <f t="shared" si="32"/>
        <v>3</v>
      </c>
      <c r="U115" s="13">
        <f t="shared" si="33"/>
        <v>1</v>
      </c>
      <c r="V115" s="13">
        <f t="shared" si="34"/>
        <v>2</v>
      </c>
      <c r="W115" s="13">
        <f t="shared" ca="1" si="35"/>
        <v>3</v>
      </c>
      <c r="X115" s="13">
        <f t="shared" ca="1" si="36"/>
        <v>9</v>
      </c>
      <c r="Y115" s="81" t="str">
        <f t="shared" ca="1" si="37"/>
        <v>RE-BUY</v>
      </c>
      <c r="Z115" s="13">
        <v>14</v>
      </c>
      <c r="AA115" s="75">
        <v>46059</v>
      </c>
      <c r="AB115" s="75">
        <f t="shared" si="38"/>
        <v>45920</v>
      </c>
      <c r="AC115" s="88">
        <f t="shared" si="39"/>
        <v>19.857142857142858</v>
      </c>
      <c r="AD115" s="89" t="str">
        <f t="shared" ca="1" si="40"/>
        <v>STABLE</v>
      </c>
      <c r="AE115" s="89" t="str">
        <f t="shared" si="44"/>
        <v>FAST SELLING</v>
      </c>
      <c r="AF115" s="89" t="str">
        <f t="shared" si="41"/>
        <v>AT RISK</v>
      </c>
      <c r="AG115" s="89" t="str">
        <f t="shared" si="42"/>
        <v>FEASIBLE</v>
      </c>
      <c r="AH115" s="81" t="str">
        <f t="shared" ca="1" si="43"/>
        <v>IMMEDIATE REBUY</v>
      </c>
      <c r="AI115" s="75"/>
      <c r="AJ115" s="75"/>
      <c r="AK115" s="13"/>
      <c r="AL115" s="79"/>
      <c r="AM115" s="79"/>
      <c r="AN115" s="79"/>
      <c r="AO115" s="79"/>
      <c r="AP115" s="79"/>
      <c r="AQ115" s="75"/>
      <c r="AR115" s="75"/>
      <c r="AS115" s="75"/>
      <c r="AT115" s="75"/>
      <c r="AU115" s="75"/>
      <c r="AV115" s="13"/>
      <c r="AW115" s="13"/>
      <c r="AX115" s="13"/>
      <c r="AY115" s="13"/>
      <c r="AZ115" s="13"/>
      <c r="BA115" s="105"/>
      <c r="BB115" s="13"/>
      <c r="BC115" s="13"/>
      <c r="BD115" s="13"/>
      <c r="BE115" s="13"/>
      <c r="BF115" s="88"/>
      <c r="BG115" s="88"/>
      <c r="BH115" s="88"/>
      <c r="BI115" s="88"/>
      <c r="BJ115" s="88"/>
      <c r="BK115" s="105"/>
      <c r="BL115" s="105"/>
      <c r="BM115" s="105"/>
      <c r="BN115" s="105"/>
      <c r="BO115" s="105"/>
      <c r="BP115" s="105"/>
      <c r="BQ115" s="79"/>
      <c r="BR115" s="79"/>
      <c r="BS115" s="79"/>
      <c r="BT115" s="79"/>
      <c r="BU115" s="79"/>
      <c r="BV115" s="90"/>
      <c r="BW115" s="106"/>
      <c r="BX115" s="106"/>
      <c r="BY115" s="106"/>
      <c r="BZ115" s="106"/>
      <c r="CA115" s="106"/>
    </row>
    <row r="116" spans="1:79" x14ac:dyDescent="0.35">
      <c r="A116" s="25" t="s">
        <v>130</v>
      </c>
      <c r="B116" s="10" t="s">
        <v>328</v>
      </c>
      <c r="C116" s="10" t="s">
        <v>342</v>
      </c>
      <c r="D116" s="10" t="s">
        <v>346</v>
      </c>
      <c r="E116" s="11">
        <v>45864</v>
      </c>
      <c r="F116" s="17">
        <v>45892</v>
      </c>
      <c r="G116" s="14">
        <f t="shared" ca="1" si="23"/>
        <v>207</v>
      </c>
      <c r="H116" s="17">
        <v>999</v>
      </c>
      <c r="I116" s="17">
        <v>480</v>
      </c>
      <c r="J116" s="75">
        <f t="shared" si="24"/>
        <v>1030</v>
      </c>
      <c r="K116" s="17">
        <v>1100</v>
      </c>
      <c r="L116" s="85">
        <v>70</v>
      </c>
      <c r="M116" s="86">
        <f t="shared" ca="1" si="25"/>
        <v>0.33816425120772947</v>
      </c>
      <c r="N116" s="86">
        <f t="shared" si="26"/>
        <v>0.80451009251471861</v>
      </c>
      <c r="O116" s="86">
        <f t="shared" si="27"/>
        <v>0.21341463414634146</v>
      </c>
      <c r="P116" s="87">
        <f t="shared" si="28"/>
        <v>17.5</v>
      </c>
      <c r="Q116" s="104">
        <f t="shared" si="29"/>
        <v>58.857142857142854</v>
      </c>
      <c r="R116" s="88">
        <f t="shared" si="30"/>
        <v>51.951951951951948</v>
      </c>
      <c r="S116" s="88">
        <f t="shared" si="31"/>
        <v>6.3636363636363633</v>
      </c>
      <c r="T116" s="13">
        <f t="shared" si="32"/>
        <v>1</v>
      </c>
      <c r="U116" s="13">
        <f t="shared" si="33"/>
        <v>1</v>
      </c>
      <c r="V116" s="13">
        <f t="shared" si="34"/>
        <v>2</v>
      </c>
      <c r="W116" s="13">
        <f t="shared" ca="1" si="35"/>
        <v>3</v>
      </c>
      <c r="X116" s="13">
        <f t="shared" ca="1" si="36"/>
        <v>7</v>
      </c>
      <c r="Y116" s="81" t="str">
        <f t="shared" ca="1" si="37"/>
        <v>MONITOR</v>
      </c>
      <c r="Z116" s="13">
        <v>14</v>
      </c>
      <c r="AA116" s="75">
        <v>46059</v>
      </c>
      <c r="AB116" s="75">
        <f t="shared" si="38"/>
        <v>45920</v>
      </c>
      <c r="AC116" s="88">
        <f t="shared" si="39"/>
        <v>19.857142857142858</v>
      </c>
      <c r="AD116" s="89" t="str">
        <f t="shared" ca="1" si="40"/>
        <v>STABLE</v>
      </c>
      <c r="AE116" s="89" t="str">
        <f t="shared" si="44"/>
        <v>SLOW SELLING</v>
      </c>
      <c r="AF116" s="89" t="str">
        <f t="shared" si="41"/>
        <v>AT RISK</v>
      </c>
      <c r="AG116" s="89" t="str">
        <f t="shared" si="42"/>
        <v>FEASIBLE</v>
      </c>
      <c r="AH116" s="81" t="str">
        <f t="shared" ca="1" si="43"/>
        <v>MONITOR</v>
      </c>
      <c r="AI116" s="75"/>
      <c r="AJ116" s="75"/>
      <c r="AK116" s="13"/>
      <c r="AL116" s="79"/>
      <c r="AM116" s="79"/>
      <c r="AN116" s="79"/>
      <c r="AO116" s="79"/>
      <c r="AP116" s="79"/>
      <c r="AQ116" s="75"/>
      <c r="AR116" s="75"/>
      <c r="AS116" s="75"/>
      <c r="AT116" s="75"/>
      <c r="AU116" s="75"/>
      <c r="AV116" s="13"/>
      <c r="AW116" s="13"/>
      <c r="AX116" s="13"/>
      <c r="AY116" s="13"/>
      <c r="AZ116" s="13"/>
      <c r="BA116" s="105"/>
      <c r="BB116" s="13"/>
      <c r="BC116" s="13"/>
      <c r="BD116" s="13"/>
      <c r="BE116" s="13"/>
      <c r="BF116" s="88"/>
      <c r="BG116" s="88"/>
      <c r="BH116" s="88"/>
      <c r="BI116" s="88"/>
      <c r="BJ116" s="88"/>
      <c r="BK116" s="105"/>
      <c r="BL116" s="105"/>
      <c r="BM116" s="105"/>
      <c r="BN116" s="105"/>
      <c r="BO116" s="105"/>
      <c r="BP116" s="105"/>
      <c r="BQ116" s="79"/>
      <c r="BR116" s="79"/>
      <c r="BS116" s="79"/>
      <c r="BT116" s="79"/>
      <c r="BU116" s="79"/>
      <c r="BV116" s="90"/>
      <c r="BW116" s="106"/>
      <c r="BX116" s="106"/>
      <c r="BY116" s="106"/>
      <c r="BZ116" s="106"/>
      <c r="CA116" s="106"/>
    </row>
    <row r="117" spans="1:79" x14ac:dyDescent="0.35">
      <c r="A117" s="25" t="s">
        <v>131</v>
      </c>
      <c r="B117" s="10" t="s">
        <v>328</v>
      </c>
      <c r="C117" s="10" t="s">
        <v>342</v>
      </c>
      <c r="D117" s="10" t="s">
        <v>346</v>
      </c>
      <c r="E117" s="11">
        <v>45864</v>
      </c>
      <c r="F117" s="17">
        <v>45892</v>
      </c>
      <c r="G117" s="14">
        <f t="shared" ca="1" si="23"/>
        <v>207</v>
      </c>
      <c r="H117" s="17">
        <v>999</v>
      </c>
      <c r="I117" s="17">
        <v>530</v>
      </c>
      <c r="J117" s="75">
        <f t="shared" si="24"/>
        <v>1060</v>
      </c>
      <c r="K117" s="17">
        <v>1100</v>
      </c>
      <c r="L117" s="85">
        <v>40</v>
      </c>
      <c r="M117" s="86">
        <f t="shared" ca="1" si="25"/>
        <v>0.19323671497584541</v>
      </c>
      <c r="N117" s="86">
        <f t="shared" si="26"/>
        <v>0.80451009251471861</v>
      </c>
      <c r="O117" s="86">
        <f t="shared" si="27"/>
        <v>0.12195121951219512</v>
      </c>
      <c r="P117" s="87">
        <f t="shared" si="28"/>
        <v>10</v>
      </c>
      <c r="Q117" s="104">
        <f t="shared" si="29"/>
        <v>106</v>
      </c>
      <c r="R117" s="88">
        <f t="shared" si="30"/>
        <v>46.946946946946952</v>
      </c>
      <c r="S117" s="88">
        <f t="shared" si="31"/>
        <v>3.6363636363636362</v>
      </c>
      <c r="T117" s="13">
        <f t="shared" si="32"/>
        <v>1</v>
      </c>
      <c r="U117" s="13">
        <f t="shared" si="33"/>
        <v>1</v>
      </c>
      <c r="V117" s="13">
        <f t="shared" si="34"/>
        <v>2</v>
      </c>
      <c r="W117" s="13">
        <f t="shared" ca="1" si="35"/>
        <v>3</v>
      </c>
      <c r="X117" s="13">
        <f t="shared" ca="1" si="36"/>
        <v>7</v>
      </c>
      <c r="Y117" s="81" t="str">
        <f t="shared" ca="1" si="37"/>
        <v>MONITOR</v>
      </c>
      <c r="Z117" s="13">
        <v>14</v>
      </c>
      <c r="AA117" s="75">
        <v>46059</v>
      </c>
      <c r="AB117" s="75">
        <f t="shared" si="38"/>
        <v>45920</v>
      </c>
      <c r="AC117" s="88">
        <f t="shared" si="39"/>
        <v>19.857142857142858</v>
      </c>
      <c r="AD117" s="89" t="str">
        <f t="shared" ca="1" si="40"/>
        <v>STABLE</v>
      </c>
      <c r="AE117" s="89" t="str">
        <f t="shared" si="44"/>
        <v>SLOW SELLING</v>
      </c>
      <c r="AF117" s="89" t="str">
        <f t="shared" si="41"/>
        <v>AT RISK</v>
      </c>
      <c r="AG117" s="89" t="str">
        <f t="shared" si="42"/>
        <v>FEASIBLE</v>
      </c>
      <c r="AH117" s="81" t="str">
        <f t="shared" ca="1" si="43"/>
        <v>MONITOR</v>
      </c>
      <c r="AI117" s="75"/>
      <c r="AJ117" s="75"/>
      <c r="AK117" s="13"/>
      <c r="AL117" s="79"/>
      <c r="AM117" s="79"/>
      <c r="AN117" s="79"/>
      <c r="AO117" s="79"/>
      <c r="AP117" s="79"/>
      <c r="AQ117" s="75"/>
      <c r="AR117" s="75"/>
      <c r="AS117" s="75"/>
      <c r="AT117" s="75"/>
      <c r="AU117" s="75"/>
      <c r="AV117" s="13"/>
      <c r="AW117" s="13"/>
      <c r="AX117" s="13"/>
      <c r="AY117" s="13"/>
      <c r="AZ117" s="13"/>
      <c r="BA117" s="105"/>
      <c r="BB117" s="13"/>
      <c r="BC117" s="13"/>
      <c r="BD117" s="13"/>
      <c r="BE117" s="13"/>
      <c r="BF117" s="88"/>
      <c r="BG117" s="88"/>
      <c r="BH117" s="88"/>
      <c r="BI117" s="88"/>
      <c r="BJ117" s="88"/>
      <c r="BK117" s="105"/>
      <c r="BL117" s="105"/>
      <c r="BM117" s="105"/>
      <c r="BN117" s="105"/>
      <c r="BO117" s="105"/>
      <c r="BP117" s="105"/>
      <c r="BQ117" s="79"/>
      <c r="BR117" s="79"/>
      <c r="BS117" s="79"/>
      <c r="BT117" s="79"/>
      <c r="BU117" s="79"/>
      <c r="BV117" s="90"/>
      <c r="BW117" s="106"/>
      <c r="BX117" s="106"/>
      <c r="BY117" s="106"/>
      <c r="BZ117" s="106"/>
      <c r="CA117" s="106"/>
    </row>
    <row r="118" spans="1:79" x14ac:dyDescent="0.35">
      <c r="A118" s="25" t="s">
        <v>132</v>
      </c>
      <c r="B118" s="10" t="s">
        <v>328</v>
      </c>
      <c r="C118" s="10" t="s">
        <v>342</v>
      </c>
      <c r="D118" s="10" t="s">
        <v>346</v>
      </c>
      <c r="E118" s="11">
        <v>45892</v>
      </c>
      <c r="F118" s="17">
        <v>45892</v>
      </c>
      <c r="G118" s="14">
        <f t="shared" ca="1" si="23"/>
        <v>207</v>
      </c>
      <c r="H118" s="17">
        <v>999</v>
      </c>
      <c r="I118" s="17">
        <v>480</v>
      </c>
      <c r="J118" s="75">
        <f t="shared" si="24"/>
        <v>973</v>
      </c>
      <c r="K118" s="17">
        <v>1200</v>
      </c>
      <c r="L118" s="85">
        <v>227</v>
      </c>
      <c r="M118" s="86">
        <f t="shared" ca="1" si="25"/>
        <v>1.0966183574879227</v>
      </c>
      <c r="N118" s="86">
        <f t="shared" si="26"/>
        <v>0.80451009251471861</v>
      </c>
      <c r="O118" s="86">
        <f t="shared" si="27"/>
        <v>0.69207317073170727</v>
      </c>
      <c r="P118" s="87">
        <f t="shared" si="28"/>
        <v>56.749999999999993</v>
      </c>
      <c r="Q118" s="104">
        <f t="shared" si="29"/>
        <v>17.145374449339208</v>
      </c>
      <c r="R118" s="88">
        <f t="shared" si="30"/>
        <v>51.951951951951948</v>
      </c>
      <c r="S118" s="88">
        <f t="shared" si="31"/>
        <v>18.916666666666668</v>
      </c>
      <c r="T118" s="13">
        <f t="shared" si="32"/>
        <v>2</v>
      </c>
      <c r="U118" s="13">
        <f t="shared" si="33"/>
        <v>1</v>
      </c>
      <c r="V118" s="13">
        <f t="shared" si="34"/>
        <v>2</v>
      </c>
      <c r="W118" s="13">
        <f t="shared" ca="1" si="35"/>
        <v>3</v>
      </c>
      <c r="X118" s="13">
        <f t="shared" ca="1" si="36"/>
        <v>8</v>
      </c>
      <c r="Y118" s="81" t="str">
        <f t="shared" ca="1" si="37"/>
        <v>MONITOR</v>
      </c>
      <c r="Z118" s="13">
        <v>14</v>
      </c>
      <c r="AA118" s="75">
        <v>46059</v>
      </c>
      <c r="AB118" s="75">
        <f t="shared" si="38"/>
        <v>45920</v>
      </c>
      <c r="AC118" s="88">
        <f t="shared" si="39"/>
        <v>19.857142857142858</v>
      </c>
      <c r="AD118" s="89" t="str">
        <f t="shared" ca="1" si="40"/>
        <v>STABLE</v>
      </c>
      <c r="AE118" s="89" t="str">
        <f t="shared" si="44"/>
        <v>SLOW SELLING</v>
      </c>
      <c r="AF118" s="89" t="str">
        <f t="shared" si="41"/>
        <v>AT RISK</v>
      </c>
      <c r="AG118" s="89" t="str">
        <f t="shared" si="42"/>
        <v>FEASIBLE</v>
      </c>
      <c r="AH118" s="81" t="str">
        <f t="shared" ca="1" si="43"/>
        <v>MONITOR</v>
      </c>
      <c r="AI118" s="75"/>
      <c r="AJ118" s="75"/>
      <c r="AK118" s="13"/>
      <c r="AL118" s="79"/>
      <c r="AM118" s="79"/>
      <c r="AN118" s="79"/>
      <c r="AO118" s="79"/>
      <c r="AP118" s="79"/>
      <c r="AQ118" s="75"/>
      <c r="AR118" s="75"/>
      <c r="AS118" s="75"/>
      <c r="AT118" s="75"/>
      <c r="AU118" s="75"/>
      <c r="AV118" s="13"/>
      <c r="AW118" s="13"/>
      <c r="AX118" s="13"/>
      <c r="AY118" s="13"/>
      <c r="AZ118" s="13"/>
      <c r="BA118" s="105"/>
      <c r="BB118" s="13"/>
      <c r="BC118" s="13"/>
      <c r="BD118" s="13"/>
      <c r="BE118" s="13"/>
      <c r="BF118" s="88"/>
      <c r="BG118" s="88"/>
      <c r="BH118" s="88"/>
      <c r="BI118" s="88"/>
      <c r="BJ118" s="88"/>
      <c r="BK118" s="105"/>
      <c r="BL118" s="105"/>
      <c r="BM118" s="105"/>
      <c r="BN118" s="105"/>
      <c r="BO118" s="105"/>
      <c r="BP118" s="105"/>
      <c r="BQ118" s="79"/>
      <c r="BR118" s="79"/>
      <c r="BS118" s="79"/>
      <c r="BT118" s="79"/>
      <c r="BU118" s="79"/>
      <c r="BV118" s="90"/>
      <c r="BW118" s="106"/>
      <c r="BX118" s="106"/>
      <c r="BY118" s="106"/>
      <c r="BZ118" s="106"/>
      <c r="CA118" s="106"/>
    </row>
    <row r="119" spans="1:79" x14ac:dyDescent="0.35">
      <c r="A119" s="25" t="s">
        <v>133</v>
      </c>
      <c r="B119" s="10" t="s">
        <v>328</v>
      </c>
      <c r="C119" s="10" t="s">
        <v>342</v>
      </c>
      <c r="D119" s="10" t="s">
        <v>346</v>
      </c>
      <c r="E119" s="11">
        <v>45920</v>
      </c>
      <c r="F119" s="17">
        <v>45892</v>
      </c>
      <c r="G119" s="14">
        <f t="shared" ca="1" si="23"/>
        <v>207</v>
      </c>
      <c r="H119" s="17">
        <v>999</v>
      </c>
      <c r="I119" s="17">
        <v>470</v>
      </c>
      <c r="J119" s="75">
        <f t="shared" si="24"/>
        <v>738</v>
      </c>
      <c r="K119" s="17">
        <v>1100</v>
      </c>
      <c r="L119" s="85">
        <v>362</v>
      </c>
      <c r="M119" s="86">
        <f t="shared" ca="1" si="25"/>
        <v>1.748792270531401</v>
      </c>
      <c r="N119" s="86">
        <f t="shared" si="26"/>
        <v>0.80451009251471861</v>
      </c>
      <c r="O119" s="86">
        <f t="shared" si="27"/>
        <v>1.1036585365853659</v>
      </c>
      <c r="P119" s="87">
        <f t="shared" si="28"/>
        <v>90.500000000000014</v>
      </c>
      <c r="Q119" s="104">
        <f t="shared" si="29"/>
        <v>8.1546961325966834</v>
      </c>
      <c r="R119" s="88">
        <f t="shared" si="30"/>
        <v>52.952952952952948</v>
      </c>
      <c r="S119" s="88">
        <f t="shared" si="31"/>
        <v>32.909090909090907</v>
      </c>
      <c r="T119" s="13">
        <f t="shared" si="32"/>
        <v>3</v>
      </c>
      <c r="U119" s="13">
        <f t="shared" si="33"/>
        <v>1</v>
      </c>
      <c r="V119" s="13">
        <f t="shared" si="34"/>
        <v>2</v>
      </c>
      <c r="W119" s="13">
        <f t="shared" ca="1" si="35"/>
        <v>3</v>
      </c>
      <c r="X119" s="13">
        <f t="shared" ca="1" si="36"/>
        <v>9</v>
      </c>
      <c r="Y119" s="81" t="str">
        <f t="shared" ca="1" si="37"/>
        <v>RE-BUY</v>
      </c>
      <c r="Z119" s="13">
        <v>14</v>
      </c>
      <c r="AA119" s="75">
        <v>46059</v>
      </c>
      <c r="AB119" s="75">
        <f t="shared" si="38"/>
        <v>45920</v>
      </c>
      <c r="AC119" s="88">
        <f t="shared" si="39"/>
        <v>19.857142857142858</v>
      </c>
      <c r="AD119" s="89" t="str">
        <f t="shared" ca="1" si="40"/>
        <v>STABLE</v>
      </c>
      <c r="AE119" s="89" t="str">
        <f t="shared" si="44"/>
        <v>FAST SELLING</v>
      </c>
      <c r="AF119" s="89" t="str">
        <f t="shared" si="41"/>
        <v>AT RISK</v>
      </c>
      <c r="AG119" s="89" t="str">
        <f t="shared" si="42"/>
        <v>FEASIBLE</v>
      </c>
      <c r="AH119" s="81" t="str">
        <f t="shared" ca="1" si="43"/>
        <v>IMMEDIATE REBUY</v>
      </c>
      <c r="AI119" s="75"/>
      <c r="AJ119" s="75"/>
      <c r="AK119" s="13"/>
      <c r="AL119" s="79"/>
      <c r="AM119" s="79"/>
      <c r="AN119" s="79"/>
      <c r="AO119" s="79"/>
      <c r="AP119" s="79"/>
      <c r="AQ119" s="75"/>
      <c r="AR119" s="75"/>
      <c r="AS119" s="75"/>
      <c r="AT119" s="75"/>
      <c r="AU119" s="75"/>
      <c r="AV119" s="13"/>
      <c r="AW119" s="13"/>
      <c r="AX119" s="13"/>
      <c r="AY119" s="13"/>
      <c r="AZ119" s="13"/>
      <c r="BA119" s="105"/>
      <c r="BB119" s="13"/>
      <c r="BC119" s="13"/>
      <c r="BD119" s="13"/>
      <c r="BE119" s="13"/>
      <c r="BF119" s="88"/>
      <c r="BG119" s="88"/>
      <c r="BH119" s="88"/>
      <c r="BI119" s="88"/>
      <c r="BJ119" s="88"/>
      <c r="BK119" s="105"/>
      <c r="BL119" s="105"/>
      <c r="BM119" s="105"/>
      <c r="BN119" s="105"/>
      <c r="BO119" s="105"/>
      <c r="BP119" s="105"/>
      <c r="BQ119" s="79"/>
      <c r="BR119" s="79"/>
      <c r="BS119" s="79"/>
      <c r="BT119" s="79"/>
      <c r="BU119" s="79"/>
      <c r="BV119" s="90"/>
      <c r="BW119" s="106"/>
      <c r="BX119" s="106"/>
      <c r="BY119" s="106"/>
      <c r="BZ119" s="106"/>
      <c r="CA119" s="106"/>
    </row>
    <row r="120" spans="1:79" x14ac:dyDescent="0.35">
      <c r="A120" s="25" t="s">
        <v>134</v>
      </c>
      <c r="B120" s="10" t="s">
        <v>328</v>
      </c>
      <c r="C120" s="10" t="s">
        <v>342</v>
      </c>
      <c r="D120" s="10" t="s">
        <v>346</v>
      </c>
      <c r="E120" s="11">
        <v>45920</v>
      </c>
      <c r="F120" s="17">
        <v>45892</v>
      </c>
      <c r="G120" s="14">
        <f t="shared" ca="1" si="23"/>
        <v>207</v>
      </c>
      <c r="H120" s="17">
        <v>999</v>
      </c>
      <c r="I120" s="17">
        <v>530</v>
      </c>
      <c r="J120" s="75">
        <f t="shared" si="24"/>
        <v>702</v>
      </c>
      <c r="K120" s="17">
        <v>1100</v>
      </c>
      <c r="L120" s="85">
        <v>398</v>
      </c>
      <c r="M120" s="86">
        <f t="shared" ca="1" si="25"/>
        <v>1.9227053140096619</v>
      </c>
      <c r="N120" s="86">
        <f t="shared" si="26"/>
        <v>0.80451009251471861</v>
      </c>
      <c r="O120" s="86">
        <f t="shared" si="27"/>
        <v>1.2134146341463414</v>
      </c>
      <c r="P120" s="87">
        <f t="shared" si="28"/>
        <v>99.5</v>
      </c>
      <c r="Q120" s="104">
        <f t="shared" si="29"/>
        <v>7.0552763819095476</v>
      </c>
      <c r="R120" s="88">
        <f t="shared" si="30"/>
        <v>46.946946946946952</v>
      </c>
      <c r="S120" s="88">
        <f t="shared" si="31"/>
        <v>36.18181818181818</v>
      </c>
      <c r="T120" s="13">
        <f t="shared" si="32"/>
        <v>3</v>
      </c>
      <c r="U120" s="13">
        <f t="shared" si="33"/>
        <v>1</v>
      </c>
      <c r="V120" s="13">
        <f t="shared" si="34"/>
        <v>2</v>
      </c>
      <c r="W120" s="13">
        <f t="shared" ca="1" si="35"/>
        <v>3</v>
      </c>
      <c r="X120" s="13">
        <f t="shared" ca="1" si="36"/>
        <v>9</v>
      </c>
      <c r="Y120" s="81" t="str">
        <f t="shared" ca="1" si="37"/>
        <v>RE-BUY</v>
      </c>
      <c r="Z120" s="13">
        <v>14</v>
      </c>
      <c r="AA120" s="75">
        <v>46059</v>
      </c>
      <c r="AB120" s="75">
        <f t="shared" si="38"/>
        <v>45920</v>
      </c>
      <c r="AC120" s="88">
        <f t="shared" si="39"/>
        <v>19.857142857142858</v>
      </c>
      <c r="AD120" s="89" t="str">
        <f t="shared" ca="1" si="40"/>
        <v>STABLE</v>
      </c>
      <c r="AE120" s="89" t="str">
        <f t="shared" si="44"/>
        <v>FAST SELLING</v>
      </c>
      <c r="AF120" s="89" t="str">
        <f t="shared" si="41"/>
        <v>AT RISK</v>
      </c>
      <c r="AG120" s="89" t="str">
        <f t="shared" si="42"/>
        <v>FEASIBLE</v>
      </c>
      <c r="AH120" s="81" t="str">
        <f t="shared" ca="1" si="43"/>
        <v>IMMEDIATE REBUY</v>
      </c>
      <c r="AI120" s="75"/>
      <c r="AJ120" s="75"/>
      <c r="AK120" s="13"/>
      <c r="AL120" s="79"/>
      <c r="AM120" s="79"/>
      <c r="AN120" s="79"/>
      <c r="AO120" s="79"/>
      <c r="AP120" s="79"/>
      <c r="AQ120" s="75"/>
      <c r="AR120" s="75"/>
      <c r="AS120" s="75"/>
      <c r="AT120" s="75"/>
      <c r="AU120" s="75"/>
      <c r="AV120" s="13"/>
      <c r="AW120" s="13"/>
      <c r="AX120" s="13"/>
      <c r="AY120" s="13"/>
      <c r="AZ120" s="13"/>
      <c r="BA120" s="105"/>
      <c r="BB120" s="13"/>
      <c r="BC120" s="13"/>
      <c r="BD120" s="13"/>
      <c r="BE120" s="13"/>
      <c r="BF120" s="88"/>
      <c r="BG120" s="88"/>
      <c r="BH120" s="88"/>
      <c r="BI120" s="88"/>
      <c r="BJ120" s="88"/>
      <c r="BK120" s="105"/>
      <c r="BL120" s="105"/>
      <c r="BM120" s="105"/>
      <c r="BN120" s="105"/>
      <c r="BO120" s="105"/>
      <c r="BP120" s="105"/>
      <c r="BQ120" s="79"/>
      <c r="BR120" s="79"/>
      <c r="BS120" s="79"/>
      <c r="BT120" s="79"/>
      <c r="BU120" s="79"/>
      <c r="BV120" s="90"/>
      <c r="BW120" s="106"/>
      <c r="BX120" s="106"/>
      <c r="BY120" s="106"/>
      <c r="BZ120" s="106"/>
      <c r="CA120" s="106"/>
    </row>
    <row r="121" spans="1:79" x14ac:dyDescent="0.35">
      <c r="A121" s="25" t="s">
        <v>135</v>
      </c>
      <c r="B121" s="10" t="s">
        <v>319</v>
      </c>
      <c r="C121" s="10" t="s">
        <v>342</v>
      </c>
      <c r="D121" s="10" t="s">
        <v>346</v>
      </c>
      <c r="E121" s="11">
        <v>45864</v>
      </c>
      <c r="F121" s="17">
        <v>45892</v>
      </c>
      <c r="G121" s="14">
        <f t="shared" ca="1" si="23"/>
        <v>207</v>
      </c>
      <c r="H121" s="17">
        <v>599</v>
      </c>
      <c r="I121" s="17">
        <v>301</v>
      </c>
      <c r="J121" s="75">
        <f t="shared" si="24"/>
        <v>975</v>
      </c>
      <c r="K121" s="17">
        <v>1050</v>
      </c>
      <c r="L121" s="85">
        <v>75</v>
      </c>
      <c r="M121" s="86">
        <f t="shared" ca="1" si="25"/>
        <v>0.36231884057971014</v>
      </c>
      <c r="N121" s="86">
        <f t="shared" si="26"/>
        <v>0.80451009251471861</v>
      </c>
      <c r="O121" s="86">
        <f t="shared" si="27"/>
        <v>0.22865853658536586</v>
      </c>
      <c r="P121" s="87">
        <f t="shared" si="28"/>
        <v>18.75</v>
      </c>
      <c r="Q121" s="104">
        <f t="shared" si="29"/>
        <v>52</v>
      </c>
      <c r="R121" s="88">
        <f t="shared" si="30"/>
        <v>49.749582637729553</v>
      </c>
      <c r="S121" s="88">
        <f t="shared" si="31"/>
        <v>7.1428571428571423</v>
      </c>
      <c r="T121" s="13">
        <f t="shared" si="32"/>
        <v>1</v>
      </c>
      <c r="U121" s="13">
        <f t="shared" si="33"/>
        <v>1</v>
      </c>
      <c r="V121" s="13">
        <f t="shared" si="34"/>
        <v>2</v>
      </c>
      <c r="W121" s="13">
        <f t="shared" ca="1" si="35"/>
        <v>3</v>
      </c>
      <c r="X121" s="13">
        <f t="shared" ca="1" si="36"/>
        <v>7</v>
      </c>
      <c r="Y121" s="81" t="str">
        <f t="shared" ca="1" si="37"/>
        <v>MONITOR</v>
      </c>
      <c r="Z121" s="13">
        <v>14</v>
      </c>
      <c r="AA121" s="75">
        <v>46059</v>
      </c>
      <c r="AB121" s="75">
        <f t="shared" si="38"/>
        <v>45920</v>
      </c>
      <c r="AC121" s="88">
        <f t="shared" si="39"/>
        <v>19.857142857142858</v>
      </c>
      <c r="AD121" s="89" t="str">
        <f t="shared" ca="1" si="40"/>
        <v>STABLE</v>
      </c>
      <c r="AE121" s="89" t="str">
        <f t="shared" si="44"/>
        <v>SLOW SELLING</v>
      </c>
      <c r="AF121" s="89" t="str">
        <f t="shared" si="41"/>
        <v>AT RISK</v>
      </c>
      <c r="AG121" s="89" t="str">
        <f t="shared" si="42"/>
        <v>FEASIBLE</v>
      </c>
      <c r="AH121" s="81" t="str">
        <f t="shared" ca="1" si="43"/>
        <v>MONITOR</v>
      </c>
      <c r="AI121" s="75"/>
      <c r="AJ121" s="75"/>
      <c r="AK121" s="13"/>
      <c r="AL121" s="79"/>
      <c r="AM121" s="79"/>
      <c r="AN121" s="79"/>
      <c r="AO121" s="79"/>
      <c r="AP121" s="79"/>
      <c r="AQ121" s="75"/>
      <c r="AR121" s="75"/>
      <c r="AS121" s="75"/>
      <c r="AT121" s="75"/>
      <c r="AU121" s="75"/>
      <c r="AV121" s="13"/>
      <c r="AW121" s="13"/>
      <c r="AX121" s="13"/>
      <c r="AY121" s="13"/>
      <c r="AZ121" s="13"/>
      <c r="BA121" s="105"/>
      <c r="BB121" s="13"/>
      <c r="BC121" s="13"/>
      <c r="BD121" s="13"/>
      <c r="BE121" s="13"/>
      <c r="BF121" s="88"/>
      <c r="BG121" s="88"/>
      <c r="BH121" s="88"/>
      <c r="BI121" s="88"/>
      <c r="BJ121" s="88"/>
      <c r="BK121" s="105"/>
      <c r="BL121" s="105"/>
      <c r="BM121" s="105"/>
      <c r="BN121" s="105"/>
      <c r="BO121" s="105"/>
      <c r="BP121" s="105"/>
      <c r="BQ121" s="79"/>
      <c r="BR121" s="79"/>
      <c r="BS121" s="79"/>
      <c r="BT121" s="79"/>
      <c r="BU121" s="79"/>
      <c r="BV121" s="90"/>
      <c r="BW121" s="106"/>
      <c r="BX121" s="106"/>
      <c r="BY121" s="106"/>
      <c r="BZ121" s="106"/>
      <c r="CA121" s="106"/>
    </row>
    <row r="122" spans="1:79" x14ac:dyDescent="0.35">
      <c r="A122" s="25" t="s">
        <v>136</v>
      </c>
      <c r="B122" s="10" t="s">
        <v>319</v>
      </c>
      <c r="C122" s="10" t="s">
        <v>342</v>
      </c>
      <c r="D122" s="10" t="s">
        <v>346</v>
      </c>
      <c r="E122" s="11">
        <v>45920</v>
      </c>
      <c r="F122" s="17">
        <v>45892</v>
      </c>
      <c r="G122" s="14">
        <f t="shared" ca="1" si="23"/>
        <v>207</v>
      </c>
      <c r="H122" s="17">
        <v>599</v>
      </c>
      <c r="I122" s="17">
        <v>300</v>
      </c>
      <c r="J122" s="75">
        <f t="shared" si="24"/>
        <v>581</v>
      </c>
      <c r="K122" s="17">
        <v>750</v>
      </c>
      <c r="L122" s="85">
        <v>169</v>
      </c>
      <c r="M122" s="86">
        <f t="shared" ca="1" si="25"/>
        <v>0.81642512077294682</v>
      </c>
      <c r="N122" s="86">
        <f t="shared" si="26"/>
        <v>0.80451009251471861</v>
      </c>
      <c r="O122" s="86">
        <f t="shared" si="27"/>
        <v>0.5152439024390244</v>
      </c>
      <c r="P122" s="87">
        <f t="shared" si="28"/>
        <v>42.25</v>
      </c>
      <c r="Q122" s="104">
        <f t="shared" si="29"/>
        <v>13.751479289940828</v>
      </c>
      <c r="R122" s="88">
        <f t="shared" si="30"/>
        <v>49.916527545909851</v>
      </c>
      <c r="S122" s="88">
        <f t="shared" si="31"/>
        <v>22.533333333333331</v>
      </c>
      <c r="T122" s="13">
        <f t="shared" si="32"/>
        <v>1</v>
      </c>
      <c r="U122" s="13">
        <f t="shared" si="33"/>
        <v>1</v>
      </c>
      <c r="V122" s="13">
        <f t="shared" si="34"/>
        <v>2</v>
      </c>
      <c r="W122" s="13">
        <f t="shared" ca="1" si="35"/>
        <v>3</v>
      </c>
      <c r="X122" s="13">
        <f t="shared" ca="1" si="36"/>
        <v>7</v>
      </c>
      <c r="Y122" s="81" t="str">
        <f t="shared" ca="1" si="37"/>
        <v>MONITOR</v>
      </c>
      <c r="Z122" s="13">
        <v>14</v>
      </c>
      <c r="AA122" s="75">
        <v>46059</v>
      </c>
      <c r="AB122" s="75">
        <f t="shared" si="38"/>
        <v>45920</v>
      </c>
      <c r="AC122" s="88">
        <f t="shared" si="39"/>
        <v>19.857142857142858</v>
      </c>
      <c r="AD122" s="89" t="str">
        <f t="shared" ca="1" si="40"/>
        <v>STABLE</v>
      </c>
      <c r="AE122" s="89" t="str">
        <f t="shared" si="44"/>
        <v>SLOW SELLING</v>
      </c>
      <c r="AF122" s="89" t="str">
        <f t="shared" si="41"/>
        <v>AT RISK</v>
      </c>
      <c r="AG122" s="89" t="str">
        <f t="shared" si="42"/>
        <v>FEASIBLE</v>
      </c>
      <c r="AH122" s="81" t="str">
        <f t="shared" ca="1" si="43"/>
        <v>MONITOR</v>
      </c>
      <c r="AI122" s="75"/>
      <c r="AJ122" s="75"/>
      <c r="AK122" s="13"/>
      <c r="AL122" s="79"/>
      <c r="AM122" s="79"/>
      <c r="AN122" s="79"/>
      <c r="AO122" s="79"/>
      <c r="AP122" s="79"/>
      <c r="AQ122" s="75"/>
      <c r="AR122" s="75"/>
      <c r="AS122" s="75"/>
      <c r="AT122" s="75"/>
      <c r="AU122" s="75"/>
      <c r="AV122" s="13"/>
      <c r="AW122" s="13"/>
      <c r="AX122" s="13"/>
      <c r="AY122" s="13"/>
      <c r="AZ122" s="13"/>
      <c r="BA122" s="105"/>
      <c r="BB122" s="13"/>
      <c r="BC122" s="13"/>
      <c r="BD122" s="13"/>
      <c r="BE122" s="13"/>
      <c r="BF122" s="88"/>
      <c r="BG122" s="88"/>
      <c r="BH122" s="88"/>
      <c r="BI122" s="88"/>
      <c r="BJ122" s="88"/>
      <c r="BK122" s="105"/>
      <c r="BL122" s="105"/>
      <c r="BM122" s="105"/>
      <c r="BN122" s="105"/>
      <c r="BO122" s="105"/>
      <c r="BP122" s="105"/>
      <c r="BQ122" s="79"/>
      <c r="BR122" s="79"/>
      <c r="BS122" s="79"/>
      <c r="BT122" s="79"/>
      <c r="BU122" s="79"/>
      <c r="BV122" s="90"/>
      <c r="BW122" s="106"/>
      <c r="BX122" s="106"/>
      <c r="BY122" s="106"/>
      <c r="BZ122" s="106"/>
      <c r="CA122" s="106"/>
    </row>
    <row r="123" spans="1:79" x14ac:dyDescent="0.35">
      <c r="A123" s="25" t="s">
        <v>137</v>
      </c>
      <c r="B123" s="10" t="s">
        <v>319</v>
      </c>
      <c r="C123" s="10" t="s">
        <v>342</v>
      </c>
      <c r="D123" s="10" t="s">
        <v>346</v>
      </c>
      <c r="E123" s="11">
        <v>45920</v>
      </c>
      <c r="F123" s="17">
        <v>45892</v>
      </c>
      <c r="G123" s="14">
        <f t="shared" ca="1" si="23"/>
        <v>207</v>
      </c>
      <c r="H123" s="17">
        <v>599</v>
      </c>
      <c r="I123" s="17">
        <v>305</v>
      </c>
      <c r="J123" s="75">
        <f t="shared" si="24"/>
        <v>916</v>
      </c>
      <c r="K123" s="17">
        <v>1050</v>
      </c>
      <c r="L123" s="85">
        <v>134</v>
      </c>
      <c r="M123" s="86">
        <f t="shared" ca="1" si="25"/>
        <v>0.64734299516908211</v>
      </c>
      <c r="N123" s="86">
        <f t="shared" si="26"/>
        <v>0.80451009251471861</v>
      </c>
      <c r="O123" s="86">
        <f t="shared" si="27"/>
        <v>0.40853658536585363</v>
      </c>
      <c r="P123" s="87">
        <f t="shared" si="28"/>
        <v>33.5</v>
      </c>
      <c r="Q123" s="104">
        <f t="shared" si="29"/>
        <v>27.343283582089551</v>
      </c>
      <c r="R123" s="88">
        <f t="shared" si="30"/>
        <v>49.081803005008346</v>
      </c>
      <c r="S123" s="88">
        <f t="shared" si="31"/>
        <v>12.761904761904763</v>
      </c>
      <c r="T123" s="13">
        <f t="shared" si="32"/>
        <v>1</v>
      </c>
      <c r="U123" s="13">
        <f t="shared" si="33"/>
        <v>1</v>
      </c>
      <c r="V123" s="13">
        <f t="shared" si="34"/>
        <v>2</v>
      </c>
      <c r="W123" s="13">
        <f t="shared" ca="1" si="35"/>
        <v>3</v>
      </c>
      <c r="X123" s="13">
        <f t="shared" ca="1" si="36"/>
        <v>7</v>
      </c>
      <c r="Y123" s="81" t="str">
        <f t="shared" ca="1" si="37"/>
        <v>MONITOR</v>
      </c>
      <c r="Z123" s="13">
        <v>14</v>
      </c>
      <c r="AA123" s="75">
        <v>46059</v>
      </c>
      <c r="AB123" s="75">
        <f t="shared" si="38"/>
        <v>45920</v>
      </c>
      <c r="AC123" s="88">
        <f t="shared" si="39"/>
        <v>19.857142857142858</v>
      </c>
      <c r="AD123" s="89" t="str">
        <f t="shared" ca="1" si="40"/>
        <v>STABLE</v>
      </c>
      <c r="AE123" s="89" t="str">
        <f t="shared" si="44"/>
        <v>SLOW SELLING</v>
      </c>
      <c r="AF123" s="89" t="str">
        <f t="shared" si="41"/>
        <v>AT RISK</v>
      </c>
      <c r="AG123" s="89" t="str">
        <f t="shared" si="42"/>
        <v>FEASIBLE</v>
      </c>
      <c r="AH123" s="81" t="str">
        <f t="shared" ca="1" si="43"/>
        <v>MONITOR</v>
      </c>
      <c r="AI123" s="75"/>
      <c r="AJ123" s="75"/>
      <c r="AK123" s="13"/>
      <c r="AL123" s="79"/>
      <c r="AM123" s="79"/>
      <c r="AN123" s="79"/>
      <c r="AO123" s="79"/>
      <c r="AP123" s="79"/>
      <c r="AQ123" s="75"/>
      <c r="AR123" s="75"/>
      <c r="AS123" s="75"/>
      <c r="AT123" s="75"/>
      <c r="AU123" s="75"/>
      <c r="AV123" s="13"/>
      <c r="AW123" s="13"/>
      <c r="AX123" s="13"/>
      <c r="AY123" s="13"/>
      <c r="AZ123" s="13"/>
      <c r="BA123" s="105"/>
      <c r="BB123" s="13"/>
      <c r="BC123" s="13"/>
      <c r="BD123" s="13"/>
      <c r="BE123" s="13"/>
      <c r="BF123" s="88"/>
      <c r="BG123" s="88"/>
      <c r="BH123" s="88"/>
      <c r="BI123" s="88"/>
      <c r="BJ123" s="88"/>
      <c r="BK123" s="105"/>
      <c r="BL123" s="105"/>
      <c r="BM123" s="105"/>
      <c r="BN123" s="105"/>
      <c r="BO123" s="105"/>
      <c r="BP123" s="105"/>
      <c r="BQ123" s="79"/>
      <c r="BR123" s="79"/>
      <c r="BS123" s="79"/>
      <c r="BT123" s="79"/>
      <c r="BU123" s="79"/>
      <c r="BV123" s="90"/>
      <c r="BW123" s="106"/>
      <c r="BX123" s="106"/>
      <c r="BY123" s="106"/>
      <c r="BZ123" s="106"/>
      <c r="CA123" s="106"/>
    </row>
    <row r="124" spans="1:79" x14ac:dyDescent="0.35">
      <c r="A124" s="25" t="s">
        <v>138</v>
      </c>
      <c r="B124" s="10" t="s">
        <v>327</v>
      </c>
      <c r="C124" s="10" t="s">
        <v>342</v>
      </c>
      <c r="D124" s="10" t="s">
        <v>346</v>
      </c>
      <c r="E124" s="11">
        <v>45906</v>
      </c>
      <c r="F124" s="17">
        <v>45892</v>
      </c>
      <c r="G124" s="14">
        <f t="shared" ca="1" si="23"/>
        <v>207</v>
      </c>
      <c r="H124" s="17">
        <v>599</v>
      </c>
      <c r="I124" s="17">
        <v>290</v>
      </c>
      <c r="J124" s="75">
        <f t="shared" si="24"/>
        <v>1058</v>
      </c>
      <c r="K124" s="17">
        <v>1100</v>
      </c>
      <c r="L124" s="85">
        <v>42</v>
      </c>
      <c r="M124" s="86">
        <f t="shared" ca="1" si="25"/>
        <v>0.20289855072463769</v>
      </c>
      <c r="N124" s="86">
        <f t="shared" si="26"/>
        <v>0.80451009251471861</v>
      </c>
      <c r="O124" s="86">
        <f t="shared" si="27"/>
        <v>0.12804878048780488</v>
      </c>
      <c r="P124" s="87">
        <f t="shared" si="28"/>
        <v>10.5</v>
      </c>
      <c r="Q124" s="104">
        <f t="shared" si="29"/>
        <v>100.76190476190476</v>
      </c>
      <c r="R124" s="88">
        <f t="shared" si="30"/>
        <v>51.58597662771286</v>
      </c>
      <c r="S124" s="88">
        <f t="shared" si="31"/>
        <v>3.8181818181818183</v>
      </c>
      <c r="T124" s="13">
        <f t="shared" si="32"/>
        <v>1</v>
      </c>
      <c r="U124" s="13">
        <f t="shared" si="33"/>
        <v>1</v>
      </c>
      <c r="V124" s="13">
        <f t="shared" si="34"/>
        <v>2</v>
      </c>
      <c r="W124" s="13">
        <f t="shared" ca="1" si="35"/>
        <v>3</v>
      </c>
      <c r="X124" s="13">
        <f t="shared" ca="1" si="36"/>
        <v>7</v>
      </c>
      <c r="Y124" s="81" t="str">
        <f t="shared" ca="1" si="37"/>
        <v>MONITOR</v>
      </c>
      <c r="Z124" s="13">
        <v>14</v>
      </c>
      <c r="AA124" s="75">
        <v>46059</v>
      </c>
      <c r="AB124" s="75">
        <f t="shared" si="38"/>
        <v>45920</v>
      </c>
      <c r="AC124" s="88">
        <f t="shared" si="39"/>
        <v>19.857142857142858</v>
      </c>
      <c r="AD124" s="89" t="str">
        <f t="shared" ca="1" si="40"/>
        <v>STABLE</v>
      </c>
      <c r="AE124" s="89" t="str">
        <f t="shared" si="44"/>
        <v>SLOW SELLING</v>
      </c>
      <c r="AF124" s="89" t="str">
        <f t="shared" si="41"/>
        <v>AT RISK</v>
      </c>
      <c r="AG124" s="89" t="str">
        <f t="shared" si="42"/>
        <v>FEASIBLE</v>
      </c>
      <c r="AH124" s="81" t="str">
        <f t="shared" ca="1" si="43"/>
        <v>MONITOR</v>
      </c>
      <c r="AI124" s="75"/>
      <c r="AJ124" s="75"/>
      <c r="AK124" s="13"/>
      <c r="AL124" s="79"/>
      <c r="AM124" s="79"/>
      <c r="AN124" s="79"/>
      <c r="AO124" s="79"/>
      <c r="AP124" s="79"/>
      <c r="AQ124" s="75"/>
      <c r="AR124" s="75"/>
      <c r="AS124" s="75"/>
      <c r="AT124" s="75"/>
      <c r="AU124" s="75"/>
      <c r="AV124" s="13"/>
      <c r="AW124" s="13"/>
      <c r="AX124" s="13"/>
      <c r="AY124" s="13"/>
      <c r="AZ124" s="13"/>
      <c r="BA124" s="105"/>
      <c r="BB124" s="13"/>
      <c r="BC124" s="13"/>
      <c r="BD124" s="13"/>
      <c r="BE124" s="13"/>
      <c r="BF124" s="88"/>
      <c r="BG124" s="88"/>
      <c r="BH124" s="88"/>
      <c r="BI124" s="88"/>
      <c r="BJ124" s="88"/>
      <c r="BK124" s="105"/>
      <c r="BL124" s="105"/>
      <c r="BM124" s="105"/>
      <c r="BN124" s="105"/>
      <c r="BO124" s="105"/>
      <c r="BP124" s="105"/>
      <c r="BQ124" s="79"/>
      <c r="BR124" s="79"/>
      <c r="BS124" s="79"/>
      <c r="BT124" s="79"/>
      <c r="BU124" s="79"/>
      <c r="BV124" s="90"/>
      <c r="BW124" s="106"/>
      <c r="BX124" s="106"/>
      <c r="BY124" s="106"/>
      <c r="BZ124" s="106"/>
      <c r="CA124" s="106"/>
    </row>
    <row r="125" spans="1:79" x14ac:dyDescent="0.35">
      <c r="A125" s="25" t="s">
        <v>139</v>
      </c>
      <c r="B125" s="10" t="s">
        <v>327</v>
      </c>
      <c r="C125" s="10" t="s">
        <v>342</v>
      </c>
      <c r="D125" s="10" t="s">
        <v>346</v>
      </c>
      <c r="E125" s="11">
        <v>45906</v>
      </c>
      <c r="F125" s="17">
        <v>45892</v>
      </c>
      <c r="G125" s="14">
        <f t="shared" ca="1" si="23"/>
        <v>207</v>
      </c>
      <c r="H125" s="17">
        <v>599</v>
      </c>
      <c r="I125" s="17">
        <v>290</v>
      </c>
      <c r="J125" s="75">
        <f t="shared" si="24"/>
        <v>1050</v>
      </c>
      <c r="K125" s="17">
        <v>1100</v>
      </c>
      <c r="L125" s="85">
        <v>50</v>
      </c>
      <c r="M125" s="86">
        <f t="shared" ca="1" si="25"/>
        <v>0.24154589371980675</v>
      </c>
      <c r="N125" s="86">
        <f t="shared" si="26"/>
        <v>0.80451009251471861</v>
      </c>
      <c r="O125" s="86">
        <f t="shared" si="27"/>
        <v>0.1524390243902439</v>
      </c>
      <c r="P125" s="87">
        <f t="shared" si="28"/>
        <v>12.5</v>
      </c>
      <c r="Q125" s="104">
        <f t="shared" si="29"/>
        <v>84</v>
      </c>
      <c r="R125" s="88">
        <f t="shared" si="30"/>
        <v>51.58597662771286</v>
      </c>
      <c r="S125" s="88">
        <f t="shared" si="31"/>
        <v>4.5454545454545459</v>
      </c>
      <c r="T125" s="13">
        <f t="shared" si="32"/>
        <v>1</v>
      </c>
      <c r="U125" s="13">
        <f t="shared" si="33"/>
        <v>1</v>
      </c>
      <c r="V125" s="13">
        <f t="shared" si="34"/>
        <v>2</v>
      </c>
      <c r="W125" s="13">
        <f t="shared" ca="1" si="35"/>
        <v>3</v>
      </c>
      <c r="X125" s="13">
        <f t="shared" ca="1" si="36"/>
        <v>7</v>
      </c>
      <c r="Y125" s="81" t="str">
        <f t="shared" ca="1" si="37"/>
        <v>MONITOR</v>
      </c>
      <c r="Z125" s="13">
        <v>14</v>
      </c>
      <c r="AA125" s="75">
        <v>46059</v>
      </c>
      <c r="AB125" s="75">
        <f t="shared" si="38"/>
        <v>45920</v>
      </c>
      <c r="AC125" s="88">
        <f t="shared" si="39"/>
        <v>19.857142857142858</v>
      </c>
      <c r="AD125" s="89" t="str">
        <f t="shared" ca="1" si="40"/>
        <v>STABLE</v>
      </c>
      <c r="AE125" s="89" t="str">
        <f t="shared" si="44"/>
        <v>SLOW SELLING</v>
      </c>
      <c r="AF125" s="89" t="str">
        <f t="shared" si="41"/>
        <v>AT RISK</v>
      </c>
      <c r="AG125" s="89" t="str">
        <f t="shared" si="42"/>
        <v>FEASIBLE</v>
      </c>
      <c r="AH125" s="81" t="str">
        <f t="shared" ca="1" si="43"/>
        <v>MONITOR</v>
      </c>
      <c r="AI125" s="75"/>
      <c r="AJ125" s="75"/>
      <c r="AK125" s="13"/>
      <c r="AL125" s="79"/>
      <c r="AM125" s="79"/>
      <c r="AN125" s="79"/>
      <c r="AO125" s="79"/>
      <c r="AP125" s="79"/>
      <c r="AQ125" s="75"/>
      <c r="AR125" s="75"/>
      <c r="AS125" s="75"/>
      <c r="AT125" s="75"/>
      <c r="AU125" s="75"/>
      <c r="AV125" s="13"/>
      <c r="AW125" s="13"/>
      <c r="AX125" s="13"/>
      <c r="AY125" s="13"/>
      <c r="AZ125" s="13"/>
      <c r="BA125" s="105"/>
      <c r="BB125" s="13"/>
      <c r="BC125" s="13"/>
      <c r="BD125" s="13"/>
      <c r="BE125" s="13"/>
      <c r="BF125" s="88"/>
      <c r="BG125" s="88"/>
      <c r="BH125" s="88"/>
      <c r="BI125" s="88"/>
      <c r="BJ125" s="88"/>
      <c r="BK125" s="105"/>
      <c r="BL125" s="105"/>
      <c r="BM125" s="105"/>
      <c r="BN125" s="105"/>
      <c r="BO125" s="105"/>
      <c r="BP125" s="105"/>
      <c r="BQ125" s="79"/>
      <c r="BR125" s="79"/>
      <c r="BS125" s="79"/>
      <c r="BT125" s="79"/>
      <c r="BU125" s="79"/>
      <c r="BV125" s="90"/>
      <c r="BW125" s="106"/>
      <c r="BX125" s="106"/>
      <c r="BY125" s="106"/>
      <c r="BZ125" s="106"/>
      <c r="CA125" s="106"/>
    </row>
    <row r="126" spans="1:79" x14ac:dyDescent="0.35">
      <c r="A126" s="25" t="s">
        <v>140</v>
      </c>
      <c r="B126" s="10" t="s">
        <v>321</v>
      </c>
      <c r="C126" s="10" t="s">
        <v>342</v>
      </c>
      <c r="D126" s="10" t="s">
        <v>346</v>
      </c>
      <c r="E126" s="11">
        <v>45920</v>
      </c>
      <c r="F126" s="17">
        <v>45892</v>
      </c>
      <c r="G126" s="14">
        <f t="shared" ca="1" si="23"/>
        <v>207</v>
      </c>
      <c r="H126" s="17">
        <v>599</v>
      </c>
      <c r="I126" s="17">
        <v>310</v>
      </c>
      <c r="J126" s="75">
        <f t="shared" si="24"/>
        <v>854</v>
      </c>
      <c r="K126" s="17">
        <v>900</v>
      </c>
      <c r="L126" s="85">
        <v>46</v>
      </c>
      <c r="M126" s="86">
        <f t="shared" ca="1" si="25"/>
        <v>0.22222222222222221</v>
      </c>
      <c r="N126" s="86">
        <f t="shared" si="26"/>
        <v>0.80451009251471861</v>
      </c>
      <c r="O126" s="86">
        <f t="shared" si="27"/>
        <v>0.1402439024390244</v>
      </c>
      <c r="P126" s="87">
        <f t="shared" si="28"/>
        <v>11.500000000000002</v>
      </c>
      <c r="Q126" s="104">
        <f t="shared" si="29"/>
        <v>74.260869565217376</v>
      </c>
      <c r="R126" s="88">
        <f t="shared" si="30"/>
        <v>48.247078464106849</v>
      </c>
      <c r="S126" s="88">
        <f t="shared" si="31"/>
        <v>5.1111111111111116</v>
      </c>
      <c r="T126" s="13">
        <f t="shared" si="32"/>
        <v>1</v>
      </c>
      <c r="U126" s="13">
        <f t="shared" si="33"/>
        <v>1</v>
      </c>
      <c r="V126" s="13">
        <f t="shared" si="34"/>
        <v>2</v>
      </c>
      <c r="W126" s="13">
        <f t="shared" ca="1" si="35"/>
        <v>3</v>
      </c>
      <c r="X126" s="13">
        <f t="shared" ca="1" si="36"/>
        <v>7</v>
      </c>
      <c r="Y126" s="81" t="str">
        <f t="shared" ca="1" si="37"/>
        <v>MONITOR</v>
      </c>
      <c r="Z126" s="13">
        <v>14</v>
      </c>
      <c r="AA126" s="75">
        <v>46059</v>
      </c>
      <c r="AB126" s="75">
        <f t="shared" si="38"/>
        <v>45920</v>
      </c>
      <c r="AC126" s="88">
        <f t="shared" si="39"/>
        <v>19.857142857142858</v>
      </c>
      <c r="AD126" s="89" t="str">
        <f t="shared" ca="1" si="40"/>
        <v>STABLE</v>
      </c>
      <c r="AE126" s="89" t="str">
        <f t="shared" si="44"/>
        <v>SLOW SELLING</v>
      </c>
      <c r="AF126" s="89" t="str">
        <f t="shared" si="41"/>
        <v>AT RISK</v>
      </c>
      <c r="AG126" s="89" t="str">
        <f t="shared" si="42"/>
        <v>FEASIBLE</v>
      </c>
      <c r="AH126" s="81" t="str">
        <f t="shared" ca="1" si="43"/>
        <v>MONITOR</v>
      </c>
      <c r="AI126" s="75"/>
      <c r="AJ126" s="75"/>
      <c r="AK126" s="13"/>
      <c r="AL126" s="79"/>
      <c r="AM126" s="79"/>
      <c r="AN126" s="79"/>
      <c r="AO126" s="79"/>
      <c r="AP126" s="79"/>
      <c r="AQ126" s="75"/>
      <c r="AR126" s="75"/>
      <c r="AS126" s="75"/>
      <c r="AT126" s="75"/>
      <c r="AU126" s="75"/>
      <c r="AV126" s="13"/>
      <c r="AW126" s="13"/>
      <c r="AX126" s="13"/>
      <c r="AY126" s="13"/>
      <c r="AZ126" s="13"/>
      <c r="BA126" s="105"/>
      <c r="BB126" s="13"/>
      <c r="BC126" s="13"/>
      <c r="BD126" s="13"/>
      <c r="BE126" s="13"/>
      <c r="BF126" s="88"/>
      <c r="BG126" s="88"/>
      <c r="BH126" s="88"/>
      <c r="BI126" s="88"/>
      <c r="BJ126" s="88"/>
      <c r="BK126" s="105"/>
      <c r="BL126" s="105"/>
      <c r="BM126" s="105"/>
      <c r="BN126" s="105"/>
      <c r="BO126" s="105"/>
      <c r="BP126" s="105"/>
      <c r="BQ126" s="79"/>
      <c r="BR126" s="79"/>
      <c r="BS126" s="79"/>
      <c r="BT126" s="79"/>
      <c r="BU126" s="79"/>
      <c r="BV126" s="90"/>
      <c r="BW126" s="106"/>
      <c r="BX126" s="106"/>
      <c r="BY126" s="106"/>
      <c r="BZ126" s="106"/>
      <c r="CA126" s="106"/>
    </row>
    <row r="127" spans="1:79" x14ac:dyDescent="0.35">
      <c r="A127" s="25" t="s">
        <v>141</v>
      </c>
      <c r="B127" s="10" t="s">
        <v>321</v>
      </c>
      <c r="C127" s="10" t="s">
        <v>342</v>
      </c>
      <c r="D127" s="10" t="s">
        <v>346</v>
      </c>
      <c r="E127" s="11">
        <v>45920</v>
      </c>
      <c r="F127" s="17">
        <v>45892</v>
      </c>
      <c r="G127" s="14">
        <f t="shared" ca="1" si="23"/>
        <v>207</v>
      </c>
      <c r="H127" s="17">
        <v>599</v>
      </c>
      <c r="I127" s="17">
        <v>310</v>
      </c>
      <c r="J127" s="75">
        <f t="shared" si="24"/>
        <v>837</v>
      </c>
      <c r="K127" s="17">
        <v>900</v>
      </c>
      <c r="L127" s="85">
        <v>63</v>
      </c>
      <c r="M127" s="86">
        <f t="shared" ca="1" si="25"/>
        <v>0.30434782608695654</v>
      </c>
      <c r="N127" s="86">
        <f t="shared" si="26"/>
        <v>0.80451009251471861</v>
      </c>
      <c r="O127" s="86">
        <f t="shared" si="27"/>
        <v>0.19207317073170732</v>
      </c>
      <c r="P127" s="87">
        <f t="shared" si="28"/>
        <v>15.75</v>
      </c>
      <c r="Q127" s="104">
        <f t="shared" si="29"/>
        <v>53.142857142857146</v>
      </c>
      <c r="R127" s="88">
        <f t="shared" si="30"/>
        <v>48.247078464106849</v>
      </c>
      <c r="S127" s="88">
        <f t="shared" si="31"/>
        <v>7.0000000000000009</v>
      </c>
      <c r="T127" s="13">
        <f t="shared" si="32"/>
        <v>1</v>
      </c>
      <c r="U127" s="13">
        <f t="shared" si="33"/>
        <v>1</v>
      </c>
      <c r="V127" s="13">
        <f t="shared" si="34"/>
        <v>2</v>
      </c>
      <c r="W127" s="13">
        <f t="shared" ca="1" si="35"/>
        <v>3</v>
      </c>
      <c r="X127" s="13">
        <f t="shared" ca="1" si="36"/>
        <v>7</v>
      </c>
      <c r="Y127" s="81" t="str">
        <f t="shared" ca="1" si="37"/>
        <v>MONITOR</v>
      </c>
      <c r="Z127" s="13">
        <v>14</v>
      </c>
      <c r="AA127" s="75">
        <v>46059</v>
      </c>
      <c r="AB127" s="75">
        <f t="shared" si="38"/>
        <v>45920</v>
      </c>
      <c r="AC127" s="88">
        <f t="shared" si="39"/>
        <v>19.857142857142858</v>
      </c>
      <c r="AD127" s="89" t="str">
        <f t="shared" ca="1" si="40"/>
        <v>STABLE</v>
      </c>
      <c r="AE127" s="89" t="str">
        <f t="shared" si="44"/>
        <v>SLOW SELLING</v>
      </c>
      <c r="AF127" s="89" t="str">
        <f t="shared" si="41"/>
        <v>AT RISK</v>
      </c>
      <c r="AG127" s="89" t="str">
        <f t="shared" si="42"/>
        <v>FEASIBLE</v>
      </c>
      <c r="AH127" s="81" t="str">
        <f t="shared" ca="1" si="43"/>
        <v>MONITOR</v>
      </c>
      <c r="AI127" s="75"/>
      <c r="AJ127" s="75"/>
      <c r="AK127" s="13"/>
      <c r="AL127" s="79"/>
      <c r="AM127" s="79"/>
      <c r="AN127" s="79"/>
      <c r="AO127" s="79"/>
      <c r="AP127" s="79"/>
      <c r="AQ127" s="75"/>
      <c r="AR127" s="75"/>
      <c r="AS127" s="75"/>
      <c r="AT127" s="75"/>
      <c r="AU127" s="75"/>
      <c r="AV127" s="13"/>
      <c r="AW127" s="13"/>
      <c r="AX127" s="13"/>
      <c r="AY127" s="13"/>
      <c r="AZ127" s="13"/>
      <c r="BA127" s="105"/>
      <c r="BB127" s="13"/>
      <c r="BC127" s="13"/>
      <c r="BD127" s="13"/>
      <c r="BE127" s="13"/>
      <c r="BF127" s="88"/>
      <c r="BG127" s="88"/>
      <c r="BH127" s="88"/>
      <c r="BI127" s="88"/>
      <c r="BJ127" s="88"/>
      <c r="BK127" s="105"/>
      <c r="BL127" s="105"/>
      <c r="BM127" s="105"/>
      <c r="BN127" s="105"/>
      <c r="BO127" s="105"/>
      <c r="BP127" s="105"/>
      <c r="BQ127" s="79"/>
      <c r="BR127" s="79"/>
      <c r="BS127" s="79"/>
      <c r="BT127" s="79"/>
      <c r="BU127" s="79"/>
      <c r="BV127" s="90"/>
      <c r="BW127" s="106"/>
      <c r="BX127" s="106"/>
      <c r="BY127" s="106"/>
      <c r="BZ127" s="106"/>
      <c r="CA127" s="106"/>
    </row>
    <row r="128" spans="1:79" x14ac:dyDescent="0.35">
      <c r="A128" s="25" t="s">
        <v>142</v>
      </c>
      <c r="B128" s="10" t="s">
        <v>321</v>
      </c>
      <c r="C128" s="10" t="s">
        <v>342</v>
      </c>
      <c r="D128" s="10" t="s">
        <v>346</v>
      </c>
      <c r="E128" s="11">
        <v>45892</v>
      </c>
      <c r="F128" s="17">
        <v>45892</v>
      </c>
      <c r="G128" s="14">
        <f t="shared" ca="1" si="23"/>
        <v>207</v>
      </c>
      <c r="H128" s="17">
        <v>799</v>
      </c>
      <c r="I128" s="17">
        <v>410</v>
      </c>
      <c r="J128" s="75">
        <f t="shared" si="24"/>
        <v>747</v>
      </c>
      <c r="K128" s="17">
        <v>1200</v>
      </c>
      <c r="L128" s="85">
        <v>453</v>
      </c>
      <c r="M128" s="86">
        <f t="shared" ca="1" si="25"/>
        <v>2.1884057971014492</v>
      </c>
      <c r="N128" s="86">
        <f t="shared" si="26"/>
        <v>0.80451009251471861</v>
      </c>
      <c r="O128" s="86">
        <f t="shared" si="27"/>
        <v>1.3810975609756098</v>
      </c>
      <c r="P128" s="87">
        <f t="shared" si="28"/>
        <v>113.25</v>
      </c>
      <c r="Q128" s="104">
        <f t="shared" si="29"/>
        <v>6.5960264900662251</v>
      </c>
      <c r="R128" s="88">
        <f t="shared" si="30"/>
        <v>48.685857321652065</v>
      </c>
      <c r="S128" s="88">
        <f t="shared" si="31"/>
        <v>37.75</v>
      </c>
      <c r="T128" s="13">
        <f t="shared" si="32"/>
        <v>3</v>
      </c>
      <c r="U128" s="13">
        <f t="shared" si="33"/>
        <v>1</v>
      </c>
      <c r="V128" s="13">
        <f t="shared" si="34"/>
        <v>2</v>
      </c>
      <c r="W128" s="13">
        <f t="shared" ca="1" si="35"/>
        <v>3</v>
      </c>
      <c r="X128" s="13">
        <f t="shared" ca="1" si="36"/>
        <v>9</v>
      </c>
      <c r="Y128" s="81" t="str">
        <f t="shared" ca="1" si="37"/>
        <v>RE-BUY</v>
      </c>
      <c r="Z128" s="13">
        <v>14</v>
      </c>
      <c r="AA128" s="75">
        <v>46059</v>
      </c>
      <c r="AB128" s="75">
        <f t="shared" si="38"/>
        <v>45920</v>
      </c>
      <c r="AC128" s="88">
        <f t="shared" si="39"/>
        <v>19.857142857142858</v>
      </c>
      <c r="AD128" s="89" t="str">
        <f t="shared" ca="1" si="40"/>
        <v>STABLE</v>
      </c>
      <c r="AE128" s="89" t="str">
        <f t="shared" si="44"/>
        <v>FAST SELLING</v>
      </c>
      <c r="AF128" s="89" t="str">
        <f t="shared" si="41"/>
        <v>AT RISK</v>
      </c>
      <c r="AG128" s="89" t="str">
        <f t="shared" si="42"/>
        <v>FEASIBLE</v>
      </c>
      <c r="AH128" s="81" t="str">
        <f t="shared" ca="1" si="43"/>
        <v>IMMEDIATE REBUY</v>
      </c>
      <c r="AI128" s="75"/>
      <c r="AJ128" s="75"/>
      <c r="AK128" s="13"/>
      <c r="AL128" s="79"/>
      <c r="AM128" s="79"/>
      <c r="AN128" s="79"/>
      <c r="AO128" s="79"/>
      <c r="AP128" s="79"/>
      <c r="AQ128" s="75"/>
      <c r="AR128" s="75"/>
      <c r="AS128" s="75"/>
      <c r="AT128" s="75"/>
      <c r="AU128" s="75"/>
      <c r="AV128" s="13"/>
      <c r="AW128" s="13"/>
      <c r="AX128" s="13"/>
      <c r="AY128" s="13"/>
      <c r="AZ128" s="13"/>
      <c r="BA128" s="105"/>
      <c r="BB128" s="13"/>
      <c r="BC128" s="13"/>
      <c r="BD128" s="13"/>
      <c r="BE128" s="13"/>
      <c r="BF128" s="88"/>
      <c r="BG128" s="88"/>
      <c r="BH128" s="88"/>
      <c r="BI128" s="88"/>
      <c r="BJ128" s="88"/>
      <c r="BK128" s="105"/>
      <c r="BL128" s="105"/>
      <c r="BM128" s="105"/>
      <c r="BN128" s="105"/>
      <c r="BO128" s="105"/>
      <c r="BP128" s="105"/>
      <c r="BQ128" s="79"/>
      <c r="BR128" s="79"/>
      <c r="BS128" s="79"/>
      <c r="BT128" s="79"/>
      <c r="BU128" s="79"/>
      <c r="BV128" s="90"/>
      <c r="BW128" s="106"/>
      <c r="BX128" s="106"/>
      <c r="BY128" s="106"/>
      <c r="BZ128" s="106"/>
      <c r="CA128" s="106"/>
    </row>
    <row r="129" spans="1:79" x14ac:dyDescent="0.35">
      <c r="A129" s="25" t="s">
        <v>143</v>
      </c>
      <c r="B129" s="10" t="s">
        <v>321</v>
      </c>
      <c r="C129" s="10" t="s">
        <v>342</v>
      </c>
      <c r="D129" s="10" t="s">
        <v>346</v>
      </c>
      <c r="E129" s="11">
        <v>45920</v>
      </c>
      <c r="F129" s="17">
        <v>45892</v>
      </c>
      <c r="G129" s="14">
        <f t="shared" ca="1" si="23"/>
        <v>207</v>
      </c>
      <c r="H129" s="17">
        <v>799</v>
      </c>
      <c r="I129" s="17">
        <v>410</v>
      </c>
      <c r="J129" s="75">
        <f t="shared" si="24"/>
        <v>933</v>
      </c>
      <c r="K129" s="17">
        <v>1200</v>
      </c>
      <c r="L129" s="85">
        <v>267</v>
      </c>
      <c r="M129" s="86">
        <f t="shared" ca="1" si="25"/>
        <v>1.2898550724637681</v>
      </c>
      <c r="N129" s="86">
        <f t="shared" si="26"/>
        <v>0.80451009251471861</v>
      </c>
      <c r="O129" s="86">
        <f t="shared" si="27"/>
        <v>0.81402439024390238</v>
      </c>
      <c r="P129" s="87">
        <f t="shared" si="28"/>
        <v>66.75</v>
      </c>
      <c r="Q129" s="104">
        <f t="shared" si="29"/>
        <v>13.97752808988764</v>
      </c>
      <c r="R129" s="88">
        <f t="shared" si="30"/>
        <v>48.685857321652065</v>
      </c>
      <c r="S129" s="88">
        <f t="shared" si="31"/>
        <v>22.25</v>
      </c>
      <c r="T129" s="13">
        <f t="shared" si="32"/>
        <v>3</v>
      </c>
      <c r="U129" s="13">
        <f t="shared" si="33"/>
        <v>1</v>
      </c>
      <c r="V129" s="13">
        <f t="shared" si="34"/>
        <v>2</v>
      </c>
      <c r="W129" s="13">
        <f t="shared" ca="1" si="35"/>
        <v>3</v>
      </c>
      <c r="X129" s="13">
        <f t="shared" ca="1" si="36"/>
        <v>9</v>
      </c>
      <c r="Y129" s="81" t="str">
        <f t="shared" ca="1" si="37"/>
        <v>RE-BUY</v>
      </c>
      <c r="Z129" s="13">
        <v>14</v>
      </c>
      <c r="AA129" s="75">
        <v>46059</v>
      </c>
      <c r="AB129" s="75">
        <f t="shared" si="38"/>
        <v>45920</v>
      </c>
      <c r="AC129" s="88">
        <f t="shared" si="39"/>
        <v>19.857142857142858</v>
      </c>
      <c r="AD129" s="89" t="str">
        <f t="shared" ca="1" si="40"/>
        <v>STABLE</v>
      </c>
      <c r="AE129" s="89" t="str">
        <f t="shared" si="44"/>
        <v>FAST SELLING</v>
      </c>
      <c r="AF129" s="89" t="str">
        <f t="shared" si="41"/>
        <v>AT RISK</v>
      </c>
      <c r="AG129" s="89" t="str">
        <f t="shared" si="42"/>
        <v>FEASIBLE</v>
      </c>
      <c r="AH129" s="81" t="str">
        <f t="shared" ca="1" si="43"/>
        <v>IMMEDIATE REBUY</v>
      </c>
      <c r="AI129" s="75"/>
      <c r="AJ129" s="75"/>
      <c r="AK129" s="13"/>
      <c r="AL129" s="79"/>
      <c r="AM129" s="79"/>
      <c r="AN129" s="79"/>
      <c r="AO129" s="79"/>
      <c r="AP129" s="79"/>
      <c r="AQ129" s="75"/>
      <c r="AR129" s="75"/>
      <c r="AS129" s="75"/>
      <c r="AT129" s="75"/>
      <c r="AU129" s="75"/>
      <c r="AV129" s="13"/>
      <c r="AW129" s="13"/>
      <c r="AX129" s="13"/>
      <c r="AY129" s="13"/>
      <c r="AZ129" s="13"/>
      <c r="BA129" s="105"/>
      <c r="BB129" s="13"/>
      <c r="BC129" s="13"/>
      <c r="BD129" s="13"/>
      <c r="BE129" s="13"/>
      <c r="BF129" s="88"/>
      <c r="BG129" s="88"/>
      <c r="BH129" s="88"/>
      <c r="BI129" s="88"/>
      <c r="BJ129" s="88"/>
      <c r="BK129" s="105"/>
      <c r="BL129" s="105"/>
      <c r="BM129" s="105"/>
      <c r="BN129" s="105"/>
      <c r="BO129" s="105"/>
      <c r="BP129" s="105"/>
      <c r="BQ129" s="79"/>
      <c r="BR129" s="79"/>
      <c r="BS129" s="79"/>
      <c r="BT129" s="79"/>
      <c r="BU129" s="79"/>
      <c r="BV129" s="90"/>
      <c r="BW129" s="106"/>
      <c r="BX129" s="106"/>
      <c r="BY129" s="106"/>
      <c r="BZ129" s="106"/>
      <c r="CA129" s="106"/>
    </row>
    <row r="130" spans="1:79" x14ac:dyDescent="0.35">
      <c r="A130" s="25" t="s">
        <v>144</v>
      </c>
      <c r="B130" s="10" t="s">
        <v>321</v>
      </c>
      <c r="C130" s="10" t="s">
        <v>342</v>
      </c>
      <c r="D130" s="10" t="s">
        <v>346</v>
      </c>
      <c r="E130" s="11">
        <v>45920</v>
      </c>
      <c r="F130" s="17">
        <v>45892</v>
      </c>
      <c r="G130" s="14">
        <f t="shared" ca="1" si="23"/>
        <v>207</v>
      </c>
      <c r="H130" s="17">
        <v>799</v>
      </c>
      <c r="I130" s="17">
        <v>410</v>
      </c>
      <c r="J130" s="75">
        <f t="shared" si="24"/>
        <v>1097</v>
      </c>
      <c r="K130" s="17">
        <v>1300</v>
      </c>
      <c r="L130" s="85">
        <v>203</v>
      </c>
      <c r="M130" s="86">
        <f t="shared" ca="1" si="25"/>
        <v>0.98067632850241548</v>
      </c>
      <c r="N130" s="86">
        <f t="shared" si="26"/>
        <v>0.80451009251471861</v>
      </c>
      <c r="O130" s="86">
        <f t="shared" si="27"/>
        <v>0.61890243902439024</v>
      </c>
      <c r="P130" s="87">
        <f t="shared" si="28"/>
        <v>50.75</v>
      </c>
      <c r="Q130" s="104">
        <f t="shared" si="29"/>
        <v>21.615763546798028</v>
      </c>
      <c r="R130" s="88">
        <f t="shared" si="30"/>
        <v>48.685857321652065</v>
      </c>
      <c r="S130" s="88">
        <f t="shared" si="31"/>
        <v>15.615384615384615</v>
      </c>
      <c r="T130" s="13">
        <f t="shared" si="32"/>
        <v>1</v>
      </c>
      <c r="U130" s="13">
        <f t="shared" si="33"/>
        <v>1</v>
      </c>
      <c r="V130" s="13">
        <f t="shared" si="34"/>
        <v>2</v>
      </c>
      <c r="W130" s="13">
        <f t="shared" ca="1" si="35"/>
        <v>3</v>
      </c>
      <c r="X130" s="13">
        <f t="shared" ca="1" si="36"/>
        <v>7</v>
      </c>
      <c r="Y130" s="81" t="str">
        <f t="shared" ca="1" si="37"/>
        <v>MONITOR</v>
      </c>
      <c r="Z130" s="13">
        <v>14</v>
      </c>
      <c r="AA130" s="75">
        <v>46059</v>
      </c>
      <c r="AB130" s="75">
        <f t="shared" si="38"/>
        <v>45920</v>
      </c>
      <c r="AC130" s="88">
        <f t="shared" si="39"/>
        <v>19.857142857142858</v>
      </c>
      <c r="AD130" s="89" t="str">
        <f t="shared" ca="1" si="40"/>
        <v>STABLE</v>
      </c>
      <c r="AE130" s="89" t="str">
        <f t="shared" si="44"/>
        <v>SLOW SELLING</v>
      </c>
      <c r="AF130" s="89" t="str">
        <f t="shared" si="41"/>
        <v>AT RISK</v>
      </c>
      <c r="AG130" s="89" t="str">
        <f t="shared" si="42"/>
        <v>FEASIBLE</v>
      </c>
      <c r="AH130" s="81" t="str">
        <f t="shared" ca="1" si="43"/>
        <v>MONITOR</v>
      </c>
      <c r="AI130" s="75"/>
      <c r="AJ130" s="75"/>
      <c r="AK130" s="13"/>
      <c r="AL130" s="79"/>
      <c r="AM130" s="79"/>
      <c r="AN130" s="79"/>
      <c r="AO130" s="79"/>
      <c r="AP130" s="79"/>
      <c r="AQ130" s="75"/>
      <c r="AR130" s="75"/>
      <c r="AS130" s="75"/>
      <c r="AT130" s="75"/>
      <c r="AU130" s="75"/>
      <c r="AV130" s="13"/>
      <c r="AW130" s="13"/>
      <c r="AX130" s="13"/>
      <c r="AY130" s="13"/>
      <c r="AZ130" s="13"/>
      <c r="BA130" s="105"/>
      <c r="BB130" s="13"/>
      <c r="BC130" s="13"/>
      <c r="BD130" s="13"/>
      <c r="BE130" s="13"/>
      <c r="BF130" s="88"/>
      <c r="BG130" s="88"/>
      <c r="BH130" s="88"/>
      <c r="BI130" s="88"/>
      <c r="BJ130" s="88"/>
      <c r="BK130" s="105"/>
      <c r="BL130" s="105"/>
      <c r="BM130" s="105"/>
      <c r="BN130" s="105"/>
      <c r="BO130" s="105"/>
      <c r="BP130" s="105"/>
      <c r="BQ130" s="79"/>
      <c r="BR130" s="79"/>
      <c r="BS130" s="79"/>
      <c r="BT130" s="79"/>
      <c r="BU130" s="79"/>
      <c r="BV130" s="90"/>
      <c r="BW130" s="106"/>
      <c r="BX130" s="106"/>
      <c r="BY130" s="106"/>
      <c r="BZ130" s="106"/>
      <c r="CA130" s="106"/>
    </row>
    <row r="131" spans="1:79" x14ac:dyDescent="0.35">
      <c r="A131" s="25" t="s">
        <v>145</v>
      </c>
      <c r="B131" s="10" t="s">
        <v>321</v>
      </c>
      <c r="C131" s="10" t="s">
        <v>342</v>
      </c>
      <c r="D131" s="10" t="s">
        <v>346</v>
      </c>
      <c r="E131" s="11">
        <v>45920</v>
      </c>
      <c r="F131" s="17">
        <v>45892</v>
      </c>
      <c r="G131" s="14">
        <f t="shared" ref="G131:G194" ca="1" si="45">TODAY()-F131</f>
        <v>207</v>
      </c>
      <c r="H131" s="17">
        <v>799</v>
      </c>
      <c r="I131" s="17">
        <v>410</v>
      </c>
      <c r="J131" s="75">
        <f t="shared" ref="J131:J194" si="46">K131-L131</f>
        <v>901</v>
      </c>
      <c r="K131" s="17">
        <v>1300</v>
      </c>
      <c r="L131" s="85">
        <v>399</v>
      </c>
      <c r="M131" s="86">
        <f t="shared" ref="M131:M194" ca="1" si="47">L131/G131</f>
        <v>1.9275362318840579</v>
      </c>
      <c r="N131" s="86">
        <f t="shared" ref="N131:N194" si="48">AVERAGEIFS(O:O,C:C,C131)</f>
        <v>0.80451009251471861</v>
      </c>
      <c r="O131" s="86">
        <f t="shared" ref="O131:O194" si="49">L131/328</f>
        <v>1.2164634146341464</v>
      </c>
      <c r="P131" s="87">
        <f t="shared" ref="P131:P194" si="50">O131*82</f>
        <v>99.75</v>
      </c>
      <c r="Q131" s="104">
        <f t="shared" ref="Q131:Q194" si="51">J131/P131</f>
        <v>9.0325814536340854</v>
      </c>
      <c r="R131" s="88">
        <f t="shared" ref="R131:R194" si="52">(H131-I131)/H131*100</f>
        <v>48.685857321652065</v>
      </c>
      <c r="S131" s="88">
        <f t="shared" ref="S131:S194" si="53">L131/K131*100</f>
        <v>30.69230769230769</v>
      </c>
      <c r="T131" s="13">
        <f t="shared" ref="T131:T194" si="54">IF(O131&gt;=N131,3,IF(O131&gt;=0.8*N131,2,1))</f>
        <v>3</v>
      </c>
      <c r="U131" s="13">
        <f t="shared" ref="U131:U194" si="55">IF(Q131&lt;=4,3,IF(Q131&lt;=6,2,1))</f>
        <v>1</v>
      </c>
      <c r="V131" s="13">
        <f t="shared" ref="V131:V194" si="56">IF(R131&gt;=60,3,IF(R131&gt;=45,2,1))</f>
        <v>2</v>
      </c>
      <c r="W131" s="13">
        <f t="shared" ref="W131:W194" ca="1" si="57">IF(M131&lt;=10,3,IF(M131&lt;=25,2,1))</f>
        <v>3</v>
      </c>
      <c r="X131" s="13">
        <f t="shared" ref="X131:X194" ca="1" si="58">T131+U131+V131+W131</f>
        <v>9</v>
      </c>
      <c r="Y131" s="81" t="str">
        <f t="shared" ref="Y131:Y194" ca="1" si="59">IFERROR(IF(X131&gt;=9,"RE-BUY",IF(X131&gt;=6,"MONITOR","EXIT")),"EXIT")</f>
        <v>RE-BUY</v>
      </c>
      <c r="Z131" s="13">
        <v>14</v>
      </c>
      <c r="AA131" s="75">
        <v>46059</v>
      </c>
      <c r="AB131" s="75">
        <f t="shared" ref="AB131:AB194" si="60">F131+28</f>
        <v>45920</v>
      </c>
      <c r="AC131" s="88">
        <f t="shared" ref="AC131:AC194" si="61">(AA131-AB131)/7</f>
        <v>19.857142857142858</v>
      </c>
      <c r="AD131" s="89" t="str">
        <f t="shared" ref="AD131:AD194" ca="1" si="62">IF(G131&gt;=21,"STABLE","TOO EARLY")</f>
        <v>STABLE</v>
      </c>
      <c r="AE131" s="89" t="str">
        <f t="shared" si="44"/>
        <v>FAST SELLING</v>
      </c>
      <c r="AF131" s="89" t="str">
        <f t="shared" ref="AF131:AF194" si="63">IF(U131&lt;=Z131,"AT RISK","SAFE")</f>
        <v>AT RISK</v>
      </c>
      <c r="AG131" s="89" t="str">
        <f t="shared" ref="AG131:AG194" si="64">IF(Z131&lt;=AC131,"FEASIBLE","NOT FEASIBLE")</f>
        <v>FEASIBLE</v>
      </c>
      <c r="AH131" s="81" t="str">
        <f t="shared" ref="AH131:AH194" ca="1" si="65">IF(AND(Y131="RE-BUY",AD131="STABLE",AE131="FAST SELLING",AG131="FEASIBLE"),"IMMEDIATE REBUY","MONITOR")</f>
        <v>IMMEDIATE REBUY</v>
      </c>
      <c r="AI131" s="75"/>
      <c r="AJ131" s="75"/>
      <c r="AK131" s="13"/>
      <c r="AL131" s="79"/>
      <c r="AM131" s="79"/>
      <c r="AN131" s="79"/>
      <c r="AO131" s="79"/>
      <c r="AP131" s="79"/>
      <c r="AQ131" s="75"/>
      <c r="AR131" s="75"/>
      <c r="AS131" s="75"/>
      <c r="AT131" s="75"/>
      <c r="AU131" s="75"/>
      <c r="AV131" s="13"/>
      <c r="AW131" s="13"/>
      <c r="AX131" s="13"/>
      <c r="AY131" s="13"/>
      <c r="AZ131" s="13"/>
      <c r="BA131" s="105"/>
      <c r="BB131" s="13"/>
      <c r="BC131" s="13"/>
      <c r="BD131" s="13"/>
      <c r="BE131" s="13"/>
      <c r="BF131" s="88"/>
      <c r="BG131" s="88"/>
      <c r="BH131" s="88"/>
      <c r="BI131" s="88"/>
      <c r="BJ131" s="88"/>
      <c r="BK131" s="105"/>
      <c r="BL131" s="105"/>
      <c r="BM131" s="105"/>
      <c r="BN131" s="105"/>
      <c r="BO131" s="105"/>
      <c r="BP131" s="105"/>
      <c r="BQ131" s="79"/>
      <c r="BR131" s="79"/>
      <c r="BS131" s="79"/>
      <c r="BT131" s="79"/>
      <c r="BU131" s="79"/>
      <c r="BV131" s="90"/>
      <c r="BW131" s="106"/>
      <c r="BX131" s="106"/>
      <c r="BY131" s="106"/>
      <c r="BZ131" s="106"/>
      <c r="CA131" s="106"/>
    </row>
    <row r="132" spans="1:79" x14ac:dyDescent="0.35">
      <c r="A132" s="25" t="s">
        <v>146</v>
      </c>
      <c r="B132" s="10" t="s">
        <v>321</v>
      </c>
      <c r="C132" s="10" t="s">
        <v>342</v>
      </c>
      <c r="D132" s="10" t="s">
        <v>346</v>
      </c>
      <c r="E132" s="11">
        <v>45920</v>
      </c>
      <c r="F132" s="17">
        <v>45892</v>
      </c>
      <c r="G132" s="14">
        <f t="shared" ca="1" si="45"/>
        <v>207</v>
      </c>
      <c r="H132" s="17">
        <v>799</v>
      </c>
      <c r="I132" s="17">
        <v>410</v>
      </c>
      <c r="J132" s="75">
        <f t="shared" si="46"/>
        <v>1103</v>
      </c>
      <c r="K132" s="17">
        <v>1300</v>
      </c>
      <c r="L132" s="85">
        <v>197</v>
      </c>
      <c r="M132" s="86">
        <f t="shared" ca="1" si="47"/>
        <v>0.95169082125603865</v>
      </c>
      <c r="N132" s="86">
        <f t="shared" si="48"/>
        <v>0.80451009251471861</v>
      </c>
      <c r="O132" s="86">
        <f t="shared" si="49"/>
        <v>0.60060975609756095</v>
      </c>
      <c r="P132" s="87">
        <f t="shared" si="50"/>
        <v>49.25</v>
      </c>
      <c r="Q132" s="104">
        <f t="shared" si="51"/>
        <v>22.395939086294415</v>
      </c>
      <c r="R132" s="88">
        <f t="shared" si="52"/>
        <v>48.685857321652065</v>
      </c>
      <c r="S132" s="88">
        <f t="shared" si="53"/>
        <v>15.153846153846153</v>
      </c>
      <c r="T132" s="13">
        <f t="shared" si="54"/>
        <v>1</v>
      </c>
      <c r="U132" s="13">
        <f t="shared" si="55"/>
        <v>1</v>
      </c>
      <c r="V132" s="13">
        <f t="shared" si="56"/>
        <v>2</v>
      </c>
      <c r="W132" s="13">
        <f t="shared" ca="1" si="57"/>
        <v>3</v>
      </c>
      <c r="X132" s="13">
        <f t="shared" ca="1" si="58"/>
        <v>7</v>
      </c>
      <c r="Y132" s="81" t="str">
        <f t="shared" ca="1" si="59"/>
        <v>MONITOR</v>
      </c>
      <c r="Z132" s="13">
        <v>14</v>
      </c>
      <c r="AA132" s="75">
        <v>46059</v>
      </c>
      <c r="AB132" s="75">
        <f t="shared" si="60"/>
        <v>45920</v>
      </c>
      <c r="AC132" s="88">
        <f t="shared" si="61"/>
        <v>19.857142857142858</v>
      </c>
      <c r="AD132" s="89" t="str">
        <f t="shared" ca="1" si="62"/>
        <v>STABLE</v>
      </c>
      <c r="AE132" s="89" t="str">
        <f t="shared" si="44"/>
        <v>SLOW SELLING</v>
      </c>
      <c r="AF132" s="89" t="str">
        <f t="shared" si="63"/>
        <v>AT RISK</v>
      </c>
      <c r="AG132" s="89" t="str">
        <f t="shared" si="64"/>
        <v>FEASIBLE</v>
      </c>
      <c r="AH132" s="81" t="str">
        <f t="shared" ca="1" si="65"/>
        <v>MONITOR</v>
      </c>
      <c r="AI132" s="75"/>
      <c r="AJ132" s="75"/>
      <c r="AK132" s="13"/>
      <c r="AL132" s="79"/>
      <c r="AM132" s="79"/>
      <c r="AN132" s="79"/>
      <c r="AO132" s="79"/>
      <c r="AP132" s="79"/>
      <c r="AQ132" s="75"/>
      <c r="AR132" s="75"/>
      <c r="AS132" s="75"/>
      <c r="AT132" s="75"/>
      <c r="AU132" s="75"/>
      <c r="AV132" s="13"/>
      <c r="AW132" s="13"/>
      <c r="AX132" s="13"/>
      <c r="AY132" s="13"/>
      <c r="AZ132" s="13"/>
      <c r="BA132" s="105"/>
      <c r="BB132" s="13"/>
      <c r="BC132" s="13"/>
      <c r="BD132" s="13"/>
      <c r="BE132" s="13"/>
      <c r="BF132" s="88"/>
      <c r="BG132" s="88"/>
      <c r="BH132" s="88"/>
      <c r="BI132" s="88"/>
      <c r="BJ132" s="88"/>
      <c r="BK132" s="105"/>
      <c r="BL132" s="105"/>
      <c r="BM132" s="105"/>
      <c r="BN132" s="105"/>
      <c r="BO132" s="105"/>
      <c r="BP132" s="105"/>
      <c r="BQ132" s="79"/>
      <c r="BR132" s="79"/>
      <c r="BS132" s="79"/>
      <c r="BT132" s="79"/>
      <c r="BU132" s="79"/>
      <c r="BV132" s="90"/>
      <c r="BW132" s="106"/>
      <c r="BX132" s="106"/>
      <c r="BY132" s="106"/>
      <c r="BZ132" s="106"/>
      <c r="CA132" s="106"/>
    </row>
    <row r="133" spans="1:79" x14ac:dyDescent="0.35">
      <c r="A133" s="25" t="s">
        <v>147</v>
      </c>
      <c r="B133" s="10" t="s">
        <v>321</v>
      </c>
      <c r="C133" s="10" t="s">
        <v>342</v>
      </c>
      <c r="D133" s="10" t="s">
        <v>346</v>
      </c>
      <c r="E133" s="11">
        <v>45892</v>
      </c>
      <c r="F133" s="17">
        <v>45892</v>
      </c>
      <c r="G133" s="14">
        <f t="shared" ca="1" si="45"/>
        <v>207</v>
      </c>
      <c r="H133" s="17">
        <v>799</v>
      </c>
      <c r="I133" s="17">
        <v>410</v>
      </c>
      <c r="J133" s="75">
        <f t="shared" si="46"/>
        <v>978</v>
      </c>
      <c r="K133" s="17">
        <v>1300</v>
      </c>
      <c r="L133" s="85">
        <v>322</v>
      </c>
      <c r="M133" s="86">
        <f t="shared" ca="1" si="47"/>
        <v>1.5555555555555556</v>
      </c>
      <c r="N133" s="86">
        <f t="shared" si="48"/>
        <v>0.80451009251471861</v>
      </c>
      <c r="O133" s="86">
        <f t="shared" si="49"/>
        <v>0.98170731707317072</v>
      </c>
      <c r="P133" s="87">
        <f t="shared" si="50"/>
        <v>80.5</v>
      </c>
      <c r="Q133" s="104">
        <f t="shared" si="51"/>
        <v>12.149068322981366</v>
      </c>
      <c r="R133" s="88">
        <f t="shared" si="52"/>
        <v>48.685857321652065</v>
      </c>
      <c r="S133" s="88">
        <f t="shared" si="53"/>
        <v>24.76923076923077</v>
      </c>
      <c r="T133" s="13">
        <f t="shared" si="54"/>
        <v>3</v>
      </c>
      <c r="U133" s="13">
        <f t="shared" si="55"/>
        <v>1</v>
      </c>
      <c r="V133" s="13">
        <f t="shared" si="56"/>
        <v>2</v>
      </c>
      <c r="W133" s="13">
        <f t="shared" ca="1" si="57"/>
        <v>3</v>
      </c>
      <c r="X133" s="13">
        <f t="shared" ca="1" si="58"/>
        <v>9</v>
      </c>
      <c r="Y133" s="81" t="str">
        <f t="shared" ca="1" si="59"/>
        <v>RE-BUY</v>
      </c>
      <c r="Z133" s="13">
        <v>14</v>
      </c>
      <c r="AA133" s="75">
        <v>46059</v>
      </c>
      <c r="AB133" s="75">
        <f t="shared" si="60"/>
        <v>45920</v>
      </c>
      <c r="AC133" s="88">
        <f t="shared" si="61"/>
        <v>19.857142857142858</v>
      </c>
      <c r="AD133" s="89" t="str">
        <f t="shared" ca="1" si="62"/>
        <v>STABLE</v>
      </c>
      <c r="AE133" s="89" t="str">
        <f t="shared" si="44"/>
        <v>FAST SELLING</v>
      </c>
      <c r="AF133" s="89" t="str">
        <f t="shared" si="63"/>
        <v>AT RISK</v>
      </c>
      <c r="AG133" s="89" t="str">
        <f t="shared" si="64"/>
        <v>FEASIBLE</v>
      </c>
      <c r="AH133" s="81" t="str">
        <f t="shared" ca="1" si="65"/>
        <v>IMMEDIATE REBUY</v>
      </c>
      <c r="AI133" s="75"/>
      <c r="AJ133" s="75"/>
      <c r="AK133" s="13"/>
      <c r="AL133" s="79"/>
      <c r="AM133" s="79"/>
      <c r="AN133" s="79"/>
      <c r="AO133" s="79"/>
      <c r="AP133" s="79"/>
      <c r="AQ133" s="75"/>
      <c r="AR133" s="75"/>
      <c r="AS133" s="75"/>
      <c r="AT133" s="75"/>
      <c r="AU133" s="75"/>
      <c r="AV133" s="13"/>
      <c r="AW133" s="13"/>
      <c r="AX133" s="13"/>
      <c r="AY133" s="13"/>
      <c r="AZ133" s="13"/>
      <c r="BA133" s="105"/>
      <c r="BB133" s="13"/>
      <c r="BC133" s="13"/>
      <c r="BD133" s="13"/>
      <c r="BE133" s="13"/>
      <c r="BF133" s="88"/>
      <c r="BG133" s="88"/>
      <c r="BH133" s="88"/>
      <c r="BI133" s="88"/>
      <c r="BJ133" s="88"/>
      <c r="BK133" s="105"/>
      <c r="BL133" s="105"/>
      <c r="BM133" s="105"/>
      <c r="BN133" s="105"/>
      <c r="BO133" s="105"/>
      <c r="BP133" s="105"/>
      <c r="BQ133" s="79"/>
      <c r="BR133" s="79"/>
      <c r="BS133" s="79"/>
      <c r="BT133" s="79"/>
      <c r="BU133" s="79"/>
      <c r="BV133" s="90"/>
      <c r="BW133" s="106"/>
      <c r="BX133" s="106"/>
      <c r="BY133" s="106"/>
      <c r="BZ133" s="106"/>
      <c r="CA133" s="106"/>
    </row>
    <row r="134" spans="1:79" x14ac:dyDescent="0.35">
      <c r="A134" s="25" t="s">
        <v>148</v>
      </c>
      <c r="B134" s="10" t="s">
        <v>321</v>
      </c>
      <c r="C134" s="10" t="s">
        <v>342</v>
      </c>
      <c r="D134" s="10" t="s">
        <v>346</v>
      </c>
      <c r="E134" s="11">
        <v>45892</v>
      </c>
      <c r="F134" s="17">
        <v>45892</v>
      </c>
      <c r="G134" s="14">
        <f t="shared" ca="1" si="45"/>
        <v>207</v>
      </c>
      <c r="H134" s="17">
        <v>799</v>
      </c>
      <c r="I134" s="17">
        <v>410</v>
      </c>
      <c r="J134" s="75">
        <f t="shared" si="46"/>
        <v>943</v>
      </c>
      <c r="K134" s="17">
        <v>1100</v>
      </c>
      <c r="L134" s="85">
        <v>157</v>
      </c>
      <c r="M134" s="86">
        <f t="shared" ca="1" si="47"/>
        <v>0.75845410628019327</v>
      </c>
      <c r="N134" s="86">
        <f t="shared" si="48"/>
        <v>0.80451009251471861</v>
      </c>
      <c r="O134" s="86">
        <f t="shared" si="49"/>
        <v>0.47865853658536583</v>
      </c>
      <c r="P134" s="87">
        <f t="shared" si="50"/>
        <v>39.25</v>
      </c>
      <c r="Q134" s="104">
        <f t="shared" si="51"/>
        <v>24.02547770700637</v>
      </c>
      <c r="R134" s="88">
        <f t="shared" si="52"/>
        <v>48.685857321652065</v>
      </c>
      <c r="S134" s="88">
        <f t="shared" si="53"/>
        <v>14.272727272727273</v>
      </c>
      <c r="T134" s="13">
        <f t="shared" si="54"/>
        <v>1</v>
      </c>
      <c r="U134" s="13">
        <f t="shared" si="55"/>
        <v>1</v>
      </c>
      <c r="V134" s="13">
        <f t="shared" si="56"/>
        <v>2</v>
      </c>
      <c r="W134" s="13">
        <f t="shared" ca="1" si="57"/>
        <v>3</v>
      </c>
      <c r="X134" s="13">
        <f t="shared" ca="1" si="58"/>
        <v>7</v>
      </c>
      <c r="Y134" s="81" t="str">
        <f t="shared" ca="1" si="59"/>
        <v>MONITOR</v>
      </c>
      <c r="Z134" s="13">
        <v>14</v>
      </c>
      <c r="AA134" s="75">
        <v>46059</v>
      </c>
      <c r="AB134" s="75">
        <f t="shared" si="60"/>
        <v>45920</v>
      </c>
      <c r="AC134" s="88">
        <f t="shared" si="61"/>
        <v>19.857142857142858</v>
      </c>
      <c r="AD134" s="89" t="str">
        <f t="shared" ca="1" si="62"/>
        <v>STABLE</v>
      </c>
      <c r="AE134" s="89" t="str">
        <f t="shared" si="44"/>
        <v>SLOW SELLING</v>
      </c>
      <c r="AF134" s="89" t="str">
        <f t="shared" si="63"/>
        <v>AT RISK</v>
      </c>
      <c r="AG134" s="89" t="str">
        <f t="shared" si="64"/>
        <v>FEASIBLE</v>
      </c>
      <c r="AH134" s="81" t="str">
        <f t="shared" ca="1" si="65"/>
        <v>MONITOR</v>
      </c>
      <c r="AI134" s="75"/>
      <c r="AJ134" s="75"/>
      <c r="AK134" s="13"/>
      <c r="AL134" s="79"/>
      <c r="AM134" s="79"/>
      <c r="AN134" s="79"/>
      <c r="AO134" s="79"/>
      <c r="AP134" s="79"/>
      <c r="AQ134" s="75"/>
      <c r="AR134" s="75"/>
      <c r="AS134" s="75"/>
      <c r="AT134" s="75"/>
      <c r="AU134" s="75"/>
      <c r="AV134" s="13"/>
      <c r="AW134" s="13"/>
      <c r="AX134" s="13"/>
      <c r="AY134" s="13"/>
      <c r="AZ134" s="13"/>
      <c r="BA134" s="105"/>
      <c r="BB134" s="13"/>
      <c r="BC134" s="13"/>
      <c r="BD134" s="13"/>
      <c r="BE134" s="13"/>
      <c r="BF134" s="88"/>
      <c r="BG134" s="88"/>
      <c r="BH134" s="88"/>
      <c r="BI134" s="88"/>
      <c r="BJ134" s="88"/>
      <c r="BK134" s="105"/>
      <c r="BL134" s="105"/>
      <c r="BM134" s="105"/>
      <c r="BN134" s="105"/>
      <c r="BO134" s="105"/>
      <c r="BP134" s="105"/>
      <c r="BQ134" s="79"/>
      <c r="BR134" s="79"/>
      <c r="BS134" s="79"/>
      <c r="BT134" s="79"/>
      <c r="BU134" s="79"/>
      <c r="BV134" s="90"/>
      <c r="BW134" s="106"/>
      <c r="BX134" s="106"/>
      <c r="BY134" s="106"/>
      <c r="BZ134" s="106"/>
      <c r="CA134" s="106"/>
    </row>
    <row r="135" spans="1:79" x14ac:dyDescent="0.35">
      <c r="A135" s="25" t="s">
        <v>149</v>
      </c>
      <c r="B135" s="10" t="s">
        <v>321</v>
      </c>
      <c r="C135" s="10" t="s">
        <v>342</v>
      </c>
      <c r="D135" s="10" t="s">
        <v>346</v>
      </c>
      <c r="E135" s="11">
        <v>45864</v>
      </c>
      <c r="F135" s="17">
        <v>45892</v>
      </c>
      <c r="G135" s="14">
        <f t="shared" ca="1" si="45"/>
        <v>207</v>
      </c>
      <c r="H135" s="17">
        <v>799</v>
      </c>
      <c r="I135" s="17">
        <v>395</v>
      </c>
      <c r="J135" s="75">
        <f t="shared" si="46"/>
        <v>674</v>
      </c>
      <c r="K135" s="17">
        <v>750</v>
      </c>
      <c r="L135" s="85">
        <v>76</v>
      </c>
      <c r="M135" s="86">
        <f t="shared" ca="1" si="47"/>
        <v>0.3671497584541063</v>
      </c>
      <c r="N135" s="86">
        <f t="shared" si="48"/>
        <v>0.80451009251471861</v>
      </c>
      <c r="O135" s="86">
        <f t="shared" si="49"/>
        <v>0.23170731707317074</v>
      </c>
      <c r="P135" s="87">
        <f t="shared" si="50"/>
        <v>19</v>
      </c>
      <c r="Q135" s="104">
        <f t="shared" si="51"/>
        <v>35.473684210526315</v>
      </c>
      <c r="R135" s="88">
        <f t="shared" si="52"/>
        <v>50.563204005006256</v>
      </c>
      <c r="S135" s="88">
        <f t="shared" si="53"/>
        <v>10.133333333333333</v>
      </c>
      <c r="T135" s="13">
        <f t="shared" si="54"/>
        <v>1</v>
      </c>
      <c r="U135" s="13">
        <f t="shared" si="55"/>
        <v>1</v>
      </c>
      <c r="V135" s="13">
        <f t="shared" si="56"/>
        <v>2</v>
      </c>
      <c r="W135" s="13">
        <f t="shared" ca="1" si="57"/>
        <v>3</v>
      </c>
      <c r="X135" s="13">
        <f t="shared" ca="1" si="58"/>
        <v>7</v>
      </c>
      <c r="Y135" s="81" t="str">
        <f t="shared" ca="1" si="59"/>
        <v>MONITOR</v>
      </c>
      <c r="Z135" s="13">
        <v>14</v>
      </c>
      <c r="AA135" s="75">
        <v>46059</v>
      </c>
      <c r="AB135" s="75">
        <f t="shared" si="60"/>
        <v>45920</v>
      </c>
      <c r="AC135" s="88">
        <f t="shared" si="61"/>
        <v>19.857142857142858</v>
      </c>
      <c r="AD135" s="89" t="str">
        <f t="shared" ca="1" si="62"/>
        <v>STABLE</v>
      </c>
      <c r="AE135" s="89" t="str">
        <f t="shared" si="44"/>
        <v>SLOW SELLING</v>
      </c>
      <c r="AF135" s="89" t="str">
        <f t="shared" si="63"/>
        <v>AT RISK</v>
      </c>
      <c r="AG135" s="89" t="str">
        <f t="shared" si="64"/>
        <v>FEASIBLE</v>
      </c>
      <c r="AH135" s="81" t="str">
        <f t="shared" ca="1" si="65"/>
        <v>MONITOR</v>
      </c>
      <c r="AI135" s="75"/>
      <c r="AJ135" s="75"/>
      <c r="AK135" s="13"/>
      <c r="AL135" s="79"/>
      <c r="AM135" s="79"/>
      <c r="AN135" s="79"/>
      <c r="AO135" s="79"/>
      <c r="AP135" s="79"/>
      <c r="AQ135" s="75"/>
      <c r="AR135" s="75"/>
      <c r="AS135" s="75"/>
      <c r="AT135" s="75"/>
      <c r="AU135" s="75"/>
      <c r="AV135" s="13"/>
      <c r="AW135" s="13"/>
      <c r="AX135" s="13"/>
      <c r="AY135" s="13"/>
      <c r="AZ135" s="13"/>
      <c r="BA135" s="105"/>
      <c r="BB135" s="13"/>
      <c r="BC135" s="13"/>
      <c r="BD135" s="13"/>
      <c r="BE135" s="13"/>
      <c r="BF135" s="88"/>
      <c r="BG135" s="88"/>
      <c r="BH135" s="88"/>
      <c r="BI135" s="88"/>
      <c r="BJ135" s="88"/>
      <c r="BK135" s="105"/>
      <c r="BL135" s="105"/>
      <c r="BM135" s="105"/>
      <c r="BN135" s="105"/>
      <c r="BO135" s="105"/>
      <c r="BP135" s="105"/>
      <c r="BQ135" s="79"/>
      <c r="BR135" s="79"/>
      <c r="BS135" s="79"/>
      <c r="BT135" s="79"/>
      <c r="BU135" s="79"/>
      <c r="BV135" s="90"/>
      <c r="BW135" s="106"/>
      <c r="BX135" s="106"/>
      <c r="BY135" s="106"/>
      <c r="BZ135" s="106"/>
      <c r="CA135" s="106"/>
    </row>
    <row r="136" spans="1:79" x14ac:dyDescent="0.35">
      <c r="A136" s="25" t="s">
        <v>150</v>
      </c>
      <c r="B136" s="10" t="s">
        <v>321</v>
      </c>
      <c r="C136" s="10" t="s">
        <v>342</v>
      </c>
      <c r="D136" s="10" t="s">
        <v>346</v>
      </c>
      <c r="E136" s="11">
        <v>45864</v>
      </c>
      <c r="F136" s="17">
        <v>45892</v>
      </c>
      <c r="G136" s="14">
        <f t="shared" ca="1" si="45"/>
        <v>207</v>
      </c>
      <c r="H136" s="17">
        <v>799</v>
      </c>
      <c r="I136" s="17">
        <v>395</v>
      </c>
      <c r="J136" s="75">
        <f t="shared" si="46"/>
        <v>593</v>
      </c>
      <c r="K136" s="17">
        <v>750</v>
      </c>
      <c r="L136" s="85">
        <v>157</v>
      </c>
      <c r="M136" s="86">
        <f t="shared" ca="1" si="47"/>
        <v>0.75845410628019327</v>
      </c>
      <c r="N136" s="86">
        <f t="shared" si="48"/>
        <v>0.80451009251471861</v>
      </c>
      <c r="O136" s="86">
        <f t="shared" si="49"/>
        <v>0.47865853658536583</v>
      </c>
      <c r="P136" s="87">
        <f t="shared" si="50"/>
        <v>39.25</v>
      </c>
      <c r="Q136" s="104">
        <f t="shared" si="51"/>
        <v>15.108280254777069</v>
      </c>
      <c r="R136" s="88">
        <f t="shared" si="52"/>
        <v>50.563204005006256</v>
      </c>
      <c r="S136" s="88">
        <f t="shared" si="53"/>
        <v>20.933333333333334</v>
      </c>
      <c r="T136" s="13">
        <f t="shared" si="54"/>
        <v>1</v>
      </c>
      <c r="U136" s="13">
        <f t="shared" si="55"/>
        <v>1</v>
      </c>
      <c r="V136" s="13">
        <f t="shared" si="56"/>
        <v>2</v>
      </c>
      <c r="W136" s="13">
        <f t="shared" ca="1" si="57"/>
        <v>3</v>
      </c>
      <c r="X136" s="13">
        <f t="shared" ca="1" si="58"/>
        <v>7</v>
      </c>
      <c r="Y136" s="81" t="str">
        <f t="shared" ca="1" si="59"/>
        <v>MONITOR</v>
      </c>
      <c r="Z136" s="13">
        <v>14</v>
      </c>
      <c r="AA136" s="75">
        <v>46059</v>
      </c>
      <c r="AB136" s="75">
        <f t="shared" si="60"/>
        <v>45920</v>
      </c>
      <c r="AC136" s="88">
        <f t="shared" si="61"/>
        <v>19.857142857142858</v>
      </c>
      <c r="AD136" s="89" t="str">
        <f t="shared" ca="1" si="62"/>
        <v>STABLE</v>
      </c>
      <c r="AE136" s="89" t="str">
        <f t="shared" si="44"/>
        <v>SLOW SELLING</v>
      </c>
      <c r="AF136" s="89" t="str">
        <f t="shared" si="63"/>
        <v>AT RISK</v>
      </c>
      <c r="AG136" s="89" t="str">
        <f t="shared" si="64"/>
        <v>FEASIBLE</v>
      </c>
      <c r="AH136" s="81" t="str">
        <f t="shared" ca="1" si="65"/>
        <v>MONITOR</v>
      </c>
      <c r="AI136" s="75"/>
      <c r="AJ136" s="75"/>
      <c r="AK136" s="13"/>
      <c r="AL136" s="79"/>
      <c r="AM136" s="79"/>
      <c r="AN136" s="79"/>
      <c r="AO136" s="79"/>
      <c r="AP136" s="79"/>
      <c r="AQ136" s="75"/>
      <c r="AR136" s="75"/>
      <c r="AS136" s="75"/>
      <c r="AT136" s="75"/>
      <c r="AU136" s="75"/>
      <c r="AV136" s="13"/>
      <c r="AW136" s="13"/>
      <c r="AX136" s="13"/>
      <c r="AY136" s="13"/>
      <c r="AZ136" s="13"/>
      <c r="BA136" s="105"/>
      <c r="BB136" s="13"/>
      <c r="BC136" s="13"/>
      <c r="BD136" s="13"/>
      <c r="BE136" s="13"/>
      <c r="BF136" s="88"/>
      <c r="BG136" s="88"/>
      <c r="BH136" s="88"/>
      <c r="BI136" s="88"/>
      <c r="BJ136" s="88"/>
      <c r="BK136" s="105"/>
      <c r="BL136" s="105"/>
      <c r="BM136" s="105"/>
      <c r="BN136" s="105"/>
      <c r="BO136" s="105"/>
      <c r="BP136" s="105"/>
      <c r="BQ136" s="79"/>
      <c r="BR136" s="79"/>
      <c r="BS136" s="79"/>
      <c r="BT136" s="79"/>
      <c r="BU136" s="79"/>
      <c r="BV136" s="90"/>
      <c r="BW136" s="106"/>
      <c r="BX136" s="106"/>
      <c r="BY136" s="106"/>
      <c r="BZ136" s="106"/>
      <c r="CA136" s="106"/>
    </row>
    <row r="137" spans="1:79" x14ac:dyDescent="0.35">
      <c r="A137" s="25" t="s">
        <v>151</v>
      </c>
      <c r="B137" s="10" t="s">
        <v>327</v>
      </c>
      <c r="C137" s="10" t="s">
        <v>342</v>
      </c>
      <c r="D137" s="10" t="s">
        <v>346</v>
      </c>
      <c r="E137" s="11">
        <v>45892</v>
      </c>
      <c r="F137" s="17">
        <v>45892</v>
      </c>
      <c r="G137" s="14">
        <f t="shared" ca="1" si="45"/>
        <v>207</v>
      </c>
      <c r="H137" s="17">
        <v>799</v>
      </c>
      <c r="I137" s="17">
        <v>400</v>
      </c>
      <c r="J137" s="75">
        <f t="shared" si="46"/>
        <v>687</v>
      </c>
      <c r="K137" s="17">
        <v>1050</v>
      </c>
      <c r="L137" s="85">
        <v>363</v>
      </c>
      <c r="M137" s="86">
        <f t="shared" ca="1" si="47"/>
        <v>1.7536231884057971</v>
      </c>
      <c r="N137" s="86">
        <f t="shared" si="48"/>
        <v>0.80451009251471861</v>
      </c>
      <c r="O137" s="86">
        <f t="shared" si="49"/>
        <v>1.1067073170731707</v>
      </c>
      <c r="P137" s="87">
        <f t="shared" si="50"/>
        <v>90.75</v>
      </c>
      <c r="Q137" s="104">
        <f t="shared" si="51"/>
        <v>7.5702479338842972</v>
      </c>
      <c r="R137" s="88">
        <f t="shared" si="52"/>
        <v>49.937421777221523</v>
      </c>
      <c r="S137" s="88">
        <f t="shared" si="53"/>
        <v>34.571428571428569</v>
      </c>
      <c r="T137" s="13">
        <f t="shared" si="54"/>
        <v>3</v>
      </c>
      <c r="U137" s="13">
        <f t="shared" si="55"/>
        <v>1</v>
      </c>
      <c r="V137" s="13">
        <f t="shared" si="56"/>
        <v>2</v>
      </c>
      <c r="W137" s="13">
        <f t="shared" ca="1" si="57"/>
        <v>3</v>
      </c>
      <c r="X137" s="13">
        <f t="shared" ca="1" si="58"/>
        <v>9</v>
      </c>
      <c r="Y137" s="81" t="str">
        <f t="shared" ca="1" si="59"/>
        <v>RE-BUY</v>
      </c>
      <c r="Z137" s="13">
        <v>14</v>
      </c>
      <c r="AA137" s="75">
        <v>46059</v>
      </c>
      <c r="AB137" s="75">
        <f t="shared" si="60"/>
        <v>45920</v>
      </c>
      <c r="AC137" s="88">
        <f t="shared" si="61"/>
        <v>19.857142857142858</v>
      </c>
      <c r="AD137" s="89" t="str">
        <f t="shared" ca="1" si="62"/>
        <v>STABLE</v>
      </c>
      <c r="AE137" s="89" t="str">
        <f t="shared" si="44"/>
        <v>FAST SELLING</v>
      </c>
      <c r="AF137" s="89" t="str">
        <f t="shared" si="63"/>
        <v>AT RISK</v>
      </c>
      <c r="AG137" s="89" t="str">
        <f t="shared" si="64"/>
        <v>FEASIBLE</v>
      </c>
      <c r="AH137" s="81" t="str">
        <f t="shared" ca="1" si="65"/>
        <v>IMMEDIATE REBUY</v>
      </c>
      <c r="AI137" s="75"/>
      <c r="AJ137" s="75"/>
      <c r="AK137" s="13"/>
      <c r="AL137" s="79"/>
      <c r="AM137" s="79"/>
      <c r="AN137" s="79"/>
      <c r="AO137" s="79"/>
      <c r="AP137" s="79"/>
      <c r="AQ137" s="75"/>
      <c r="AR137" s="75"/>
      <c r="AS137" s="75"/>
      <c r="AT137" s="75"/>
      <c r="AU137" s="75"/>
      <c r="AV137" s="13"/>
      <c r="AW137" s="13"/>
      <c r="AX137" s="13"/>
      <c r="AY137" s="13"/>
      <c r="AZ137" s="13"/>
      <c r="BA137" s="105"/>
      <c r="BB137" s="13"/>
      <c r="BC137" s="13"/>
      <c r="BD137" s="13"/>
      <c r="BE137" s="13"/>
      <c r="BF137" s="88"/>
      <c r="BG137" s="88"/>
      <c r="BH137" s="88"/>
      <c r="BI137" s="88"/>
      <c r="BJ137" s="88"/>
      <c r="BK137" s="105"/>
      <c r="BL137" s="105"/>
      <c r="BM137" s="105"/>
      <c r="BN137" s="105"/>
      <c r="BO137" s="105"/>
      <c r="BP137" s="105"/>
      <c r="BQ137" s="79"/>
      <c r="BR137" s="79"/>
      <c r="BS137" s="79"/>
      <c r="BT137" s="79"/>
      <c r="BU137" s="79"/>
      <c r="BV137" s="90"/>
      <c r="BW137" s="106"/>
      <c r="BX137" s="106"/>
      <c r="BY137" s="106"/>
      <c r="BZ137" s="106"/>
      <c r="CA137" s="106"/>
    </row>
    <row r="138" spans="1:79" x14ac:dyDescent="0.35">
      <c r="A138" s="25" t="s">
        <v>152</v>
      </c>
      <c r="B138" s="10" t="s">
        <v>321</v>
      </c>
      <c r="C138" s="10" t="s">
        <v>342</v>
      </c>
      <c r="D138" s="10" t="s">
        <v>346</v>
      </c>
      <c r="E138" s="11">
        <v>45920</v>
      </c>
      <c r="F138" s="17">
        <v>45892</v>
      </c>
      <c r="G138" s="14">
        <f t="shared" ca="1" si="45"/>
        <v>207</v>
      </c>
      <c r="H138" s="17">
        <v>799</v>
      </c>
      <c r="I138" s="17">
        <v>410</v>
      </c>
      <c r="J138" s="75">
        <f t="shared" si="46"/>
        <v>567</v>
      </c>
      <c r="K138" s="17">
        <v>1200</v>
      </c>
      <c r="L138" s="85">
        <v>633</v>
      </c>
      <c r="M138" s="86">
        <f t="shared" ca="1" si="47"/>
        <v>3.0579710144927534</v>
      </c>
      <c r="N138" s="86">
        <f t="shared" si="48"/>
        <v>0.80451009251471861</v>
      </c>
      <c r="O138" s="86">
        <f t="shared" si="49"/>
        <v>1.9298780487804879</v>
      </c>
      <c r="P138" s="87">
        <f t="shared" si="50"/>
        <v>158.25</v>
      </c>
      <c r="Q138" s="104">
        <f t="shared" si="51"/>
        <v>3.5829383886255926</v>
      </c>
      <c r="R138" s="88">
        <f t="shared" si="52"/>
        <v>48.685857321652065</v>
      </c>
      <c r="S138" s="88">
        <f t="shared" si="53"/>
        <v>52.75</v>
      </c>
      <c r="T138" s="13">
        <f t="shared" si="54"/>
        <v>3</v>
      </c>
      <c r="U138" s="13">
        <f t="shared" si="55"/>
        <v>3</v>
      </c>
      <c r="V138" s="13">
        <f t="shared" si="56"/>
        <v>2</v>
      </c>
      <c r="W138" s="13">
        <f t="shared" ca="1" si="57"/>
        <v>3</v>
      </c>
      <c r="X138" s="13">
        <f t="shared" ca="1" si="58"/>
        <v>11</v>
      </c>
      <c r="Y138" s="81" t="str">
        <f t="shared" ca="1" si="59"/>
        <v>RE-BUY</v>
      </c>
      <c r="Z138" s="13">
        <v>14</v>
      </c>
      <c r="AA138" s="75">
        <v>46059</v>
      </c>
      <c r="AB138" s="75">
        <f t="shared" si="60"/>
        <v>45920</v>
      </c>
      <c r="AC138" s="88">
        <f t="shared" si="61"/>
        <v>19.857142857142858</v>
      </c>
      <c r="AD138" s="89" t="str">
        <f t="shared" ca="1" si="62"/>
        <v>STABLE</v>
      </c>
      <c r="AE138" s="89" t="str">
        <f t="shared" si="44"/>
        <v>FAST SELLING</v>
      </c>
      <c r="AF138" s="89" t="str">
        <f t="shared" si="63"/>
        <v>AT RISK</v>
      </c>
      <c r="AG138" s="89" t="str">
        <f t="shared" si="64"/>
        <v>FEASIBLE</v>
      </c>
      <c r="AH138" s="81" t="str">
        <f t="shared" ca="1" si="65"/>
        <v>IMMEDIATE REBUY</v>
      </c>
      <c r="AI138" s="75"/>
      <c r="AJ138" s="75"/>
      <c r="AK138" s="13"/>
      <c r="AL138" s="79"/>
      <c r="AM138" s="79"/>
      <c r="AN138" s="79"/>
      <c r="AO138" s="79"/>
      <c r="AP138" s="79"/>
      <c r="AQ138" s="75"/>
      <c r="AR138" s="75"/>
      <c r="AS138" s="75"/>
      <c r="AT138" s="75"/>
      <c r="AU138" s="75"/>
      <c r="AV138" s="13"/>
      <c r="AW138" s="13"/>
      <c r="AX138" s="13"/>
      <c r="AY138" s="13"/>
      <c r="AZ138" s="13"/>
      <c r="BA138" s="105"/>
      <c r="BB138" s="13"/>
      <c r="BC138" s="13"/>
      <c r="BD138" s="13"/>
      <c r="BE138" s="13"/>
      <c r="BF138" s="88"/>
      <c r="BG138" s="88"/>
      <c r="BH138" s="88"/>
      <c r="BI138" s="88"/>
      <c r="BJ138" s="88"/>
      <c r="BK138" s="105"/>
      <c r="BL138" s="105"/>
      <c r="BM138" s="105"/>
      <c r="BN138" s="105"/>
      <c r="BO138" s="105"/>
      <c r="BP138" s="105"/>
      <c r="BQ138" s="79"/>
      <c r="BR138" s="79"/>
      <c r="BS138" s="79"/>
      <c r="BT138" s="79"/>
      <c r="BU138" s="79"/>
      <c r="BV138" s="90"/>
      <c r="BW138" s="106"/>
      <c r="BX138" s="106"/>
      <c r="BY138" s="106"/>
      <c r="BZ138" s="106"/>
      <c r="CA138" s="106"/>
    </row>
    <row r="139" spans="1:79" x14ac:dyDescent="0.35">
      <c r="A139" s="25" t="s">
        <v>153</v>
      </c>
      <c r="B139" s="10" t="s">
        <v>321</v>
      </c>
      <c r="C139" s="10" t="s">
        <v>342</v>
      </c>
      <c r="D139" s="10" t="s">
        <v>346</v>
      </c>
      <c r="E139" s="11">
        <v>45920</v>
      </c>
      <c r="F139" s="17">
        <v>45892</v>
      </c>
      <c r="G139" s="14">
        <f t="shared" ca="1" si="45"/>
        <v>207</v>
      </c>
      <c r="H139" s="17">
        <v>799</v>
      </c>
      <c r="I139" s="17">
        <v>410</v>
      </c>
      <c r="J139" s="75">
        <f t="shared" si="46"/>
        <v>852</v>
      </c>
      <c r="K139" s="17">
        <v>1200</v>
      </c>
      <c r="L139" s="85">
        <v>348</v>
      </c>
      <c r="M139" s="86">
        <f t="shared" ca="1" si="47"/>
        <v>1.681159420289855</v>
      </c>
      <c r="N139" s="86">
        <f t="shared" si="48"/>
        <v>0.80451009251471861</v>
      </c>
      <c r="O139" s="86">
        <f t="shared" si="49"/>
        <v>1.0609756097560976</v>
      </c>
      <c r="P139" s="87">
        <f t="shared" si="50"/>
        <v>87</v>
      </c>
      <c r="Q139" s="104">
        <f t="shared" si="51"/>
        <v>9.7931034482758612</v>
      </c>
      <c r="R139" s="88">
        <f t="shared" si="52"/>
        <v>48.685857321652065</v>
      </c>
      <c r="S139" s="88">
        <f t="shared" si="53"/>
        <v>28.999999999999996</v>
      </c>
      <c r="T139" s="13">
        <f t="shared" si="54"/>
        <v>3</v>
      </c>
      <c r="U139" s="13">
        <f t="shared" si="55"/>
        <v>1</v>
      </c>
      <c r="V139" s="13">
        <f t="shared" si="56"/>
        <v>2</v>
      </c>
      <c r="W139" s="13">
        <f t="shared" ca="1" si="57"/>
        <v>3</v>
      </c>
      <c r="X139" s="13">
        <f t="shared" ca="1" si="58"/>
        <v>9</v>
      </c>
      <c r="Y139" s="81" t="str">
        <f t="shared" ca="1" si="59"/>
        <v>RE-BUY</v>
      </c>
      <c r="Z139" s="13">
        <v>14</v>
      </c>
      <c r="AA139" s="75">
        <v>46059</v>
      </c>
      <c r="AB139" s="75">
        <f t="shared" si="60"/>
        <v>45920</v>
      </c>
      <c r="AC139" s="88">
        <f t="shared" si="61"/>
        <v>19.857142857142858</v>
      </c>
      <c r="AD139" s="89" t="str">
        <f t="shared" ca="1" si="62"/>
        <v>STABLE</v>
      </c>
      <c r="AE139" s="89" t="str">
        <f t="shared" si="44"/>
        <v>FAST SELLING</v>
      </c>
      <c r="AF139" s="89" t="str">
        <f t="shared" si="63"/>
        <v>AT RISK</v>
      </c>
      <c r="AG139" s="89" t="str">
        <f t="shared" si="64"/>
        <v>FEASIBLE</v>
      </c>
      <c r="AH139" s="81" t="str">
        <f t="shared" ca="1" si="65"/>
        <v>IMMEDIATE REBUY</v>
      </c>
      <c r="AI139" s="75"/>
      <c r="AJ139" s="75"/>
      <c r="AK139" s="13"/>
      <c r="AL139" s="79"/>
      <c r="AM139" s="79"/>
      <c r="AN139" s="79"/>
      <c r="AO139" s="79"/>
      <c r="AP139" s="79"/>
      <c r="AQ139" s="75"/>
      <c r="AR139" s="75"/>
      <c r="AS139" s="75"/>
      <c r="AT139" s="75"/>
      <c r="AU139" s="75"/>
      <c r="AV139" s="13"/>
      <c r="AW139" s="13"/>
      <c r="AX139" s="13"/>
      <c r="AY139" s="13"/>
      <c r="AZ139" s="13"/>
      <c r="BA139" s="105"/>
      <c r="BB139" s="13"/>
      <c r="BC139" s="13"/>
      <c r="BD139" s="13"/>
      <c r="BE139" s="13"/>
      <c r="BF139" s="88"/>
      <c r="BG139" s="88"/>
      <c r="BH139" s="88"/>
      <c r="BI139" s="88"/>
      <c r="BJ139" s="88"/>
      <c r="BK139" s="105"/>
      <c r="BL139" s="105"/>
      <c r="BM139" s="105"/>
      <c r="BN139" s="105"/>
      <c r="BO139" s="105"/>
      <c r="BP139" s="105"/>
      <c r="BQ139" s="79"/>
      <c r="BR139" s="79"/>
      <c r="BS139" s="79"/>
      <c r="BT139" s="79"/>
      <c r="BU139" s="79"/>
      <c r="BV139" s="90"/>
      <c r="BW139" s="106"/>
      <c r="BX139" s="106"/>
      <c r="BY139" s="106"/>
      <c r="BZ139" s="106"/>
      <c r="CA139" s="106"/>
    </row>
    <row r="140" spans="1:79" x14ac:dyDescent="0.35">
      <c r="A140" s="25" t="s">
        <v>154</v>
      </c>
      <c r="B140" s="10" t="s">
        <v>321</v>
      </c>
      <c r="C140" s="10" t="s">
        <v>342</v>
      </c>
      <c r="D140" s="10" t="s">
        <v>346</v>
      </c>
      <c r="E140" s="11">
        <v>45892</v>
      </c>
      <c r="F140" s="17">
        <v>45892</v>
      </c>
      <c r="G140" s="14">
        <f t="shared" ca="1" si="45"/>
        <v>207</v>
      </c>
      <c r="H140" s="17">
        <v>799</v>
      </c>
      <c r="I140" s="17">
        <v>439.00000000000006</v>
      </c>
      <c r="J140" s="75">
        <f t="shared" si="46"/>
        <v>784</v>
      </c>
      <c r="K140" s="17">
        <v>1050</v>
      </c>
      <c r="L140" s="85">
        <v>266</v>
      </c>
      <c r="M140" s="86">
        <f t="shared" ca="1" si="47"/>
        <v>1.2850241545893719</v>
      </c>
      <c r="N140" s="86">
        <f t="shared" si="48"/>
        <v>0.80451009251471861</v>
      </c>
      <c r="O140" s="86">
        <f t="shared" si="49"/>
        <v>0.81097560975609762</v>
      </c>
      <c r="P140" s="87">
        <f t="shared" si="50"/>
        <v>66.5</v>
      </c>
      <c r="Q140" s="104">
        <f t="shared" si="51"/>
        <v>11.789473684210526</v>
      </c>
      <c r="R140" s="88">
        <f t="shared" si="52"/>
        <v>45.056320400500624</v>
      </c>
      <c r="S140" s="88">
        <f t="shared" si="53"/>
        <v>25.333333333333336</v>
      </c>
      <c r="T140" s="13">
        <f t="shared" si="54"/>
        <v>3</v>
      </c>
      <c r="U140" s="13">
        <f t="shared" si="55"/>
        <v>1</v>
      </c>
      <c r="V140" s="13">
        <f t="shared" si="56"/>
        <v>2</v>
      </c>
      <c r="W140" s="13">
        <f t="shared" ca="1" si="57"/>
        <v>3</v>
      </c>
      <c r="X140" s="13">
        <f t="shared" ca="1" si="58"/>
        <v>9</v>
      </c>
      <c r="Y140" s="81" t="str">
        <f t="shared" ca="1" si="59"/>
        <v>RE-BUY</v>
      </c>
      <c r="Z140" s="13">
        <v>14</v>
      </c>
      <c r="AA140" s="75">
        <v>46059</v>
      </c>
      <c r="AB140" s="75">
        <f t="shared" si="60"/>
        <v>45920</v>
      </c>
      <c r="AC140" s="88">
        <f t="shared" si="61"/>
        <v>19.857142857142858</v>
      </c>
      <c r="AD140" s="89" t="str">
        <f t="shared" ca="1" si="62"/>
        <v>STABLE</v>
      </c>
      <c r="AE140" s="89" t="str">
        <f t="shared" si="44"/>
        <v>FAST SELLING</v>
      </c>
      <c r="AF140" s="89" t="str">
        <f t="shared" si="63"/>
        <v>AT RISK</v>
      </c>
      <c r="AG140" s="89" t="str">
        <f t="shared" si="64"/>
        <v>FEASIBLE</v>
      </c>
      <c r="AH140" s="81" t="str">
        <f t="shared" ca="1" si="65"/>
        <v>IMMEDIATE REBUY</v>
      </c>
      <c r="AI140" s="75"/>
      <c r="AJ140" s="75"/>
      <c r="AK140" s="13"/>
      <c r="AL140" s="79"/>
      <c r="AM140" s="79"/>
      <c r="AN140" s="79"/>
      <c r="AO140" s="79"/>
      <c r="AP140" s="79"/>
      <c r="AQ140" s="75"/>
      <c r="AR140" s="75"/>
      <c r="AS140" s="75"/>
      <c r="AT140" s="75"/>
      <c r="AU140" s="75"/>
      <c r="AV140" s="13"/>
      <c r="AW140" s="13"/>
      <c r="AX140" s="13"/>
      <c r="AY140" s="13"/>
      <c r="AZ140" s="13"/>
      <c r="BA140" s="105"/>
      <c r="BB140" s="13"/>
      <c r="BC140" s="13"/>
      <c r="BD140" s="13"/>
      <c r="BE140" s="13"/>
      <c r="BF140" s="88"/>
      <c r="BG140" s="88"/>
      <c r="BH140" s="88"/>
      <c r="BI140" s="88"/>
      <c r="BJ140" s="88"/>
      <c r="BK140" s="105"/>
      <c r="BL140" s="105"/>
      <c r="BM140" s="105"/>
      <c r="BN140" s="105"/>
      <c r="BO140" s="105"/>
      <c r="BP140" s="105"/>
      <c r="BQ140" s="79"/>
      <c r="BR140" s="79"/>
      <c r="BS140" s="79"/>
      <c r="BT140" s="79"/>
      <c r="BU140" s="79"/>
      <c r="BV140" s="90"/>
      <c r="BW140" s="106"/>
      <c r="BX140" s="106"/>
      <c r="BY140" s="106"/>
      <c r="BZ140" s="106"/>
      <c r="CA140" s="106"/>
    </row>
    <row r="141" spans="1:79" x14ac:dyDescent="0.35">
      <c r="A141" s="25" t="s">
        <v>155</v>
      </c>
      <c r="B141" s="10" t="s">
        <v>321</v>
      </c>
      <c r="C141" s="10" t="s">
        <v>342</v>
      </c>
      <c r="D141" s="10" t="s">
        <v>346</v>
      </c>
      <c r="E141" s="11">
        <v>45892</v>
      </c>
      <c r="F141" s="17">
        <v>45892</v>
      </c>
      <c r="G141" s="14">
        <f t="shared" ca="1" si="45"/>
        <v>207</v>
      </c>
      <c r="H141" s="17">
        <v>799</v>
      </c>
      <c r="I141" s="17">
        <v>439.00000000000006</v>
      </c>
      <c r="J141" s="75">
        <f t="shared" si="46"/>
        <v>685</v>
      </c>
      <c r="K141" s="17">
        <v>1050</v>
      </c>
      <c r="L141" s="85">
        <v>365</v>
      </c>
      <c r="M141" s="86">
        <f t="shared" ca="1" si="47"/>
        <v>1.7632850241545894</v>
      </c>
      <c r="N141" s="86">
        <f t="shared" si="48"/>
        <v>0.80451009251471861</v>
      </c>
      <c r="O141" s="86">
        <f t="shared" si="49"/>
        <v>1.1128048780487805</v>
      </c>
      <c r="P141" s="87">
        <f t="shared" si="50"/>
        <v>91.25</v>
      </c>
      <c r="Q141" s="104">
        <f t="shared" si="51"/>
        <v>7.506849315068493</v>
      </c>
      <c r="R141" s="88">
        <f t="shared" si="52"/>
        <v>45.056320400500624</v>
      </c>
      <c r="S141" s="88">
        <f t="shared" si="53"/>
        <v>34.761904761904759</v>
      </c>
      <c r="T141" s="13">
        <f t="shared" si="54"/>
        <v>3</v>
      </c>
      <c r="U141" s="13">
        <f t="shared" si="55"/>
        <v>1</v>
      </c>
      <c r="V141" s="13">
        <f t="shared" si="56"/>
        <v>2</v>
      </c>
      <c r="W141" s="13">
        <f t="shared" ca="1" si="57"/>
        <v>3</v>
      </c>
      <c r="X141" s="13">
        <f t="shared" ca="1" si="58"/>
        <v>9</v>
      </c>
      <c r="Y141" s="81" t="str">
        <f t="shared" ca="1" si="59"/>
        <v>RE-BUY</v>
      </c>
      <c r="Z141" s="13">
        <v>14</v>
      </c>
      <c r="AA141" s="75">
        <v>46059</v>
      </c>
      <c r="AB141" s="75">
        <f t="shared" si="60"/>
        <v>45920</v>
      </c>
      <c r="AC141" s="88">
        <f t="shared" si="61"/>
        <v>19.857142857142858</v>
      </c>
      <c r="AD141" s="89" t="str">
        <f t="shared" ca="1" si="62"/>
        <v>STABLE</v>
      </c>
      <c r="AE141" s="89" t="str">
        <f t="shared" si="44"/>
        <v>FAST SELLING</v>
      </c>
      <c r="AF141" s="89" t="str">
        <f t="shared" si="63"/>
        <v>AT RISK</v>
      </c>
      <c r="AG141" s="89" t="str">
        <f t="shared" si="64"/>
        <v>FEASIBLE</v>
      </c>
      <c r="AH141" s="81" t="str">
        <f t="shared" ca="1" si="65"/>
        <v>IMMEDIATE REBUY</v>
      </c>
      <c r="AI141" s="75"/>
      <c r="AJ141" s="75"/>
      <c r="AK141" s="13"/>
      <c r="AL141" s="79"/>
      <c r="AM141" s="79"/>
      <c r="AN141" s="79"/>
      <c r="AO141" s="79"/>
      <c r="AP141" s="79"/>
      <c r="AQ141" s="75"/>
      <c r="AR141" s="75"/>
      <c r="AS141" s="75"/>
      <c r="AT141" s="75"/>
      <c r="AU141" s="75"/>
      <c r="AV141" s="13"/>
      <c r="AW141" s="13"/>
      <c r="AX141" s="13"/>
      <c r="AY141" s="13"/>
      <c r="AZ141" s="13"/>
      <c r="BA141" s="105"/>
      <c r="BB141" s="13"/>
      <c r="BC141" s="13"/>
      <c r="BD141" s="13"/>
      <c r="BE141" s="13"/>
      <c r="BF141" s="88"/>
      <c r="BG141" s="88"/>
      <c r="BH141" s="88"/>
      <c r="BI141" s="88"/>
      <c r="BJ141" s="88"/>
      <c r="BK141" s="105"/>
      <c r="BL141" s="105"/>
      <c r="BM141" s="105"/>
      <c r="BN141" s="105"/>
      <c r="BO141" s="105"/>
      <c r="BP141" s="105"/>
      <c r="BQ141" s="79"/>
      <c r="BR141" s="79"/>
      <c r="BS141" s="79"/>
      <c r="BT141" s="79"/>
      <c r="BU141" s="79"/>
      <c r="BV141" s="90"/>
      <c r="BW141" s="106"/>
      <c r="BX141" s="106"/>
      <c r="BY141" s="106"/>
      <c r="BZ141" s="106"/>
      <c r="CA141" s="106"/>
    </row>
    <row r="142" spans="1:79" x14ac:dyDescent="0.35">
      <c r="A142" s="25" t="s">
        <v>156</v>
      </c>
      <c r="B142" s="10" t="s">
        <v>321</v>
      </c>
      <c r="C142" s="10" t="s">
        <v>342</v>
      </c>
      <c r="D142" s="10" t="s">
        <v>346</v>
      </c>
      <c r="E142" s="11">
        <v>45892</v>
      </c>
      <c r="F142" s="17">
        <v>45892</v>
      </c>
      <c r="G142" s="14">
        <f t="shared" ca="1" si="45"/>
        <v>207</v>
      </c>
      <c r="H142" s="17">
        <v>799</v>
      </c>
      <c r="I142" s="17">
        <v>439.00000000000006</v>
      </c>
      <c r="J142" s="75">
        <f t="shared" si="46"/>
        <v>940</v>
      </c>
      <c r="K142" s="17">
        <v>1050</v>
      </c>
      <c r="L142" s="85">
        <v>110</v>
      </c>
      <c r="M142" s="86">
        <f t="shared" ca="1" si="47"/>
        <v>0.53140096618357491</v>
      </c>
      <c r="N142" s="86">
        <f t="shared" si="48"/>
        <v>0.80451009251471861</v>
      </c>
      <c r="O142" s="86">
        <f t="shared" si="49"/>
        <v>0.33536585365853661</v>
      </c>
      <c r="P142" s="87">
        <f t="shared" si="50"/>
        <v>27.5</v>
      </c>
      <c r="Q142" s="104">
        <f t="shared" si="51"/>
        <v>34.18181818181818</v>
      </c>
      <c r="R142" s="88">
        <f t="shared" si="52"/>
        <v>45.056320400500624</v>
      </c>
      <c r="S142" s="88">
        <f t="shared" si="53"/>
        <v>10.476190476190476</v>
      </c>
      <c r="T142" s="13">
        <f t="shared" si="54"/>
        <v>1</v>
      </c>
      <c r="U142" s="13">
        <f t="shared" si="55"/>
        <v>1</v>
      </c>
      <c r="V142" s="13">
        <f t="shared" si="56"/>
        <v>2</v>
      </c>
      <c r="W142" s="13">
        <f t="shared" ca="1" si="57"/>
        <v>3</v>
      </c>
      <c r="X142" s="13">
        <f t="shared" ca="1" si="58"/>
        <v>7</v>
      </c>
      <c r="Y142" s="81" t="str">
        <f t="shared" ca="1" si="59"/>
        <v>MONITOR</v>
      </c>
      <c r="Z142" s="13">
        <v>14</v>
      </c>
      <c r="AA142" s="75">
        <v>46059</v>
      </c>
      <c r="AB142" s="75">
        <f t="shared" si="60"/>
        <v>45920</v>
      </c>
      <c r="AC142" s="88">
        <f t="shared" si="61"/>
        <v>19.857142857142858</v>
      </c>
      <c r="AD142" s="89" t="str">
        <f t="shared" ca="1" si="62"/>
        <v>STABLE</v>
      </c>
      <c r="AE142" s="89" t="str">
        <f t="shared" si="44"/>
        <v>SLOW SELLING</v>
      </c>
      <c r="AF142" s="89" t="str">
        <f t="shared" si="63"/>
        <v>AT RISK</v>
      </c>
      <c r="AG142" s="89" t="str">
        <f t="shared" si="64"/>
        <v>FEASIBLE</v>
      </c>
      <c r="AH142" s="81" t="str">
        <f t="shared" ca="1" si="65"/>
        <v>MONITOR</v>
      </c>
      <c r="AI142" s="75"/>
      <c r="AJ142" s="75"/>
      <c r="AK142" s="13"/>
      <c r="AL142" s="79"/>
      <c r="AM142" s="79"/>
      <c r="AN142" s="79"/>
      <c r="AO142" s="79"/>
      <c r="AP142" s="79"/>
      <c r="AQ142" s="75"/>
      <c r="AR142" s="75"/>
      <c r="AS142" s="75"/>
      <c r="AT142" s="75"/>
      <c r="AU142" s="75"/>
      <c r="AV142" s="13"/>
      <c r="AW142" s="13"/>
      <c r="AX142" s="13"/>
      <c r="AY142" s="13"/>
      <c r="AZ142" s="13"/>
      <c r="BA142" s="105"/>
      <c r="BB142" s="13"/>
      <c r="BC142" s="13"/>
      <c r="BD142" s="13"/>
      <c r="BE142" s="13"/>
      <c r="BF142" s="88"/>
      <c r="BG142" s="88"/>
      <c r="BH142" s="88"/>
      <c r="BI142" s="88"/>
      <c r="BJ142" s="88"/>
      <c r="BK142" s="105"/>
      <c r="BL142" s="105"/>
      <c r="BM142" s="105"/>
      <c r="BN142" s="105"/>
      <c r="BO142" s="105"/>
      <c r="BP142" s="105"/>
      <c r="BQ142" s="79"/>
      <c r="BR142" s="79"/>
      <c r="BS142" s="79"/>
      <c r="BT142" s="79"/>
      <c r="BU142" s="79"/>
      <c r="BV142" s="90"/>
      <c r="BW142" s="106"/>
      <c r="BX142" s="106"/>
      <c r="BY142" s="106"/>
      <c r="BZ142" s="106"/>
      <c r="CA142" s="106"/>
    </row>
    <row r="143" spans="1:79" x14ac:dyDescent="0.35">
      <c r="A143" s="25" t="s">
        <v>157</v>
      </c>
      <c r="B143" s="10" t="s">
        <v>321</v>
      </c>
      <c r="C143" s="10" t="s">
        <v>342</v>
      </c>
      <c r="D143" s="10" t="s">
        <v>346</v>
      </c>
      <c r="E143" s="11">
        <v>45892</v>
      </c>
      <c r="F143" s="17">
        <v>45892</v>
      </c>
      <c r="G143" s="14">
        <f t="shared" ca="1" si="45"/>
        <v>207</v>
      </c>
      <c r="H143" s="17">
        <v>799</v>
      </c>
      <c r="I143" s="17">
        <v>439.00000000000006</v>
      </c>
      <c r="J143" s="75">
        <f t="shared" si="46"/>
        <v>890</v>
      </c>
      <c r="K143" s="17">
        <v>1050</v>
      </c>
      <c r="L143" s="85">
        <v>160</v>
      </c>
      <c r="M143" s="86">
        <f t="shared" ca="1" si="47"/>
        <v>0.77294685990338163</v>
      </c>
      <c r="N143" s="86">
        <f t="shared" si="48"/>
        <v>0.80451009251471861</v>
      </c>
      <c r="O143" s="86">
        <f t="shared" si="49"/>
        <v>0.48780487804878048</v>
      </c>
      <c r="P143" s="87">
        <f t="shared" si="50"/>
        <v>40</v>
      </c>
      <c r="Q143" s="104">
        <f t="shared" si="51"/>
        <v>22.25</v>
      </c>
      <c r="R143" s="88">
        <f t="shared" si="52"/>
        <v>45.056320400500624</v>
      </c>
      <c r="S143" s="88">
        <f t="shared" si="53"/>
        <v>15.238095238095239</v>
      </c>
      <c r="T143" s="13">
        <f t="shared" si="54"/>
        <v>1</v>
      </c>
      <c r="U143" s="13">
        <f t="shared" si="55"/>
        <v>1</v>
      </c>
      <c r="V143" s="13">
        <f t="shared" si="56"/>
        <v>2</v>
      </c>
      <c r="W143" s="13">
        <f t="shared" ca="1" si="57"/>
        <v>3</v>
      </c>
      <c r="X143" s="13">
        <f t="shared" ca="1" si="58"/>
        <v>7</v>
      </c>
      <c r="Y143" s="81" t="str">
        <f t="shared" ca="1" si="59"/>
        <v>MONITOR</v>
      </c>
      <c r="Z143" s="13">
        <v>14</v>
      </c>
      <c r="AA143" s="75">
        <v>46059</v>
      </c>
      <c r="AB143" s="75">
        <f t="shared" si="60"/>
        <v>45920</v>
      </c>
      <c r="AC143" s="88">
        <f t="shared" si="61"/>
        <v>19.857142857142858</v>
      </c>
      <c r="AD143" s="89" t="str">
        <f t="shared" ca="1" si="62"/>
        <v>STABLE</v>
      </c>
      <c r="AE143" s="89" t="str">
        <f t="shared" si="44"/>
        <v>SLOW SELLING</v>
      </c>
      <c r="AF143" s="89" t="str">
        <f t="shared" si="63"/>
        <v>AT RISK</v>
      </c>
      <c r="AG143" s="89" t="str">
        <f t="shared" si="64"/>
        <v>FEASIBLE</v>
      </c>
      <c r="AH143" s="81" t="str">
        <f t="shared" ca="1" si="65"/>
        <v>MONITOR</v>
      </c>
      <c r="AI143" s="75"/>
      <c r="AJ143" s="75"/>
      <c r="AK143" s="13"/>
      <c r="AL143" s="79"/>
      <c r="AM143" s="79"/>
      <c r="AN143" s="79"/>
      <c r="AO143" s="79"/>
      <c r="AP143" s="79"/>
      <c r="AQ143" s="75"/>
      <c r="AR143" s="75"/>
      <c r="AS143" s="75"/>
      <c r="AT143" s="75"/>
      <c r="AU143" s="75"/>
      <c r="AV143" s="13"/>
      <c r="AW143" s="13"/>
      <c r="AX143" s="13"/>
      <c r="AY143" s="13"/>
      <c r="AZ143" s="13"/>
      <c r="BA143" s="105"/>
      <c r="BB143" s="13"/>
      <c r="BC143" s="13"/>
      <c r="BD143" s="13"/>
      <c r="BE143" s="13"/>
      <c r="BF143" s="88"/>
      <c r="BG143" s="88"/>
      <c r="BH143" s="88"/>
      <c r="BI143" s="88"/>
      <c r="BJ143" s="88"/>
      <c r="BK143" s="105"/>
      <c r="BL143" s="105"/>
      <c r="BM143" s="105"/>
      <c r="BN143" s="105"/>
      <c r="BO143" s="105"/>
      <c r="BP143" s="105"/>
      <c r="BQ143" s="79"/>
      <c r="BR143" s="79"/>
      <c r="BS143" s="79"/>
      <c r="BT143" s="79"/>
      <c r="BU143" s="79"/>
      <c r="BV143" s="90"/>
      <c r="BW143" s="106"/>
      <c r="BX143" s="106"/>
      <c r="BY143" s="106"/>
      <c r="BZ143" s="106"/>
      <c r="CA143" s="106"/>
    </row>
    <row r="144" spans="1:79" x14ac:dyDescent="0.35">
      <c r="A144" s="25" t="s">
        <v>158</v>
      </c>
      <c r="B144" s="10" t="s">
        <v>321</v>
      </c>
      <c r="C144" s="10" t="s">
        <v>342</v>
      </c>
      <c r="D144" s="10" t="s">
        <v>346</v>
      </c>
      <c r="E144" s="11">
        <v>45864</v>
      </c>
      <c r="F144" s="17">
        <v>45892</v>
      </c>
      <c r="G144" s="14">
        <f t="shared" ca="1" si="45"/>
        <v>207</v>
      </c>
      <c r="H144" s="17">
        <v>999</v>
      </c>
      <c r="I144" s="17">
        <v>485</v>
      </c>
      <c r="J144" s="75">
        <f t="shared" si="46"/>
        <v>822</v>
      </c>
      <c r="K144" s="17">
        <v>1000</v>
      </c>
      <c r="L144" s="85">
        <v>178</v>
      </c>
      <c r="M144" s="86">
        <f t="shared" ca="1" si="47"/>
        <v>0.85990338164251212</v>
      </c>
      <c r="N144" s="86">
        <f t="shared" si="48"/>
        <v>0.80451009251471861</v>
      </c>
      <c r="O144" s="86">
        <f t="shared" si="49"/>
        <v>0.54268292682926833</v>
      </c>
      <c r="P144" s="87">
        <f t="shared" si="50"/>
        <v>44.5</v>
      </c>
      <c r="Q144" s="104">
        <f t="shared" si="51"/>
        <v>18.471910112359552</v>
      </c>
      <c r="R144" s="88">
        <f t="shared" si="52"/>
        <v>51.451451451451447</v>
      </c>
      <c r="S144" s="88">
        <f t="shared" si="53"/>
        <v>17.8</v>
      </c>
      <c r="T144" s="13">
        <f t="shared" si="54"/>
        <v>1</v>
      </c>
      <c r="U144" s="13">
        <f t="shared" si="55"/>
        <v>1</v>
      </c>
      <c r="V144" s="13">
        <f t="shared" si="56"/>
        <v>2</v>
      </c>
      <c r="W144" s="13">
        <f t="shared" ca="1" si="57"/>
        <v>3</v>
      </c>
      <c r="X144" s="13">
        <f t="shared" ca="1" si="58"/>
        <v>7</v>
      </c>
      <c r="Y144" s="81" t="str">
        <f t="shared" ca="1" si="59"/>
        <v>MONITOR</v>
      </c>
      <c r="Z144" s="13">
        <v>14</v>
      </c>
      <c r="AA144" s="75">
        <v>46059</v>
      </c>
      <c r="AB144" s="75">
        <f t="shared" si="60"/>
        <v>45920</v>
      </c>
      <c r="AC144" s="88">
        <f t="shared" si="61"/>
        <v>19.857142857142858</v>
      </c>
      <c r="AD144" s="89" t="str">
        <f t="shared" ca="1" si="62"/>
        <v>STABLE</v>
      </c>
      <c r="AE144" s="89" t="str">
        <f t="shared" si="44"/>
        <v>SLOW SELLING</v>
      </c>
      <c r="AF144" s="89" t="str">
        <f t="shared" si="63"/>
        <v>AT RISK</v>
      </c>
      <c r="AG144" s="89" t="str">
        <f t="shared" si="64"/>
        <v>FEASIBLE</v>
      </c>
      <c r="AH144" s="81" t="str">
        <f t="shared" ca="1" si="65"/>
        <v>MONITOR</v>
      </c>
      <c r="AI144" s="75"/>
      <c r="AJ144" s="75"/>
      <c r="AK144" s="13"/>
      <c r="AL144" s="79"/>
      <c r="AM144" s="79"/>
      <c r="AN144" s="79"/>
      <c r="AO144" s="79"/>
      <c r="AP144" s="79"/>
      <c r="AQ144" s="75"/>
      <c r="AR144" s="75"/>
      <c r="AS144" s="75"/>
      <c r="AT144" s="75"/>
      <c r="AU144" s="75"/>
      <c r="AV144" s="13"/>
      <c r="AW144" s="13"/>
      <c r="AX144" s="13"/>
      <c r="AY144" s="13"/>
      <c r="AZ144" s="13"/>
      <c r="BA144" s="105"/>
      <c r="BB144" s="13"/>
      <c r="BC144" s="13"/>
      <c r="BD144" s="13"/>
      <c r="BE144" s="13"/>
      <c r="BF144" s="88"/>
      <c r="BG144" s="88"/>
      <c r="BH144" s="88"/>
      <c r="BI144" s="88"/>
      <c r="BJ144" s="88"/>
      <c r="BK144" s="105"/>
      <c r="BL144" s="105"/>
      <c r="BM144" s="105"/>
      <c r="BN144" s="105"/>
      <c r="BO144" s="105"/>
      <c r="BP144" s="105"/>
      <c r="BQ144" s="79"/>
      <c r="BR144" s="79"/>
      <c r="BS144" s="79"/>
      <c r="BT144" s="79"/>
      <c r="BU144" s="79"/>
      <c r="BV144" s="90"/>
      <c r="BW144" s="106"/>
      <c r="BX144" s="106"/>
      <c r="BY144" s="106"/>
      <c r="BZ144" s="106"/>
      <c r="CA144" s="106"/>
    </row>
    <row r="145" spans="1:79" x14ac:dyDescent="0.35">
      <c r="A145" s="25" t="s">
        <v>159</v>
      </c>
      <c r="B145" s="10" t="s">
        <v>321</v>
      </c>
      <c r="C145" s="10" t="s">
        <v>342</v>
      </c>
      <c r="D145" s="10" t="s">
        <v>346</v>
      </c>
      <c r="E145" s="11">
        <v>45864</v>
      </c>
      <c r="F145" s="17">
        <v>45892</v>
      </c>
      <c r="G145" s="14">
        <f t="shared" ca="1" si="45"/>
        <v>207</v>
      </c>
      <c r="H145" s="17">
        <v>999</v>
      </c>
      <c r="I145" s="17">
        <v>485</v>
      </c>
      <c r="J145" s="75">
        <f t="shared" si="46"/>
        <v>870</v>
      </c>
      <c r="K145" s="17">
        <v>1000</v>
      </c>
      <c r="L145" s="85">
        <v>130</v>
      </c>
      <c r="M145" s="86">
        <f t="shared" ca="1" si="47"/>
        <v>0.6280193236714976</v>
      </c>
      <c r="N145" s="86">
        <f t="shared" si="48"/>
        <v>0.80451009251471861</v>
      </c>
      <c r="O145" s="86">
        <f t="shared" si="49"/>
        <v>0.39634146341463417</v>
      </c>
      <c r="P145" s="87">
        <f t="shared" si="50"/>
        <v>32.5</v>
      </c>
      <c r="Q145" s="104">
        <f t="shared" si="51"/>
        <v>26.76923076923077</v>
      </c>
      <c r="R145" s="88">
        <f t="shared" si="52"/>
        <v>51.451451451451447</v>
      </c>
      <c r="S145" s="88">
        <f t="shared" si="53"/>
        <v>13</v>
      </c>
      <c r="T145" s="13">
        <f t="shared" si="54"/>
        <v>1</v>
      </c>
      <c r="U145" s="13">
        <f t="shared" si="55"/>
        <v>1</v>
      </c>
      <c r="V145" s="13">
        <f t="shared" si="56"/>
        <v>2</v>
      </c>
      <c r="W145" s="13">
        <f t="shared" ca="1" si="57"/>
        <v>3</v>
      </c>
      <c r="X145" s="13">
        <f t="shared" ca="1" si="58"/>
        <v>7</v>
      </c>
      <c r="Y145" s="81" t="str">
        <f t="shared" ca="1" si="59"/>
        <v>MONITOR</v>
      </c>
      <c r="Z145" s="13">
        <v>14</v>
      </c>
      <c r="AA145" s="75">
        <v>46059</v>
      </c>
      <c r="AB145" s="75">
        <f t="shared" si="60"/>
        <v>45920</v>
      </c>
      <c r="AC145" s="88">
        <f t="shared" si="61"/>
        <v>19.857142857142858</v>
      </c>
      <c r="AD145" s="89" t="str">
        <f t="shared" ca="1" si="62"/>
        <v>STABLE</v>
      </c>
      <c r="AE145" s="89" t="str">
        <f t="shared" si="44"/>
        <v>SLOW SELLING</v>
      </c>
      <c r="AF145" s="89" t="str">
        <f t="shared" si="63"/>
        <v>AT RISK</v>
      </c>
      <c r="AG145" s="89" t="str">
        <f t="shared" si="64"/>
        <v>FEASIBLE</v>
      </c>
      <c r="AH145" s="81" t="str">
        <f t="shared" ca="1" si="65"/>
        <v>MONITOR</v>
      </c>
      <c r="AI145" s="75"/>
      <c r="AJ145" s="75"/>
      <c r="AK145" s="13"/>
      <c r="AL145" s="79"/>
      <c r="AM145" s="79"/>
      <c r="AN145" s="79"/>
      <c r="AO145" s="79"/>
      <c r="AP145" s="79"/>
      <c r="AQ145" s="75"/>
      <c r="AR145" s="75"/>
      <c r="AS145" s="75"/>
      <c r="AT145" s="75"/>
      <c r="AU145" s="75"/>
      <c r="AV145" s="13"/>
      <c r="AW145" s="13"/>
      <c r="AX145" s="13"/>
      <c r="AY145" s="13"/>
      <c r="AZ145" s="13"/>
      <c r="BA145" s="105"/>
      <c r="BB145" s="13"/>
      <c r="BC145" s="13"/>
      <c r="BD145" s="13"/>
      <c r="BE145" s="13"/>
      <c r="BF145" s="88"/>
      <c r="BG145" s="88"/>
      <c r="BH145" s="88"/>
      <c r="BI145" s="88"/>
      <c r="BJ145" s="88"/>
      <c r="BK145" s="105"/>
      <c r="BL145" s="105"/>
      <c r="BM145" s="105"/>
      <c r="BN145" s="105"/>
      <c r="BO145" s="105"/>
      <c r="BP145" s="105"/>
      <c r="BQ145" s="79"/>
      <c r="BR145" s="79"/>
      <c r="BS145" s="79"/>
      <c r="BT145" s="79"/>
      <c r="BU145" s="79"/>
      <c r="BV145" s="90"/>
      <c r="BW145" s="106"/>
      <c r="BX145" s="106"/>
      <c r="BY145" s="106"/>
      <c r="BZ145" s="106"/>
      <c r="CA145" s="106"/>
    </row>
    <row r="146" spans="1:79" x14ac:dyDescent="0.35">
      <c r="A146" s="25" t="s">
        <v>160</v>
      </c>
      <c r="B146" s="10" t="s">
        <v>321</v>
      </c>
      <c r="C146" s="10" t="s">
        <v>342</v>
      </c>
      <c r="D146" s="10" t="s">
        <v>346</v>
      </c>
      <c r="E146" s="11">
        <v>45864</v>
      </c>
      <c r="F146" s="17">
        <v>45892</v>
      </c>
      <c r="G146" s="14">
        <f t="shared" ca="1" si="45"/>
        <v>207</v>
      </c>
      <c r="H146" s="17">
        <v>999</v>
      </c>
      <c r="I146" s="17">
        <v>485</v>
      </c>
      <c r="J146" s="75">
        <f t="shared" si="46"/>
        <v>885</v>
      </c>
      <c r="K146" s="17">
        <v>1000</v>
      </c>
      <c r="L146" s="85">
        <v>115</v>
      </c>
      <c r="M146" s="86">
        <f t="shared" ca="1" si="47"/>
        <v>0.55555555555555558</v>
      </c>
      <c r="N146" s="86">
        <f t="shared" si="48"/>
        <v>0.80451009251471861</v>
      </c>
      <c r="O146" s="86">
        <f t="shared" si="49"/>
        <v>0.35060975609756095</v>
      </c>
      <c r="P146" s="87">
        <f t="shared" si="50"/>
        <v>28.75</v>
      </c>
      <c r="Q146" s="104">
        <f t="shared" si="51"/>
        <v>30.782608695652176</v>
      </c>
      <c r="R146" s="88">
        <f t="shared" si="52"/>
        <v>51.451451451451447</v>
      </c>
      <c r="S146" s="88">
        <f t="shared" si="53"/>
        <v>11.5</v>
      </c>
      <c r="T146" s="13">
        <f t="shared" si="54"/>
        <v>1</v>
      </c>
      <c r="U146" s="13">
        <f t="shared" si="55"/>
        <v>1</v>
      </c>
      <c r="V146" s="13">
        <f t="shared" si="56"/>
        <v>2</v>
      </c>
      <c r="W146" s="13">
        <f t="shared" ca="1" si="57"/>
        <v>3</v>
      </c>
      <c r="X146" s="13">
        <f t="shared" ca="1" si="58"/>
        <v>7</v>
      </c>
      <c r="Y146" s="81" t="str">
        <f t="shared" ca="1" si="59"/>
        <v>MONITOR</v>
      </c>
      <c r="Z146" s="13">
        <v>14</v>
      </c>
      <c r="AA146" s="75">
        <v>46059</v>
      </c>
      <c r="AB146" s="75">
        <f t="shared" si="60"/>
        <v>45920</v>
      </c>
      <c r="AC146" s="88">
        <f t="shared" si="61"/>
        <v>19.857142857142858</v>
      </c>
      <c r="AD146" s="89" t="str">
        <f t="shared" ca="1" si="62"/>
        <v>STABLE</v>
      </c>
      <c r="AE146" s="89" t="str">
        <f t="shared" si="44"/>
        <v>SLOW SELLING</v>
      </c>
      <c r="AF146" s="89" t="str">
        <f t="shared" si="63"/>
        <v>AT RISK</v>
      </c>
      <c r="AG146" s="89" t="str">
        <f t="shared" si="64"/>
        <v>FEASIBLE</v>
      </c>
      <c r="AH146" s="81" t="str">
        <f t="shared" ca="1" si="65"/>
        <v>MONITOR</v>
      </c>
      <c r="AI146" s="75"/>
      <c r="AJ146" s="75"/>
      <c r="AK146" s="13"/>
      <c r="AL146" s="79"/>
      <c r="AM146" s="79"/>
      <c r="AN146" s="79"/>
      <c r="AO146" s="79"/>
      <c r="AP146" s="79"/>
      <c r="AQ146" s="75"/>
      <c r="AR146" s="75"/>
      <c r="AS146" s="75"/>
      <c r="AT146" s="75"/>
      <c r="AU146" s="75"/>
      <c r="AV146" s="13"/>
      <c r="AW146" s="13"/>
      <c r="AX146" s="13"/>
      <c r="AY146" s="13"/>
      <c r="AZ146" s="13"/>
      <c r="BA146" s="105"/>
      <c r="BB146" s="13"/>
      <c r="BC146" s="13"/>
      <c r="BD146" s="13"/>
      <c r="BE146" s="13"/>
      <c r="BF146" s="88"/>
      <c r="BG146" s="88"/>
      <c r="BH146" s="88"/>
      <c r="BI146" s="88"/>
      <c r="BJ146" s="88"/>
      <c r="BK146" s="105"/>
      <c r="BL146" s="105"/>
      <c r="BM146" s="105"/>
      <c r="BN146" s="105"/>
      <c r="BO146" s="105"/>
      <c r="BP146" s="105"/>
      <c r="BQ146" s="79"/>
      <c r="BR146" s="79"/>
      <c r="BS146" s="79"/>
      <c r="BT146" s="79"/>
      <c r="BU146" s="79"/>
      <c r="BV146" s="90"/>
      <c r="BW146" s="106"/>
      <c r="BX146" s="106"/>
      <c r="BY146" s="106"/>
      <c r="BZ146" s="106"/>
      <c r="CA146" s="106"/>
    </row>
    <row r="147" spans="1:79" x14ac:dyDescent="0.35">
      <c r="A147" s="25" t="s">
        <v>161</v>
      </c>
      <c r="B147" s="10" t="s">
        <v>321</v>
      </c>
      <c r="C147" s="10" t="s">
        <v>342</v>
      </c>
      <c r="D147" s="10" t="s">
        <v>346</v>
      </c>
      <c r="E147" s="11">
        <v>45864</v>
      </c>
      <c r="F147" s="17">
        <v>45892</v>
      </c>
      <c r="G147" s="14">
        <f t="shared" ca="1" si="45"/>
        <v>207</v>
      </c>
      <c r="H147" s="17">
        <v>999</v>
      </c>
      <c r="I147" s="17">
        <v>485</v>
      </c>
      <c r="J147" s="75">
        <f t="shared" si="46"/>
        <v>998</v>
      </c>
      <c r="K147" s="17">
        <v>1000</v>
      </c>
      <c r="L147" s="85">
        <v>2</v>
      </c>
      <c r="M147" s="86">
        <f t="shared" ca="1" si="47"/>
        <v>9.6618357487922701E-3</v>
      </c>
      <c r="N147" s="86">
        <f t="shared" si="48"/>
        <v>0.80451009251471861</v>
      </c>
      <c r="O147" s="86">
        <f t="shared" si="49"/>
        <v>6.0975609756097563E-3</v>
      </c>
      <c r="P147" s="87">
        <f t="shared" si="50"/>
        <v>0.5</v>
      </c>
      <c r="Q147" s="104">
        <f t="shared" si="51"/>
        <v>1996</v>
      </c>
      <c r="R147" s="88">
        <f t="shared" si="52"/>
        <v>51.451451451451447</v>
      </c>
      <c r="S147" s="88">
        <f t="shared" si="53"/>
        <v>0.2</v>
      </c>
      <c r="T147" s="13">
        <f t="shared" si="54"/>
        <v>1</v>
      </c>
      <c r="U147" s="13">
        <f t="shared" si="55"/>
        <v>1</v>
      </c>
      <c r="V147" s="13">
        <f t="shared" si="56"/>
        <v>2</v>
      </c>
      <c r="W147" s="13">
        <f t="shared" ca="1" si="57"/>
        <v>3</v>
      </c>
      <c r="X147" s="13">
        <f t="shared" ca="1" si="58"/>
        <v>7</v>
      </c>
      <c r="Y147" s="81" t="str">
        <f t="shared" ca="1" si="59"/>
        <v>MONITOR</v>
      </c>
      <c r="Z147" s="13">
        <v>14</v>
      </c>
      <c r="AA147" s="75">
        <v>46059</v>
      </c>
      <c r="AB147" s="75">
        <f t="shared" si="60"/>
        <v>45920</v>
      </c>
      <c r="AC147" s="88">
        <f t="shared" si="61"/>
        <v>19.857142857142858</v>
      </c>
      <c r="AD147" s="89" t="str">
        <f t="shared" ca="1" si="62"/>
        <v>STABLE</v>
      </c>
      <c r="AE147" s="89" t="str">
        <f t="shared" si="44"/>
        <v>SLOW SELLING</v>
      </c>
      <c r="AF147" s="89" t="str">
        <f t="shared" si="63"/>
        <v>AT RISK</v>
      </c>
      <c r="AG147" s="89" t="str">
        <f t="shared" si="64"/>
        <v>FEASIBLE</v>
      </c>
      <c r="AH147" s="81" t="str">
        <f t="shared" ca="1" si="65"/>
        <v>MONITOR</v>
      </c>
      <c r="AI147" s="75"/>
      <c r="AJ147" s="75"/>
      <c r="AK147" s="13"/>
      <c r="AL147" s="79"/>
      <c r="AM147" s="79"/>
      <c r="AN147" s="79"/>
      <c r="AO147" s="79"/>
      <c r="AP147" s="79"/>
      <c r="AQ147" s="75"/>
      <c r="AR147" s="75"/>
      <c r="AS147" s="75"/>
      <c r="AT147" s="75"/>
      <c r="AU147" s="75"/>
      <c r="AV147" s="13"/>
      <c r="AW147" s="13"/>
      <c r="AX147" s="13"/>
      <c r="AY147" s="13"/>
      <c r="AZ147" s="13"/>
      <c r="BA147" s="105"/>
      <c r="BB147" s="13"/>
      <c r="BC147" s="13"/>
      <c r="BD147" s="13"/>
      <c r="BE147" s="13"/>
      <c r="BF147" s="88"/>
      <c r="BG147" s="88"/>
      <c r="BH147" s="88"/>
      <c r="BI147" s="88"/>
      <c r="BJ147" s="88"/>
      <c r="BK147" s="105"/>
      <c r="BL147" s="105"/>
      <c r="BM147" s="105"/>
      <c r="BN147" s="105"/>
      <c r="BO147" s="105"/>
      <c r="BP147" s="105"/>
      <c r="BQ147" s="79"/>
      <c r="BR147" s="79"/>
      <c r="BS147" s="79"/>
      <c r="BT147" s="79"/>
      <c r="BU147" s="79"/>
      <c r="BV147" s="90"/>
      <c r="BW147" s="106"/>
      <c r="BX147" s="106"/>
      <c r="BY147" s="106"/>
      <c r="BZ147" s="106"/>
      <c r="CA147" s="106"/>
    </row>
    <row r="148" spans="1:79" x14ac:dyDescent="0.35">
      <c r="A148" s="25" t="s">
        <v>162</v>
      </c>
      <c r="B148" s="10" t="s">
        <v>321</v>
      </c>
      <c r="C148" s="10" t="s">
        <v>342</v>
      </c>
      <c r="D148" s="10" t="s">
        <v>346</v>
      </c>
      <c r="E148" s="11">
        <v>45927</v>
      </c>
      <c r="F148" s="17">
        <v>45892</v>
      </c>
      <c r="G148" s="14">
        <f t="shared" ca="1" si="45"/>
        <v>207</v>
      </c>
      <c r="H148" s="17">
        <v>599</v>
      </c>
      <c r="I148" s="17">
        <v>290</v>
      </c>
      <c r="J148" s="75">
        <f t="shared" si="46"/>
        <v>799</v>
      </c>
      <c r="K148" s="17">
        <v>900</v>
      </c>
      <c r="L148" s="85">
        <v>101</v>
      </c>
      <c r="M148" s="86">
        <f t="shared" ca="1" si="47"/>
        <v>0.48792270531400966</v>
      </c>
      <c r="N148" s="86">
        <f t="shared" si="48"/>
        <v>0.80451009251471861</v>
      </c>
      <c r="O148" s="86">
        <f t="shared" si="49"/>
        <v>0.30792682926829268</v>
      </c>
      <c r="P148" s="87">
        <f t="shared" si="50"/>
        <v>25.25</v>
      </c>
      <c r="Q148" s="104">
        <f t="shared" si="51"/>
        <v>31.643564356435643</v>
      </c>
      <c r="R148" s="88">
        <f t="shared" si="52"/>
        <v>51.58597662771286</v>
      </c>
      <c r="S148" s="88">
        <f t="shared" si="53"/>
        <v>11.222222222222221</v>
      </c>
      <c r="T148" s="13">
        <f t="shared" si="54"/>
        <v>1</v>
      </c>
      <c r="U148" s="13">
        <f t="shared" si="55"/>
        <v>1</v>
      </c>
      <c r="V148" s="13">
        <f t="shared" si="56"/>
        <v>2</v>
      </c>
      <c r="W148" s="13">
        <f t="shared" ca="1" si="57"/>
        <v>3</v>
      </c>
      <c r="X148" s="13">
        <f t="shared" ca="1" si="58"/>
        <v>7</v>
      </c>
      <c r="Y148" s="81" t="str">
        <f t="shared" ca="1" si="59"/>
        <v>MONITOR</v>
      </c>
      <c r="Z148" s="13">
        <v>14</v>
      </c>
      <c r="AA148" s="75">
        <v>46059</v>
      </c>
      <c r="AB148" s="75">
        <f t="shared" si="60"/>
        <v>45920</v>
      </c>
      <c r="AC148" s="88">
        <f t="shared" si="61"/>
        <v>19.857142857142858</v>
      </c>
      <c r="AD148" s="89" t="str">
        <f t="shared" ca="1" si="62"/>
        <v>STABLE</v>
      </c>
      <c r="AE148" s="89" t="str">
        <f t="shared" si="44"/>
        <v>SLOW SELLING</v>
      </c>
      <c r="AF148" s="89" t="str">
        <f t="shared" si="63"/>
        <v>AT RISK</v>
      </c>
      <c r="AG148" s="89" t="str">
        <f t="shared" si="64"/>
        <v>FEASIBLE</v>
      </c>
      <c r="AH148" s="81" t="str">
        <f t="shared" ca="1" si="65"/>
        <v>MONITOR</v>
      </c>
      <c r="AI148" s="75"/>
      <c r="AJ148" s="75"/>
      <c r="AK148" s="13"/>
      <c r="AL148" s="79"/>
      <c r="AM148" s="79"/>
      <c r="AN148" s="79"/>
      <c r="AO148" s="79"/>
      <c r="AP148" s="79"/>
      <c r="AQ148" s="75"/>
      <c r="AR148" s="75"/>
      <c r="AS148" s="75"/>
      <c r="AT148" s="75"/>
      <c r="AU148" s="75"/>
      <c r="AV148" s="13"/>
      <c r="AW148" s="13"/>
      <c r="AX148" s="13"/>
      <c r="AY148" s="13"/>
      <c r="AZ148" s="13"/>
      <c r="BA148" s="105"/>
      <c r="BB148" s="13"/>
      <c r="BC148" s="13"/>
      <c r="BD148" s="13"/>
      <c r="BE148" s="13"/>
      <c r="BF148" s="88"/>
      <c r="BG148" s="88"/>
      <c r="BH148" s="88"/>
      <c r="BI148" s="88"/>
      <c r="BJ148" s="88"/>
      <c r="BK148" s="105"/>
      <c r="BL148" s="105"/>
      <c r="BM148" s="105"/>
      <c r="BN148" s="105"/>
      <c r="BO148" s="105"/>
      <c r="BP148" s="105"/>
      <c r="BQ148" s="79"/>
      <c r="BR148" s="79"/>
      <c r="BS148" s="79"/>
      <c r="BT148" s="79"/>
      <c r="BU148" s="79"/>
      <c r="BV148" s="90"/>
      <c r="BW148" s="106"/>
      <c r="BX148" s="106"/>
      <c r="BY148" s="106"/>
      <c r="BZ148" s="106"/>
      <c r="CA148" s="106"/>
    </row>
    <row r="149" spans="1:79" x14ac:dyDescent="0.35">
      <c r="A149" s="25" t="s">
        <v>163</v>
      </c>
      <c r="B149" s="10" t="s">
        <v>319</v>
      </c>
      <c r="C149" s="10" t="s">
        <v>342</v>
      </c>
      <c r="D149" s="10" t="s">
        <v>346</v>
      </c>
      <c r="E149" s="11">
        <v>45892</v>
      </c>
      <c r="F149" s="17">
        <v>45892</v>
      </c>
      <c r="G149" s="14">
        <f t="shared" ca="1" si="45"/>
        <v>207</v>
      </c>
      <c r="H149" s="17">
        <v>499</v>
      </c>
      <c r="I149" s="17">
        <v>259</v>
      </c>
      <c r="J149" s="75">
        <f t="shared" si="46"/>
        <v>982</v>
      </c>
      <c r="K149" s="17">
        <v>1050</v>
      </c>
      <c r="L149" s="85">
        <v>68</v>
      </c>
      <c r="M149" s="86">
        <f t="shared" ca="1" si="47"/>
        <v>0.32850241545893721</v>
      </c>
      <c r="N149" s="86">
        <f t="shared" si="48"/>
        <v>0.80451009251471861</v>
      </c>
      <c r="O149" s="86">
        <f t="shared" si="49"/>
        <v>0.2073170731707317</v>
      </c>
      <c r="P149" s="87">
        <f t="shared" si="50"/>
        <v>17</v>
      </c>
      <c r="Q149" s="104">
        <f t="shared" si="51"/>
        <v>57.764705882352942</v>
      </c>
      <c r="R149" s="88">
        <f t="shared" si="52"/>
        <v>48.096192384769537</v>
      </c>
      <c r="S149" s="88">
        <f t="shared" si="53"/>
        <v>6.4761904761904754</v>
      </c>
      <c r="T149" s="13">
        <f t="shared" si="54"/>
        <v>1</v>
      </c>
      <c r="U149" s="13">
        <f t="shared" si="55"/>
        <v>1</v>
      </c>
      <c r="V149" s="13">
        <f t="shared" si="56"/>
        <v>2</v>
      </c>
      <c r="W149" s="13">
        <f t="shared" ca="1" si="57"/>
        <v>3</v>
      </c>
      <c r="X149" s="13">
        <f t="shared" ca="1" si="58"/>
        <v>7</v>
      </c>
      <c r="Y149" s="81" t="str">
        <f t="shared" ca="1" si="59"/>
        <v>MONITOR</v>
      </c>
      <c r="Z149" s="13">
        <v>14</v>
      </c>
      <c r="AA149" s="75">
        <v>46059</v>
      </c>
      <c r="AB149" s="75">
        <f t="shared" si="60"/>
        <v>45920</v>
      </c>
      <c r="AC149" s="88">
        <f t="shared" si="61"/>
        <v>19.857142857142858</v>
      </c>
      <c r="AD149" s="89" t="str">
        <f t="shared" ca="1" si="62"/>
        <v>STABLE</v>
      </c>
      <c r="AE149" s="89" t="str">
        <f t="shared" si="44"/>
        <v>SLOW SELLING</v>
      </c>
      <c r="AF149" s="89" t="str">
        <f t="shared" si="63"/>
        <v>AT RISK</v>
      </c>
      <c r="AG149" s="89" t="str">
        <f t="shared" si="64"/>
        <v>FEASIBLE</v>
      </c>
      <c r="AH149" s="81" t="str">
        <f t="shared" ca="1" si="65"/>
        <v>MONITOR</v>
      </c>
      <c r="AI149" s="75"/>
      <c r="AJ149" s="75"/>
      <c r="AK149" s="13"/>
      <c r="AL149" s="79"/>
      <c r="AM149" s="79"/>
      <c r="AN149" s="79"/>
      <c r="AO149" s="79"/>
      <c r="AP149" s="79"/>
      <c r="AQ149" s="75"/>
      <c r="AR149" s="75"/>
      <c r="AS149" s="75"/>
      <c r="AT149" s="75"/>
      <c r="AU149" s="75"/>
      <c r="AV149" s="13"/>
      <c r="AW149" s="13"/>
      <c r="AX149" s="13"/>
      <c r="AY149" s="13"/>
      <c r="AZ149" s="13"/>
      <c r="BA149" s="105"/>
      <c r="BB149" s="13"/>
      <c r="BC149" s="13"/>
      <c r="BD149" s="13"/>
      <c r="BE149" s="13"/>
      <c r="BF149" s="88"/>
      <c r="BG149" s="88"/>
      <c r="BH149" s="88"/>
      <c r="BI149" s="88"/>
      <c r="BJ149" s="88"/>
      <c r="BK149" s="105"/>
      <c r="BL149" s="105"/>
      <c r="BM149" s="105"/>
      <c r="BN149" s="105"/>
      <c r="BO149" s="105"/>
      <c r="BP149" s="105"/>
      <c r="BQ149" s="79"/>
      <c r="BR149" s="79"/>
      <c r="BS149" s="79"/>
      <c r="BT149" s="79"/>
      <c r="BU149" s="79"/>
      <c r="BV149" s="90"/>
      <c r="BW149" s="106"/>
      <c r="BX149" s="106"/>
      <c r="BY149" s="106"/>
      <c r="BZ149" s="106"/>
      <c r="CA149" s="106"/>
    </row>
    <row r="150" spans="1:79" x14ac:dyDescent="0.35">
      <c r="A150" s="25" t="s">
        <v>164</v>
      </c>
      <c r="B150" s="10" t="s">
        <v>319</v>
      </c>
      <c r="C150" s="10" t="s">
        <v>342</v>
      </c>
      <c r="D150" s="10" t="s">
        <v>346</v>
      </c>
      <c r="E150" s="11">
        <v>45892</v>
      </c>
      <c r="F150" s="17">
        <v>45892</v>
      </c>
      <c r="G150" s="14">
        <f t="shared" ca="1" si="45"/>
        <v>207</v>
      </c>
      <c r="H150" s="17">
        <v>499</v>
      </c>
      <c r="I150" s="17">
        <v>259</v>
      </c>
      <c r="J150" s="75">
        <f t="shared" si="46"/>
        <v>929</v>
      </c>
      <c r="K150" s="17">
        <v>1050</v>
      </c>
      <c r="L150" s="85">
        <v>121</v>
      </c>
      <c r="M150" s="86">
        <f t="shared" ca="1" si="47"/>
        <v>0.58454106280193241</v>
      </c>
      <c r="N150" s="86">
        <f t="shared" si="48"/>
        <v>0.80451009251471861</v>
      </c>
      <c r="O150" s="86">
        <f t="shared" si="49"/>
        <v>0.36890243902439024</v>
      </c>
      <c r="P150" s="87">
        <f t="shared" si="50"/>
        <v>30.25</v>
      </c>
      <c r="Q150" s="104">
        <f t="shared" si="51"/>
        <v>30.710743801652892</v>
      </c>
      <c r="R150" s="88">
        <f t="shared" si="52"/>
        <v>48.096192384769537</v>
      </c>
      <c r="S150" s="88">
        <f t="shared" si="53"/>
        <v>11.523809523809524</v>
      </c>
      <c r="T150" s="13">
        <f t="shared" si="54"/>
        <v>1</v>
      </c>
      <c r="U150" s="13">
        <f t="shared" si="55"/>
        <v>1</v>
      </c>
      <c r="V150" s="13">
        <f t="shared" si="56"/>
        <v>2</v>
      </c>
      <c r="W150" s="13">
        <f t="shared" ca="1" si="57"/>
        <v>3</v>
      </c>
      <c r="X150" s="13">
        <f t="shared" ca="1" si="58"/>
        <v>7</v>
      </c>
      <c r="Y150" s="81" t="str">
        <f t="shared" ca="1" si="59"/>
        <v>MONITOR</v>
      </c>
      <c r="Z150" s="13">
        <v>14</v>
      </c>
      <c r="AA150" s="75">
        <v>46059</v>
      </c>
      <c r="AB150" s="75">
        <f t="shared" si="60"/>
        <v>45920</v>
      </c>
      <c r="AC150" s="88">
        <f t="shared" si="61"/>
        <v>19.857142857142858</v>
      </c>
      <c r="AD150" s="89" t="str">
        <f t="shared" ca="1" si="62"/>
        <v>STABLE</v>
      </c>
      <c r="AE150" s="89" t="str">
        <f t="shared" si="44"/>
        <v>SLOW SELLING</v>
      </c>
      <c r="AF150" s="89" t="str">
        <f t="shared" si="63"/>
        <v>AT RISK</v>
      </c>
      <c r="AG150" s="89" t="str">
        <f t="shared" si="64"/>
        <v>FEASIBLE</v>
      </c>
      <c r="AH150" s="81" t="str">
        <f t="shared" ca="1" si="65"/>
        <v>MONITOR</v>
      </c>
      <c r="AI150" s="75"/>
      <c r="AJ150" s="75"/>
      <c r="AK150" s="13"/>
      <c r="AL150" s="79"/>
      <c r="AM150" s="79"/>
      <c r="AN150" s="79"/>
      <c r="AO150" s="79"/>
      <c r="AP150" s="79"/>
      <c r="AQ150" s="75"/>
      <c r="AR150" s="75"/>
      <c r="AS150" s="75"/>
      <c r="AT150" s="75"/>
      <c r="AU150" s="75"/>
      <c r="AV150" s="13"/>
      <c r="AW150" s="13"/>
      <c r="AX150" s="13"/>
      <c r="AY150" s="13"/>
      <c r="AZ150" s="13"/>
      <c r="BA150" s="105"/>
      <c r="BB150" s="13"/>
      <c r="BC150" s="13"/>
      <c r="BD150" s="13"/>
      <c r="BE150" s="13"/>
      <c r="BF150" s="88"/>
      <c r="BG150" s="88"/>
      <c r="BH150" s="88"/>
      <c r="BI150" s="88"/>
      <c r="BJ150" s="88"/>
      <c r="BK150" s="105"/>
      <c r="BL150" s="105"/>
      <c r="BM150" s="105"/>
      <c r="BN150" s="105"/>
      <c r="BO150" s="105"/>
      <c r="BP150" s="105"/>
      <c r="BQ150" s="79"/>
      <c r="BR150" s="79"/>
      <c r="BS150" s="79"/>
      <c r="BT150" s="79"/>
      <c r="BU150" s="79"/>
      <c r="BV150" s="90"/>
      <c r="BW150" s="106"/>
      <c r="BX150" s="106"/>
      <c r="BY150" s="106"/>
      <c r="BZ150" s="106"/>
      <c r="CA150" s="106"/>
    </row>
    <row r="151" spans="1:79" x14ac:dyDescent="0.35">
      <c r="A151" s="25" t="s">
        <v>165</v>
      </c>
      <c r="B151" s="10" t="s">
        <v>326</v>
      </c>
      <c r="C151" s="10" t="s">
        <v>342</v>
      </c>
      <c r="D151" s="10" t="s">
        <v>346</v>
      </c>
      <c r="E151" s="11">
        <v>45864</v>
      </c>
      <c r="F151" s="17">
        <v>45892</v>
      </c>
      <c r="G151" s="14">
        <f t="shared" ca="1" si="45"/>
        <v>207</v>
      </c>
      <c r="H151" s="17">
        <v>799</v>
      </c>
      <c r="I151" s="17">
        <v>400</v>
      </c>
      <c r="J151" s="75">
        <f t="shared" si="46"/>
        <v>927</v>
      </c>
      <c r="K151" s="17">
        <v>1050</v>
      </c>
      <c r="L151" s="85">
        <v>123</v>
      </c>
      <c r="M151" s="86">
        <f t="shared" ca="1" si="47"/>
        <v>0.59420289855072461</v>
      </c>
      <c r="N151" s="86">
        <f t="shared" si="48"/>
        <v>0.80451009251471861</v>
      </c>
      <c r="O151" s="86">
        <f t="shared" si="49"/>
        <v>0.375</v>
      </c>
      <c r="P151" s="87">
        <f t="shared" si="50"/>
        <v>30.75</v>
      </c>
      <c r="Q151" s="104">
        <f t="shared" si="51"/>
        <v>30.146341463414632</v>
      </c>
      <c r="R151" s="88">
        <f t="shared" si="52"/>
        <v>49.937421777221523</v>
      </c>
      <c r="S151" s="88">
        <f t="shared" si="53"/>
        <v>11.714285714285715</v>
      </c>
      <c r="T151" s="13">
        <f t="shared" si="54"/>
        <v>1</v>
      </c>
      <c r="U151" s="13">
        <f t="shared" si="55"/>
        <v>1</v>
      </c>
      <c r="V151" s="13">
        <f t="shared" si="56"/>
        <v>2</v>
      </c>
      <c r="W151" s="13">
        <f t="shared" ca="1" si="57"/>
        <v>3</v>
      </c>
      <c r="X151" s="13">
        <f t="shared" ca="1" si="58"/>
        <v>7</v>
      </c>
      <c r="Y151" s="81" t="str">
        <f t="shared" ca="1" si="59"/>
        <v>MONITOR</v>
      </c>
      <c r="Z151" s="13">
        <v>14</v>
      </c>
      <c r="AA151" s="75">
        <v>46059</v>
      </c>
      <c r="AB151" s="75">
        <f t="shared" si="60"/>
        <v>45920</v>
      </c>
      <c r="AC151" s="88">
        <f t="shared" si="61"/>
        <v>19.857142857142858</v>
      </c>
      <c r="AD151" s="89" t="str">
        <f t="shared" ca="1" si="62"/>
        <v>STABLE</v>
      </c>
      <c r="AE151" s="89" t="str">
        <f t="shared" si="44"/>
        <v>SLOW SELLING</v>
      </c>
      <c r="AF151" s="89" t="str">
        <f t="shared" si="63"/>
        <v>AT RISK</v>
      </c>
      <c r="AG151" s="89" t="str">
        <f t="shared" si="64"/>
        <v>FEASIBLE</v>
      </c>
      <c r="AH151" s="81" t="str">
        <f t="shared" ca="1" si="65"/>
        <v>MONITOR</v>
      </c>
      <c r="AI151" s="75"/>
      <c r="AJ151" s="75"/>
      <c r="AK151" s="13"/>
      <c r="AL151" s="79"/>
      <c r="AM151" s="79"/>
      <c r="AN151" s="79"/>
      <c r="AO151" s="79"/>
      <c r="AP151" s="79"/>
      <c r="AQ151" s="75"/>
      <c r="AR151" s="75"/>
      <c r="AS151" s="75"/>
      <c r="AT151" s="75"/>
      <c r="AU151" s="75"/>
      <c r="AV151" s="13"/>
      <c r="AW151" s="13"/>
      <c r="AX151" s="13"/>
      <c r="AY151" s="13"/>
      <c r="AZ151" s="13"/>
      <c r="BA151" s="105"/>
      <c r="BB151" s="13"/>
      <c r="BC151" s="13"/>
      <c r="BD151" s="13"/>
      <c r="BE151" s="13"/>
      <c r="BF151" s="88"/>
      <c r="BG151" s="88"/>
      <c r="BH151" s="88"/>
      <c r="BI151" s="88"/>
      <c r="BJ151" s="88"/>
      <c r="BK151" s="105"/>
      <c r="BL151" s="105"/>
      <c r="BM151" s="105"/>
      <c r="BN151" s="105"/>
      <c r="BO151" s="105"/>
      <c r="BP151" s="105"/>
      <c r="BQ151" s="79"/>
      <c r="BR151" s="79"/>
      <c r="BS151" s="79"/>
      <c r="BT151" s="79"/>
      <c r="BU151" s="79"/>
      <c r="BV151" s="90"/>
      <c r="BW151" s="106"/>
      <c r="BX151" s="106"/>
      <c r="BY151" s="106"/>
      <c r="BZ151" s="106"/>
      <c r="CA151" s="106"/>
    </row>
    <row r="152" spans="1:79" x14ac:dyDescent="0.35">
      <c r="A152" s="25" t="s">
        <v>166</v>
      </c>
      <c r="B152" s="10" t="s">
        <v>326</v>
      </c>
      <c r="C152" s="10" t="s">
        <v>342</v>
      </c>
      <c r="D152" s="10" t="s">
        <v>346</v>
      </c>
      <c r="E152" s="11">
        <v>45920</v>
      </c>
      <c r="F152" s="17">
        <v>45892</v>
      </c>
      <c r="G152" s="14">
        <f t="shared" ca="1" si="45"/>
        <v>207</v>
      </c>
      <c r="H152" s="17">
        <v>799</v>
      </c>
      <c r="I152" s="17">
        <v>400</v>
      </c>
      <c r="J152" s="75">
        <f t="shared" si="46"/>
        <v>927</v>
      </c>
      <c r="K152" s="17">
        <v>1050</v>
      </c>
      <c r="L152" s="85">
        <v>123</v>
      </c>
      <c r="M152" s="86">
        <f t="shared" ca="1" si="47"/>
        <v>0.59420289855072461</v>
      </c>
      <c r="N152" s="86">
        <f t="shared" si="48"/>
        <v>0.80451009251471861</v>
      </c>
      <c r="O152" s="86">
        <f t="shared" si="49"/>
        <v>0.375</v>
      </c>
      <c r="P152" s="87">
        <f t="shared" si="50"/>
        <v>30.75</v>
      </c>
      <c r="Q152" s="104">
        <f t="shared" si="51"/>
        <v>30.146341463414632</v>
      </c>
      <c r="R152" s="88">
        <f t="shared" si="52"/>
        <v>49.937421777221523</v>
      </c>
      <c r="S152" s="88">
        <f t="shared" si="53"/>
        <v>11.714285714285715</v>
      </c>
      <c r="T152" s="13">
        <f t="shared" si="54"/>
        <v>1</v>
      </c>
      <c r="U152" s="13">
        <f t="shared" si="55"/>
        <v>1</v>
      </c>
      <c r="V152" s="13">
        <f t="shared" si="56"/>
        <v>2</v>
      </c>
      <c r="W152" s="13">
        <f t="shared" ca="1" si="57"/>
        <v>3</v>
      </c>
      <c r="X152" s="13">
        <f t="shared" ca="1" si="58"/>
        <v>7</v>
      </c>
      <c r="Y152" s="81" t="str">
        <f t="shared" ca="1" si="59"/>
        <v>MONITOR</v>
      </c>
      <c r="Z152" s="13">
        <v>14</v>
      </c>
      <c r="AA152" s="75">
        <v>46059</v>
      </c>
      <c r="AB152" s="75">
        <f t="shared" si="60"/>
        <v>45920</v>
      </c>
      <c r="AC152" s="88">
        <f t="shared" si="61"/>
        <v>19.857142857142858</v>
      </c>
      <c r="AD152" s="89" t="str">
        <f t="shared" ca="1" si="62"/>
        <v>STABLE</v>
      </c>
      <c r="AE152" s="89" t="str">
        <f t="shared" ref="AE152:AE215" si="66">IF(O152&gt;=N152,"FAST SELLING","SLOW SELLING")</f>
        <v>SLOW SELLING</v>
      </c>
      <c r="AF152" s="89" t="str">
        <f t="shared" si="63"/>
        <v>AT RISK</v>
      </c>
      <c r="AG152" s="89" t="str">
        <f t="shared" si="64"/>
        <v>FEASIBLE</v>
      </c>
      <c r="AH152" s="81" t="str">
        <f t="shared" ca="1" si="65"/>
        <v>MONITOR</v>
      </c>
      <c r="AI152" s="75"/>
      <c r="AJ152" s="75"/>
      <c r="AK152" s="13"/>
      <c r="AL152" s="79"/>
      <c r="AM152" s="79"/>
      <c r="AN152" s="79"/>
      <c r="AO152" s="79"/>
      <c r="AP152" s="79"/>
      <c r="AQ152" s="75"/>
      <c r="AR152" s="75"/>
      <c r="AS152" s="75"/>
      <c r="AT152" s="75"/>
      <c r="AU152" s="75"/>
      <c r="AV152" s="13"/>
      <c r="AW152" s="13"/>
      <c r="AX152" s="13"/>
      <c r="AY152" s="13"/>
      <c r="AZ152" s="13"/>
      <c r="BA152" s="105"/>
      <c r="BB152" s="13"/>
      <c r="BC152" s="13"/>
      <c r="BD152" s="13"/>
      <c r="BE152" s="13"/>
      <c r="BF152" s="88"/>
      <c r="BG152" s="88"/>
      <c r="BH152" s="88"/>
      <c r="BI152" s="88"/>
      <c r="BJ152" s="88"/>
      <c r="BK152" s="105"/>
      <c r="BL152" s="105"/>
      <c r="BM152" s="105"/>
      <c r="BN152" s="105"/>
      <c r="BO152" s="105"/>
      <c r="BP152" s="105"/>
      <c r="BQ152" s="79"/>
      <c r="BR152" s="79"/>
      <c r="BS152" s="79"/>
      <c r="BT152" s="79"/>
      <c r="BU152" s="79"/>
      <c r="BV152" s="90"/>
      <c r="BW152" s="106"/>
      <c r="BX152" s="106"/>
      <c r="BY152" s="106"/>
      <c r="BZ152" s="106"/>
      <c r="CA152" s="106"/>
    </row>
    <row r="153" spans="1:79" x14ac:dyDescent="0.35">
      <c r="A153" s="25" t="s">
        <v>167</v>
      </c>
      <c r="B153" s="15" t="s">
        <v>323</v>
      </c>
      <c r="C153" s="10" t="s">
        <v>342</v>
      </c>
      <c r="D153" s="10" t="s">
        <v>346</v>
      </c>
      <c r="E153" s="11">
        <v>45878</v>
      </c>
      <c r="F153" s="17">
        <v>45892</v>
      </c>
      <c r="G153" s="14">
        <f t="shared" ca="1" si="45"/>
        <v>207</v>
      </c>
      <c r="H153" s="17">
        <v>599</v>
      </c>
      <c r="I153" s="17">
        <v>280</v>
      </c>
      <c r="J153" s="75">
        <f t="shared" si="46"/>
        <v>916</v>
      </c>
      <c r="K153" s="17">
        <v>1000</v>
      </c>
      <c r="L153" s="85">
        <v>84</v>
      </c>
      <c r="M153" s="86">
        <f t="shared" ca="1" si="47"/>
        <v>0.40579710144927539</v>
      </c>
      <c r="N153" s="86">
        <f t="shared" si="48"/>
        <v>0.80451009251471861</v>
      </c>
      <c r="O153" s="86">
        <f t="shared" si="49"/>
        <v>0.25609756097560976</v>
      </c>
      <c r="P153" s="87">
        <f t="shared" si="50"/>
        <v>21</v>
      </c>
      <c r="Q153" s="104">
        <f t="shared" si="51"/>
        <v>43.61904761904762</v>
      </c>
      <c r="R153" s="88">
        <f t="shared" si="52"/>
        <v>53.255425709515855</v>
      </c>
      <c r="S153" s="88">
        <f t="shared" si="53"/>
        <v>8.4</v>
      </c>
      <c r="T153" s="13">
        <f t="shared" si="54"/>
        <v>1</v>
      </c>
      <c r="U153" s="13">
        <f t="shared" si="55"/>
        <v>1</v>
      </c>
      <c r="V153" s="13">
        <f t="shared" si="56"/>
        <v>2</v>
      </c>
      <c r="W153" s="13">
        <f t="shared" ca="1" si="57"/>
        <v>3</v>
      </c>
      <c r="X153" s="13">
        <f t="shared" ca="1" si="58"/>
        <v>7</v>
      </c>
      <c r="Y153" s="81" t="str">
        <f t="shared" ca="1" si="59"/>
        <v>MONITOR</v>
      </c>
      <c r="Z153" s="13">
        <v>14</v>
      </c>
      <c r="AA153" s="75">
        <v>46059</v>
      </c>
      <c r="AB153" s="75">
        <f t="shared" si="60"/>
        <v>45920</v>
      </c>
      <c r="AC153" s="88">
        <f t="shared" si="61"/>
        <v>19.857142857142858</v>
      </c>
      <c r="AD153" s="89" t="str">
        <f t="shared" ca="1" si="62"/>
        <v>STABLE</v>
      </c>
      <c r="AE153" s="89" t="str">
        <f t="shared" si="66"/>
        <v>SLOW SELLING</v>
      </c>
      <c r="AF153" s="89" t="str">
        <f t="shared" si="63"/>
        <v>AT RISK</v>
      </c>
      <c r="AG153" s="89" t="str">
        <f t="shared" si="64"/>
        <v>FEASIBLE</v>
      </c>
      <c r="AH153" s="81" t="str">
        <f t="shared" ca="1" si="65"/>
        <v>MONITOR</v>
      </c>
      <c r="AI153" s="75"/>
      <c r="AJ153" s="75"/>
      <c r="AK153" s="13"/>
      <c r="AL153" s="79"/>
      <c r="AM153" s="79"/>
      <c r="AN153" s="79"/>
      <c r="AO153" s="79"/>
      <c r="AP153" s="79"/>
      <c r="AQ153" s="75"/>
      <c r="AR153" s="75"/>
      <c r="AS153" s="75"/>
      <c r="AT153" s="75"/>
      <c r="AU153" s="75"/>
      <c r="AV153" s="13"/>
      <c r="AW153" s="13"/>
      <c r="AX153" s="13"/>
      <c r="AY153" s="13"/>
      <c r="AZ153" s="13"/>
      <c r="BA153" s="105"/>
      <c r="BB153" s="13"/>
      <c r="BC153" s="13"/>
      <c r="BD153" s="13"/>
      <c r="BE153" s="13"/>
      <c r="BF153" s="88"/>
      <c r="BG153" s="88"/>
      <c r="BH153" s="88"/>
      <c r="BI153" s="88"/>
      <c r="BJ153" s="88"/>
      <c r="BK153" s="105"/>
      <c r="BL153" s="105"/>
      <c r="BM153" s="105"/>
      <c r="BN153" s="105"/>
      <c r="BO153" s="105"/>
      <c r="BP153" s="105"/>
      <c r="BQ153" s="79"/>
      <c r="BR153" s="79"/>
      <c r="BS153" s="79"/>
      <c r="BT153" s="79"/>
      <c r="BU153" s="79"/>
      <c r="BV153" s="90"/>
      <c r="BW153" s="106"/>
      <c r="BX153" s="106"/>
      <c r="BY153" s="106"/>
      <c r="BZ153" s="106"/>
      <c r="CA153" s="106"/>
    </row>
    <row r="154" spans="1:79" x14ac:dyDescent="0.35">
      <c r="A154" s="25" t="s">
        <v>168</v>
      </c>
      <c r="B154" s="15" t="s">
        <v>323</v>
      </c>
      <c r="C154" s="10" t="s">
        <v>342</v>
      </c>
      <c r="D154" s="10" t="s">
        <v>346</v>
      </c>
      <c r="E154" s="11">
        <v>45878</v>
      </c>
      <c r="F154" s="17">
        <v>45892</v>
      </c>
      <c r="G154" s="14">
        <f t="shared" ca="1" si="45"/>
        <v>207</v>
      </c>
      <c r="H154" s="17">
        <v>599</v>
      </c>
      <c r="I154" s="17">
        <v>280</v>
      </c>
      <c r="J154" s="75">
        <f t="shared" si="46"/>
        <v>919</v>
      </c>
      <c r="K154" s="17">
        <v>1000</v>
      </c>
      <c r="L154" s="85">
        <v>81</v>
      </c>
      <c r="M154" s="86">
        <f t="shared" ca="1" si="47"/>
        <v>0.39130434782608697</v>
      </c>
      <c r="N154" s="86">
        <f t="shared" si="48"/>
        <v>0.80451009251471861</v>
      </c>
      <c r="O154" s="86">
        <f t="shared" si="49"/>
        <v>0.24695121951219512</v>
      </c>
      <c r="P154" s="87">
        <f t="shared" si="50"/>
        <v>20.25</v>
      </c>
      <c r="Q154" s="104">
        <f t="shared" si="51"/>
        <v>45.382716049382715</v>
      </c>
      <c r="R154" s="88">
        <f t="shared" si="52"/>
        <v>53.255425709515855</v>
      </c>
      <c r="S154" s="88">
        <f t="shared" si="53"/>
        <v>8.1</v>
      </c>
      <c r="T154" s="13">
        <f t="shared" si="54"/>
        <v>1</v>
      </c>
      <c r="U154" s="13">
        <f t="shared" si="55"/>
        <v>1</v>
      </c>
      <c r="V154" s="13">
        <f t="shared" si="56"/>
        <v>2</v>
      </c>
      <c r="W154" s="13">
        <f t="shared" ca="1" si="57"/>
        <v>3</v>
      </c>
      <c r="X154" s="13">
        <f t="shared" ca="1" si="58"/>
        <v>7</v>
      </c>
      <c r="Y154" s="81" t="str">
        <f t="shared" ca="1" si="59"/>
        <v>MONITOR</v>
      </c>
      <c r="Z154" s="13">
        <v>14</v>
      </c>
      <c r="AA154" s="75">
        <v>46059</v>
      </c>
      <c r="AB154" s="75">
        <f t="shared" si="60"/>
        <v>45920</v>
      </c>
      <c r="AC154" s="88">
        <f t="shared" si="61"/>
        <v>19.857142857142858</v>
      </c>
      <c r="AD154" s="89" t="str">
        <f t="shared" ca="1" si="62"/>
        <v>STABLE</v>
      </c>
      <c r="AE154" s="89" t="str">
        <f t="shared" si="66"/>
        <v>SLOW SELLING</v>
      </c>
      <c r="AF154" s="89" t="str">
        <f t="shared" si="63"/>
        <v>AT RISK</v>
      </c>
      <c r="AG154" s="89" t="str">
        <f t="shared" si="64"/>
        <v>FEASIBLE</v>
      </c>
      <c r="AH154" s="81" t="str">
        <f t="shared" ca="1" si="65"/>
        <v>MONITOR</v>
      </c>
      <c r="AI154" s="75"/>
      <c r="AJ154" s="75"/>
      <c r="AK154" s="13"/>
      <c r="AL154" s="79"/>
      <c r="AM154" s="79"/>
      <c r="AN154" s="79"/>
      <c r="AO154" s="79"/>
      <c r="AP154" s="79"/>
      <c r="AQ154" s="75"/>
      <c r="AR154" s="75"/>
      <c r="AS154" s="75"/>
      <c r="AT154" s="75"/>
      <c r="AU154" s="75"/>
      <c r="AV154" s="13"/>
      <c r="AW154" s="13"/>
      <c r="AX154" s="13"/>
      <c r="AY154" s="13"/>
      <c r="AZ154" s="13"/>
      <c r="BA154" s="105"/>
      <c r="BB154" s="13"/>
      <c r="BC154" s="13"/>
      <c r="BD154" s="13"/>
      <c r="BE154" s="13"/>
      <c r="BF154" s="88"/>
      <c r="BG154" s="88"/>
      <c r="BH154" s="88"/>
      <c r="BI154" s="88"/>
      <c r="BJ154" s="88"/>
      <c r="BK154" s="105"/>
      <c r="BL154" s="105"/>
      <c r="BM154" s="105"/>
      <c r="BN154" s="105"/>
      <c r="BO154" s="105"/>
      <c r="BP154" s="105"/>
      <c r="BQ154" s="79"/>
      <c r="BR154" s="79"/>
      <c r="BS154" s="79"/>
      <c r="BT154" s="79"/>
      <c r="BU154" s="79"/>
      <c r="BV154" s="90"/>
      <c r="BW154" s="106"/>
      <c r="BX154" s="106"/>
      <c r="BY154" s="106"/>
      <c r="BZ154" s="106"/>
      <c r="CA154" s="106"/>
    </row>
    <row r="155" spans="1:79" x14ac:dyDescent="0.35">
      <c r="A155" s="25" t="s">
        <v>169</v>
      </c>
      <c r="B155" s="15" t="s">
        <v>323</v>
      </c>
      <c r="C155" s="10" t="s">
        <v>342</v>
      </c>
      <c r="D155" s="10" t="s">
        <v>346</v>
      </c>
      <c r="E155" s="11">
        <v>45878</v>
      </c>
      <c r="F155" s="17">
        <v>45892</v>
      </c>
      <c r="G155" s="14">
        <f t="shared" ca="1" si="45"/>
        <v>207</v>
      </c>
      <c r="H155" s="17">
        <v>599</v>
      </c>
      <c r="I155" s="17">
        <v>280</v>
      </c>
      <c r="J155" s="75">
        <f t="shared" si="46"/>
        <v>898</v>
      </c>
      <c r="K155" s="17">
        <v>1000</v>
      </c>
      <c r="L155" s="85">
        <v>102</v>
      </c>
      <c r="M155" s="86">
        <f t="shared" ca="1" si="47"/>
        <v>0.49275362318840582</v>
      </c>
      <c r="N155" s="86">
        <f t="shared" si="48"/>
        <v>0.80451009251471861</v>
      </c>
      <c r="O155" s="86">
        <f t="shared" si="49"/>
        <v>0.31097560975609756</v>
      </c>
      <c r="P155" s="87">
        <f t="shared" si="50"/>
        <v>25.5</v>
      </c>
      <c r="Q155" s="104">
        <f t="shared" si="51"/>
        <v>35.215686274509807</v>
      </c>
      <c r="R155" s="88">
        <f t="shared" si="52"/>
        <v>53.255425709515855</v>
      </c>
      <c r="S155" s="88">
        <f t="shared" si="53"/>
        <v>10.199999999999999</v>
      </c>
      <c r="T155" s="13">
        <f t="shared" si="54"/>
        <v>1</v>
      </c>
      <c r="U155" s="13">
        <f t="shared" si="55"/>
        <v>1</v>
      </c>
      <c r="V155" s="13">
        <f t="shared" si="56"/>
        <v>2</v>
      </c>
      <c r="W155" s="13">
        <f t="shared" ca="1" si="57"/>
        <v>3</v>
      </c>
      <c r="X155" s="13">
        <f t="shared" ca="1" si="58"/>
        <v>7</v>
      </c>
      <c r="Y155" s="81" t="str">
        <f t="shared" ca="1" si="59"/>
        <v>MONITOR</v>
      </c>
      <c r="Z155" s="13">
        <v>14</v>
      </c>
      <c r="AA155" s="75">
        <v>46059</v>
      </c>
      <c r="AB155" s="75">
        <f t="shared" si="60"/>
        <v>45920</v>
      </c>
      <c r="AC155" s="88">
        <f t="shared" si="61"/>
        <v>19.857142857142858</v>
      </c>
      <c r="AD155" s="89" t="str">
        <f t="shared" ca="1" si="62"/>
        <v>STABLE</v>
      </c>
      <c r="AE155" s="89" t="str">
        <f t="shared" si="66"/>
        <v>SLOW SELLING</v>
      </c>
      <c r="AF155" s="89" t="str">
        <f t="shared" si="63"/>
        <v>AT RISK</v>
      </c>
      <c r="AG155" s="89" t="str">
        <f t="shared" si="64"/>
        <v>FEASIBLE</v>
      </c>
      <c r="AH155" s="81" t="str">
        <f t="shared" ca="1" si="65"/>
        <v>MONITOR</v>
      </c>
      <c r="AI155" s="75"/>
      <c r="AJ155" s="75"/>
      <c r="AK155" s="13"/>
      <c r="AL155" s="79"/>
      <c r="AM155" s="79"/>
      <c r="AN155" s="79"/>
      <c r="AO155" s="79"/>
      <c r="AP155" s="79"/>
      <c r="AQ155" s="75"/>
      <c r="AR155" s="75"/>
      <c r="AS155" s="75"/>
      <c r="AT155" s="75"/>
      <c r="AU155" s="75"/>
      <c r="AV155" s="13"/>
      <c r="AW155" s="13"/>
      <c r="AX155" s="13"/>
      <c r="AY155" s="13"/>
      <c r="AZ155" s="13"/>
      <c r="BA155" s="105"/>
      <c r="BB155" s="13"/>
      <c r="BC155" s="13"/>
      <c r="BD155" s="13"/>
      <c r="BE155" s="13"/>
      <c r="BF155" s="88"/>
      <c r="BG155" s="88"/>
      <c r="BH155" s="88"/>
      <c r="BI155" s="88"/>
      <c r="BJ155" s="88"/>
      <c r="BK155" s="105"/>
      <c r="BL155" s="105"/>
      <c r="BM155" s="105"/>
      <c r="BN155" s="105"/>
      <c r="BO155" s="105"/>
      <c r="BP155" s="105"/>
      <c r="BQ155" s="79"/>
      <c r="BR155" s="79"/>
      <c r="BS155" s="79"/>
      <c r="BT155" s="79"/>
      <c r="BU155" s="79"/>
      <c r="BV155" s="90"/>
      <c r="BW155" s="106"/>
      <c r="BX155" s="106"/>
      <c r="BY155" s="106"/>
      <c r="BZ155" s="106"/>
      <c r="CA155" s="106"/>
    </row>
    <row r="156" spans="1:79" x14ac:dyDescent="0.35">
      <c r="A156" s="25" t="s">
        <v>170</v>
      </c>
      <c r="B156" s="15" t="s">
        <v>323</v>
      </c>
      <c r="C156" s="10" t="s">
        <v>342</v>
      </c>
      <c r="D156" s="10" t="s">
        <v>346</v>
      </c>
      <c r="E156" s="11">
        <v>45878</v>
      </c>
      <c r="F156" s="17">
        <v>45892</v>
      </c>
      <c r="G156" s="14">
        <f t="shared" ca="1" si="45"/>
        <v>207</v>
      </c>
      <c r="H156" s="17">
        <v>599</v>
      </c>
      <c r="I156" s="17">
        <v>280</v>
      </c>
      <c r="J156" s="75">
        <f t="shared" si="46"/>
        <v>918</v>
      </c>
      <c r="K156" s="17">
        <v>1000</v>
      </c>
      <c r="L156" s="85">
        <v>82</v>
      </c>
      <c r="M156" s="86">
        <f t="shared" ca="1" si="47"/>
        <v>0.39613526570048307</v>
      </c>
      <c r="N156" s="86">
        <f t="shared" si="48"/>
        <v>0.80451009251471861</v>
      </c>
      <c r="O156" s="86">
        <f t="shared" si="49"/>
        <v>0.25</v>
      </c>
      <c r="P156" s="87">
        <f t="shared" si="50"/>
        <v>20.5</v>
      </c>
      <c r="Q156" s="104">
        <f t="shared" si="51"/>
        <v>44.780487804878049</v>
      </c>
      <c r="R156" s="88">
        <f t="shared" si="52"/>
        <v>53.255425709515855</v>
      </c>
      <c r="S156" s="88">
        <f t="shared" si="53"/>
        <v>8.2000000000000011</v>
      </c>
      <c r="T156" s="13">
        <f t="shared" si="54"/>
        <v>1</v>
      </c>
      <c r="U156" s="13">
        <f t="shared" si="55"/>
        <v>1</v>
      </c>
      <c r="V156" s="13">
        <f t="shared" si="56"/>
        <v>2</v>
      </c>
      <c r="W156" s="13">
        <f t="shared" ca="1" si="57"/>
        <v>3</v>
      </c>
      <c r="X156" s="13">
        <f t="shared" ca="1" si="58"/>
        <v>7</v>
      </c>
      <c r="Y156" s="81" t="str">
        <f t="shared" ca="1" si="59"/>
        <v>MONITOR</v>
      </c>
      <c r="Z156" s="13">
        <v>14</v>
      </c>
      <c r="AA156" s="75">
        <v>46059</v>
      </c>
      <c r="AB156" s="75">
        <f t="shared" si="60"/>
        <v>45920</v>
      </c>
      <c r="AC156" s="88">
        <f t="shared" si="61"/>
        <v>19.857142857142858</v>
      </c>
      <c r="AD156" s="89" t="str">
        <f t="shared" ca="1" si="62"/>
        <v>STABLE</v>
      </c>
      <c r="AE156" s="89" t="str">
        <f t="shared" si="66"/>
        <v>SLOW SELLING</v>
      </c>
      <c r="AF156" s="89" t="str">
        <f t="shared" si="63"/>
        <v>AT RISK</v>
      </c>
      <c r="AG156" s="89" t="str">
        <f t="shared" si="64"/>
        <v>FEASIBLE</v>
      </c>
      <c r="AH156" s="81" t="str">
        <f t="shared" ca="1" si="65"/>
        <v>MONITOR</v>
      </c>
      <c r="AI156" s="75"/>
      <c r="AJ156" s="75"/>
      <c r="AK156" s="13"/>
      <c r="AL156" s="79"/>
      <c r="AM156" s="79"/>
      <c r="AN156" s="79"/>
      <c r="AO156" s="79"/>
      <c r="AP156" s="79"/>
      <c r="AQ156" s="75"/>
      <c r="AR156" s="75"/>
      <c r="AS156" s="75"/>
      <c r="AT156" s="75"/>
      <c r="AU156" s="75"/>
      <c r="AV156" s="13"/>
      <c r="AW156" s="13"/>
      <c r="AX156" s="13"/>
      <c r="AY156" s="13"/>
      <c r="AZ156" s="13"/>
      <c r="BA156" s="105"/>
      <c r="BB156" s="13"/>
      <c r="BC156" s="13"/>
      <c r="BD156" s="13"/>
      <c r="BE156" s="13"/>
      <c r="BF156" s="88"/>
      <c r="BG156" s="88"/>
      <c r="BH156" s="88"/>
      <c r="BI156" s="88"/>
      <c r="BJ156" s="88"/>
      <c r="BK156" s="105"/>
      <c r="BL156" s="105"/>
      <c r="BM156" s="105"/>
      <c r="BN156" s="105"/>
      <c r="BO156" s="105"/>
      <c r="BP156" s="105"/>
      <c r="BQ156" s="79"/>
      <c r="BR156" s="79"/>
      <c r="BS156" s="79"/>
      <c r="BT156" s="79"/>
      <c r="BU156" s="79"/>
      <c r="BV156" s="90"/>
      <c r="BW156" s="106"/>
      <c r="BX156" s="106"/>
      <c r="BY156" s="106"/>
      <c r="BZ156" s="106"/>
      <c r="CA156" s="106"/>
    </row>
    <row r="157" spans="1:79" x14ac:dyDescent="0.35">
      <c r="A157" s="25" t="s">
        <v>171</v>
      </c>
      <c r="B157" s="10" t="s">
        <v>330</v>
      </c>
      <c r="C157" s="10" t="s">
        <v>342</v>
      </c>
      <c r="D157" s="10" t="s">
        <v>346</v>
      </c>
      <c r="E157" s="11">
        <v>45920</v>
      </c>
      <c r="F157" s="17">
        <v>45892</v>
      </c>
      <c r="G157" s="14">
        <f t="shared" ca="1" si="45"/>
        <v>207</v>
      </c>
      <c r="H157" s="17">
        <v>599</v>
      </c>
      <c r="I157" s="17">
        <v>290</v>
      </c>
      <c r="J157" s="75">
        <f t="shared" si="46"/>
        <v>1000</v>
      </c>
      <c r="K157" s="17">
        <v>1000</v>
      </c>
      <c r="L157" s="89">
        <v>0</v>
      </c>
      <c r="M157" s="86">
        <f t="shared" ca="1" si="47"/>
        <v>0</v>
      </c>
      <c r="N157" s="86">
        <f t="shared" si="48"/>
        <v>0.80451009251471861</v>
      </c>
      <c r="O157" s="86">
        <f t="shared" si="49"/>
        <v>0</v>
      </c>
      <c r="P157" s="87">
        <f t="shared" si="50"/>
        <v>0</v>
      </c>
      <c r="Q157" s="104" t="e">
        <f t="shared" si="51"/>
        <v>#DIV/0!</v>
      </c>
      <c r="R157" s="88">
        <f t="shared" si="52"/>
        <v>51.58597662771286</v>
      </c>
      <c r="S157" s="88">
        <f t="shared" si="53"/>
        <v>0</v>
      </c>
      <c r="T157" s="13">
        <f t="shared" si="54"/>
        <v>1</v>
      </c>
      <c r="U157" s="13" t="e">
        <f t="shared" si="55"/>
        <v>#DIV/0!</v>
      </c>
      <c r="V157" s="13">
        <f t="shared" si="56"/>
        <v>2</v>
      </c>
      <c r="W157" s="13">
        <f t="shared" ca="1" si="57"/>
        <v>3</v>
      </c>
      <c r="X157" s="13" t="e">
        <f t="shared" ca="1" si="58"/>
        <v>#DIV/0!</v>
      </c>
      <c r="Y157" s="81" t="str">
        <f t="shared" ca="1" si="59"/>
        <v>EXIT</v>
      </c>
      <c r="Z157" s="13">
        <v>14</v>
      </c>
      <c r="AA157" s="75">
        <v>46059</v>
      </c>
      <c r="AB157" s="75">
        <f t="shared" si="60"/>
        <v>45920</v>
      </c>
      <c r="AC157" s="88">
        <f t="shared" si="61"/>
        <v>19.857142857142858</v>
      </c>
      <c r="AD157" s="89" t="str">
        <f t="shared" ca="1" si="62"/>
        <v>STABLE</v>
      </c>
      <c r="AE157" s="89" t="str">
        <f t="shared" si="66"/>
        <v>SLOW SELLING</v>
      </c>
      <c r="AF157" s="89" t="e">
        <f t="shared" si="63"/>
        <v>#DIV/0!</v>
      </c>
      <c r="AG157" s="89" t="str">
        <f t="shared" si="64"/>
        <v>FEASIBLE</v>
      </c>
      <c r="AH157" s="81" t="str">
        <f t="shared" ca="1" si="65"/>
        <v>MONITOR</v>
      </c>
      <c r="AI157" s="75"/>
      <c r="AJ157" s="75"/>
      <c r="AK157" s="13"/>
      <c r="AL157" s="79"/>
      <c r="AM157" s="79"/>
      <c r="AN157" s="79"/>
      <c r="AO157" s="79"/>
      <c r="AP157" s="79"/>
      <c r="AQ157" s="75"/>
      <c r="AR157" s="75"/>
      <c r="AS157" s="75"/>
      <c r="AT157" s="75"/>
      <c r="AU157" s="75"/>
      <c r="AV157" s="13"/>
      <c r="AW157" s="13"/>
      <c r="AX157" s="13"/>
      <c r="AY157" s="13"/>
      <c r="AZ157" s="13"/>
      <c r="BA157" s="105"/>
      <c r="BB157" s="13"/>
      <c r="BC157" s="13"/>
      <c r="BD157" s="13"/>
      <c r="BE157" s="13"/>
      <c r="BF157" s="88"/>
      <c r="BG157" s="88"/>
      <c r="BH157" s="88"/>
      <c r="BI157" s="88"/>
      <c r="BJ157" s="88"/>
      <c r="BK157" s="105"/>
      <c r="BL157" s="105"/>
      <c r="BM157" s="105"/>
      <c r="BN157" s="105"/>
      <c r="BO157" s="105"/>
      <c r="BP157" s="105"/>
      <c r="BQ157" s="79"/>
      <c r="BR157" s="79"/>
      <c r="BS157" s="79"/>
      <c r="BT157" s="79"/>
      <c r="BU157" s="79"/>
      <c r="BV157" s="90"/>
      <c r="BW157" s="106"/>
      <c r="BX157" s="106"/>
      <c r="BY157" s="106"/>
      <c r="BZ157" s="106"/>
      <c r="CA157" s="106"/>
    </row>
    <row r="158" spans="1:79" x14ac:dyDescent="0.35">
      <c r="A158" s="25" t="s">
        <v>172</v>
      </c>
      <c r="B158" s="10" t="s">
        <v>331</v>
      </c>
      <c r="C158" s="10" t="s">
        <v>342</v>
      </c>
      <c r="D158" s="10" t="s">
        <v>346</v>
      </c>
      <c r="E158" s="11">
        <v>45878</v>
      </c>
      <c r="F158" s="17">
        <v>45892</v>
      </c>
      <c r="G158" s="14">
        <f t="shared" ca="1" si="45"/>
        <v>207</v>
      </c>
      <c r="H158" s="17">
        <v>199</v>
      </c>
      <c r="I158" s="17">
        <v>135</v>
      </c>
      <c r="J158" s="75">
        <f t="shared" si="46"/>
        <v>1131</v>
      </c>
      <c r="K158" s="17">
        <v>1800</v>
      </c>
      <c r="L158" s="85">
        <v>669</v>
      </c>
      <c r="M158" s="86">
        <f t="shared" ca="1" si="47"/>
        <v>3.2318840579710146</v>
      </c>
      <c r="N158" s="86">
        <f t="shared" si="48"/>
        <v>0.80451009251471861</v>
      </c>
      <c r="O158" s="86">
        <f t="shared" si="49"/>
        <v>2.0396341463414633</v>
      </c>
      <c r="P158" s="87">
        <f t="shared" si="50"/>
        <v>167.25</v>
      </c>
      <c r="Q158" s="104">
        <f t="shared" si="51"/>
        <v>6.7623318385650224</v>
      </c>
      <c r="R158" s="88">
        <f t="shared" si="52"/>
        <v>32.1608040201005</v>
      </c>
      <c r="S158" s="88">
        <f t="shared" si="53"/>
        <v>37.166666666666664</v>
      </c>
      <c r="T158" s="13">
        <f t="shared" si="54"/>
        <v>3</v>
      </c>
      <c r="U158" s="13">
        <f t="shared" si="55"/>
        <v>1</v>
      </c>
      <c r="V158" s="13">
        <f t="shared" si="56"/>
        <v>1</v>
      </c>
      <c r="W158" s="13">
        <f t="shared" ca="1" si="57"/>
        <v>3</v>
      </c>
      <c r="X158" s="13">
        <f t="shared" ca="1" si="58"/>
        <v>8</v>
      </c>
      <c r="Y158" s="81" t="str">
        <f t="shared" ca="1" si="59"/>
        <v>MONITOR</v>
      </c>
      <c r="Z158" s="13">
        <v>14</v>
      </c>
      <c r="AA158" s="75">
        <v>46059</v>
      </c>
      <c r="AB158" s="75">
        <f t="shared" si="60"/>
        <v>45920</v>
      </c>
      <c r="AC158" s="88">
        <f t="shared" si="61"/>
        <v>19.857142857142858</v>
      </c>
      <c r="AD158" s="89" t="str">
        <f t="shared" ca="1" si="62"/>
        <v>STABLE</v>
      </c>
      <c r="AE158" s="89" t="str">
        <f t="shared" si="66"/>
        <v>FAST SELLING</v>
      </c>
      <c r="AF158" s="89" t="str">
        <f t="shared" si="63"/>
        <v>AT RISK</v>
      </c>
      <c r="AG158" s="89" t="str">
        <f t="shared" si="64"/>
        <v>FEASIBLE</v>
      </c>
      <c r="AH158" s="81" t="str">
        <f t="shared" ca="1" si="65"/>
        <v>MONITOR</v>
      </c>
      <c r="AI158" s="75"/>
      <c r="AJ158" s="75"/>
      <c r="AK158" s="13"/>
      <c r="AL158" s="79"/>
      <c r="AM158" s="79"/>
      <c r="AN158" s="79"/>
      <c r="AO158" s="79"/>
      <c r="AP158" s="79"/>
      <c r="AQ158" s="75"/>
      <c r="AR158" s="75"/>
      <c r="AS158" s="75"/>
      <c r="AT158" s="75"/>
      <c r="AU158" s="75"/>
      <c r="AV158" s="13"/>
      <c r="AW158" s="13"/>
      <c r="AX158" s="13"/>
      <c r="AY158" s="13"/>
      <c r="AZ158" s="13"/>
      <c r="BA158" s="105"/>
      <c r="BB158" s="13"/>
      <c r="BC158" s="13"/>
      <c r="BD158" s="13"/>
      <c r="BE158" s="13"/>
      <c r="BF158" s="88"/>
      <c r="BG158" s="88"/>
      <c r="BH158" s="88"/>
      <c r="BI158" s="88"/>
      <c r="BJ158" s="88"/>
      <c r="BK158" s="105"/>
      <c r="BL158" s="105"/>
      <c r="BM158" s="105"/>
      <c r="BN158" s="105"/>
      <c r="BO158" s="105"/>
      <c r="BP158" s="105"/>
      <c r="BQ158" s="79"/>
      <c r="BR158" s="79"/>
      <c r="BS158" s="79"/>
      <c r="BT158" s="79"/>
      <c r="BU158" s="79"/>
      <c r="BV158" s="90"/>
      <c r="BW158" s="106"/>
      <c r="BX158" s="106"/>
      <c r="BY158" s="106"/>
      <c r="BZ158" s="106"/>
      <c r="CA158" s="106"/>
    </row>
    <row r="159" spans="1:79" x14ac:dyDescent="0.35">
      <c r="A159" s="25" t="s">
        <v>173</v>
      </c>
      <c r="B159" s="10" t="s">
        <v>331</v>
      </c>
      <c r="C159" s="10" t="s">
        <v>342</v>
      </c>
      <c r="D159" s="10" t="s">
        <v>346</v>
      </c>
      <c r="E159" s="11">
        <v>45878</v>
      </c>
      <c r="F159" s="17">
        <v>45892</v>
      </c>
      <c r="G159" s="14">
        <f t="shared" ca="1" si="45"/>
        <v>207</v>
      </c>
      <c r="H159" s="17">
        <v>199</v>
      </c>
      <c r="I159" s="17">
        <v>135</v>
      </c>
      <c r="J159" s="75">
        <f t="shared" si="46"/>
        <v>1514</v>
      </c>
      <c r="K159" s="17">
        <v>2000</v>
      </c>
      <c r="L159" s="85">
        <v>486</v>
      </c>
      <c r="M159" s="86">
        <f t="shared" ca="1" si="47"/>
        <v>2.347826086956522</v>
      </c>
      <c r="N159" s="86">
        <f t="shared" si="48"/>
        <v>0.80451009251471861</v>
      </c>
      <c r="O159" s="86">
        <f t="shared" si="49"/>
        <v>1.4817073170731707</v>
      </c>
      <c r="P159" s="87">
        <f t="shared" si="50"/>
        <v>121.5</v>
      </c>
      <c r="Q159" s="104">
        <f t="shared" si="51"/>
        <v>12.460905349794238</v>
      </c>
      <c r="R159" s="88">
        <f t="shared" si="52"/>
        <v>32.1608040201005</v>
      </c>
      <c r="S159" s="88">
        <f t="shared" si="53"/>
        <v>24.3</v>
      </c>
      <c r="T159" s="13">
        <f t="shared" si="54"/>
        <v>3</v>
      </c>
      <c r="U159" s="13">
        <f t="shared" si="55"/>
        <v>1</v>
      </c>
      <c r="V159" s="13">
        <f t="shared" si="56"/>
        <v>1</v>
      </c>
      <c r="W159" s="13">
        <f t="shared" ca="1" si="57"/>
        <v>3</v>
      </c>
      <c r="X159" s="13">
        <f t="shared" ca="1" si="58"/>
        <v>8</v>
      </c>
      <c r="Y159" s="81" t="str">
        <f t="shared" ca="1" si="59"/>
        <v>MONITOR</v>
      </c>
      <c r="Z159" s="13">
        <v>14</v>
      </c>
      <c r="AA159" s="75">
        <v>46059</v>
      </c>
      <c r="AB159" s="75">
        <f t="shared" si="60"/>
        <v>45920</v>
      </c>
      <c r="AC159" s="88">
        <f t="shared" si="61"/>
        <v>19.857142857142858</v>
      </c>
      <c r="AD159" s="89" t="str">
        <f t="shared" ca="1" si="62"/>
        <v>STABLE</v>
      </c>
      <c r="AE159" s="89" t="str">
        <f t="shared" si="66"/>
        <v>FAST SELLING</v>
      </c>
      <c r="AF159" s="89" t="str">
        <f t="shared" si="63"/>
        <v>AT RISK</v>
      </c>
      <c r="AG159" s="89" t="str">
        <f t="shared" si="64"/>
        <v>FEASIBLE</v>
      </c>
      <c r="AH159" s="81" t="str">
        <f t="shared" ca="1" si="65"/>
        <v>MONITOR</v>
      </c>
      <c r="AI159" s="75"/>
      <c r="AJ159" s="75"/>
      <c r="AK159" s="13"/>
      <c r="AL159" s="79"/>
      <c r="AM159" s="79"/>
      <c r="AN159" s="79"/>
      <c r="AO159" s="79"/>
      <c r="AP159" s="79"/>
      <c r="AQ159" s="75"/>
      <c r="AR159" s="75"/>
      <c r="AS159" s="75"/>
      <c r="AT159" s="75"/>
      <c r="AU159" s="75"/>
      <c r="AV159" s="13"/>
      <c r="AW159" s="13"/>
      <c r="AX159" s="13"/>
      <c r="AY159" s="13"/>
      <c r="AZ159" s="13"/>
      <c r="BA159" s="105"/>
      <c r="BB159" s="13"/>
      <c r="BC159" s="13"/>
      <c r="BD159" s="13"/>
      <c r="BE159" s="13"/>
      <c r="BF159" s="88"/>
      <c r="BG159" s="88"/>
      <c r="BH159" s="88"/>
      <c r="BI159" s="88"/>
      <c r="BJ159" s="88"/>
      <c r="BK159" s="105"/>
      <c r="BL159" s="105"/>
      <c r="BM159" s="105"/>
      <c r="BN159" s="105"/>
      <c r="BO159" s="105"/>
      <c r="BP159" s="105"/>
      <c r="BQ159" s="79"/>
      <c r="BR159" s="79"/>
      <c r="BS159" s="79"/>
      <c r="BT159" s="79"/>
      <c r="BU159" s="79"/>
      <c r="BV159" s="90"/>
      <c r="BW159" s="106"/>
      <c r="BX159" s="106"/>
      <c r="BY159" s="106"/>
      <c r="BZ159" s="106"/>
      <c r="CA159" s="106"/>
    </row>
    <row r="160" spans="1:79" x14ac:dyDescent="0.35">
      <c r="A160" s="25" t="s">
        <v>174</v>
      </c>
      <c r="B160" s="10" t="s">
        <v>331</v>
      </c>
      <c r="C160" s="10" t="s">
        <v>342</v>
      </c>
      <c r="D160" s="10" t="s">
        <v>346</v>
      </c>
      <c r="E160" s="11">
        <v>45878</v>
      </c>
      <c r="F160" s="17">
        <v>45892</v>
      </c>
      <c r="G160" s="14">
        <f t="shared" ca="1" si="45"/>
        <v>207</v>
      </c>
      <c r="H160" s="17">
        <v>199</v>
      </c>
      <c r="I160" s="17">
        <v>135</v>
      </c>
      <c r="J160" s="75">
        <f t="shared" si="46"/>
        <v>1706</v>
      </c>
      <c r="K160" s="17">
        <v>1800</v>
      </c>
      <c r="L160" s="85">
        <v>94</v>
      </c>
      <c r="M160" s="86">
        <f t="shared" ca="1" si="47"/>
        <v>0.45410628019323673</v>
      </c>
      <c r="N160" s="86">
        <f t="shared" si="48"/>
        <v>0.80451009251471861</v>
      </c>
      <c r="O160" s="86">
        <f t="shared" si="49"/>
        <v>0.28658536585365851</v>
      </c>
      <c r="P160" s="87">
        <f t="shared" si="50"/>
        <v>23.499999999999996</v>
      </c>
      <c r="Q160" s="104">
        <f t="shared" si="51"/>
        <v>72.59574468085107</v>
      </c>
      <c r="R160" s="88">
        <f t="shared" si="52"/>
        <v>32.1608040201005</v>
      </c>
      <c r="S160" s="88">
        <f t="shared" si="53"/>
        <v>5.2222222222222223</v>
      </c>
      <c r="T160" s="13">
        <f t="shared" si="54"/>
        <v>1</v>
      </c>
      <c r="U160" s="13">
        <f t="shared" si="55"/>
        <v>1</v>
      </c>
      <c r="V160" s="13">
        <f t="shared" si="56"/>
        <v>1</v>
      </c>
      <c r="W160" s="13">
        <f t="shared" ca="1" si="57"/>
        <v>3</v>
      </c>
      <c r="X160" s="13">
        <f t="shared" ca="1" si="58"/>
        <v>6</v>
      </c>
      <c r="Y160" s="81" t="str">
        <f t="shared" ca="1" si="59"/>
        <v>MONITOR</v>
      </c>
      <c r="Z160" s="13">
        <v>14</v>
      </c>
      <c r="AA160" s="75">
        <v>46059</v>
      </c>
      <c r="AB160" s="75">
        <f t="shared" si="60"/>
        <v>45920</v>
      </c>
      <c r="AC160" s="88">
        <f t="shared" si="61"/>
        <v>19.857142857142858</v>
      </c>
      <c r="AD160" s="89" t="str">
        <f t="shared" ca="1" si="62"/>
        <v>STABLE</v>
      </c>
      <c r="AE160" s="89" t="str">
        <f t="shared" si="66"/>
        <v>SLOW SELLING</v>
      </c>
      <c r="AF160" s="89" t="str">
        <f t="shared" si="63"/>
        <v>AT RISK</v>
      </c>
      <c r="AG160" s="89" t="str">
        <f t="shared" si="64"/>
        <v>FEASIBLE</v>
      </c>
      <c r="AH160" s="81" t="str">
        <f t="shared" ca="1" si="65"/>
        <v>MONITOR</v>
      </c>
      <c r="AI160" s="75"/>
      <c r="AJ160" s="75"/>
      <c r="AK160" s="13"/>
      <c r="AL160" s="79"/>
      <c r="AM160" s="79"/>
      <c r="AN160" s="79"/>
      <c r="AO160" s="79"/>
      <c r="AP160" s="79"/>
      <c r="AQ160" s="75"/>
      <c r="AR160" s="75"/>
      <c r="AS160" s="75"/>
      <c r="AT160" s="75"/>
      <c r="AU160" s="75"/>
      <c r="AV160" s="13"/>
      <c r="AW160" s="13"/>
      <c r="AX160" s="13"/>
      <c r="AY160" s="13"/>
      <c r="AZ160" s="13"/>
      <c r="BA160" s="105"/>
      <c r="BB160" s="13"/>
      <c r="BC160" s="13"/>
      <c r="BD160" s="13"/>
      <c r="BE160" s="13"/>
      <c r="BF160" s="88"/>
      <c r="BG160" s="88"/>
      <c r="BH160" s="88"/>
      <c r="BI160" s="88"/>
      <c r="BJ160" s="88"/>
      <c r="BK160" s="105"/>
      <c r="BL160" s="105"/>
      <c r="BM160" s="105"/>
      <c r="BN160" s="105"/>
      <c r="BO160" s="105"/>
      <c r="BP160" s="105"/>
      <c r="BQ160" s="79"/>
      <c r="BR160" s="79"/>
      <c r="BS160" s="79"/>
      <c r="BT160" s="79"/>
      <c r="BU160" s="79"/>
      <c r="BV160" s="90"/>
      <c r="BW160" s="106"/>
      <c r="BX160" s="106"/>
      <c r="BY160" s="106"/>
      <c r="BZ160" s="106"/>
      <c r="CA160" s="106"/>
    </row>
    <row r="161" spans="1:79" x14ac:dyDescent="0.35">
      <c r="A161" s="25" t="s">
        <v>175</v>
      </c>
      <c r="B161" s="10" t="s">
        <v>331</v>
      </c>
      <c r="C161" s="10" t="s">
        <v>342</v>
      </c>
      <c r="D161" s="10" t="s">
        <v>346</v>
      </c>
      <c r="E161" s="11">
        <v>45878</v>
      </c>
      <c r="F161" s="17">
        <v>45892</v>
      </c>
      <c r="G161" s="14">
        <f t="shared" ca="1" si="45"/>
        <v>207</v>
      </c>
      <c r="H161" s="17">
        <v>199</v>
      </c>
      <c r="I161" s="17">
        <v>135</v>
      </c>
      <c r="J161" s="75">
        <f t="shared" si="46"/>
        <v>865</v>
      </c>
      <c r="K161" s="17">
        <v>1600</v>
      </c>
      <c r="L161" s="85">
        <v>735</v>
      </c>
      <c r="M161" s="86">
        <f t="shared" ca="1" si="47"/>
        <v>3.5507246376811592</v>
      </c>
      <c r="N161" s="86">
        <f t="shared" si="48"/>
        <v>0.80451009251471861</v>
      </c>
      <c r="O161" s="86">
        <f t="shared" si="49"/>
        <v>2.2408536585365852</v>
      </c>
      <c r="P161" s="87">
        <f t="shared" si="50"/>
        <v>183.75</v>
      </c>
      <c r="Q161" s="104">
        <f t="shared" si="51"/>
        <v>4.7074829931972788</v>
      </c>
      <c r="R161" s="88">
        <f t="shared" si="52"/>
        <v>32.1608040201005</v>
      </c>
      <c r="S161" s="88">
        <f t="shared" si="53"/>
        <v>45.9375</v>
      </c>
      <c r="T161" s="13">
        <f t="shared" si="54"/>
        <v>3</v>
      </c>
      <c r="U161" s="13">
        <f t="shared" si="55"/>
        <v>2</v>
      </c>
      <c r="V161" s="13">
        <f t="shared" si="56"/>
        <v>1</v>
      </c>
      <c r="W161" s="13">
        <f t="shared" ca="1" si="57"/>
        <v>3</v>
      </c>
      <c r="X161" s="13">
        <f t="shared" ca="1" si="58"/>
        <v>9</v>
      </c>
      <c r="Y161" s="81" t="str">
        <f t="shared" ca="1" si="59"/>
        <v>RE-BUY</v>
      </c>
      <c r="Z161" s="13">
        <v>14</v>
      </c>
      <c r="AA161" s="75">
        <v>46059</v>
      </c>
      <c r="AB161" s="75">
        <f t="shared" si="60"/>
        <v>45920</v>
      </c>
      <c r="AC161" s="88">
        <f t="shared" si="61"/>
        <v>19.857142857142858</v>
      </c>
      <c r="AD161" s="89" t="str">
        <f t="shared" ca="1" si="62"/>
        <v>STABLE</v>
      </c>
      <c r="AE161" s="89" t="str">
        <f t="shared" si="66"/>
        <v>FAST SELLING</v>
      </c>
      <c r="AF161" s="89" t="str">
        <f t="shared" si="63"/>
        <v>AT RISK</v>
      </c>
      <c r="AG161" s="89" t="str">
        <f t="shared" si="64"/>
        <v>FEASIBLE</v>
      </c>
      <c r="AH161" s="81" t="str">
        <f t="shared" ca="1" si="65"/>
        <v>IMMEDIATE REBUY</v>
      </c>
      <c r="AI161" s="75"/>
      <c r="AJ161" s="75"/>
      <c r="AK161" s="13"/>
      <c r="AL161" s="79"/>
      <c r="AM161" s="79"/>
      <c r="AN161" s="79"/>
      <c r="AO161" s="79"/>
      <c r="AP161" s="79"/>
      <c r="AQ161" s="75"/>
      <c r="AR161" s="75"/>
      <c r="AS161" s="75"/>
      <c r="AT161" s="75"/>
      <c r="AU161" s="75"/>
      <c r="AV161" s="13"/>
      <c r="AW161" s="13"/>
      <c r="AX161" s="13"/>
      <c r="AY161" s="13"/>
      <c r="AZ161" s="13"/>
      <c r="BA161" s="105"/>
      <c r="BB161" s="13"/>
      <c r="BC161" s="13"/>
      <c r="BD161" s="13"/>
      <c r="BE161" s="13"/>
      <c r="BF161" s="88"/>
      <c r="BG161" s="88"/>
      <c r="BH161" s="88"/>
      <c r="BI161" s="88"/>
      <c r="BJ161" s="88"/>
      <c r="BK161" s="105"/>
      <c r="BL161" s="105"/>
      <c r="BM161" s="105"/>
      <c r="BN161" s="105"/>
      <c r="BO161" s="105"/>
      <c r="BP161" s="105"/>
      <c r="BQ161" s="79"/>
      <c r="BR161" s="79"/>
      <c r="BS161" s="79"/>
      <c r="BT161" s="79"/>
      <c r="BU161" s="79"/>
      <c r="BV161" s="90"/>
      <c r="BW161" s="106"/>
      <c r="BX161" s="106"/>
      <c r="BY161" s="106"/>
      <c r="BZ161" s="106"/>
      <c r="CA161" s="106"/>
    </row>
    <row r="162" spans="1:79" x14ac:dyDescent="0.35">
      <c r="A162" s="25" t="s">
        <v>176</v>
      </c>
      <c r="B162" s="10" t="s">
        <v>331</v>
      </c>
      <c r="C162" s="10" t="s">
        <v>342</v>
      </c>
      <c r="D162" s="10" t="s">
        <v>346</v>
      </c>
      <c r="E162" s="11">
        <v>45948</v>
      </c>
      <c r="F162" s="17">
        <v>45892</v>
      </c>
      <c r="G162" s="14">
        <f t="shared" ca="1" si="45"/>
        <v>207</v>
      </c>
      <c r="H162" s="17">
        <v>199</v>
      </c>
      <c r="I162" s="17">
        <v>135</v>
      </c>
      <c r="J162" s="75">
        <f t="shared" si="46"/>
        <v>1482</v>
      </c>
      <c r="K162" s="17">
        <v>2000</v>
      </c>
      <c r="L162" s="85">
        <v>518</v>
      </c>
      <c r="M162" s="86">
        <f t="shared" ca="1" si="47"/>
        <v>2.5024154589371981</v>
      </c>
      <c r="N162" s="86">
        <f t="shared" si="48"/>
        <v>0.80451009251471861</v>
      </c>
      <c r="O162" s="86">
        <f t="shared" si="49"/>
        <v>1.5792682926829269</v>
      </c>
      <c r="P162" s="87">
        <f t="shared" si="50"/>
        <v>129.5</v>
      </c>
      <c r="Q162" s="104">
        <f t="shared" si="51"/>
        <v>11.444015444015443</v>
      </c>
      <c r="R162" s="88">
        <f t="shared" si="52"/>
        <v>32.1608040201005</v>
      </c>
      <c r="S162" s="88">
        <f t="shared" si="53"/>
        <v>25.900000000000002</v>
      </c>
      <c r="T162" s="13">
        <f t="shared" si="54"/>
        <v>3</v>
      </c>
      <c r="U162" s="13">
        <f t="shared" si="55"/>
        <v>1</v>
      </c>
      <c r="V162" s="13">
        <f t="shared" si="56"/>
        <v>1</v>
      </c>
      <c r="W162" s="13">
        <f t="shared" ca="1" si="57"/>
        <v>3</v>
      </c>
      <c r="X162" s="13">
        <f t="shared" ca="1" si="58"/>
        <v>8</v>
      </c>
      <c r="Y162" s="81" t="str">
        <f t="shared" ca="1" si="59"/>
        <v>MONITOR</v>
      </c>
      <c r="Z162" s="13">
        <v>14</v>
      </c>
      <c r="AA162" s="75">
        <v>46059</v>
      </c>
      <c r="AB162" s="75">
        <f t="shared" si="60"/>
        <v>45920</v>
      </c>
      <c r="AC162" s="88">
        <f t="shared" si="61"/>
        <v>19.857142857142858</v>
      </c>
      <c r="AD162" s="89" t="str">
        <f t="shared" ca="1" si="62"/>
        <v>STABLE</v>
      </c>
      <c r="AE162" s="89" t="str">
        <f t="shared" si="66"/>
        <v>FAST SELLING</v>
      </c>
      <c r="AF162" s="89" t="str">
        <f t="shared" si="63"/>
        <v>AT RISK</v>
      </c>
      <c r="AG162" s="89" t="str">
        <f t="shared" si="64"/>
        <v>FEASIBLE</v>
      </c>
      <c r="AH162" s="81" t="str">
        <f t="shared" ca="1" si="65"/>
        <v>MONITOR</v>
      </c>
      <c r="AI162" s="75"/>
      <c r="AJ162" s="75"/>
      <c r="AK162" s="13"/>
      <c r="AL162" s="79"/>
      <c r="AM162" s="79"/>
      <c r="AN162" s="79"/>
      <c r="AO162" s="79"/>
      <c r="AP162" s="79"/>
      <c r="AQ162" s="75"/>
      <c r="AR162" s="75"/>
      <c r="AS162" s="75"/>
      <c r="AT162" s="75"/>
      <c r="AU162" s="75"/>
      <c r="AV162" s="13"/>
      <c r="AW162" s="13"/>
      <c r="AX162" s="13"/>
      <c r="AY162" s="13"/>
      <c r="AZ162" s="13"/>
      <c r="BA162" s="105"/>
      <c r="BB162" s="13"/>
      <c r="BC162" s="13"/>
      <c r="BD162" s="13"/>
      <c r="BE162" s="13"/>
      <c r="BF162" s="88"/>
      <c r="BG162" s="88"/>
      <c r="BH162" s="88"/>
      <c r="BI162" s="88"/>
      <c r="BJ162" s="88"/>
      <c r="BK162" s="105"/>
      <c r="BL162" s="105"/>
      <c r="BM162" s="105"/>
      <c r="BN162" s="105"/>
      <c r="BO162" s="105"/>
      <c r="BP162" s="105"/>
      <c r="BQ162" s="79"/>
      <c r="BR162" s="79"/>
      <c r="BS162" s="79"/>
      <c r="BT162" s="79"/>
      <c r="BU162" s="79"/>
      <c r="BV162" s="90"/>
      <c r="BW162" s="106"/>
      <c r="BX162" s="106"/>
      <c r="BY162" s="106"/>
      <c r="BZ162" s="106"/>
      <c r="CA162" s="106"/>
    </row>
    <row r="163" spans="1:79" x14ac:dyDescent="0.35">
      <c r="A163" s="25" t="s">
        <v>177</v>
      </c>
      <c r="B163" s="10" t="s">
        <v>331</v>
      </c>
      <c r="C163" s="10" t="s">
        <v>342</v>
      </c>
      <c r="D163" s="10" t="s">
        <v>346</v>
      </c>
      <c r="E163" s="11">
        <v>45948</v>
      </c>
      <c r="F163" s="17">
        <v>45892</v>
      </c>
      <c r="G163" s="14">
        <f t="shared" ca="1" si="45"/>
        <v>207</v>
      </c>
      <c r="H163" s="17">
        <v>199</v>
      </c>
      <c r="I163" s="17">
        <v>135</v>
      </c>
      <c r="J163" s="75">
        <f t="shared" si="46"/>
        <v>1036</v>
      </c>
      <c r="K163" s="17">
        <v>1800</v>
      </c>
      <c r="L163" s="85">
        <v>764</v>
      </c>
      <c r="M163" s="86">
        <f t="shared" ca="1" si="47"/>
        <v>3.6908212560386473</v>
      </c>
      <c r="N163" s="86">
        <f t="shared" si="48"/>
        <v>0.80451009251471861</v>
      </c>
      <c r="O163" s="86">
        <f t="shared" si="49"/>
        <v>2.3292682926829267</v>
      </c>
      <c r="P163" s="87">
        <f t="shared" si="50"/>
        <v>191</v>
      </c>
      <c r="Q163" s="104">
        <f t="shared" si="51"/>
        <v>5.4240837696335076</v>
      </c>
      <c r="R163" s="88">
        <f t="shared" si="52"/>
        <v>32.1608040201005</v>
      </c>
      <c r="S163" s="88">
        <f t="shared" si="53"/>
        <v>42.444444444444443</v>
      </c>
      <c r="T163" s="13">
        <f t="shared" si="54"/>
        <v>3</v>
      </c>
      <c r="U163" s="13">
        <f t="shared" si="55"/>
        <v>2</v>
      </c>
      <c r="V163" s="13">
        <f t="shared" si="56"/>
        <v>1</v>
      </c>
      <c r="W163" s="13">
        <f t="shared" ca="1" si="57"/>
        <v>3</v>
      </c>
      <c r="X163" s="13">
        <f t="shared" ca="1" si="58"/>
        <v>9</v>
      </c>
      <c r="Y163" s="81" t="str">
        <f t="shared" ca="1" si="59"/>
        <v>RE-BUY</v>
      </c>
      <c r="Z163" s="13">
        <v>14</v>
      </c>
      <c r="AA163" s="75">
        <v>46059</v>
      </c>
      <c r="AB163" s="75">
        <f t="shared" si="60"/>
        <v>45920</v>
      </c>
      <c r="AC163" s="88">
        <f t="shared" si="61"/>
        <v>19.857142857142858</v>
      </c>
      <c r="AD163" s="89" t="str">
        <f t="shared" ca="1" si="62"/>
        <v>STABLE</v>
      </c>
      <c r="AE163" s="89" t="str">
        <f t="shared" si="66"/>
        <v>FAST SELLING</v>
      </c>
      <c r="AF163" s="89" t="str">
        <f t="shared" si="63"/>
        <v>AT RISK</v>
      </c>
      <c r="AG163" s="89" t="str">
        <f t="shared" si="64"/>
        <v>FEASIBLE</v>
      </c>
      <c r="AH163" s="81" t="str">
        <f t="shared" ca="1" si="65"/>
        <v>IMMEDIATE REBUY</v>
      </c>
      <c r="AI163" s="75"/>
      <c r="AJ163" s="75"/>
      <c r="AK163" s="13"/>
      <c r="AL163" s="79"/>
      <c r="AM163" s="79"/>
      <c r="AN163" s="79"/>
      <c r="AO163" s="79"/>
      <c r="AP163" s="79"/>
      <c r="AQ163" s="75"/>
      <c r="AR163" s="75"/>
      <c r="AS163" s="75"/>
      <c r="AT163" s="75"/>
      <c r="AU163" s="75"/>
      <c r="AV163" s="13"/>
      <c r="AW163" s="13"/>
      <c r="AX163" s="13"/>
      <c r="AY163" s="13"/>
      <c r="AZ163" s="13"/>
      <c r="BA163" s="105"/>
      <c r="BB163" s="13"/>
      <c r="BC163" s="13"/>
      <c r="BD163" s="13"/>
      <c r="BE163" s="13"/>
      <c r="BF163" s="88"/>
      <c r="BG163" s="88"/>
      <c r="BH163" s="88"/>
      <c r="BI163" s="88"/>
      <c r="BJ163" s="88"/>
      <c r="BK163" s="105"/>
      <c r="BL163" s="105"/>
      <c r="BM163" s="105"/>
      <c r="BN163" s="105"/>
      <c r="BO163" s="105"/>
      <c r="BP163" s="105"/>
      <c r="BQ163" s="79"/>
      <c r="BR163" s="79"/>
      <c r="BS163" s="79"/>
      <c r="BT163" s="79"/>
      <c r="BU163" s="79"/>
      <c r="BV163" s="90"/>
      <c r="BW163" s="106"/>
      <c r="BX163" s="106"/>
      <c r="BY163" s="106"/>
      <c r="BZ163" s="106"/>
      <c r="CA163" s="106"/>
    </row>
    <row r="164" spans="1:79" x14ac:dyDescent="0.35">
      <c r="A164" s="25" t="s">
        <v>178</v>
      </c>
      <c r="B164" s="10" t="s">
        <v>331</v>
      </c>
      <c r="C164" s="10" t="s">
        <v>342</v>
      </c>
      <c r="D164" s="10" t="s">
        <v>346</v>
      </c>
      <c r="E164" s="11">
        <v>45948</v>
      </c>
      <c r="F164" s="17">
        <v>45892</v>
      </c>
      <c r="G164" s="14">
        <f t="shared" ca="1" si="45"/>
        <v>207</v>
      </c>
      <c r="H164" s="17">
        <v>199</v>
      </c>
      <c r="I164" s="17">
        <v>135</v>
      </c>
      <c r="J164" s="75">
        <f t="shared" si="46"/>
        <v>934</v>
      </c>
      <c r="K164" s="17">
        <v>1600</v>
      </c>
      <c r="L164" s="85">
        <v>666</v>
      </c>
      <c r="M164" s="86">
        <f t="shared" ca="1" si="47"/>
        <v>3.2173913043478262</v>
      </c>
      <c r="N164" s="86">
        <f t="shared" si="48"/>
        <v>0.80451009251471861</v>
      </c>
      <c r="O164" s="86">
        <f t="shared" si="49"/>
        <v>2.0304878048780486</v>
      </c>
      <c r="P164" s="87">
        <f t="shared" si="50"/>
        <v>166.49999999999997</v>
      </c>
      <c r="Q164" s="104">
        <f t="shared" si="51"/>
        <v>5.6096096096096106</v>
      </c>
      <c r="R164" s="88">
        <f t="shared" si="52"/>
        <v>32.1608040201005</v>
      </c>
      <c r="S164" s="88">
        <f t="shared" si="53"/>
        <v>41.625</v>
      </c>
      <c r="T164" s="13">
        <f t="shared" si="54"/>
        <v>3</v>
      </c>
      <c r="U164" s="13">
        <f t="shared" si="55"/>
        <v>2</v>
      </c>
      <c r="V164" s="13">
        <f t="shared" si="56"/>
        <v>1</v>
      </c>
      <c r="W164" s="13">
        <f t="shared" ca="1" si="57"/>
        <v>3</v>
      </c>
      <c r="X164" s="13">
        <f t="shared" ca="1" si="58"/>
        <v>9</v>
      </c>
      <c r="Y164" s="81" t="str">
        <f t="shared" ca="1" si="59"/>
        <v>RE-BUY</v>
      </c>
      <c r="Z164" s="13">
        <v>14</v>
      </c>
      <c r="AA164" s="75">
        <v>46059</v>
      </c>
      <c r="AB164" s="75">
        <f t="shared" si="60"/>
        <v>45920</v>
      </c>
      <c r="AC164" s="88">
        <f t="shared" si="61"/>
        <v>19.857142857142858</v>
      </c>
      <c r="AD164" s="89" t="str">
        <f t="shared" ca="1" si="62"/>
        <v>STABLE</v>
      </c>
      <c r="AE164" s="89" t="str">
        <f t="shared" si="66"/>
        <v>FAST SELLING</v>
      </c>
      <c r="AF164" s="89" t="str">
        <f t="shared" si="63"/>
        <v>AT RISK</v>
      </c>
      <c r="AG164" s="89" t="str">
        <f t="shared" si="64"/>
        <v>FEASIBLE</v>
      </c>
      <c r="AH164" s="81" t="str">
        <f t="shared" ca="1" si="65"/>
        <v>IMMEDIATE REBUY</v>
      </c>
      <c r="AI164" s="75"/>
      <c r="AJ164" s="75"/>
      <c r="AK164" s="13"/>
      <c r="AL164" s="79"/>
      <c r="AM164" s="79"/>
      <c r="AN164" s="79"/>
      <c r="AO164" s="79"/>
      <c r="AP164" s="79"/>
      <c r="AQ164" s="75"/>
      <c r="AR164" s="75"/>
      <c r="AS164" s="75"/>
      <c r="AT164" s="75"/>
      <c r="AU164" s="75"/>
      <c r="AV164" s="13"/>
      <c r="AW164" s="13"/>
      <c r="AX164" s="13"/>
      <c r="AY164" s="13"/>
      <c r="AZ164" s="13"/>
      <c r="BA164" s="105"/>
      <c r="BB164" s="13"/>
      <c r="BC164" s="13"/>
      <c r="BD164" s="13"/>
      <c r="BE164" s="13"/>
      <c r="BF164" s="88"/>
      <c r="BG164" s="88"/>
      <c r="BH164" s="88"/>
      <c r="BI164" s="88"/>
      <c r="BJ164" s="88"/>
      <c r="BK164" s="105"/>
      <c r="BL164" s="105"/>
      <c r="BM164" s="105"/>
      <c r="BN164" s="105"/>
      <c r="BO164" s="105"/>
      <c r="BP164" s="105"/>
      <c r="BQ164" s="79"/>
      <c r="BR164" s="79"/>
      <c r="BS164" s="79"/>
      <c r="BT164" s="79"/>
      <c r="BU164" s="79"/>
      <c r="BV164" s="90"/>
      <c r="BW164" s="106"/>
      <c r="BX164" s="106"/>
      <c r="BY164" s="106"/>
      <c r="BZ164" s="106"/>
      <c r="CA164" s="106"/>
    </row>
    <row r="165" spans="1:79" x14ac:dyDescent="0.35">
      <c r="A165" s="25" t="s">
        <v>179</v>
      </c>
      <c r="B165" s="10" t="s">
        <v>331</v>
      </c>
      <c r="C165" s="10" t="s">
        <v>342</v>
      </c>
      <c r="D165" s="10" t="s">
        <v>346</v>
      </c>
      <c r="E165" s="11">
        <v>45948</v>
      </c>
      <c r="F165" s="17">
        <v>45892</v>
      </c>
      <c r="G165" s="14">
        <f t="shared" ca="1" si="45"/>
        <v>207</v>
      </c>
      <c r="H165" s="17">
        <v>199</v>
      </c>
      <c r="I165" s="17">
        <v>135</v>
      </c>
      <c r="J165" s="75">
        <f t="shared" si="46"/>
        <v>1158</v>
      </c>
      <c r="K165" s="17">
        <v>1800</v>
      </c>
      <c r="L165" s="85">
        <v>642</v>
      </c>
      <c r="M165" s="86">
        <f t="shared" ca="1" si="47"/>
        <v>3.1014492753623188</v>
      </c>
      <c r="N165" s="86">
        <f t="shared" si="48"/>
        <v>0.80451009251471861</v>
      </c>
      <c r="O165" s="86">
        <f t="shared" si="49"/>
        <v>1.9573170731707317</v>
      </c>
      <c r="P165" s="87">
        <f t="shared" si="50"/>
        <v>160.5</v>
      </c>
      <c r="Q165" s="104">
        <f t="shared" si="51"/>
        <v>7.2149532710280377</v>
      </c>
      <c r="R165" s="88">
        <f t="shared" si="52"/>
        <v>32.1608040201005</v>
      </c>
      <c r="S165" s="88">
        <f t="shared" si="53"/>
        <v>35.666666666666671</v>
      </c>
      <c r="T165" s="13">
        <f t="shared" si="54"/>
        <v>3</v>
      </c>
      <c r="U165" s="13">
        <f t="shared" si="55"/>
        <v>1</v>
      </c>
      <c r="V165" s="13">
        <f t="shared" si="56"/>
        <v>1</v>
      </c>
      <c r="W165" s="13">
        <f t="shared" ca="1" si="57"/>
        <v>3</v>
      </c>
      <c r="X165" s="13">
        <f t="shared" ca="1" si="58"/>
        <v>8</v>
      </c>
      <c r="Y165" s="81" t="str">
        <f t="shared" ca="1" si="59"/>
        <v>MONITOR</v>
      </c>
      <c r="Z165" s="13">
        <v>14</v>
      </c>
      <c r="AA165" s="75">
        <v>46059</v>
      </c>
      <c r="AB165" s="75">
        <f t="shared" si="60"/>
        <v>45920</v>
      </c>
      <c r="AC165" s="88">
        <f t="shared" si="61"/>
        <v>19.857142857142858</v>
      </c>
      <c r="AD165" s="89" t="str">
        <f t="shared" ca="1" si="62"/>
        <v>STABLE</v>
      </c>
      <c r="AE165" s="89" t="str">
        <f t="shared" si="66"/>
        <v>FAST SELLING</v>
      </c>
      <c r="AF165" s="89" t="str">
        <f t="shared" si="63"/>
        <v>AT RISK</v>
      </c>
      <c r="AG165" s="89" t="str">
        <f t="shared" si="64"/>
        <v>FEASIBLE</v>
      </c>
      <c r="AH165" s="81" t="str">
        <f t="shared" ca="1" si="65"/>
        <v>MONITOR</v>
      </c>
      <c r="AI165" s="75"/>
      <c r="AJ165" s="75"/>
      <c r="AK165" s="13"/>
      <c r="AL165" s="79"/>
      <c r="AM165" s="79"/>
      <c r="AN165" s="79"/>
      <c r="AO165" s="79"/>
      <c r="AP165" s="79"/>
      <c r="AQ165" s="75"/>
      <c r="AR165" s="75"/>
      <c r="AS165" s="75"/>
      <c r="AT165" s="75"/>
      <c r="AU165" s="75"/>
      <c r="AV165" s="13"/>
      <c r="AW165" s="13"/>
      <c r="AX165" s="13"/>
      <c r="AY165" s="13"/>
      <c r="AZ165" s="13"/>
      <c r="BA165" s="105"/>
      <c r="BB165" s="13"/>
      <c r="BC165" s="13"/>
      <c r="BD165" s="13"/>
      <c r="BE165" s="13"/>
      <c r="BF165" s="88"/>
      <c r="BG165" s="88"/>
      <c r="BH165" s="88"/>
      <c r="BI165" s="88"/>
      <c r="BJ165" s="88"/>
      <c r="BK165" s="105"/>
      <c r="BL165" s="105"/>
      <c r="BM165" s="105"/>
      <c r="BN165" s="105"/>
      <c r="BO165" s="105"/>
      <c r="BP165" s="105"/>
      <c r="BQ165" s="79"/>
      <c r="BR165" s="79"/>
      <c r="BS165" s="79"/>
      <c r="BT165" s="79"/>
      <c r="BU165" s="79"/>
      <c r="BV165" s="90"/>
      <c r="BW165" s="106"/>
      <c r="BX165" s="106"/>
      <c r="BY165" s="106"/>
      <c r="BZ165" s="106"/>
      <c r="CA165" s="106"/>
    </row>
    <row r="166" spans="1:79" x14ac:dyDescent="0.35">
      <c r="A166" s="25" t="s">
        <v>180</v>
      </c>
      <c r="B166" s="10" t="s">
        <v>331</v>
      </c>
      <c r="C166" s="10" t="s">
        <v>342</v>
      </c>
      <c r="D166" s="10" t="s">
        <v>346</v>
      </c>
      <c r="E166" s="11">
        <v>45976</v>
      </c>
      <c r="F166" s="17">
        <v>45892</v>
      </c>
      <c r="G166" s="14">
        <f t="shared" ca="1" si="45"/>
        <v>207</v>
      </c>
      <c r="H166" s="17">
        <v>199</v>
      </c>
      <c r="I166" s="17">
        <v>135</v>
      </c>
      <c r="J166" s="75">
        <f t="shared" si="46"/>
        <v>1567</v>
      </c>
      <c r="K166" s="17">
        <v>1600</v>
      </c>
      <c r="L166" s="85">
        <v>33</v>
      </c>
      <c r="M166" s="86">
        <f t="shared" ca="1" si="47"/>
        <v>0.15942028985507245</v>
      </c>
      <c r="N166" s="86">
        <f t="shared" si="48"/>
        <v>0.80451009251471861</v>
      </c>
      <c r="O166" s="86">
        <f t="shared" si="49"/>
        <v>0.10060975609756098</v>
      </c>
      <c r="P166" s="87">
        <f t="shared" si="50"/>
        <v>8.25</v>
      </c>
      <c r="Q166" s="104">
        <f t="shared" si="51"/>
        <v>189.93939393939394</v>
      </c>
      <c r="R166" s="88">
        <f t="shared" si="52"/>
        <v>32.1608040201005</v>
      </c>
      <c r="S166" s="88">
        <f t="shared" si="53"/>
        <v>2.0625</v>
      </c>
      <c r="T166" s="13">
        <f t="shared" si="54"/>
        <v>1</v>
      </c>
      <c r="U166" s="13">
        <f t="shared" si="55"/>
        <v>1</v>
      </c>
      <c r="V166" s="13">
        <f t="shared" si="56"/>
        <v>1</v>
      </c>
      <c r="W166" s="13">
        <f t="shared" ca="1" si="57"/>
        <v>3</v>
      </c>
      <c r="X166" s="13">
        <f t="shared" ca="1" si="58"/>
        <v>6</v>
      </c>
      <c r="Y166" s="81" t="str">
        <f t="shared" ca="1" si="59"/>
        <v>MONITOR</v>
      </c>
      <c r="Z166" s="13">
        <v>14</v>
      </c>
      <c r="AA166" s="75">
        <v>46059</v>
      </c>
      <c r="AB166" s="75">
        <f t="shared" si="60"/>
        <v>45920</v>
      </c>
      <c r="AC166" s="88">
        <f t="shared" si="61"/>
        <v>19.857142857142858</v>
      </c>
      <c r="AD166" s="89" t="str">
        <f t="shared" ca="1" si="62"/>
        <v>STABLE</v>
      </c>
      <c r="AE166" s="89" t="str">
        <f t="shared" si="66"/>
        <v>SLOW SELLING</v>
      </c>
      <c r="AF166" s="89" t="str">
        <f t="shared" si="63"/>
        <v>AT RISK</v>
      </c>
      <c r="AG166" s="89" t="str">
        <f t="shared" si="64"/>
        <v>FEASIBLE</v>
      </c>
      <c r="AH166" s="81" t="str">
        <f t="shared" ca="1" si="65"/>
        <v>MONITOR</v>
      </c>
      <c r="AI166" s="75"/>
      <c r="AJ166" s="75"/>
      <c r="AK166" s="13"/>
      <c r="AL166" s="79"/>
      <c r="AM166" s="79"/>
      <c r="AN166" s="79"/>
      <c r="AO166" s="79"/>
      <c r="AP166" s="79"/>
      <c r="AQ166" s="75"/>
      <c r="AR166" s="75"/>
      <c r="AS166" s="75"/>
      <c r="AT166" s="75"/>
      <c r="AU166" s="75"/>
      <c r="AV166" s="13"/>
      <c r="AW166" s="13"/>
      <c r="AX166" s="13"/>
      <c r="AY166" s="13"/>
      <c r="AZ166" s="13"/>
      <c r="BA166" s="105"/>
      <c r="BB166" s="13"/>
      <c r="BC166" s="13"/>
      <c r="BD166" s="13"/>
      <c r="BE166" s="13"/>
      <c r="BF166" s="88"/>
      <c r="BG166" s="88"/>
      <c r="BH166" s="88"/>
      <c r="BI166" s="88"/>
      <c r="BJ166" s="88"/>
      <c r="BK166" s="105"/>
      <c r="BL166" s="105"/>
      <c r="BM166" s="105"/>
      <c r="BN166" s="105"/>
      <c r="BO166" s="105"/>
      <c r="BP166" s="105"/>
      <c r="BQ166" s="79"/>
      <c r="BR166" s="79"/>
      <c r="BS166" s="79"/>
      <c r="BT166" s="79"/>
      <c r="BU166" s="79"/>
      <c r="BV166" s="90"/>
      <c r="BW166" s="106"/>
      <c r="BX166" s="106"/>
      <c r="BY166" s="106"/>
      <c r="BZ166" s="106"/>
      <c r="CA166" s="106"/>
    </row>
    <row r="167" spans="1:79" x14ac:dyDescent="0.35">
      <c r="A167" s="25" t="s">
        <v>181</v>
      </c>
      <c r="B167" s="10" t="s">
        <v>331</v>
      </c>
      <c r="C167" s="10" t="s">
        <v>342</v>
      </c>
      <c r="D167" s="10" t="s">
        <v>346</v>
      </c>
      <c r="E167" s="11">
        <v>45976</v>
      </c>
      <c r="F167" s="17">
        <v>45892</v>
      </c>
      <c r="G167" s="14">
        <f t="shared" ca="1" si="45"/>
        <v>207</v>
      </c>
      <c r="H167" s="17">
        <v>199</v>
      </c>
      <c r="I167" s="17">
        <v>135</v>
      </c>
      <c r="J167" s="75">
        <f t="shared" si="46"/>
        <v>1332</v>
      </c>
      <c r="K167" s="17">
        <v>2000</v>
      </c>
      <c r="L167" s="85">
        <v>668</v>
      </c>
      <c r="M167" s="86">
        <f t="shared" ca="1" si="47"/>
        <v>3.2270531400966185</v>
      </c>
      <c r="N167" s="86">
        <f t="shared" si="48"/>
        <v>0.80451009251471861</v>
      </c>
      <c r="O167" s="86">
        <f t="shared" si="49"/>
        <v>2.0365853658536586</v>
      </c>
      <c r="P167" s="87">
        <f t="shared" si="50"/>
        <v>167</v>
      </c>
      <c r="Q167" s="104">
        <f t="shared" si="51"/>
        <v>7.976047904191617</v>
      </c>
      <c r="R167" s="88">
        <f t="shared" si="52"/>
        <v>32.1608040201005</v>
      </c>
      <c r="S167" s="88">
        <f t="shared" si="53"/>
        <v>33.4</v>
      </c>
      <c r="T167" s="13">
        <f t="shared" si="54"/>
        <v>3</v>
      </c>
      <c r="U167" s="13">
        <f t="shared" si="55"/>
        <v>1</v>
      </c>
      <c r="V167" s="13">
        <f t="shared" si="56"/>
        <v>1</v>
      </c>
      <c r="W167" s="13">
        <f t="shared" ca="1" si="57"/>
        <v>3</v>
      </c>
      <c r="X167" s="13">
        <f t="shared" ca="1" si="58"/>
        <v>8</v>
      </c>
      <c r="Y167" s="81" t="str">
        <f t="shared" ca="1" si="59"/>
        <v>MONITOR</v>
      </c>
      <c r="Z167" s="13">
        <v>14</v>
      </c>
      <c r="AA167" s="75">
        <v>46059</v>
      </c>
      <c r="AB167" s="75">
        <f t="shared" si="60"/>
        <v>45920</v>
      </c>
      <c r="AC167" s="88">
        <f t="shared" si="61"/>
        <v>19.857142857142858</v>
      </c>
      <c r="AD167" s="89" t="str">
        <f t="shared" ca="1" si="62"/>
        <v>STABLE</v>
      </c>
      <c r="AE167" s="89" t="str">
        <f t="shared" si="66"/>
        <v>FAST SELLING</v>
      </c>
      <c r="AF167" s="89" t="str">
        <f t="shared" si="63"/>
        <v>AT RISK</v>
      </c>
      <c r="AG167" s="89" t="str">
        <f t="shared" si="64"/>
        <v>FEASIBLE</v>
      </c>
      <c r="AH167" s="81" t="str">
        <f t="shared" ca="1" si="65"/>
        <v>MONITOR</v>
      </c>
      <c r="AI167" s="75"/>
      <c r="AJ167" s="75"/>
      <c r="AK167" s="13"/>
      <c r="AL167" s="79"/>
      <c r="AM167" s="79"/>
      <c r="AN167" s="79"/>
      <c r="AO167" s="79"/>
      <c r="AP167" s="79"/>
      <c r="AQ167" s="75"/>
      <c r="AR167" s="75"/>
      <c r="AS167" s="75"/>
      <c r="AT167" s="75"/>
      <c r="AU167" s="75"/>
      <c r="AV167" s="13"/>
      <c r="AW167" s="13"/>
      <c r="AX167" s="13"/>
      <c r="AY167" s="13"/>
      <c r="AZ167" s="13"/>
      <c r="BA167" s="105"/>
      <c r="BB167" s="13"/>
      <c r="BC167" s="13"/>
      <c r="BD167" s="13"/>
      <c r="BE167" s="13"/>
      <c r="BF167" s="88"/>
      <c r="BG167" s="88"/>
      <c r="BH167" s="88"/>
      <c r="BI167" s="88"/>
      <c r="BJ167" s="88"/>
      <c r="BK167" s="105"/>
      <c r="BL167" s="105"/>
      <c r="BM167" s="105"/>
      <c r="BN167" s="105"/>
      <c r="BO167" s="105"/>
      <c r="BP167" s="105"/>
      <c r="BQ167" s="79"/>
      <c r="BR167" s="79"/>
      <c r="BS167" s="79"/>
      <c r="BT167" s="79"/>
      <c r="BU167" s="79"/>
      <c r="BV167" s="90"/>
      <c r="BW167" s="106"/>
      <c r="BX167" s="106"/>
      <c r="BY167" s="106"/>
      <c r="BZ167" s="106"/>
      <c r="CA167" s="106"/>
    </row>
    <row r="168" spans="1:79" x14ac:dyDescent="0.35">
      <c r="A168" s="25" t="s">
        <v>182</v>
      </c>
      <c r="B168" s="10" t="s">
        <v>331</v>
      </c>
      <c r="C168" s="10" t="s">
        <v>342</v>
      </c>
      <c r="D168" s="10" t="s">
        <v>346</v>
      </c>
      <c r="E168" s="11">
        <v>45976</v>
      </c>
      <c r="F168" s="17">
        <v>45892</v>
      </c>
      <c r="G168" s="14">
        <f t="shared" ca="1" si="45"/>
        <v>207</v>
      </c>
      <c r="H168" s="17">
        <v>199</v>
      </c>
      <c r="I168" s="17">
        <v>135</v>
      </c>
      <c r="J168" s="75">
        <f t="shared" si="46"/>
        <v>1308</v>
      </c>
      <c r="K168" s="17">
        <v>2000</v>
      </c>
      <c r="L168" s="85">
        <v>692</v>
      </c>
      <c r="M168" s="86">
        <f t="shared" ca="1" si="47"/>
        <v>3.3429951690821258</v>
      </c>
      <c r="N168" s="86">
        <f t="shared" si="48"/>
        <v>0.80451009251471861</v>
      </c>
      <c r="O168" s="86">
        <f t="shared" si="49"/>
        <v>2.1097560975609757</v>
      </c>
      <c r="P168" s="87">
        <f t="shared" si="50"/>
        <v>173</v>
      </c>
      <c r="Q168" s="104">
        <f t="shared" si="51"/>
        <v>7.5606936416184976</v>
      </c>
      <c r="R168" s="88">
        <f t="shared" si="52"/>
        <v>32.1608040201005</v>
      </c>
      <c r="S168" s="88">
        <f t="shared" si="53"/>
        <v>34.599999999999994</v>
      </c>
      <c r="T168" s="13">
        <f t="shared" si="54"/>
        <v>3</v>
      </c>
      <c r="U168" s="13">
        <f t="shared" si="55"/>
        <v>1</v>
      </c>
      <c r="V168" s="13">
        <f t="shared" si="56"/>
        <v>1</v>
      </c>
      <c r="W168" s="13">
        <f t="shared" ca="1" si="57"/>
        <v>3</v>
      </c>
      <c r="X168" s="13">
        <f t="shared" ca="1" si="58"/>
        <v>8</v>
      </c>
      <c r="Y168" s="81" t="str">
        <f t="shared" ca="1" si="59"/>
        <v>MONITOR</v>
      </c>
      <c r="Z168" s="13">
        <v>14</v>
      </c>
      <c r="AA168" s="75">
        <v>46059</v>
      </c>
      <c r="AB168" s="75">
        <f t="shared" si="60"/>
        <v>45920</v>
      </c>
      <c r="AC168" s="88">
        <f t="shared" si="61"/>
        <v>19.857142857142858</v>
      </c>
      <c r="AD168" s="89" t="str">
        <f t="shared" ca="1" si="62"/>
        <v>STABLE</v>
      </c>
      <c r="AE168" s="89" t="str">
        <f t="shared" si="66"/>
        <v>FAST SELLING</v>
      </c>
      <c r="AF168" s="89" t="str">
        <f t="shared" si="63"/>
        <v>AT RISK</v>
      </c>
      <c r="AG168" s="89" t="str">
        <f t="shared" si="64"/>
        <v>FEASIBLE</v>
      </c>
      <c r="AH168" s="81" t="str">
        <f t="shared" ca="1" si="65"/>
        <v>MONITOR</v>
      </c>
      <c r="AI168" s="75"/>
      <c r="AJ168" s="75"/>
      <c r="AK168" s="13"/>
      <c r="AL168" s="79"/>
      <c r="AM168" s="79"/>
      <c r="AN168" s="79"/>
      <c r="AO168" s="79"/>
      <c r="AP168" s="79"/>
      <c r="AQ168" s="75"/>
      <c r="AR168" s="75"/>
      <c r="AS168" s="75"/>
      <c r="AT168" s="75"/>
      <c r="AU168" s="75"/>
      <c r="AV168" s="13"/>
      <c r="AW168" s="13"/>
      <c r="AX168" s="13"/>
      <c r="AY168" s="13"/>
      <c r="AZ168" s="13"/>
      <c r="BA168" s="105"/>
      <c r="BB168" s="13"/>
      <c r="BC168" s="13"/>
      <c r="BD168" s="13"/>
      <c r="BE168" s="13"/>
      <c r="BF168" s="88"/>
      <c r="BG168" s="88"/>
      <c r="BH168" s="88"/>
      <c r="BI168" s="88"/>
      <c r="BJ168" s="88"/>
      <c r="BK168" s="105"/>
      <c r="BL168" s="105"/>
      <c r="BM168" s="105"/>
      <c r="BN168" s="105"/>
      <c r="BO168" s="105"/>
      <c r="BP168" s="105"/>
      <c r="BQ168" s="79"/>
      <c r="BR168" s="79"/>
      <c r="BS168" s="79"/>
      <c r="BT168" s="79"/>
      <c r="BU168" s="79"/>
      <c r="BV168" s="90"/>
      <c r="BW168" s="106"/>
      <c r="BX168" s="106"/>
      <c r="BY168" s="106"/>
      <c r="BZ168" s="106"/>
      <c r="CA168" s="106"/>
    </row>
    <row r="169" spans="1:79" x14ac:dyDescent="0.35">
      <c r="A169" s="25" t="s">
        <v>183</v>
      </c>
      <c r="B169" s="10" t="s">
        <v>331</v>
      </c>
      <c r="C169" s="10" t="s">
        <v>342</v>
      </c>
      <c r="D169" s="10" t="s">
        <v>346</v>
      </c>
      <c r="E169" s="11">
        <v>45976</v>
      </c>
      <c r="F169" s="17">
        <v>45892</v>
      </c>
      <c r="G169" s="14">
        <f t="shared" ca="1" si="45"/>
        <v>207</v>
      </c>
      <c r="H169" s="17">
        <v>199</v>
      </c>
      <c r="I169" s="17">
        <v>135</v>
      </c>
      <c r="J169" s="75">
        <f t="shared" si="46"/>
        <v>1042</v>
      </c>
      <c r="K169" s="17">
        <v>1800</v>
      </c>
      <c r="L169" s="85">
        <v>758</v>
      </c>
      <c r="M169" s="86">
        <f t="shared" ca="1" si="47"/>
        <v>3.6618357487922704</v>
      </c>
      <c r="N169" s="86">
        <f t="shared" si="48"/>
        <v>0.80451009251471861</v>
      </c>
      <c r="O169" s="86">
        <f t="shared" si="49"/>
        <v>2.3109756097560976</v>
      </c>
      <c r="P169" s="87">
        <f t="shared" si="50"/>
        <v>189.5</v>
      </c>
      <c r="Q169" s="104">
        <f t="shared" si="51"/>
        <v>5.4986807387862795</v>
      </c>
      <c r="R169" s="88">
        <f t="shared" si="52"/>
        <v>32.1608040201005</v>
      </c>
      <c r="S169" s="88">
        <f t="shared" si="53"/>
        <v>42.111111111111107</v>
      </c>
      <c r="T169" s="13">
        <f t="shared" si="54"/>
        <v>3</v>
      </c>
      <c r="U169" s="13">
        <f t="shared" si="55"/>
        <v>2</v>
      </c>
      <c r="V169" s="13">
        <f t="shared" si="56"/>
        <v>1</v>
      </c>
      <c r="W169" s="13">
        <f t="shared" ca="1" si="57"/>
        <v>3</v>
      </c>
      <c r="X169" s="13">
        <f t="shared" ca="1" si="58"/>
        <v>9</v>
      </c>
      <c r="Y169" s="81" t="str">
        <f t="shared" ca="1" si="59"/>
        <v>RE-BUY</v>
      </c>
      <c r="Z169" s="13">
        <v>14</v>
      </c>
      <c r="AA169" s="75">
        <v>46059</v>
      </c>
      <c r="AB169" s="75">
        <f t="shared" si="60"/>
        <v>45920</v>
      </c>
      <c r="AC169" s="88">
        <f t="shared" si="61"/>
        <v>19.857142857142858</v>
      </c>
      <c r="AD169" s="89" t="str">
        <f t="shared" ca="1" si="62"/>
        <v>STABLE</v>
      </c>
      <c r="AE169" s="89" t="str">
        <f t="shared" si="66"/>
        <v>FAST SELLING</v>
      </c>
      <c r="AF169" s="89" t="str">
        <f t="shared" si="63"/>
        <v>AT RISK</v>
      </c>
      <c r="AG169" s="89" t="str">
        <f t="shared" si="64"/>
        <v>FEASIBLE</v>
      </c>
      <c r="AH169" s="81" t="str">
        <f t="shared" ca="1" si="65"/>
        <v>IMMEDIATE REBUY</v>
      </c>
      <c r="AI169" s="75"/>
      <c r="AJ169" s="75"/>
      <c r="AK169" s="13"/>
      <c r="AL169" s="79"/>
      <c r="AM169" s="79"/>
      <c r="AN169" s="79"/>
      <c r="AO169" s="79"/>
      <c r="AP169" s="79"/>
      <c r="AQ169" s="75"/>
      <c r="AR169" s="75"/>
      <c r="AS169" s="75"/>
      <c r="AT169" s="75"/>
      <c r="AU169" s="75"/>
      <c r="AV169" s="13"/>
      <c r="AW169" s="13"/>
      <c r="AX169" s="13"/>
      <c r="AY169" s="13"/>
      <c r="AZ169" s="13"/>
      <c r="BA169" s="105"/>
      <c r="BB169" s="13"/>
      <c r="BC169" s="13"/>
      <c r="BD169" s="13"/>
      <c r="BE169" s="13"/>
      <c r="BF169" s="88"/>
      <c r="BG169" s="88"/>
      <c r="BH169" s="88"/>
      <c r="BI169" s="88"/>
      <c r="BJ169" s="88"/>
      <c r="BK169" s="105"/>
      <c r="BL169" s="105"/>
      <c r="BM169" s="105"/>
      <c r="BN169" s="105"/>
      <c r="BO169" s="105"/>
      <c r="BP169" s="105"/>
      <c r="BQ169" s="79"/>
      <c r="BR169" s="79"/>
      <c r="BS169" s="79"/>
      <c r="BT169" s="79"/>
      <c r="BU169" s="79"/>
      <c r="BV169" s="90"/>
      <c r="BW169" s="106"/>
      <c r="BX169" s="106"/>
      <c r="BY169" s="106"/>
      <c r="BZ169" s="106"/>
      <c r="CA169" s="106"/>
    </row>
    <row r="170" spans="1:79" x14ac:dyDescent="0.35">
      <c r="A170" s="25" t="s">
        <v>184</v>
      </c>
      <c r="B170" s="10" t="s">
        <v>330</v>
      </c>
      <c r="C170" s="10" t="s">
        <v>342</v>
      </c>
      <c r="D170" s="10" t="s">
        <v>346</v>
      </c>
      <c r="E170" s="11">
        <v>45906</v>
      </c>
      <c r="F170" s="17">
        <v>45892</v>
      </c>
      <c r="G170" s="14">
        <f t="shared" ca="1" si="45"/>
        <v>207</v>
      </c>
      <c r="H170" s="17">
        <v>199</v>
      </c>
      <c r="I170" s="17">
        <v>135</v>
      </c>
      <c r="J170" s="75">
        <f t="shared" si="46"/>
        <v>991</v>
      </c>
      <c r="K170" s="17">
        <v>1800</v>
      </c>
      <c r="L170" s="85">
        <v>809</v>
      </c>
      <c r="M170" s="86">
        <f t="shared" ca="1" si="47"/>
        <v>3.9082125603864735</v>
      </c>
      <c r="N170" s="86">
        <f t="shared" si="48"/>
        <v>0.80451009251471861</v>
      </c>
      <c r="O170" s="86">
        <f t="shared" si="49"/>
        <v>2.4664634146341462</v>
      </c>
      <c r="P170" s="87">
        <f t="shared" si="50"/>
        <v>202.25</v>
      </c>
      <c r="Q170" s="104">
        <f t="shared" si="51"/>
        <v>4.8998763906056864</v>
      </c>
      <c r="R170" s="88">
        <f t="shared" si="52"/>
        <v>32.1608040201005</v>
      </c>
      <c r="S170" s="88">
        <f t="shared" si="53"/>
        <v>44.944444444444443</v>
      </c>
      <c r="T170" s="13">
        <f t="shared" si="54"/>
        <v>3</v>
      </c>
      <c r="U170" s="13">
        <f t="shared" si="55"/>
        <v>2</v>
      </c>
      <c r="V170" s="13">
        <f t="shared" si="56"/>
        <v>1</v>
      </c>
      <c r="W170" s="13">
        <f t="shared" ca="1" si="57"/>
        <v>3</v>
      </c>
      <c r="X170" s="13">
        <f t="shared" ca="1" si="58"/>
        <v>9</v>
      </c>
      <c r="Y170" s="81" t="str">
        <f t="shared" ca="1" si="59"/>
        <v>RE-BUY</v>
      </c>
      <c r="Z170" s="13">
        <v>14</v>
      </c>
      <c r="AA170" s="75">
        <v>46059</v>
      </c>
      <c r="AB170" s="75">
        <f t="shared" si="60"/>
        <v>45920</v>
      </c>
      <c r="AC170" s="88">
        <f t="shared" si="61"/>
        <v>19.857142857142858</v>
      </c>
      <c r="AD170" s="89" t="str">
        <f t="shared" ca="1" si="62"/>
        <v>STABLE</v>
      </c>
      <c r="AE170" s="89" t="str">
        <f t="shared" si="66"/>
        <v>FAST SELLING</v>
      </c>
      <c r="AF170" s="89" t="str">
        <f t="shared" si="63"/>
        <v>AT RISK</v>
      </c>
      <c r="AG170" s="89" t="str">
        <f t="shared" si="64"/>
        <v>FEASIBLE</v>
      </c>
      <c r="AH170" s="81" t="str">
        <f t="shared" ca="1" si="65"/>
        <v>IMMEDIATE REBUY</v>
      </c>
      <c r="AI170" s="75"/>
      <c r="AJ170" s="75"/>
      <c r="AK170" s="13"/>
      <c r="AL170" s="79"/>
      <c r="AM170" s="79"/>
      <c r="AN170" s="79"/>
      <c r="AO170" s="79"/>
      <c r="AP170" s="79"/>
      <c r="AQ170" s="75"/>
      <c r="AR170" s="75"/>
      <c r="AS170" s="75"/>
      <c r="AT170" s="75"/>
      <c r="AU170" s="75"/>
      <c r="AV170" s="13"/>
      <c r="AW170" s="13"/>
      <c r="AX170" s="13"/>
      <c r="AY170" s="13"/>
      <c r="AZ170" s="13"/>
      <c r="BA170" s="105"/>
      <c r="BB170" s="13"/>
      <c r="BC170" s="13"/>
      <c r="BD170" s="13"/>
      <c r="BE170" s="13"/>
      <c r="BF170" s="88"/>
      <c r="BG170" s="88"/>
      <c r="BH170" s="88"/>
      <c r="BI170" s="88"/>
      <c r="BJ170" s="88"/>
      <c r="BK170" s="105"/>
      <c r="BL170" s="105"/>
      <c r="BM170" s="105"/>
      <c r="BN170" s="105"/>
      <c r="BO170" s="105"/>
      <c r="BP170" s="105"/>
      <c r="BQ170" s="79"/>
      <c r="BR170" s="79"/>
      <c r="BS170" s="79"/>
      <c r="BT170" s="79"/>
      <c r="BU170" s="79"/>
      <c r="BV170" s="90"/>
      <c r="BW170" s="106"/>
      <c r="BX170" s="106"/>
      <c r="BY170" s="106"/>
      <c r="BZ170" s="106"/>
      <c r="CA170" s="106"/>
    </row>
    <row r="171" spans="1:79" x14ac:dyDescent="0.35">
      <c r="A171" s="25" t="s">
        <v>185</v>
      </c>
      <c r="B171" s="10" t="s">
        <v>330</v>
      </c>
      <c r="C171" s="10" t="s">
        <v>342</v>
      </c>
      <c r="D171" s="10" t="s">
        <v>346</v>
      </c>
      <c r="E171" s="11">
        <v>45906</v>
      </c>
      <c r="F171" s="17">
        <v>45892</v>
      </c>
      <c r="G171" s="14">
        <f t="shared" ca="1" si="45"/>
        <v>207</v>
      </c>
      <c r="H171" s="17">
        <v>199</v>
      </c>
      <c r="I171" s="17">
        <v>135</v>
      </c>
      <c r="J171" s="75">
        <f t="shared" si="46"/>
        <v>1310</v>
      </c>
      <c r="K171" s="17">
        <v>1800</v>
      </c>
      <c r="L171" s="85">
        <v>490</v>
      </c>
      <c r="M171" s="86">
        <f t="shared" ca="1" si="47"/>
        <v>2.3671497584541061</v>
      </c>
      <c r="N171" s="86">
        <f t="shared" si="48"/>
        <v>0.80451009251471861</v>
      </c>
      <c r="O171" s="86">
        <f t="shared" si="49"/>
        <v>1.4939024390243902</v>
      </c>
      <c r="P171" s="87">
        <f t="shared" si="50"/>
        <v>122.5</v>
      </c>
      <c r="Q171" s="104">
        <f t="shared" si="51"/>
        <v>10.693877551020408</v>
      </c>
      <c r="R171" s="88">
        <f t="shared" si="52"/>
        <v>32.1608040201005</v>
      </c>
      <c r="S171" s="88">
        <f t="shared" si="53"/>
        <v>27.222222222222221</v>
      </c>
      <c r="T171" s="13">
        <f t="shared" si="54"/>
        <v>3</v>
      </c>
      <c r="U171" s="13">
        <f t="shared" si="55"/>
        <v>1</v>
      </c>
      <c r="V171" s="13">
        <f t="shared" si="56"/>
        <v>1</v>
      </c>
      <c r="W171" s="13">
        <f t="shared" ca="1" si="57"/>
        <v>3</v>
      </c>
      <c r="X171" s="13">
        <f t="shared" ca="1" si="58"/>
        <v>8</v>
      </c>
      <c r="Y171" s="81" t="str">
        <f t="shared" ca="1" si="59"/>
        <v>MONITOR</v>
      </c>
      <c r="Z171" s="13">
        <v>14</v>
      </c>
      <c r="AA171" s="75">
        <v>46059</v>
      </c>
      <c r="AB171" s="75">
        <f t="shared" si="60"/>
        <v>45920</v>
      </c>
      <c r="AC171" s="88">
        <f t="shared" si="61"/>
        <v>19.857142857142858</v>
      </c>
      <c r="AD171" s="89" t="str">
        <f t="shared" ca="1" si="62"/>
        <v>STABLE</v>
      </c>
      <c r="AE171" s="89" t="str">
        <f t="shared" si="66"/>
        <v>FAST SELLING</v>
      </c>
      <c r="AF171" s="89" t="str">
        <f t="shared" si="63"/>
        <v>AT RISK</v>
      </c>
      <c r="AG171" s="89" t="str">
        <f t="shared" si="64"/>
        <v>FEASIBLE</v>
      </c>
      <c r="AH171" s="81" t="str">
        <f t="shared" ca="1" si="65"/>
        <v>MONITOR</v>
      </c>
      <c r="AI171" s="75"/>
      <c r="AJ171" s="75"/>
      <c r="AK171" s="13"/>
      <c r="AL171" s="79"/>
      <c r="AM171" s="79"/>
      <c r="AN171" s="79"/>
      <c r="AO171" s="79"/>
      <c r="AP171" s="79"/>
      <c r="AQ171" s="75"/>
      <c r="AR171" s="75"/>
      <c r="AS171" s="75"/>
      <c r="AT171" s="75"/>
      <c r="AU171" s="75"/>
      <c r="AV171" s="13"/>
      <c r="AW171" s="13"/>
      <c r="AX171" s="13"/>
      <c r="AY171" s="13"/>
      <c r="AZ171" s="13"/>
      <c r="BA171" s="105"/>
      <c r="BB171" s="13"/>
      <c r="BC171" s="13"/>
      <c r="BD171" s="13"/>
      <c r="BE171" s="13"/>
      <c r="BF171" s="88"/>
      <c r="BG171" s="88"/>
      <c r="BH171" s="88"/>
      <c r="BI171" s="88"/>
      <c r="BJ171" s="88"/>
      <c r="BK171" s="105"/>
      <c r="BL171" s="105"/>
      <c r="BM171" s="105"/>
      <c r="BN171" s="105"/>
      <c r="BO171" s="105"/>
      <c r="BP171" s="105"/>
      <c r="BQ171" s="79"/>
      <c r="BR171" s="79"/>
      <c r="BS171" s="79"/>
      <c r="BT171" s="79"/>
      <c r="BU171" s="79"/>
      <c r="BV171" s="90"/>
      <c r="BW171" s="106"/>
      <c r="BX171" s="106"/>
      <c r="BY171" s="106"/>
      <c r="BZ171" s="106"/>
      <c r="CA171" s="106"/>
    </row>
    <row r="172" spans="1:79" x14ac:dyDescent="0.35">
      <c r="A172" s="25" t="s">
        <v>186</v>
      </c>
      <c r="B172" s="10" t="s">
        <v>330</v>
      </c>
      <c r="C172" s="10" t="s">
        <v>342</v>
      </c>
      <c r="D172" s="10" t="s">
        <v>346</v>
      </c>
      <c r="E172" s="11">
        <v>45906</v>
      </c>
      <c r="F172" s="17">
        <v>45892</v>
      </c>
      <c r="G172" s="14">
        <f t="shared" ca="1" si="45"/>
        <v>207</v>
      </c>
      <c r="H172" s="17">
        <v>199</v>
      </c>
      <c r="I172" s="17">
        <v>135</v>
      </c>
      <c r="J172" s="75">
        <f t="shared" si="46"/>
        <v>1098</v>
      </c>
      <c r="K172" s="17">
        <v>1600</v>
      </c>
      <c r="L172" s="85">
        <v>502</v>
      </c>
      <c r="M172" s="86">
        <f t="shared" ca="1" si="47"/>
        <v>2.42512077294686</v>
      </c>
      <c r="N172" s="86">
        <f t="shared" si="48"/>
        <v>0.80451009251471861</v>
      </c>
      <c r="O172" s="86">
        <f t="shared" si="49"/>
        <v>1.5304878048780488</v>
      </c>
      <c r="P172" s="87">
        <f t="shared" si="50"/>
        <v>125.5</v>
      </c>
      <c r="Q172" s="104">
        <f t="shared" si="51"/>
        <v>8.7490039840637444</v>
      </c>
      <c r="R172" s="88">
        <f t="shared" si="52"/>
        <v>32.1608040201005</v>
      </c>
      <c r="S172" s="88">
        <f t="shared" si="53"/>
        <v>31.374999999999996</v>
      </c>
      <c r="T172" s="13">
        <f t="shared" si="54"/>
        <v>3</v>
      </c>
      <c r="U172" s="13">
        <f t="shared" si="55"/>
        <v>1</v>
      </c>
      <c r="V172" s="13">
        <f t="shared" si="56"/>
        <v>1</v>
      </c>
      <c r="W172" s="13">
        <f t="shared" ca="1" si="57"/>
        <v>3</v>
      </c>
      <c r="X172" s="13">
        <f t="shared" ca="1" si="58"/>
        <v>8</v>
      </c>
      <c r="Y172" s="81" t="str">
        <f t="shared" ca="1" si="59"/>
        <v>MONITOR</v>
      </c>
      <c r="Z172" s="13">
        <v>14</v>
      </c>
      <c r="AA172" s="75">
        <v>46059</v>
      </c>
      <c r="AB172" s="75">
        <f t="shared" si="60"/>
        <v>45920</v>
      </c>
      <c r="AC172" s="88">
        <f t="shared" si="61"/>
        <v>19.857142857142858</v>
      </c>
      <c r="AD172" s="89" t="str">
        <f t="shared" ca="1" si="62"/>
        <v>STABLE</v>
      </c>
      <c r="AE172" s="89" t="str">
        <f t="shared" si="66"/>
        <v>FAST SELLING</v>
      </c>
      <c r="AF172" s="89" t="str">
        <f t="shared" si="63"/>
        <v>AT RISK</v>
      </c>
      <c r="AG172" s="89" t="str">
        <f t="shared" si="64"/>
        <v>FEASIBLE</v>
      </c>
      <c r="AH172" s="81" t="str">
        <f t="shared" ca="1" si="65"/>
        <v>MONITOR</v>
      </c>
      <c r="AI172" s="75"/>
      <c r="AJ172" s="75"/>
      <c r="AK172" s="13"/>
      <c r="AL172" s="79"/>
      <c r="AM172" s="79"/>
      <c r="AN172" s="79"/>
      <c r="AO172" s="79"/>
      <c r="AP172" s="79"/>
      <c r="AQ172" s="75"/>
      <c r="AR172" s="75"/>
      <c r="AS172" s="75"/>
      <c r="AT172" s="75"/>
      <c r="AU172" s="75"/>
      <c r="AV172" s="13"/>
      <c r="AW172" s="13"/>
      <c r="AX172" s="13"/>
      <c r="AY172" s="13"/>
      <c r="AZ172" s="13"/>
      <c r="BA172" s="105"/>
      <c r="BB172" s="13"/>
      <c r="BC172" s="13"/>
      <c r="BD172" s="13"/>
      <c r="BE172" s="13"/>
      <c r="BF172" s="88"/>
      <c r="BG172" s="88"/>
      <c r="BH172" s="88"/>
      <c r="BI172" s="88"/>
      <c r="BJ172" s="88"/>
      <c r="BK172" s="105"/>
      <c r="BL172" s="105"/>
      <c r="BM172" s="105"/>
      <c r="BN172" s="105"/>
      <c r="BO172" s="105"/>
      <c r="BP172" s="105"/>
      <c r="BQ172" s="79"/>
      <c r="BR172" s="79"/>
      <c r="BS172" s="79"/>
      <c r="BT172" s="79"/>
      <c r="BU172" s="79"/>
      <c r="BV172" s="90"/>
      <c r="BW172" s="106"/>
      <c r="BX172" s="106"/>
      <c r="BY172" s="106"/>
      <c r="BZ172" s="106"/>
      <c r="CA172" s="106"/>
    </row>
    <row r="173" spans="1:79" x14ac:dyDescent="0.35">
      <c r="A173" s="25" t="s">
        <v>187</v>
      </c>
      <c r="B173" s="10" t="s">
        <v>330</v>
      </c>
      <c r="C173" s="10" t="s">
        <v>342</v>
      </c>
      <c r="D173" s="10" t="s">
        <v>346</v>
      </c>
      <c r="E173" s="11">
        <v>45906</v>
      </c>
      <c r="F173" s="17">
        <v>45892</v>
      </c>
      <c r="G173" s="14">
        <f t="shared" ca="1" si="45"/>
        <v>207</v>
      </c>
      <c r="H173" s="17">
        <v>199</v>
      </c>
      <c r="I173" s="17">
        <v>135</v>
      </c>
      <c r="J173" s="75">
        <f t="shared" si="46"/>
        <v>1321</v>
      </c>
      <c r="K173" s="17">
        <v>2000</v>
      </c>
      <c r="L173" s="85">
        <v>679</v>
      </c>
      <c r="M173" s="86">
        <f t="shared" ca="1" si="47"/>
        <v>3.2801932367149758</v>
      </c>
      <c r="N173" s="86">
        <f t="shared" si="48"/>
        <v>0.80451009251471861</v>
      </c>
      <c r="O173" s="86">
        <f t="shared" si="49"/>
        <v>2.0701219512195124</v>
      </c>
      <c r="P173" s="87">
        <f t="shared" si="50"/>
        <v>169.75</v>
      </c>
      <c r="Q173" s="104">
        <f t="shared" si="51"/>
        <v>7.7820324005891015</v>
      </c>
      <c r="R173" s="88">
        <f t="shared" si="52"/>
        <v>32.1608040201005</v>
      </c>
      <c r="S173" s="88">
        <f t="shared" si="53"/>
        <v>33.950000000000003</v>
      </c>
      <c r="T173" s="13">
        <f t="shared" si="54"/>
        <v>3</v>
      </c>
      <c r="U173" s="13">
        <f t="shared" si="55"/>
        <v>1</v>
      </c>
      <c r="V173" s="13">
        <f t="shared" si="56"/>
        <v>1</v>
      </c>
      <c r="W173" s="13">
        <f t="shared" ca="1" si="57"/>
        <v>3</v>
      </c>
      <c r="X173" s="13">
        <f t="shared" ca="1" si="58"/>
        <v>8</v>
      </c>
      <c r="Y173" s="81" t="str">
        <f t="shared" ca="1" si="59"/>
        <v>MONITOR</v>
      </c>
      <c r="Z173" s="13">
        <v>14</v>
      </c>
      <c r="AA173" s="75">
        <v>46059</v>
      </c>
      <c r="AB173" s="75">
        <f t="shared" si="60"/>
        <v>45920</v>
      </c>
      <c r="AC173" s="88">
        <f t="shared" si="61"/>
        <v>19.857142857142858</v>
      </c>
      <c r="AD173" s="89" t="str">
        <f t="shared" ca="1" si="62"/>
        <v>STABLE</v>
      </c>
      <c r="AE173" s="89" t="str">
        <f t="shared" si="66"/>
        <v>FAST SELLING</v>
      </c>
      <c r="AF173" s="89" t="str">
        <f t="shared" si="63"/>
        <v>AT RISK</v>
      </c>
      <c r="AG173" s="89" t="str">
        <f t="shared" si="64"/>
        <v>FEASIBLE</v>
      </c>
      <c r="AH173" s="81" t="str">
        <f t="shared" ca="1" si="65"/>
        <v>MONITOR</v>
      </c>
      <c r="AI173" s="75"/>
      <c r="AJ173" s="75"/>
      <c r="AK173" s="13"/>
      <c r="AL173" s="79"/>
      <c r="AM173" s="79"/>
      <c r="AN173" s="79"/>
      <c r="AO173" s="79"/>
      <c r="AP173" s="79"/>
      <c r="AQ173" s="75"/>
      <c r="AR173" s="75"/>
      <c r="AS173" s="75"/>
      <c r="AT173" s="75"/>
      <c r="AU173" s="75"/>
      <c r="AV173" s="13"/>
      <c r="AW173" s="13"/>
      <c r="AX173" s="13"/>
      <c r="AY173" s="13"/>
      <c r="AZ173" s="13"/>
      <c r="BA173" s="105"/>
      <c r="BB173" s="13"/>
      <c r="BC173" s="13"/>
      <c r="BD173" s="13"/>
      <c r="BE173" s="13"/>
      <c r="BF173" s="88"/>
      <c r="BG173" s="88"/>
      <c r="BH173" s="88"/>
      <c r="BI173" s="88"/>
      <c r="BJ173" s="88"/>
      <c r="BK173" s="105"/>
      <c r="BL173" s="105"/>
      <c r="BM173" s="105"/>
      <c r="BN173" s="105"/>
      <c r="BO173" s="105"/>
      <c r="BP173" s="105"/>
      <c r="BQ173" s="79"/>
      <c r="BR173" s="79"/>
      <c r="BS173" s="79"/>
      <c r="BT173" s="79"/>
      <c r="BU173" s="79"/>
      <c r="BV173" s="90"/>
      <c r="BW173" s="106"/>
      <c r="BX173" s="106"/>
      <c r="BY173" s="106"/>
      <c r="BZ173" s="106"/>
      <c r="CA173" s="106"/>
    </row>
    <row r="174" spans="1:79" x14ac:dyDescent="0.35">
      <c r="A174" s="25" t="s">
        <v>188</v>
      </c>
      <c r="B174" s="10" t="s">
        <v>330</v>
      </c>
      <c r="C174" s="10" t="s">
        <v>342</v>
      </c>
      <c r="D174" s="10" t="s">
        <v>346</v>
      </c>
      <c r="E174" s="11">
        <v>45906</v>
      </c>
      <c r="F174" s="17">
        <v>45892</v>
      </c>
      <c r="G174" s="14">
        <f t="shared" ca="1" si="45"/>
        <v>207</v>
      </c>
      <c r="H174" s="17">
        <v>199</v>
      </c>
      <c r="I174" s="17">
        <v>135</v>
      </c>
      <c r="J174" s="75">
        <f t="shared" si="46"/>
        <v>1970</v>
      </c>
      <c r="K174" s="17">
        <v>2000</v>
      </c>
      <c r="L174" s="85">
        <v>30</v>
      </c>
      <c r="M174" s="86">
        <f t="shared" ca="1" si="47"/>
        <v>0.14492753623188406</v>
      </c>
      <c r="N174" s="86">
        <f t="shared" si="48"/>
        <v>0.80451009251471861</v>
      </c>
      <c r="O174" s="86">
        <f t="shared" si="49"/>
        <v>9.1463414634146339E-2</v>
      </c>
      <c r="P174" s="87">
        <f t="shared" si="50"/>
        <v>7.5</v>
      </c>
      <c r="Q174" s="104">
        <f t="shared" si="51"/>
        <v>262.66666666666669</v>
      </c>
      <c r="R174" s="88">
        <f t="shared" si="52"/>
        <v>32.1608040201005</v>
      </c>
      <c r="S174" s="88">
        <f t="shared" si="53"/>
        <v>1.5</v>
      </c>
      <c r="T174" s="13">
        <f t="shared" si="54"/>
        <v>1</v>
      </c>
      <c r="U174" s="13">
        <f t="shared" si="55"/>
        <v>1</v>
      </c>
      <c r="V174" s="13">
        <f t="shared" si="56"/>
        <v>1</v>
      </c>
      <c r="W174" s="13">
        <f t="shared" ca="1" si="57"/>
        <v>3</v>
      </c>
      <c r="X174" s="13">
        <f t="shared" ca="1" si="58"/>
        <v>6</v>
      </c>
      <c r="Y174" s="81" t="str">
        <f t="shared" ca="1" si="59"/>
        <v>MONITOR</v>
      </c>
      <c r="Z174" s="13">
        <v>14</v>
      </c>
      <c r="AA174" s="75">
        <v>46059</v>
      </c>
      <c r="AB174" s="75">
        <f t="shared" si="60"/>
        <v>45920</v>
      </c>
      <c r="AC174" s="88">
        <f t="shared" si="61"/>
        <v>19.857142857142858</v>
      </c>
      <c r="AD174" s="89" t="str">
        <f t="shared" ca="1" si="62"/>
        <v>STABLE</v>
      </c>
      <c r="AE174" s="89" t="str">
        <f t="shared" si="66"/>
        <v>SLOW SELLING</v>
      </c>
      <c r="AF174" s="89" t="str">
        <f t="shared" si="63"/>
        <v>AT RISK</v>
      </c>
      <c r="AG174" s="89" t="str">
        <f t="shared" si="64"/>
        <v>FEASIBLE</v>
      </c>
      <c r="AH174" s="81" t="str">
        <f t="shared" ca="1" si="65"/>
        <v>MONITOR</v>
      </c>
      <c r="AI174" s="75"/>
      <c r="AJ174" s="75"/>
      <c r="AK174" s="13"/>
      <c r="AL174" s="79"/>
      <c r="AM174" s="79"/>
      <c r="AN174" s="79"/>
      <c r="AO174" s="79"/>
      <c r="AP174" s="79"/>
      <c r="AQ174" s="75"/>
      <c r="AR174" s="75"/>
      <c r="AS174" s="75"/>
      <c r="AT174" s="75"/>
      <c r="AU174" s="75"/>
      <c r="AV174" s="13"/>
      <c r="AW174" s="13"/>
      <c r="AX174" s="13"/>
      <c r="AY174" s="13"/>
      <c r="AZ174" s="13"/>
      <c r="BA174" s="105"/>
      <c r="BB174" s="13"/>
      <c r="BC174" s="13"/>
      <c r="BD174" s="13"/>
      <c r="BE174" s="13"/>
      <c r="BF174" s="88"/>
      <c r="BG174" s="88"/>
      <c r="BH174" s="88"/>
      <c r="BI174" s="88"/>
      <c r="BJ174" s="88"/>
      <c r="BK174" s="105"/>
      <c r="BL174" s="105"/>
      <c r="BM174" s="105"/>
      <c r="BN174" s="105"/>
      <c r="BO174" s="105"/>
      <c r="BP174" s="105"/>
      <c r="BQ174" s="79"/>
      <c r="BR174" s="79"/>
      <c r="BS174" s="79"/>
      <c r="BT174" s="79"/>
      <c r="BU174" s="79"/>
      <c r="BV174" s="90"/>
      <c r="BW174" s="106"/>
      <c r="BX174" s="106"/>
      <c r="BY174" s="106"/>
      <c r="BZ174" s="106"/>
      <c r="CA174" s="106"/>
    </row>
    <row r="175" spans="1:79" x14ac:dyDescent="0.35">
      <c r="A175" s="25" t="s">
        <v>189</v>
      </c>
      <c r="B175" s="10" t="s">
        <v>330</v>
      </c>
      <c r="C175" s="10" t="s">
        <v>342</v>
      </c>
      <c r="D175" s="10" t="s">
        <v>346</v>
      </c>
      <c r="E175" s="11">
        <v>45906</v>
      </c>
      <c r="F175" s="17">
        <v>45892</v>
      </c>
      <c r="G175" s="14">
        <f t="shared" ca="1" si="45"/>
        <v>207</v>
      </c>
      <c r="H175" s="17">
        <v>199</v>
      </c>
      <c r="I175" s="17">
        <v>135</v>
      </c>
      <c r="J175" s="75">
        <f t="shared" si="46"/>
        <v>881</v>
      </c>
      <c r="K175" s="17">
        <v>1600</v>
      </c>
      <c r="L175" s="85">
        <v>719</v>
      </c>
      <c r="M175" s="86">
        <f t="shared" ca="1" si="47"/>
        <v>3.4734299516908211</v>
      </c>
      <c r="N175" s="86">
        <f t="shared" si="48"/>
        <v>0.80451009251471861</v>
      </c>
      <c r="O175" s="86">
        <f t="shared" si="49"/>
        <v>2.1920731707317072</v>
      </c>
      <c r="P175" s="87">
        <f t="shared" si="50"/>
        <v>179.75</v>
      </c>
      <c r="Q175" s="104">
        <f t="shared" si="51"/>
        <v>4.9012517385257306</v>
      </c>
      <c r="R175" s="88">
        <f t="shared" si="52"/>
        <v>32.1608040201005</v>
      </c>
      <c r="S175" s="88">
        <f t="shared" si="53"/>
        <v>44.9375</v>
      </c>
      <c r="T175" s="13">
        <f t="shared" si="54"/>
        <v>3</v>
      </c>
      <c r="U175" s="13">
        <f t="shared" si="55"/>
        <v>2</v>
      </c>
      <c r="V175" s="13">
        <f t="shared" si="56"/>
        <v>1</v>
      </c>
      <c r="W175" s="13">
        <f t="shared" ca="1" si="57"/>
        <v>3</v>
      </c>
      <c r="X175" s="13">
        <f t="shared" ca="1" si="58"/>
        <v>9</v>
      </c>
      <c r="Y175" s="81" t="str">
        <f t="shared" ca="1" si="59"/>
        <v>RE-BUY</v>
      </c>
      <c r="Z175" s="13">
        <v>14</v>
      </c>
      <c r="AA175" s="75">
        <v>46059</v>
      </c>
      <c r="AB175" s="75">
        <f t="shared" si="60"/>
        <v>45920</v>
      </c>
      <c r="AC175" s="88">
        <f t="shared" si="61"/>
        <v>19.857142857142858</v>
      </c>
      <c r="AD175" s="89" t="str">
        <f t="shared" ca="1" si="62"/>
        <v>STABLE</v>
      </c>
      <c r="AE175" s="89" t="str">
        <f t="shared" si="66"/>
        <v>FAST SELLING</v>
      </c>
      <c r="AF175" s="89" t="str">
        <f t="shared" si="63"/>
        <v>AT RISK</v>
      </c>
      <c r="AG175" s="89" t="str">
        <f t="shared" si="64"/>
        <v>FEASIBLE</v>
      </c>
      <c r="AH175" s="81" t="str">
        <f t="shared" ca="1" si="65"/>
        <v>IMMEDIATE REBUY</v>
      </c>
      <c r="AI175" s="75"/>
      <c r="AJ175" s="75"/>
      <c r="AK175" s="13"/>
      <c r="AL175" s="79"/>
      <c r="AM175" s="79"/>
      <c r="AN175" s="79"/>
      <c r="AO175" s="79"/>
      <c r="AP175" s="79"/>
      <c r="AQ175" s="75"/>
      <c r="AR175" s="75"/>
      <c r="AS175" s="75"/>
      <c r="AT175" s="75"/>
      <c r="AU175" s="75"/>
      <c r="AV175" s="13"/>
      <c r="AW175" s="13"/>
      <c r="AX175" s="13"/>
      <c r="AY175" s="13"/>
      <c r="AZ175" s="13"/>
      <c r="BA175" s="105"/>
      <c r="BB175" s="13"/>
      <c r="BC175" s="13"/>
      <c r="BD175" s="13"/>
      <c r="BE175" s="13"/>
      <c r="BF175" s="88"/>
      <c r="BG175" s="88"/>
      <c r="BH175" s="88"/>
      <c r="BI175" s="88"/>
      <c r="BJ175" s="88"/>
      <c r="BK175" s="105"/>
      <c r="BL175" s="105"/>
      <c r="BM175" s="105"/>
      <c r="BN175" s="105"/>
      <c r="BO175" s="105"/>
      <c r="BP175" s="105"/>
      <c r="BQ175" s="79"/>
      <c r="BR175" s="79"/>
      <c r="BS175" s="79"/>
      <c r="BT175" s="79"/>
      <c r="BU175" s="79"/>
      <c r="BV175" s="90"/>
      <c r="BW175" s="106"/>
      <c r="BX175" s="106"/>
      <c r="BY175" s="106"/>
      <c r="BZ175" s="106"/>
      <c r="CA175" s="106"/>
    </row>
    <row r="176" spans="1:79" x14ac:dyDescent="0.35">
      <c r="A176" s="25" t="s">
        <v>190</v>
      </c>
      <c r="B176" s="10" t="s">
        <v>330</v>
      </c>
      <c r="C176" s="10" t="s">
        <v>342</v>
      </c>
      <c r="D176" s="10" t="s">
        <v>346</v>
      </c>
      <c r="E176" s="11">
        <v>45906</v>
      </c>
      <c r="F176" s="17">
        <v>45892</v>
      </c>
      <c r="G176" s="14">
        <f t="shared" ca="1" si="45"/>
        <v>207</v>
      </c>
      <c r="H176" s="17">
        <v>199</v>
      </c>
      <c r="I176" s="17">
        <v>135</v>
      </c>
      <c r="J176" s="75">
        <f t="shared" si="46"/>
        <v>1371</v>
      </c>
      <c r="K176" s="17">
        <v>2000</v>
      </c>
      <c r="L176" s="85">
        <v>629</v>
      </c>
      <c r="M176" s="86">
        <f t="shared" ca="1" si="47"/>
        <v>3.0386473429951693</v>
      </c>
      <c r="N176" s="86">
        <f t="shared" si="48"/>
        <v>0.80451009251471861</v>
      </c>
      <c r="O176" s="86">
        <f t="shared" si="49"/>
        <v>1.9176829268292683</v>
      </c>
      <c r="P176" s="87">
        <f t="shared" si="50"/>
        <v>157.25</v>
      </c>
      <c r="Q176" s="104">
        <f t="shared" si="51"/>
        <v>8.7186009538950717</v>
      </c>
      <c r="R176" s="88">
        <f t="shared" si="52"/>
        <v>32.1608040201005</v>
      </c>
      <c r="S176" s="88">
        <f t="shared" si="53"/>
        <v>31.45</v>
      </c>
      <c r="T176" s="13">
        <f t="shared" si="54"/>
        <v>3</v>
      </c>
      <c r="U176" s="13">
        <f t="shared" si="55"/>
        <v>1</v>
      </c>
      <c r="V176" s="13">
        <f t="shared" si="56"/>
        <v>1</v>
      </c>
      <c r="W176" s="13">
        <f t="shared" ca="1" si="57"/>
        <v>3</v>
      </c>
      <c r="X176" s="13">
        <f t="shared" ca="1" si="58"/>
        <v>8</v>
      </c>
      <c r="Y176" s="81" t="str">
        <f t="shared" ca="1" si="59"/>
        <v>MONITOR</v>
      </c>
      <c r="Z176" s="13">
        <v>14</v>
      </c>
      <c r="AA176" s="75">
        <v>46059</v>
      </c>
      <c r="AB176" s="75">
        <f t="shared" si="60"/>
        <v>45920</v>
      </c>
      <c r="AC176" s="88">
        <f t="shared" si="61"/>
        <v>19.857142857142858</v>
      </c>
      <c r="AD176" s="89" t="str">
        <f t="shared" ca="1" si="62"/>
        <v>STABLE</v>
      </c>
      <c r="AE176" s="89" t="str">
        <f t="shared" si="66"/>
        <v>FAST SELLING</v>
      </c>
      <c r="AF176" s="89" t="str">
        <f t="shared" si="63"/>
        <v>AT RISK</v>
      </c>
      <c r="AG176" s="89" t="str">
        <f t="shared" si="64"/>
        <v>FEASIBLE</v>
      </c>
      <c r="AH176" s="81" t="str">
        <f t="shared" ca="1" si="65"/>
        <v>MONITOR</v>
      </c>
      <c r="AI176" s="75"/>
      <c r="AJ176" s="75"/>
      <c r="AK176" s="13"/>
      <c r="AL176" s="79"/>
      <c r="AM176" s="79"/>
      <c r="AN176" s="79"/>
      <c r="AO176" s="79"/>
      <c r="AP176" s="79"/>
      <c r="AQ176" s="75"/>
      <c r="AR176" s="75"/>
      <c r="AS176" s="75"/>
      <c r="AT176" s="75"/>
      <c r="AU176" s="75"/>
      <c r="AV176" s="13"/>
      <c r="AW176" s="13"/>
      <c r="AX176" s="13"/>
      <c r="AY176" s="13"/>
      <c r="AZ176" s="13"/>
      <c r="BA176" s="105"/>
      <c r="BB176" s="13"/>
      <c r="BC176" s="13"/>
      <c r="BD176" s="13"/>
      <c r="BE176" s="13"/>
      <c r="BF176" s="88"/>
      <c r="BG176" s="88"/>
      <c r="BH176" s="88"/>
      <c r="BI176" s="88"/>
      <c r="BJ176" s="88"/>
      <c r="BK176" s="105"/>
      <c r="BL176" s="105"/>
      <c r="BM176" s="105"/>
      <c r="BN176" s="105"/>
      <c r="BO176" s="105"/>
      <c r="BP176" s="105"/>
      <c r="BQ176" s="79"/>
      <c r="BR176" s="79"/>
      <c r="BS176" s="79"/>
      <c r="BT176" s="79"/>
      <c r="BU176" s="79"/>
      <c r="BV176" s="90"/>
      <c r="BW176" s="106"/>
      <c r="BX176" s="106"/>
      <c r="BY176" s="106"/>
      <c r="BZ176" s="106"/>
      <c r="CA176" s="106"/>
    </row>
    <row r="177" spans="1:79" x14ac:dyDescent="0.35">
      <c r="A177" s="25" t="s">
        <v>191</v>
      </c>
      <c r="B177" s="10" t="s">
        <v>330</v>
      </c>
      <c r="C177" s="10" t="s">
        <v>342</v>
      </c>
      <c r="D177" s="10" t="s">
        <v>346</v>
      </c>
      <c r="E177" s="11">
        <v>45927</v>
      </c>
      <c r="F177" s="17">
        <v>45892</v>
      </c>
      <c r="G177" s="14">
        <f t="shared" ca="1" si="45"/>
        <v>207</v>
      </c>
      <c r="H177" s="17">
        <v>199</v>
      </c>
      <c r="I177" s="17">
        <v>135</v>
      </c>
      <c r="J177" s="75">
        <f t="shared" si="46"/>
        <v>1029</v>
      </c>
      <c r="K177" s="17">
        <v>1800</v>
      </c>
      <c r="L177" s="85">
        <v>771</v>
      </c>
      <c r="M177" s="86">
        <f t="shared" ca="1" si="47"/>
        <v>3.7246376811594204</v>
      </c>
      <c r="N177" s="86">
        <f t="shared" si="48"/>
        <v>0.80451009251471861</v>
      </c>
      <c r="O177" s="86">
        <f t="shared" si="49"/>
        <v>2.350609756097561</v>
      </c>
      <c r="P177" s="87">
        <f t="shared" si="50"/>
        <v>192.75</v>
      </c>
      <c r="Q177" s="104">
        <f t="shared" si="51"/>
        <v>5.3385214007782098</v>
      </c>
      <c r="R177" s="88">
        <f t="shared" si="52"/>
        <v>32.1608040201005</v>
      </c>
      <c r="S177" s="88">
        <f t="shared" si="53"/>
        <v>42.833333333333336</v>
      </c>
      <c r="T177" s="13">
        <f t="shared" si="54"/>
        <v>3</v>
      </c>
      <c r="U177" s="13">
        <f t="shared" si="55"/>
        <v>2</v>
      </c>
      <c r="V177" s="13">
        <f t="shared" si="56"/>
        <v>1</v>
      </c>
      <c r="W177" s="13">
        <f t="shared" ca="1" si="57"/>
        <v>3</v>
      </c>
      <c r="X177" s="13">
        <f t="shared" ca="1" si="58"/>
        <v>9</v>
      </c>
      <c r="Y177" s="81" t="str">
        <f t="shared" ca="1" si="59"/>
        <v>RE-BUY</v>
      </c>
      <c r="Z177" s="13">
        <v>14</v>
      </c>
      <c r="AA177" s="75">
        <v>46059</v>
      </c>
      <c r="AB177" s="75">
        <f t="shared" si="60"/>
        <v>45920</v>
      </c>
      <c r="AC177" s="88">
        <f t="shared" si="61"/>
        <v>19.857142857142858</v>
      </c>
      <c r="AD177" s="89" t="str">
        <f t="shared" ca="1" si="62"/>
        <v>STABLE</v>
      </c>
      <c r="AE177" s="89" t="str">
        <f t="shared" si="66"/>
        <v>FAST SELLING</v>
      </c>
      <c r="AF177" s="89" t="str">
        <f t="shared" si="63"/>
        <v>AT RISK</v>
      </c>
      <c r="AG177" s="89" t="str">
        <f t="shared" si="64"/>
        <v>FEASIBLE</v>
      </c>
      <c r="AH177" s="81" t="str">
        <f t="shared" ca="1" si="65"/>
        <v>IMMEDIATE REBUY</v>
      </c>
      <c r="AI177" s="75"/>
      <c r="AJ177" s="75"/>
      <c r="AK177" s="13"/>
      <c r="AL177" s="79"/>
      <c r="AM177" s="79"/>
      <c r="AN177" s="79"/>
      <c r="AO177" s="79"/>
      <c r="AP177" s="79"/>
      <c r="AQ177" s="75"/>
      <c r="AR177" s="75"/>
      <c r="AS177" s="75"/>
      <c r="AT177" s="75"/>
      <c r="AU177" s="75"/>
      <c r="AV177" s="13"/>
      <c r="AW177" s="13"/>
      <c r="AX177" s="13"/>
      <c r="AY177" s="13"/>
      <c r="AZ177" s="13"/>
      <c r="BA177" s="105"/>
      <c r="BB177" s="13"/>
      <c r="BC177" s="13"/>
      <c r="BD177" s="13"/>
      <c r="BE177" s="13"/>
      <c r="BF177" s="88"/>
      <c r="BG177" s="88"/>
      <c r="BH177" s="88"/>
      <c r="BI177" s="88"/>
      <c r="BJ177" s="88"/>
      <c r="BK177" s="105"/>
      <c r="BL177" s="105"/>
      <c r="BM177" s="105"/>
      <c r="BN177" s="105"/>
      <c r="BO177" s="105"/>
      <c r="BP177" s="105"/>
      <c r="BQ177" s="79"/>
      <c r="BR177" s="79"/>
      <c r="BS177" s="79"/>
      <c r="BT177" s="79"/>
      <c r="BU177" s="79"/>
      <c r="BV177" s="90"/>
      <c r="BW177" s="106"/>
      <c r="BX177" s="106"/>
      <c r="BY177" s="106"/>
      <c r="BZ177" s="106"/>
      <c r="CA177" s="106"/>
    </row>
    <row r="178" spans="1:79" x14ac:dyDescent="0.35">
      <c r="A178" s="25" t="s">
        <v>192</v>
      </c>
      <c r="B178" s="10" t="s">
        <v>330</v>
      </c>
      <c r="C178" s="10" t="s">
        <v>342</v>
      </c>
      <c r="D178" s="10" t="s">
        <v>346</v>
      </c>
      <c r="E178" s="11">
        <v>45927</v>
      </c>
      <c r="F178" s="17">
        <v>45892</v>
      </c>
      <c r="G178" s="14">
        <f t="shared" ca="1" si="45"/>
        <v>207</v>
      </c>
      <c r="H178" s="17">
        <v>199</v>
      </c>
      <c r="I178" s="17">
        <v>135</v>
      </c>
      <c r="J178" s="75">
        <f t="shared" si="46"/>
        <v>1465</v>
      </c>
      <c r="K178" s="17">
        <v>2000</v>
      </c>
      <c r="L178" s="85">
        <v>535</v>
      </c>
      <c r="M178" s="86">
        <f t="shared" ca="1" si="47"/>
        <v>2.5845410628019323</v>
      </c>
      <c r="N178" s="86">
        <f t="shared" si="48"/>
        <v>0.80451009251471861</v>
      </c>
      <c r="O178" s="86">
        <f t="shared" si="49"/>
        <v>1.6310975609756098</v>
      </c>
      <c r="P178" s="87">
        <f t="shared" si="50"/>
        <v>133.75</v>
      </c>
      <c r="Q178" s="104">
        <f t="shared" si="51"/>
        <v>10.953271028037383</v>
      </c>
      <c r="R178" s="88">
        <f t="shared" si="52"/>
        <v>32.1608040201005</v>
      </c>
      <c r="S178" s="88">
        <f t="shared" si="53"/>
        <v>26.75</v>
      </c>
      <c r="T178" s="13">
        <f t="shared" si="54"/>
        <v>3</v>
      </c>
      <c r="U178" s="13">
        <f t="shared" si="55"/>
        <v>1</v>
      </c>
      <c r="V178" s="13">
        <f t="shared" si="56"/>
        <v>1</v>
      </c>
      <c r="W178" s="13">
        <f t="shared" ca="1" si="57"/>
        <v>3</v>
      </c>
      <c r="X178" s="13">
        <f t="shared" ca="1" si="58"/>
        <v>8</v>
      </c>
      <c r="Y178" s="81" t="str">
        <f t="shared" ca="1" si="59"/>
        <v>MONITOR</v>
      </c>
      <c r="Z178" s="13">
        <v>14</v>
      </c>
      <c r="AA178" s="75">
        <v>46059</v>
      </c>
      <c r="AB178" s="75">
        <f t="shared" si="60"/>
        <v>45920</v>
      </c>
      <c r="AC178" s="88">
        <f t="shared" si="61"/>
        <v>19.857142857142858</v>
      </c>
      <c r="AD178" s="89" t="str">
        <f t="shared" ca="1" si="62"/>
        <v>STABLE</v>
      </c>
      <c r="AE178" s="89" t="str">
        <f t="shared" si="66"/>
        <v>FAST SELLING</v>
      </c>
      <c r="AF178" s="89" t="str">
        <f t="shared" si="63"/>
        <v>AT RISK</v>
      </c>
      <c r="AG178" s="89" t="str">
        <f t="shared" si="64"/>
        <v>FEASIBLE</v>
      </c>
      <c r="AH178" s="81" t="str">
        <f t="shared" ca="1" si="65"/>
        <v>MONITOR</v>
      </c>
      <c r="AI178" s="75"/>
      <c r="AJ178" s="75"/>
      <c r="AK178" s="13"/>
      <c r="AL178" s="79"/>
      <c r="AM178" s="79"/>
      <c r="AN178" s="79"/>
      <c r="AO178" s="79"/>
      <c r="AP178" s="79"/>
      <c r="AQ178" s="75"/>
      <c r="AR178" s="75"/>
      <c r="AS178" s="75"/>
      <c r="AT178" s="75"/>
      <c r="AU178" s="75"/>
      <c r="AV178" s="13"/>
      <c r="AW178" s="13"/>
      <c r="AX178" s="13"/>
      <c r="AY178" s="13"/>
      <c r="AZ178" s="13"/>
      <c r="BA178" s="105"/>
      <c r="BB178" s="13"/>
      <c r="BC178" s="13"/>
      <c r="BD178" s="13"/>
      <c r="BE178" s="13"/>
      <c r="BF178" s="88"/>
      <c r="BG178" s="88"/>
      <c r="BH178" s="88"/>
      <c r="BI178" s="88"/>
      <c r="BJ178" s="88"/>
      <c r="BK178" s="105"/>
      <c r="BL178" s="105"/>
      <c r="BM178" s="105"/>
      <c r="BN178" s="105"/>
      <c r="BO178" s="105"/>
      <c r="BP178" s="105"/>
      <c r="BQ178" s="79"/>
      <c r="BR178" s="79"/>
      <c r="BS178" s="79"/>
      <c r="BT178" s="79"/>
      <c r="BU178" s="79"/>
      <c r="BV178" s="90"/>
      <c r="BW178" s="106"/>
      <c r="BX178" s="106"/>
      <c r="BY178" s="106"/>
      <c r="BZ178" s="106"/>
      <c r="CA178" s="106"/>
    </row>
    <row r="179" spans="1:79" x14ac:dyDescent="0.35">
      <c r="A179" s="25" t="s">
        <v>193</v>
      </c>
      <c r="B179" s="10" t="s">
        <v>330</v>
      </c>
      <c r="C179" s="10" t="s">
        <v>342</v>
      </c>
      <c r="D179" s="10" t="s">
        <v>346</v>
      </c>
      <c r="E179" s="11">
        <v>45927</v>
      </c>
      <c r="F179" s="17">
        <v>45892</v>
      </c>
      <c r="G179" s="14">
        <f t="shared" ca="1" si="45"/>
        <v>207</v>
      </c>
      <c r="H179" s="17">
        <v>199</v>
      </c>
      <c r="I179" s="17">
        <v>135</v>
      </c>
      <c r="J179" s="75">
        <f t="shared" si="46"/>
        <v>1372</v>
      </c>
      <c r="K179" s="17">
        <v>1800</v>
      </c>
      <c r="L179" s="85">
        <v>428</v>
      </c>
      <c r="M179" s="86">
        <f t="shared" ca="1" si="47"/>
        <v>2.0676328502415457</v>
      </c>
      <c r="N179" s="86">
        <f t="shared" si="48"/>
        <v>0.80451009251471861</v>
      </c>
      <c r="O179" s="86">
        <f t="shared" si="49"/>
        <v>1.3048780487804879</v>
      </c>
      <c r="P179" s="87">
        <f t="shared" si="50"/>
        <v>107</v>
      </c>
      <c r="Q179" s="104">
        <f t="shared" si="51"/>
        <v>12.822429906542055</v>
      </c>
      <c r="R179" s="88">
        <f t="shared" si="52"/>
        <v>32.1608040201005</v>
      </c>
      <c r="S179" s="88">
        <f t="shared" si="53"/>
        <v>23.777777777777779</v>
      </c>
      <c r="T179" s="13">
        <f t="shared" si="54"/>
        <v>3</v>
      </c>
      <c r="U179" s="13">
        <f t="shared" si="55"/>
        <v>1</v>
      </c>
      <c r="V179" s="13">
        <f t="shared" si="56"/>
        <v>1</v>
      </c>
      <c r="W179" s="13">
        <f t="shared" ca="1" si="57"/>
        <v>3</v>
      </c>
      <c r="X179" s="13">
        <f t="shared" ca="1" si="58"/>
        <v>8</v>
      </c>
      <c r="Y179" s="81" t="str">
        <f t="shared" ca="1" si="59"/>
        <v>MONITOR</v>
      </c>
      <c r="Z179" s="13">
        <v>14</v>
      </c>
      <c r="AA179" s="75">
        <v>46059</v>
      </c>
      <c r="AB179" s="75">
        <f t="shared" si="60"/>
        <v>45920</v>
      </c>
      <c r="AC179" s="88">
        <f t="shared" si="61"/>
        <v>19.857142857142858</v>
      </c>
      <c r="AD179" s="89" t="str">
        <f t="shared" ca="1" si="62"/>
        <v>STABLE</v>
      </c>
      <c r="AE179" s="89" t="str">
        <f t="shared" si="66"/>
        <v>FAST SELLING</v>
      </c>
      <c r="AF179" s="89" t="str">
        <f t="shared" si="63"/>
        <v>AT RISK</v>
      </c>
      <c r="AG179" s="89" t="str">
        <f t="shared" si="64"/>
        <v>FEASIBLE</v>
      </c>
      <c r="AH179" s="81" t="str">
        <f t="shared" ca="1" si="65"/>
        <v>MONITOR</v>
      </c>
      <c r="AI179" s="75"/>
      <c r="AJ179" s="75"/>
      <c r="AK179" s="13"/>
      <c r="AL179" s="79"/>
      <c r="AM179" s="79"/>
      <c r="AN179" s="79"/>
      <c r="AO179" s="79"/>
      <c r="AP179" s="79"/>
      <c r="AQ179" s="75"/>
      <c r="AR179" s="75"/>
      <c r="AS179" s="75"/>
      <c r="AT179" s="75"/>
      <c r="AU179" s="75"/>
      <c r="AV179" s="13"/>
      <c r="AW179" s="13"/>
      <c r="AX179" s="13"/>
      <c r="AY179" s="13"/>
      <c r="AZ179" s="13"/>
      <c r="BA179" s="105"/>
      <c r="BB179" s="13"/>
      <c r="BC179" s="13"/>
      <c r="BD179" s="13"/>
      <c r="BE179" s="13"/>
      <c r="BF179" s="88"/>
      <c r="BG179" s="88"/>
      <c r="BH179" s="88"/>
      <c r="BI179" s="88"/>
      <c r="BJ179" s="88"/>
      <c r="BK179" s="105"/>
      <c r="BL179" s="105"/>
      <c r="BM179" s="105"/>
      <c r="BN179" s="105"/>
      <c r="BO179" s="105"/>
      <c r="BP179" s="105"/>
      <c r="BQ179" s="79"/>
      <c r="BR179" s="79"/>
      <c r="BS179" s="79"/>
      <c r="BT179" s="79"/>
      <c r="BU179" s="79"/>
      <c r="BV179" s="90"/>
      <c r="BW179" s="106"/>
      <c r="BX179" s="106"/>
      <c r="BY179" s="106"/>
      <c r="BZ179" s="106"/>
      <c r="CA179" s="106"/>
    </row>
    <row r="180" spans="1:79" x14ac:dyDescent="0.35">
      <c r="A180" s="25" t="s">
        <v>194</v>
      </c>
      <c r="B180" s="10" t="s">
        <v>330</v>
      </c>
      <c r="C180" s="10" t="s">
        <v>342</v>
      </c>
      <c r="D180" s="10" t="s">
        <v>346</v>
      </c>
      <c r="E180" s="11">
        <v>45920</v>
      </c>
      <c r="F180" s="17">
        <v>45892</v>
      </c>
      <c r="G180" s="14">
        <f t="shared" ca="1" si="45"/>
        <v>207</v>
      </c>
      <c r="H180" s="17">
        <v>299</v>
      </c>
      <c r="I180" s="17">
        <v>180</v>
      </c>
      <c r="J180" s="75">
        <f t="shared" si="46"/>
        <v>1211</v>
      </c>
      <c r="K180" s="17">
        <v>1550</v>
      </c>
      <c r="L180" s="85">
        <v>339</v>
      </c>
      <c r="M180" s="86">
        <f t="shared" ca="1" si="47"/>
        <v>1.6376811594202898</v>
      </c>
      <c r="N180" s="86">
        <f t="shared" si="48"/>
        <v>0.80451009251471861</v>
      </c>
      <c r="O180" s="86">
        <f t="shared" si="49"/>
        <v>1.0335365853658536</v>
      </c>
      <c r="P180" s="87">
        <f t="shared" si="50"/>
        <v>84.75</v>
      </c>
      <c r="Q180" s="104">
        <f t="shared" si="51"/>
        <v>14.289085545722713</v>
      </c>
      <c r="R180" s="88">
        <f t="shared" si="52"/>
        <v>39.799331103678931</v>
      </c>
      <c r="S180" s="88">
        <f t="shared" si="53"/>
        <v>21.870967741935484</v>
      </c>
      <c r="T180" s="13">
        <f t="shared" si="54"/>
        <v>3</v>
      </c>
      <c r="U180" s="13">
        <f t="shared" si="55"/>
        <v>1</v>
      </c>
      <c r="V180" s="13">
        <f t="shared" si="56"/>
        <v>1</v>
      </c>
      <c r="W180" s="13">
        <f t="shared" ca="1" si="57"/>
        <v>3</v>
      </c>
      <c r="X180" s="13">
        <f t="shared" ca="1" si="58"/>
        <v>8</v>
      </c>
      <c r="Y180" s="81" t="str">
        <f t="shared" ca="1" si="59"/>
        <v>MONITOR</v>
      </c>
      <c r="Z180" s="13">
        <v>14</v>
      </c>
      <c r="AA180" s="75">
        <v>46059</v>
      </c>
      <c r="AB180" s="75">
        <f t="shared" si="60"/>
        <v>45920</v>
      </c>
      <c r="AC180" s="88">
        <f t="shared" si="61"/>
        <v>19.857142857142858</v>
      </c>
      <c r="AD180" s="89" t="str">
        <f t="shared" ca="1" si="62"/>
        <v>STABLE</v>
      </c>
      <c r="AE180" s="89" t="str">
        <f t="shared" si="66"/>
        <v>FAST SELLING</v>
      </c>
      <c r="AF180" s="89" t="str">
        <f t="shared" si="63"/>
        <v>AT RISK</v>
      </c>
      <c r="AG180" s="89" t="str">
        <f t="shared" si="64"/>
        <v>FEASIBLE</v>
      </c>
      <c r="AH180" s="81" t="str">
        <f t="shared" ca="1" si="65"/>
        <v>MONITOR</v>
      </c>
      <c r="AI180" s="75"/>
      <c r="AJ180" s="75"/>
      <c r="AK180" s="13"/>
      <c r="AL180" s="79"/>
      <c r="AM180" s="79"/>
      <c r="AN180" s="79"/>
      <c r="AO180" s="79"/>
      <c r="AP180" s="79"/>
      <c r="AQ180" s="75"/>
      <c r="AR180" s="75"/>
      <c r="AS180" s="75"/>
      <c r="AT180" s="75"/>
      <c r="AU180" s="75"/>
      <c r="AV180" s="13"/>
      <c r="AW180" s="13"/>
      <c r="AX180" s="13"/>
      <c r="AY180" s="13"/>
      <c r="AZ180" s="13"/>
      <c r="BA180" s="105"/>
      <c r="BB180" s="13"/>
      <c r="BC180" s="13"/>
      <c r="BD180" s="13"/>
      <c r="BE180" s="13"/>
      <c r="BF180" s="88"/>
      <c r="BG180" s="88"/>
      <c r="BH180" s="88"/>
      <c r="BI180" s="88"/>
      <c r="BJ180" s="88"/>
      <c r="BK180" s="105"/>
      <c r="BL180" s="105"/>
      <c r="BM180" s="105"/>
      <c r="BN180" s="105"/>
      <c r="BO180" s="105"/>
      <c r="BP180" s="105"/>
      <c r="BQ180" s="79"/>
      <c r="BR180" s="79"/>
      <c r="BS180" s="79"/>
      <c r="BT180" s="79"/>
      <c r="BU180" s="79"/>
      <c r="BV180" s="90"/>
      <c r="BW180" s="106"/>
      <c r="BX180" s="106"/>
      <c r="BY180" s="106"/>
      <c r="BZ180" s="106"/>
      <c r="CA180" s="106"/>
    </row>
    <row r="181" spans="1:79" x14ac:dyDescent="0.35">
      <c r="A181" s="25" t="s">
        <v>195</v>
      </c>
      <c r="B181" s="10" t="s">
        <v>330</v>
      </c>
      <c r="C181" s="10" t="s">
        <v>342</v>
      </c>
      <c r="D181" s="10" t="s">
        <v>346</v>
      </c>
      <c r="E181" s="11">
        <v>45920</v>
      </c>
      <c r="F181" s="17">
        <v>45892</v>
      </c>
      <c r="G181" s="14">
        <f t="shared" ca="1" si="45"/>
        <v>207</v>
      </c>
      <c r="H181" s="17">
        <v>299</v>
      </c>
      <c r="I181" s="17">
        <v>180</v>
      </c>
      <c r="J181" s="75">
        <f t="shared" si="46"/>
        <v>1046</v>
      </c>
      <c r="K181" s="17">
        <v>1550</v>
      </c>
      <c r="L181" s="85">
        <v>504</v>
      </c>
      <c r="M181" s="86">
        <f t="shared" ca="1" si="47"/>
        <v>2.4347826086956523</v>
      </c>
      <c r="N181" s="86">
        <f t="shared" si="48"/>
        <v>0.80451009251471861</v>
      </c>
      <c r="O181" s="86">
        <f t="shared" si="49"/>
        <v>1.5365853658536586</v>
      </c>
      <c r="P181" s="87">
        <f t="shared" si="50"/>
        <v>126</v>
      </c>
      <c r="Q181" s="104">
        <f t="shared" si="51"/>
        <v>8.3015873015873023</v>
      </c>
      <c r="R181" s="88">
        <f t="shared" si="52"/>
        <v>39.799331103678931</v>
      </c>
      <c r="S181" s="88">
        <f t="shared" si="53"/>
        <v>32.516129032258064</v>
      </c>
      <c r="T181" s="13">
        <f t="shared" si="54"/>
        <v>3</v>
      </c>
      <c r="U181" s="13">
        <f t="shared" si="55"/>
        <v>1</v>
      </c>
      <c r="V181" s="13">
        <f t="shared" si="56"/>
        <v>1</v>
      </c>
      <c r="W181" s="13">
        <f t="shared" ca="1" si="57"/>
        <v>3</v>
      </c>
      <c r="X181" s="13">
        <f t="shared" ca="1" si="58"/>
        <v>8</v>
      </c>
      <c r="Y181" s="81" t="str">
        <f t="shared" ca="1" si="59"/>
        <v>MONITOR</v>
      </c>
      <c r="Z181" s="13">
        <v>14</v>
      </c>
      <c r="AA181" s="75">
        <v>46059</v>
      </c>
      <c r="AB181" s="75">
        <f t="shared" si="60"/>
        <v>45920</v>
      </c>
      <c r="AC181" s="88">
        <f t="shared" si="61"/>
        <v>19.857142857142858</v>
      </c>
      <c r="AD181" s="89" t="str">
        <f t="shared" ca="1" si="62"/>
        <v>STABLE</v>
      </c>
      <c r="AE181" s="89" t="str">
        <f t="shared" si="66"/>
        <v>FAST SELLING</v>
      </c>
      <c r="AF181" s="89" t="str">
        <f t="shared" si="63"/>
        <v>AT RISK</v>
      </c>
      <c r="AG181" s="89" t="str">
        <f t="shared" si="64"/>
        <v>FEASIBLE</v>
      </c>
      <c r="AH181" s="81" t="str">
        <f t="shared" ca="1" si="65"/>
        <v>MONITOR</v>
      </c>
      <c r="AI181" s="75"/>
      <c r="AJ181" s="75"/>
      <c r="AK181" s="13"/>
      <c r="AL181" s="79"/>
      <c r="AM181" s="79"/>
      <c r="AN181" s="79"/>
      <c r="AO181" s="79"/>
      <c r="AP181" s="79"/>
      <c r="AQ181" s="75"/>
      <c r="AR181" s="75"/>
      <c r="AS181" s="75"/>
      <c r="AT181" s="75"/>
      <c r="AU181" s="75"/>
      <c r="AV181" s="13"/>
      <c r="AW181" s="13"/>
      <c r="AX181" s="13"/>
      <c r="AY181" s="13"/>
      <c r="AZ181" s="13"/>
      <c r="BA181" s="105"/>
      <c r="BB181" s="13"/>
      <c r="BC181" s="13"/>
      <c r="BD181" s="13"/>
      <c r="BE181" s="13"/>
      <c r="BF181" s="88"/>
      <c r="BG181" s="88"/>
      <c r="BH181" s="88"/>
      <c r="BI181" s="88"/>
      <c r="BJ181" s="88"/>
      <c r="BK181" s="105"/>
      <c r="BL181" s="105"/>
      <c r="BM181" s="105"/>
      <c r="BN181" s="105"/>
      <c r="BO181" s="105"/>
      <c r="BP181" s="105"/>
      <c r="BQ181" s="79"/>
      <c r="BR181" s="79"/>
      <c r="BS181" s="79"/>
      <c r="BT181" s="79"/>
      <c r="BU181" s="79"/>
      <c r="BV181" s="90"/>
      <c r="BW181" s="106"/>
      <c r="BX181" s="106"/>
      <c r="BY181" s="106"/>
      <c r="BZ181" s="106"/>
      <c r="CA181" s="106"/>
    </row>
    <row r="182" spans="1:79" x14ac:dyDescent="0.35">
      <c r="A182" s="25" t="s">
        <v>196</v>
      </c>
      <c r="B182" s="10" t="s">
        <v>330</v>
      </c>
      <c r="C182" s="10" t="s">
        <v>342</v>
      </c>
      <c r="D182" s="10" t="s">
        <v>346</v>
      </c>
      <c r="E182" s="11">
        <v>45885</v>
      </c>
      <c r="F182" s="17">
        <v>45892</v>
      </c>
      <c r="G182" s="14">
        <f t="shared" ca="1" si="45"/>
        <v>207</v>
      </c>
      <c r="H182" s="17">
        <v>299</v>
      </c>
      <c r="I182" s="17">
        <v>180</v>
      </c>
      <c r="J182" s="75">
        <f t="shared" si="46"/>
        <v>1087</v>
      </c>
      <c r="K182" s="17">
        <v>1550</v>
      </c>
      <c r="L182" s="85">
        <v>463</v>
      </c>
      <c r="M182" s="86">
        <f t="shared" ca="1" si="47"/>
        <v>2.2367149758454108</v>
      </c>
      <c r="N182" s="86">
        <f t="shared" si="48"/>
        <v>0.80451009251471861</v>
      </c>
      <c r="O182" s="86">
        <f t="shared" si="49"/>
        <v>1.4115853658536586</v>
      </c>
      <c r="P182" s="87">
        <f t="shared" si="50"/>
        <v>115.75</v>
      </c>
      <c r="Q182" s="104">
        <f t="shared" si="51"/>
        <v>9.3909287257019436</v>
      </c>
      <c r="R182" s="88">
        <f t="shared" si="52"/>
        <v>39.799331103678931</v>
      </c>
      <c r="S182" s="88">
        <f t="shared" si="53"/>
        <v>29.870967741935484</v>
      </c>
      <c r="T182" s="13">
        <f t="shared" si="54"/>
        <v>3</v>
      </c>
      <c r="U182" s="13">
        <f t="shared" si="55"/>
        <v>1</v>
      </c>
      <c r="V182" s="13">
        <f t="shared" si="56"/>
        <v>1</v>
      </c>
      <c r="W182" s="13">
        <f t="shared" ca="1" si="57"/>
        <v>3</v>
      </c>
      <c r="X182" s="13">
        <f t="shared" ca="1" si="58"/>
        <v>8</v>
      </c>
      <c r="Y182" s="81" t="str">
        <f t="shared" ca="1" si="59"/>
        <v>MONITOR</v>
      </c>
      <c r="Z182" s="13">
        <v>14</v>
      </c>
      <c r="AA182" s="75">
        <v>46059</v>
      </c>
      <c r="AB182" s="75">
        <f t="shared" si="60"/>
        <v>45920</v>
      </c>
      <c r="AC182" s="88">
        <f t="shared" si="61"/>
        <v>19.857142857142858</v>
      </c>
      <c r="AD182" s="89" t="str">
        <f t="shared" ca="1" si="62"/>
        <v>STABLE</v>
      </c>
      <c r="AE182" s="89" t="str">
        <f t="shared" si="66"/>
        <v>FAST SELLING</v>
      </c>
      <c r="AF182" s="89" t="str">
        <f t="shared" si="63"/>
        <v>AT RISK</v>
      </c>
      <c r="AG182" s="89" t="str">
        <f t="shared" si="64"/>
        <v>FEASIBLE</v>
      </c>
      <c r="AH182" s="81" t="str">
        <f t="shared" ca="1" si="65"/>
        <v>MONITOR</v>
      </c>
      <c r="AI182" s="75"/>
      <c r="AJ182" s="75"/>
      <c r="AK182" s="13"/>
      <c r="AL182" s="79"/>
      <c r="AM182" s="79"/>
      <c r="AN182" s="79"/>
      <c r="AO182" s="79"/>
      <c r="AP182" s="79"/>
      <c r="AQ182" s="75"/>
      <c r="AR182" s="75"/>
      <c r="AS182" s="75"/>
      <c r="AT182" s="75"/>
      <c r="AU182" s="75"/>
      <c r="AV182" s="13"/>
      <c r="AW182" s="13"/>
      <c r="AX182" s="13"/>
      <c r="AY182" s="13"/>
      <c r="AZ182" s="13"/>
      <c r="BA182" s="105"/>
      <c r="BB182" s="13"/>
      <c r="BC182" s="13"/>
      <c r="BD182" s="13"/>
      <c r="BE182" s="13"/>
      <c r="BF182" s="88"/>
      <c r="BG182" s="88"/>
      <c r="BH182" s="88"/>
      <c r="BI182" s="88"/>
      <c r="BJ182" s="88"/>
      <c r="BK182" s="105"/>
      <c r="BL182" s="105"/>
      <c r="BM182" s="105"/>
      <c r="BN182" s="105"/>
      <c r="BO182" s="105"/>
      <c r="BP182" s="105"/>
      <c r="BQ182" s="79"/>
      <c r="BR182" s="79"/>
      <c r="BS182" s="79"/>
      <c r="BT182" s="79"/>
      <c r="BU182" s="79"/>
      <c r="BV182" s="90"/>
      <c r="BW182" s="106"/>
      <c r="BX182" s="106"/>
      <c r="BY182" s="106"/>
      <c r="BZ182" s="106"/>
      <c r="CA182" s="106"/>
    </row>
    <row r="183" spans="1:79" x14ac:dyDescent="0.35">
      <c r="A183" s="25" t="s">
        <v>197</v>
      </c>
      <c r="B183" s="10" t="s">
        <v>330</v>
      </c>
      <c r="C183" s="10" t="s">
        <v>342</v>
      </c>
      <c r="D183" s="10" t="s">
        <v>346</v>
      </c>
      <c r="E183" s="11">
        <v>45885</v>
      </c>
      <c r="F183" s="17">
        <v>45892</v>
      </c>
      <c r="G183" s="14">
        <f t="shared" ca="1" si="45"/>
        <v>207</v>
      </c>
      <c r="H183" s="17">
        <v>299</v>
      </c>
      <c r="I183" s="17">
        <v>180</v>
      </c>
      <c r="J183" s="75">
        <f t="shared" si="46"/>
        <v>1210</v>
      </c>
      <c r="K183" s="17">
        <v>1550</v>
      </c>
      <c r="L183" s="85">
        <v>340</v>
      </c>
      <c r="M183" s="86">
        <f t="shared" ca="1" si="47"/>
        <v>1.642512077294686</v>
      </c>
      <c r="N183" s="86">
        <f t="shared" si="48"/>
        <v>0.80451009251471861</v>
      </c>
      <c r="O183" s="86">
        <f t="shared" si="49"/>
        <v>1.0365853658536586</v>
      </c>
      <c r="P183" s="87">
        <f t="shared" si="50"/>
        <v>85</v>
      </c>
      <c r="Q183" s="104">
        <f t="shared" si="51"/>
        <v>14.235294117647058</v>
      </c>
      <c r="R183" s="88">
        <f t="shared" si="52"/>
        <v>39.799331103678931</v>
      </c>
      <c r="S183" s="88">
        <f t="shared" si="53"/>
        <v>21.935483870967744</v>
      </c>
      <c r="T183" s="13">
        <f t="shared" si="54"/>
        <v>3</v>
      </c>
      <c r="U183" s="13">
        <f t="shared" si="55"/>
        <v>1</v>
      </c>
      <c r="V183" s="13">
        <f t="shared" si="56"/>
        <v>1</v>
      </c>
      <c r="W183" s="13">
        <f t="shared" ca="1" si="57"/>
        <v>3</v>
      </c>
      <c r="X183" s="13">
        <f t="shared" ca="1" si="58"/>
        <v>8</v>
      </c>
      <c r="Y183" s="81" t="str">
        <f t="shared" ca="1" si="59"/>
        <v>MONITOR</v>
      </c>
      <c r="Z183" s="13">
        <v>14</v>
      </c>
      <c r="AA183" s="75">
        <v>46059</v>
      </c>
      <c r="AB183" s="75">
        <f t="shared" si="60"/>
        <v>45920</v>
      </c>
      <c r="AC183" s="88">
        <f t="shared" si="61"/>
        <v>19.857142857142858</v>
      </c>
      <c r="AD183" s="89" t="str">
        <f t="shared" ca="1" si="62"/>
        <v>STABLE</v>
      </c>
      <c r="AE183" s="89" t="str">
        <f t="shared" si="66"/>
        <v>FAST SELLING</v>
      </c>
      <c r="AF183" s="89" t="str">
        <f t="shared" si="63"/>
        <v>AT RISK</v>
      </c>
      <c r="AG183" s="89" t="str">
        <f t="shared" si="64"/>
        <v>FEASIBLE</v>
      </c>
      <c r="AH183" s="81" t="str">
        <f t="shared" ca="1" si="65"/>
        <v>MONITOR</v>
      </c>
      <c r="AI183" s="75"/>
      <c r="AJ183" s="75"/>
      <c r="AK183" s="13"/>
      <c r="AL183" s="79"/>
      <c r="AM183" s="79"/>
      <c r="AN183" s="79"/>
      <c r="AO183" s="79"/>
      <c r="AP183" s="79"/>
      <c r="AQ183" s="75"/>
      <c r="AR183" s="75"/>
      <c r="AS183" s="75"/>
      <c r="AT183" s="75"/>
      <c r="AU183" s="75"/>
      <c r="AV183" s="13"/>
      <c r="AW183" s="13"/>
      <c r="AX183" s="13"/>
      <c r="AY183" s="13"/>
      <c r="AZ183" s="13"/>
      <c r="BA183" s="105"/>
      <c r="BB183" s="13"/>
      <c r="BC183" s="13"/>
      <c r="BD183" s="13"/>
      <c r="BE183" s="13"/>
      <c r="BF183" s="88"/>
      <c r="BG183" s="88"/>
      <c r="BH183" s="88"/>
      <c r="BI183" s="88"/>
      <c r="BJ183" s="88"/>
      <c r="BK183" s="105"/>
      <c r="BL183" s="105"/>
      <c r="BM183" s="105"/>
      <c r="BN183" s="105"/>
      <c r="BO183" s="105"/>
      <c r="BP183" s="105"/>
      <c r="BQ183" s="79"/>
      <c r="BR183" s="79"/>
      <c r="BS183" s="79"/>
      <c r="BT183" s="79"/>
      <c r="BU183" s="79"/>
      <c r="BV183" s="90"/>
      <c r="BW183" s="106"/>
      <c r="BX183" s="106"/>
      <c r="BY183" s="106"/>
      <c r="BZ183" s="106"/>
      <c r="CA183" s="106"/>
    </row>
    <row r="184" spans="1:79" x14ac:dyDescent="0.35">
      <c r="A184" s="25" t="s">
        <v>198</v>
      </c>
      <c r="B184" s="10" t="s">
        <v>330</v>
      </c>
      <c r="C184" s="10" t="s">
        <v>342</v>
      </c>
      <c r="D184" s="10" t="s">
        <v>346</v>
      </c>
      <c r="E184" s="11">
        <v>45920</v>
      </c>
      <c r="F184" s="17">
        <v>45892</v>
      </c>
      <c r="G184" s="14">
        <f t="shared" ca="1" si="45"/>
        <v>207</v>
      </c>
      <c r="H184" s="17">
        <v>299</v>
      </c>
      <c r="I184" s="17">
        <v>180</v>
      </c>
      <c r="J184" s="75">
        <f t="shared" si="46"/>
        <v>1132</v>
      </c>
      <c r="K184" s="17">
        <v>1550</v>
      </c>
      <c r="L184" s="85">
        <v>418</v>
      </c>
      <c r="M184" s="86">
        <f t="shared" ca="1" si="47"/>
        <v>2.0193236714975846</v>
      </c>
      <c r="N184" s="86">
        <f t="shared" si="48"/>
        <v>0.80451009251471861</v>
      </c>
      <c r="O184" s="86">
        <f t="shared" si="49"/>
        <v>1.274390243902439</v>
      </c>
      <c r="P184" s="87">
        <f t="shared" si="50"/>
        <v>104.5</v>
      </c>
      <c r="Q184" s="104">
        <f t="shared" si="51"/>
        <v>10.832535885167465</v>
      </c>
      <c r="R184" s="88">
        <f t="shared" si="52"/>
        <v>39.799331103678931</v>
      </c>
      <c r="S184" s="88">
        <f t="shared" si="53"/>
        <v>26.967741935483868</v>
      </c>
      <c r="T184" s="13">
        <f t="shared" si="54"/>
        <v>3</v>
      </c>
      <c r="U184" s="13">
        <f t="shared" si="55"/>
        <v>1</v>
      </c>
      <c r="V184" s="13">
        <f t="shared" si="56"/>
        <v>1</v>
      </c>
      <c r="W184" s="13">
        <f t="shared" ca="1" si="57"/>
        <v>3</v>
      </c>
      <c r="X184" s="13">
        <f t="shared" ca="1" si="58"/>
        <v>8</v>
      </c>
      <c r="Y184" s="81" t="str">
        <f t="shared" ca="1" si="59"/>
        <v>MONITOR</v>
      </c>
      <c r="Z184" s="13">
        <v>14</v>
      </c>
      <c r="AA184" s="75">
        <v>46059</v>
      </c>
      <c r="AB184" s="75">
        <f t="shared" si="60"/>
        <v>45920</v>
      </c>
      <c r="AC184" s="88">
        <f t="shared" si="61"/>
        <v>19.857142857142858</v>
      </c>
      <c r="AD184" s="89" t="str">
        <f t="shared" ca="1" si="62"/>
        <v>STABLE</v>
      </c>
      <c r="AE184" s="89" t="str">
        <f t="shared" si="66"/>
        <v>FAST SELLING</v>
      </c>
      <c r="AF184" s="89" t="str">
        <f t="shared" si="63"/>
        <v>AT RISK</v>
      </c>
      <c r="AG184" s="89" t="str">
        <f t="shared" si="64"/>
        <v>FEASIBLE</v>
      </c>
      <c r="AH184" s="81" t="str">
        <f t="shared" ca="1" si="65"/>
        <v>MONITOR</v>
      </c>
      <c r="AI184" s="75"/>
      <c r="AJ184" s="75"/>
      <c r="AK184" s="13"/>
      <c r="AL184" s="79"/>
      <c r="AM184" s="79"/>
      <c r="AN184" s="79"/>
      <c r="AO184" s="79"/>
      <c r="AP184" s="79"/>
      <c r="AQ184" s="75"/>
      <c r="AR184" s="75"/>
      <c r="AS184" s="75"/>
      <c r="AT184" s="75"/>
      <c r="AU184" s="75"/>
      <c r="AV184" s="13"/>
      <c r="AW184" s="13"/>
      <c r="AX184" s="13"/>
      <c r="AY184" s="13"/>
      <c r="AZ184" s="13"/>
      <c r="BA184" s="105"/>
      <c r="BB184" s="13"/>
      <c r="BC184" s="13"/>
      <c r="BD184" s="13"/>
      <c r="BE184" s="13"/>
      <c r="BF184" s="88"/>
      <c r="BG184" s="88"/>
      <c r="BH184" s="88"/>
      <c r="BI184" s="88"/>
      <c r="BJ184" s="88"/>
      <c r="BK184" s="105"/>
      <c r="BL184" s="105"/>
      <c r="BM184" s="105"/>
      <c r="BN184" s="105"/>
      <c r="BO184" s="105"/>
      <c r="BP184" s="105"/>
      <c r="BQ184" s="79"/>
      <c r="BR184" s="79"/>
      <c r="BS184" s="79"/>
      <c r="BT184" s="79"/>
      <c r="BU184" s="79"/>
      <c r="BV184" s="90"/>
      <c r="BW184" s="106"/>
      <c r="BX184" s="106"/>
      <c r="BY184" s="106"/>
      <c r="BZ184" s="106"/>
      <c r="CA184" s="106"/>
    </row>
    <row r="185" spans="1:79" x14ac:dyDescent="0.35">
      <c r="A185" s="25" t="s">
        <v>199</v>
      </c>
      <c r="B185" s="10" t="s">
        <v>330</v>
      </c>
      <c r="C185" s="10" t="s">
        <v>342</v>
      </c>
      <c r="D185" s="10" t="s">
        <v>346</v>
      </c>
      <c r="E185" s="11">
        <v>45920</v>
      </c>
      <c r="F185" s="17">
        <v>45892</v>
      </c>
      <c r="G185" s="14">
        <f t="shared" ca="1" si="45"/>
        <v>207</v>
      </c>
      <c r="H185" s="17">
        <v>299</v>
      </c>
      <c r="I185" s="17">
        <v>180</v>
      </c>
      <c r="J185" s="75">
        <f t="shared" si="46"/>
        <v>1071</v>
      </c>
      <c r="K185" s="17">
        <v>1550</v>
      </c>
      <c r="L185" s="85">
        <v>479</v>
      </c>
      <c r="M185" s="86">
        <f t="shared" ca="1" si="47"/>
        <v>2.3140096618357489</v>
      </c>
      <c r="N185" s="86">
        <f t="shared" si="48"/>
        <v>0.80451009251471861</v>
      </c>
      <c r="O185" s="86">
        <f t="shared" si="49"/>
        <v>1.4603658536585367</v>
      </c>
      <c r="P185" s="87">
        <f t="shared" si="50"/>
        <v>119.75</v>
      </c>
      <c r="Q185" s="104">
        <f t="shared" si="51"/>
        <v>8.9436325678496864</v>
      </c>
      <c r="R185" s="88">
        <f t="shared" si="52"/>
        <v>39.799331103678931</v>
      </c>
      <c r="S185" s="88">
        <f t="shared" si="53"/>
        <v>30.903225806451612</v>
      </c>
      <c r="T185" s="13">
        <f t="shared" si="54"/>
        <v>3</v>
      </c>
      <c r="U185" s="13">
        <f t="shared" si="55"/>
        <v>1</v>
      </c>
      <c r="V185" s="13">
        <f t="shared" si="56"/>
        <v>1</v>
      </c>
      <c r="W185" s="13">
        <f t="shared" ca="1" si="57"/>
        <v>3</v>
      </c>
      <c r="X185" s="13">
        <f t="shared" ca="1" si="58"/>
        <v>8</v>
      </c>
      <c r="Y185" s="81" t="str">
        <f t="shared" ca="1" si="59"/>
        <v>MONITOR</v>
      </c>
      <c r="Z185" s="13">
        <v>14</v>
      </c>
      <c r="AA185" s="75">
        <v>46059</v>
      </c>
      <c r="AB185" s="75">
        <f t="shared" si="60"/>
        <v>45920</v>
      </c>
      <c r="AC185" s="88">
        <f t="shared" si="61"/>
        <v>19.857142857142858</v>
      </c>
      <c r="AD185" s="89" t="str">
        <f t="shared" ca="1" si="62"/>
        <v>STABLE</v>
      </c>
      <c r="AE185" s="89" t="str">
        <f t="shared" si="66"/>
        <v>FAST SELLING</v>
      </c>
      <c r="AF185" s="89" t="str">
        <f t="shared" si="63"/>
        <v>AT RISK</v>
      </c>
      <c r="AG185" s="89" t="str">
        <f t="shared" si="64"/>
        <v>FEASIBLE</v>
      </c>
      <c r="AH185" s="81" t="str">
        <f t="shared" ca="1" si="65"/>
        <v>MONITOR</v>
      </c>
      <c r="AI185" s="75"/>
      <c r="AJ185" s="75"/>
      <c r="AK185" s="13"/>
      <c r="AL185" s="79"/>
      <c r="AM185" s="79"/>
      <c r="AN185" s="79"/>
      <c r="AO185" s="79"/>
      <c r="AP185" s="79"/>
      <c r="AQ185" s="75"/>
      <c r="AR185" s="75"/>
      <c r="AS185" s="75"/>
      <c r="AT185" s="75"/>
      <c r="AU185" s="75"/>
      <c r="AV185" s="13"/>
      <c r="AW185" s="13"/>
      <c r="AX185" s="13"/>
      <c r="AY185" s="13"/>
      <c r="AZ185" s="13"/>
      <c r="BA185" s="105"/>
      <c r="BB185" s="13"/>
      <c r="BC185" s="13"/>
      <c r="BD185" s="13"/>
      <c r="BE185" s="13"/>
      <c r="BF185" s="88"/>
      <c r="BG185" s="88"/>
      <c r="BH185" s="88"/>
      <c r="BI185" s="88"/>
      <c r="BJ185" s="88"/>
      <c r="BK185" s="105"/>
      <c r="BL185" s="105"/>
      <c r="BM185" s="105"/>
      <c r="BN185" s="105"/>
      <c r="BO185" s="105"/>
      <c r="BP185" s="105"/>
      <c r="BQ185" s="79"/>
      <c r="BR185" s="79"/>
      <c r="BS185" s="79"/>
      <c r="BT185" s="79"/>
      <c r="BU185" s="79"/>
      <c r="BV185" s="90"/>
      <c r="BW185" s="106"/>
      <c r="BX185" s="106"/>
      <c r="BY185" s="106"/>
      <c r="BZ185" s="106"/>
      <c r="CA185" s="106"/>
    </row>
    <row r="186" spans="1:79" x14ac:dyDescent="0.35">
      <c r="A186" s="25" t="s">
        <v>200</v>
      </c>
      <c r="B186" s="10" t="s">
        <v>330</v>
      </c>
      <c r="C186" s="10" t="s">
        <v>342</v>
      </c>
      <c r="D186" s="10" t="s">
        <v>346</v>
      </c>
      <c r="E186" s="11">
        <v>45885</v>
      </c>
      <c r="F186" s="17">
        <v>45892</v>
      </c>
      <c r="G186" s="14">
        <f t="shared" ca="1" si="45"/>
        <v>207</v>
      </c>
      <c r="H186" s="17">
        <v>299</v>
      </c>
      <c r="I186" s="17">
        <v>180</v>
      </c>
      <c r="J186" s="75">
        <f t="shared" si="46"/>
        <v>1206</v>
      </c>
      <c r="K186" s="17">
        <v>1550</v>
      </c>
      <c r="L186" s="85">
        <v>344</v>
      </c>
      <c r="M186" s="86">
        <f t="shared" ca="1" si="47"/>
        <v>1.6618357487922706</v>
      </c>
      <c r="N186" s="86">
        <f t="shared" si="48"/>
        <v>0.80451009251471861</v>
      </c>
      <c r="O186" s="86">
        <f t="shared" si="49"/>
        <v>1.0487804878048781</v>
      </c>
      <c r="P186" s="87">
        <f t="shared" si="50"/>
        <v>86</v>
      </c>
      <c r="Q186" s="104">
        <f t="shared" si="51"/>
        <v>14.023255813953488</v>
      </c>
      <c r="R186" s="88">
        <f t="shared" si="52"/>
        <v>39.799331103678931</v>
      </c>
      <c r="S186" s="88">
        <f t="shared" si="53"/>
        <v>22.193548387096772</v>
      </c>
      <c r="T186" s="13">
        <f t="shared" si="54"/>
        <v>3</v>
      </c>
      <c r="U186" s="13">
        <f t="shared" si="55"/>
        <v>1</v>
      </c>
      <c r="V186" s="13">
        <f t="shared" si="56"/>
        <v>1</v>
      </c>
      <c r="W186" s="13">
        <f t="shared" ca="1" si="57"/>
        <v>3</v>
      </c>
      <c r="X186" s="13">
        <f t="shared" ca="1" si="58"/>
        <v>8</v>
      </c>
      <c r="Y186" s="81" t="str">
        <f t="shared" ca="1" si="59"/>
        <v>MONITOR</v>
      </c>
      <c r="Z186" s="13">
        <v>14</v>
      </c>
      <c r="AA186" s="75">
        <v>46059</v>
      </c>
      <c r="AB186" s="75">
        <f t="shared" si="60"/>
        <v>45920</v>
      </c>
      <c r="AC186" s="88">
        <f t="shared" si="61"/>
        <v>19.857142857142858</v>
      </c>
      <c r="AD186" s="89" t="str">
        <f t="shared" ca="1" si="62"/>
        <v>STABLE</v>
      </c>
      <c r="AE186" s="89" t="str">
        <f t="shared" si="66"/>
        <v>FAST SELLING</v>
      </c>
      <c r="AF186" s="89" t="str">
        <f t="shared" si="63"/>
        <v>AT RISK</v>
      </c>
      <c r="AG186" s="89" t="str">
        <f t="shared" si="64"/>
        <v>FEASIBLE</v>
      </c>
      <c r="AH186" s="81" t="str">
        <f t="shared" ca="1" si="65"/>
        <v>MONITOR</v>
      </c>
      <c r="AI186" s="75"/>
      <c r="AJ186" s="75"/>
      <c r="AK186" s="13"/>
      <c r="AL186" s="79"/>
      <c r="AM186" s="79"/>
      <c r="AN186" s="79"/>
      <c r="AO186" s="79"/>
      <c r="AP186" s="79"/>
      <c r="AQ186" s="75"/>
      <c r="AR186" s="75"/>
      <c r="AS186" s="75"/>
      <c r="AT186" s="75"/>
      <c r="AU186" s="75"/>
      <c r="AV186" s="13"/>
      <c r="AW186" s="13"/>
      <c r="AX186" s="13"/>
      <c r="AY186" s="13"/>
      <c r="AZ186" s="13"/>
      <c r="BA186" s="105"/>
      <c r="BB186" s="13"/>
      <c r="BC186" s="13"/>
      <c r="BD186" s="13"/>
      <c r="BE186" s="13"/>
      <c r="BF186" s="88"/>
      <c r="BG186" s="88"/>
      <c r="BH186" s="88"/>
      <c r="BI186" s="88"/>
      <c r="BJ186" s="88"/>
      <c r="BK186" s="105"/>
      <c r="BL186" s="105"/>
      <c r="BM186" s="105"/>
      <c r="BN186" s="105"/>
      <c r="BO186" s="105"/>
      <c r="BP186" s="105"/>
      <c r="BQ186" s="79"/>
      <c r="BR186" s="79"/>
      <c r="BS186" s="79"/>
      <c r="BT186" s="79"/>
      <c r="BU186" s="79"/>
      <c r="BV186" s="90"/>
      <c r="BW186" s="106"/>
      <c r="BX186" s="106"/>
      <c r="BY186" s="106"/>
      <c r="BZ186" s="106"/>
      <c r="CA186" s="106"/>
    </row>
    <row r="187" spans="1:79" x14ac:dyDescent="0.35">
      <c r="A187" s="25" t="s">
        <v>201</v>
      </c>
      <c r="B187" s="10" t="s">
        <v>330</v>
      </c>
      <c r="C187" s="10" t="s">
        <v>342</v>
      </c>
      <c r="D187" s="10" t="s">
        <v>346</v>
      </c>
      <c r="E187" s="11">
        <v>45885</v>
      </c>
      <c r="F187" s="17">
        <v>45892</v>
      </c>
      <c r="G187" s="14">
        <f t="shared" ca="1" si="45"/>
        <v>207</v>
      </c>
      <c r="H187" s="17">
        <v>299</v>
      </c>
      <c r="I187" s="17">
        <v>180</v>
      </c>
      <c r="J187" s="75">
        <f t="shared" si="46"/>
        <v>1392</v>
      </c>
      <c r="K187" s="17">
        <v>1550</v>
      </c>
      <c r="L187" s="85">
        <v>158</v>
      </c>
      <c r="M187" s="86">
        <f t="shared" ca="1" si="47"/>
        <v>0.76328502415458932</v>
      </c>
      <c r="N187" s="86">
        <f t="shared" si="48"/>
        <v>0.80451009251471861</v>
      </c>
      <c r="O187" s="86">
        <f t="shared" si="49"/>
        <v>0.48170731707317072</v>
      </c>
      <c r="P187" s="87">
        <f t="shared" si="50"/>
        <v>39.5</v>
      </c>
      <c r="Q187" s="104">
        <f t="shared" si="51"/>
        <v>35.240506329113927</v>
      </c>
      <c r="R187" s="88">
        <f t="shared" si="52"/>
        <v>39.799331103678931</v>
      </c>
      <c r="S187" s="88">
        <f t="shared" si="53"/>
        <v>10.193548387096774</v>
      </c>
      <c r="T187" s="13">
        <f t="shared" si="54"/>
        <v>1</v>
      </c>
      <c r="U187" s="13">
        <f t="shared" si="55"/>
        <v>1</v>
      </c>
      <c r="V187" s="13">
        <f t="shared" si="56"/>
        <v>1</v>
      </c>
      <c r="W187" s="13">
        <f t="shared" ca="1" si="57"/>
        <v>3</v>
      </c>
      <c r="X187" s="13">
        <f t="shared" ca="1" si="58"/>
        <v>6</v>
      </c>
      <c r="Y187" s="81" t="str">
        <f t="shared" ca="1" si="59"/>
        <v>MONITOR</v>
      </c>
      <c r="Z187" s="13">
        <v>14</v>
      </c>
      <c r="AA187" s="75">
        <v>46059</v>
      </c>
      <c r="AB187" s="75">
        <f t="shared" si="60"/>
        <v>45920</v>
      </c>
      <c r="AC187" s="88">
        <f t="shared" si="61"/>
        <v>19.857142857142858</v>
      </c>
      <c r="AD187" s="89" t="str">
        <f t="shared" ca="1" si="62"/>
        <v>STABLE</v>
      </c>
      <c r="AE187" s="89" t="str">
        <f t="shared" si="66"/>
        <v>SLOW SELLING</v>
      </c>
      <c r="AF187" s="89" t="str">
        <f t="shared" si="63"/>
        <v>AT RISK</v>
      </c>
      <c r="AG187" s="89" t="str">
        <f t="shared" si="64"/>
        <v>FEASIBLE</v>
      </c>
      <c r="AH187" s="81" t="str">
        <f t="shared" ca="1" si="65"/>
        <v>MONITOR</v>
      </c>
      <c r="AI187" s="75"/>
      <c r="AJ187" s="75"/>
      <c r="AK187" s="13"/>
      <c r="AL187" s="79"/>
      <c r="AM187" s="79"/>
      <c r="AN187" s="79"/>
      <c r="AO187" s="79"/>
      <c r="AP187" s="79"/>
      <c r="AQ187" s="75"/>
      <c r="AR187" s="75"/>
      <c r="AS187" s="75"/>
      <c r="AT187" s="75"/>
      <c r="AU187" s="75"/>
      <c r="AV187" s="13"/>
      <c r="AW187" s="13"/>
      <c r="AX187" s="13"/>
      <c r="AY187" s="13"/>
      <c r="AZ187" s="13"/>
      <c r="BA187" s="105"/>
      <c r="BB187" s="13"/>
      <c r="BC187" s="13"/>
      <c r="BD187" s="13"/>
      <c r="BE187" s="13"/>
      <c r="BF187" s="88"/>
      <c r="BG187" s="88"/>
      <c r="BH187" s="88"/>
      <c r="BI187" s="88"/>
      <c r="BJ187" s="88"/>
      <c r="BK187" s="105"/>
      <c r="BL187" s="105"/>
      <c r="BM187" s="105"/>
      <c r="BN187" s="105"/>
      <c r="BO187" s="105"/>
      <c r="BP187" s="105"/>
      <c r="BQ187" s="79"/>
      <c r="BR187" s="79"/>
      <c r="BS187" s="79"/>
      <c r="BT187" s="79"/>
      <c r="BU187" s="79"/>
      <c r="BV187" s="90"/>
      <c r="BW187" s="106"/>
      <c r="BX187" s="106"/>
      <c r="BY187" s="106"/>
      <c r="BZ187" s="106"/>
      <c r="CA187" s="106"/>
    </row>
    <row r="188" spans="1:79" x14ac:dyDescent="0.35">
      <c r="A188" s="25" t="s">
        <v>202</v>
      </c>
      <c r="B188" s="10" t="s">
        <v>330</v>
      </c>
      <c r="C188" s="10" t="s">
        <v>342</v>
      </c>
      <c r="D188" s="10" t="s">
        <v>346</v>
      </c>
      <c r="E188" s="11">
        <v>45885</v>
      </c>
      <c r="F188" s="17">
        <v>45892</v>
      </c>
      <c r="G188" s="14">
        <f t="shared" ca="1" si="45"/>
        <v>207</v>
      </c>
      <c r="H188" s="17">
        <v>299</v>
      </c>
      <c r="I188" s="17">
        <v>180</v>
      </c>
      <c r="J188" s="75">
        <f t="shared" si="46"/>
        <v>1222</v>
      </c>
      <c r="K188" s="17">
        <v>1550</v>
      </c>
      <c r="L188" s="85">
        <v>328</v>
      </c>
      <c r="M188" s="86">
        <f t="shared" ca="1" si="47"/>
        <v>1.5845410628019323</v>
      </c>
      <c r="N188" s="86">
        <f t="shared" si="48"/>
        <v>0.80451009251471861</v>
      </c>
      <c r="O188" s="86">
        <f t="shared" si="49"/>
        <v>1</v>
      </c>
      <c r="P188" s="87">
        <f t="shared" si="50"/>
        <v>82</v>
      </c>
      <c r="Q188" s="104">
        <f t="shared" si="51"/>
        <v>14.902439024390244</v>
      </c>
      <c r="R188" s="88">
        <f t="shared" si="52"/>
        <v>39.799331103678931</v>
      </c>
      <c r="S188" s="88">
        <f t="shared" si="53"/>
        <v>21.161290322580644</v>
      </c>
      <c r="T188" s="13">
        <f t="shared" si="54"/>
        <v>3</v>
      </c>
      <c r="U188" s="13">
        <f t="shared" si="55"/>
        <v>1</v>
      </c>
      <c r="V188" s="13">
        <f t="shared" si="56"/>
        <v>1</v>
      </c>
      <c r="W188" s="13">
        <f t="shared" ca="1" si="57"/>
        <v>3</v>
      </c>
      <c r="X188" s="13">
        <f t="shared" ca="1" si="58"/>
        <v>8</v>
      </c>
      <c r="Y188" s="81" t="str">
        <f t="shared" ca="1" si="59"/>
        <v>MONITOR</v>
      </c>
      <c r="Z188" s="13">
        <v>14</v>
      </c>
      <c r="AA188" s="75">
        <v>46059</v>
      </c>
      <c r="AB188" s="75">
        <f t="shared" si="60"/>
        <v>45920</v>
      </c>
      <c r="AC188" s="88">
        <f t="shared" si="61"/>
        <v>19.857142857142858</v>
      </c>
      <c r="AD188" s="89" t="str">
        <f t="shared" ca="1" si="62"/>
        <v>STABLE</v>
      </c>
      <c r="AE188" s="89" t="str">
        <f t="shared" si="66"/>
        <v>FAST SELLING</v>
      </c>
      <c r="AF188" s="89" t="str">
        <f t="shared" si="63"/>
        <v>AT RISK</v>
      </c>
      <c r="AG188" s="89" t="str">
        <f t="shared" si="64"/>
        <v>FEASIBLE</v>
      </c>
      <c r="AH188" s="81" t="str">
        <f t="shared" ca="1" si="65"/>
        <v>MONITOR</v>
      </c>
      <c r="AI188" s="75"/>
      <c r="AJ188" s="75"/>
      <c r="AK188" s="13"/>
      <c r="AL188" s="79"/>
      <c r="AM188" s="79"/>
      <c r="AN188" s="79"/>
      <c r="AO188" s="79"/>
      <c r="AP188" s="79"/>
      <c r="AQ188" s="75"/>
      <c r="AR188" s="75"/>
      <c r="AS188" s="75"/>
      <c r="AT188" s="75"/>
      <c r="AU188" s="75"/>
      <c r="AV188" s="13"/>
      <c r="AW188" s="13"/>
      <c r="AX188" s="13"/>
      <c r="AY188" s="13"/>
      <c r="AZ188" s="13"/>
      <c r="BA188" s="105"/>
      <c r="BB188" s="13"/>
      <c r="BC188" s="13"/>
      <c r="BD188" s="13"/>
      <c r="BE188" s="13"/>
      <c r="BF188" s="88"/>
      <c r="BG188" s="88"/>
      <c r="BH188" s="88"/>
      <c r="BI188" s="88"/>
      <c r="BJ188" s="88"/>
      <c r="BK188" s="105"/>
      <c r="BL188" s="105"/>
      <c r="BM188" s="105"/>
      <c r="BN188" s="105"/>
      <c r="BO188" s="105"/>
      <c r="BP188" s="105"/>
      <c r="BQ188" s="79"/>
      <c r="BR188" s="79"/>
      <c r="BS188" s="79"/>
      <c r="BT188" s="79"/>
      <c r="BU188" s="79"/>
      <c r="BV188" s="90"/>
      <c r="BW188" s="106"/>
      <c r="BX188" s="106"/>
      <c r="BY188" s="106"/>
      <c r="BZ188" s="106"/>
      <c r="CA188" s="106"/>
    </row>
    <row r="189" spans="1:79" x14ac:dyDescent="0.35">
      <c r="A189" s="25" t="s">
        <v>203</v>
      </c>
      <c r="B189" s="10" t="s">
        <v>330</v>
      </c>
      <c r="C189" s="10" t="s">
        <v>342</v>
      </c>
      <c r="D189" s="10" t="s">
        <v>346</v>
      </c>
      <c r="E189" s="11">
        <v>45885</v>
      </c>
      <c r="F189" s="17">
        <v>45892</v>
      </c>
      <c r="G189" s="14">
        <f t="shared" ca="1" si="45"/>
        <v>207</v>
      </c>
      <c r="H189" s="17">
        <v>299</v>
      </c>
      <c r="I189" s="17">
        <v>180</v>
      </c>
      <c r="J189" s="75">
        <f t="shared" si="46"/>
        <v>1173</v>
      </c>
      <c r="K189" s="17">
        <v>1550</v>
      </c>
      <c r="L189" s="85">
        <v>377</v>
      </c>
      <c r="M189" s="86">
        <f t="shared" ca="1" si="47"/>
        <v>1.8212560386473431</v>
      </c>
      <c r="N189" s="86">
        <f t="shared" si="48"/>
        <v>0.80451009251471861</v>
      </c>
      <c r="O189" s="86">
        <f t="shared" si="49"/>
        <v>1.149390243902439</v>
      </c>
      <c r="P189" s="87">
        <f t="shared" si="50"/>
        <v>94.25</v>
      </c>
      <c r="Q189" s="104">
        <f t="shared" si="51"/>
        <v>12.445623342175066</v>
      </c>
      <c r="R189" s="88">
        <f t="shared" si="52"/>
        <v>39.799331103678931</v>
      </c>
      <c r="S189" s="88">
        <f t="shared" si="53"/>
        <v>24.322580645161292</v>
      </c>
      <c r="T189" s="13">
        <f t="shared" si="54"/>
        <v>3</v>
      </c>
      <c r="U189" s="13">
        <f t="shared" si="55"/>
        <v>1</v>
      </c>
      <c r="V189" s="13">
        <f t="shared" si="56"/>
        <v>1</v>
      </c>
      <c r="W189" s="13">
        <f t="shared" ca="1" si="57"/>
        <v>3</v>
      </c>
      <c r="X189" s="13">
        <f t="shared" ca="1" si="58"/>
        <v>8</v>
      </c>
      <c r="Y189" s="81" t="str">
        <f t="shared" ca="1" si="59"/>
        <v>MONITOR</v>
      </c>
      <c r="Z189" s="13">
        <v>14</v>
      </c>
      <c r="AA189" s="75">
        <v>46059</v>
      </c>
      <c r="AB189" s="75">
        <f t="shared" si="60"/>
        <v>45920</v>
      </c>
      <c r="AC189" s="88">
        <f t="shared" si="61"/>
        <v>19.857142857142858</v>
      </c>
      <c r="AD189" s="89" t="str">
        <f t="shared" ca="1" si="62"/>
        <v>STABLE</v>
      </c>
      <c r="AE189" s="89" t="str">
        <f t="shared" si="66"/>
        <v>FAST SELLING</v>
      </c>
      <c r="AF189" s="89" t="str">
        <f t="shared" si="63"/>
        <v>AT RISK</v>
      </c>
      <c r="AG189" s="89" t="str">
        <f t="shared" si="64"/>
        <v>FEASIBLE</v>
      </c>
      <c r="AH189" s="81" t="str">
        <f t="shared" ca="1" si="65"/>
        <v>MONITOR</v>
      </c>
      <c r="AI189" s="75"/>
      <c r="AJ189" s="75"/>
      <c r="AK189" s="13"/>
      <c r="AL189" s="79"/>
      <c r="AM189" s="79"/>
      <c r="AN189" s="79"/>
      <c r="AO189" s="79"/>
      <c r="AP189" s="79"/>
      <c r="AQ189" s="75"/>
      <c r="AR189" s="75"/>
      <c r="AS189" s="75"/>
      <c r="AT189" s="75"/>
      <c r="AU189" s="75"/>
      <c r="AV189" s="13"/>
      <c r="AW189" s="13"/>
      <c r="AX189" s="13"/>
      <c r="AY189" s="13"/>
      <c r="AZ189" s="13"/>
      <c r="BA189" s="105"/>
      <c r="BB189" s="13"/>
      <c r="BC189" s="13"/>
      <c r="BD189" s="13"/>
      <c r="BE189" s="13"/>
      <c r="BF189" s="88"/>
      <c r="BG189" s="88"/>
      <c r="BH189" s="88"/>
      <c r="BI189" s="88"/>
      <c r="BJ189" s="88"/>
      <c r="BK189" s="105"/>
      <c r="BL189" s="105"/>
      <c r="BM189" s="105"/>
      <c r="BN189" s="105"/>
      <c r="BO189" s="105"/>
      <c r="BP189" s="105"/>
      <c r="BQ189" s="79"/>
      <c r="BR189" s="79"/>
      <c r="BS189" s="79"/>
      <c r="BT189" s="79"/>
      <c r="BU189" s="79"/>
      <c r="BV189" s="90"/>
      <c r="BW189" s="106"/>
      <c r="BX189" s="106"/>
      <c r="BY189" s="106"/>
      <c r="BZ189" s="106"/>
      <c r="CA189" s="106"/>
    </row>
    <row r="190" spans="1:79" x14ac:dyDescent="0.35">
      <c r="A190" s="25" t="s">
        <v>204</v>
      </c>
      <c r="B190" s="10" t="s">
        <v>330</v>
      </c>
      <c r="C190" s="10" t="s">
        <v>342</v>
      </c>
      <c r="D190" s="10" t="s">
        <v>346</v>
      </c>
      <c r="E190" s="11">
        <v>45885</v>
      </c>
      <c r="F190" s="17">
        <v>45892</v>
      </c>
      <c r="G190" s="14">
        <f t="shared" ca="1" si="45"/>
        <v>207</v>
      </c>
      <c r="H190" s="17">
        <v>299</v>
      </c>
      <c r="I190" s="17">
        <v>180</v>
      </c>
      <c r="J190" s="75">
        <f t="shared" si="46"/>
        <v>1147</v>
      </c>
      <c r="K190" s="17">
        <v>1550</v>
      </c>
      <c r="L190" s="85">
        <v>403</v>
      </c>
      <c r="M190" s="86">
        <f t="shared" ca="1" si="47"/>
        <v>1.9468599033816425</v>
      </c>
      <c r="N190" s="86">
        <f t="shared" si="48"/>
        <v>0.80451009251471861</v>
      </c>
      <c r="O190" s="86">
        <f t="shared" si="49"/>
        <v>1.2286585365853659</v>
      </c>
      <c r="P190" s="87">
        <f t="shared" si="50"/>
        <v>100.75000000000001</v>
      </c>
      <c r="Q190" s="104">
        <f t="shared" si="51"/>
        <v>11.384615384615383</v>
      </c>
      <c r="R190" s="88">
        <f t="shared" si="52"/>
        <v>39.799331103678931</v>
      </c>
      <c r="S190" s="88">
        <f t="shared" si="53"/>
        <v>26</v>
      </c>
      <c r="T190" s="13">
        <f t="shared" si="54"/>
        <v>3</v>
      </c>
      <c r="U190" s="13">
        <f t="shared" si="55"/>
        <v>1</v>
      </c>
      <c r="V190" s="13">
        <f t="shared" si="56"/>
        <v>1</v>
      </c>
      <c r="W190" s="13">
        <f t="shared" ca="1" si="57"/>
        <v>3</v>
      </c>
      <c r="X190" s="13">
        <f t="shared" ca="1" si="58"/>
        <v>8</v>
      </c>
      <c r="Y190" s="81" t="str">
        <f t="shared" ca="1" si="59"/>
        <v>MONITOR</v>
      </c>
      <c r="Z190" s="13">
        <v>14</v>
      </c>
      <c r="AA190" s="75">
        <v>46059</v>
      </c>
      <c r="AB190" s="75">
        <f t="shared" si="60"/>
        <v>45920</v>
      </c>
      <c r="AC190" s="88">
        <f t="shared" si="61"/>
        <v>19.857142857142858</v>
      </c>
      <c r="AD190" s="89" t="str">
        <f t="shared" ca="1" si="62"/>
        <v>STABLE</v>
      </c>
      <c r="AE190" s="89" t="str">
        <f t="shared" si="66"/>
        <v>FAST SELLING</v>
      </c>
      <c r="AF190" s="89" t="str">
        <f t="shared" si="63"/>
        <v>AT RISK</v>
      </c>
      <c r="AG190" s="89" t="str">
        <f t="shared" si="64"/>
        <v>FEASIBLE</v>
      </c>
      <c r="AH190" s="81" t="str">
        <f t="shared" ca="1" si="65"/>
        <v>MONITOR</v>
      </c>
      <c r="AI190" s="75"/>
      <c r="AJ190" s="75"/>
      <c r="AK190" s="13"/>
      <c r="AL190" s="79"/>
      <c r="AM190" s="79"/>
      <c r="AN190" s="79"/>
      <c r="AO190" s="79"/>
      <c r="AP190" s="79"/>
      <c r="AQ190" s="75"/>
      <c r="AR190" s="75"/>
      <c r="AS190" s="75"/>
      <c r="AT190" s="75"/>
      <c r="AU190" s="75"/>
      <c r="AV190" s="13"/>
      <c r="AW190" s="13"/>
      <c r="AX190" s="13"/>
      <c r="AY190" s="13"/>
      <c r="AZ190" s="13"/>
      <c r="BA190" s="105"/>
      <c r="BB190" s="13"/>
      <c r="BC190" s="13"/>
      <c r="BD190" s="13"/>
      <c r="BE190" s="13"/>
      <c r="BF190" s="88"/>
      <c r="BG190" s="88"/>
      <c r="BH190" s="88"/>
      <c r="BI190" s="88"/>
      <c r="BJ190" s="88"/>
      <c r="BK190" s="105"/>
      <c r="BL190" s="105"/>
      <c r="BM190" s="105"/>
      <c r="BN190" s="105"/>
      <c r="BO190" s="105"/>
      <c r="BP190" s="105"/>
      <c r="BQ190" s="79"/>
      <c r="BR190" s="79"/>
      <c r="BS190" s="79"/>
      <c r="BT190" s="79"/>
      <c r="BU190" s="79"/>
      <c r="BV190" s="90"/>
      <c r="BW190" s="106"/>
      <c r="BX190" s="106"/>
      <c r="BY190" s="106"/>
      <c r="BZ190" s="106"/>
      <c r="CA190" s="106"/>
    </row>
    <row r="191" spans="1:79" x14ac:dyDescent="0.35">
      <c r="A191" s="25" t="s">
        <v>205</v>
      </c>
      <c r="B191" s="10" t="s">
        <v>330</v>
      </c>
      <c r="C191" s="10" t="s">
        <v>342</v>
      </c>
      <c r="D191" s="10" t="s">
        <v>346</v>
      </c>
      <c r="E191" s="11">
        <v>45885</v>
      </c>
      <c r="F191" s="17">
        <v>45892</v>
      </c>
      <c r="G191" s="14">
        <f t="shared" ca="1" si="45"/>
        <v>207</v>
      </c>
      <c r="H191" s="17">
        <v>299</v>
      </c>
      <c r="I191" s="17">
        <v>180</v>
      </c>
      <c r="J191" s="75">
        <f t="shared" si="46"/>
        <v>1059</v>
      </c>
      <c r="K191" s="17">
        <v>1550</v>
      </c>
      <c r="L191" s="85">
        <v>491</v>
      </c>
      <c r="M191" s="86">
        <f t="shared" ca="1" si="47"/>
        <v>2.3719806763285023</v>
      </c>
      <c r="N191" s="86">
        <f t="shared" si="48"/>
        <v>0.80451009251471861</v>
      </c>
      <c r="O191" s="86">
        <f t="shared" si="49"/>
        <v>1.4969512195121952</v>
      </c>
      <c r="P191" s="87">
        <f t="shared" si="50"/>
        <v>122.75000000000001</v>
      </c>
      <c r="Q191" s="104">
        <f t="shared" si="51"/>
        <v>8.6272912423625243</v>
      </c>
      <c r="R191" s="88">
        <f t="shared" si="52"/>
        <v>39.799331103678931</v>
      </c>
      <c r="S191" s="88">
        <f t="shared" si="53"/>
        <v>31.677419354838708</v>
      </c>
      <c r="T191" s="13">
        <f t="shared" si="54"/>
        <v>3</v>
      </c>
      <c r="U191" s="13">
        <f t="shared" si="55"/>
        <v>1</v>
      </c>
      <c r="V191" s="13">
        <f t="shared" si="56"/>
        <v>1</v>
      </c>
      <c r="W191" s="13">
        <f t="shared" ca="1" si="57"/>
        <v>3</v>
      </c>
      <c r="X191" s="13">
        <f t="shared" ca="1" si="58"/>
        <v>8</v>
      </c>
      <c r="Y191" s="81" t="str">
        <f t="shared" ca="1" si="59"/>
        <v>MONITOR</v>
      </c>
      <c r="Z191" s="13">
        <v>14</v>
      </c>
      <c r="AA191" s="75">
        <v>46059</v>
      </c>
      <c r="AB191" s="75">
        <f t="shared" si="60"/>
        <v>45920</v>
      </c>
      <c r="AC191" s="88">
        <f t="shared" si="61"/>
        <v>19.857142857142858</v>
      </c>
      <c r="AD191" s="89" t="str">
        <f t="shared" ca="1" si="62"/>
        <v>STABLE</v>
      </c>
      <c r="AE191" s="89" t="str">
        <f t="shared" si="66"/>
        <v>FAST SELLING</v>
      </c>
      <c r="AF191" s="89" t="str">
        <f t="shared" si="63"/>
        <v>AT RISK</v>
      </c>
      <c r="AG191" s="89" t="str">
        <f t="shared" si="64"/>
        <v>FEASIBLE</v>
      </c>
      <c r="AH191" s="81" t="str">
        <f t="shared" ca="1" si="65"/>
        <v>MONITOR</v>
      </c>
      <c r="AI191" s="75"/>
      <c r="AJ191" s="75"/>
      <c r="AK191" s="13"/>
      <c r="AL191" s="79"/>
      <c r="AM191" s="79"/>
      <c r="AN191" s="79"/>
      <c r="AO191" s="79"/>
      <c r="AP191" s="79"/>
      <c r="AQ191" s="75"/>
      <c r="AR191" s="75"/>
      <c r="AS191" s="75"/>
      <c r="AT191" s="75"/>
      <c r="AU191" s="75"/>
      <c r="AV191" s="13"/>
      <c r="AW191" s="13"/>
      <c r="AX191" s="13"/>
      <c r="AY191" s="13"/>
      <c r="AZ191" s="13"/>
      <c r="BA191" s="105"/>
      <c r="BB191" s="13"/>
      <c r="BC191" s="13"/>
      <c r="BD191" s="13"/>
      <c r="BE191" s="13"/>
      <c r="BF191" s="88"/>
      <c r="BG191" s="88"/>
      <c r="BH191" s="88"/>
      <c r="BI191" s="88"/>
      <c r="BJ191" s="88"/>
      <c r="BK191" s="105"/>
      <c r="BL191" s="105"/>
      <c r="BM191" s="105"/>
      <c r="BN191" s="105"/>
      <c r="BO191" s="105"/>
      <c r="BP191" s="105"/>
      <c r="BQ191" s="79"/>
      <c r="BR191" s="79"/>
      <c r="BS191" s="79"/>
      <c r="BT191" s="79"/>
      <c r="BU191" s="79"/>
      <c r="BV191" s="90"/>
      <c r="BW191" s="106"/>
      <c r="BX191" s="106"/>
      <c r="BY191" s="106"/>
      <c r="BZ191" s="106"/>
      <c r="CA191" s="106"/>
    </row>
    <row r="192" spans="1:79" x14ac:dyDescent="0.35">
      <c r="A192" s="25" t="s">
        <v>206</v>
      </c>
      <c r="B192" s="10" t="s">
        <v>330</v>
      </c>
      <c r="C192" s="10" t="s">
        <v>342</v>
      </c>
      <c r="D192" s="10" t="s">
        <v>346</v>
      </c>
      <c r="E192" s="11">
        <v>45885</v>
      </c>
      <c r="F192" s="17">
        <v>45892</v>
      </c>
      <c r="G192" s="14">
        <f t="shared" ca="1" si="45"/>
        <v>207</v>
      </c>
      <c r="H192" s="17">
        <v>299</v>
      </c>
      <c r="I192" s="17">
        <v>180</v>
      </c>
      <c r="J192" s="75">
        <f t="shared" si="46"/>
        <v>910</v>
      </c>
      <c r="K192" s="17">
        <v>1550</v>
      </c>
      <c r="L192" s="85">
        <v>640</v>
      </c>
      <c r="M192" s="86">
        <f t="shared" ca="1" si="47"/>
        <v>3.0917874396135265</v>
      </c>
      <c r="N192" s="86">
        <f t="shared" si="48"/>
        <v>0.80451009251471861</v>
      </c>
      <c r="O192" s="86">
        <f t="shared" si="49"/>
        <v>1.9512195121951219</v>
      </c>
      <c r="P192" s="87">
        <f t="shared" si="50"/>
        <v>160</v>
      </c>
      <c r="Q192" s="104">
        <f t="shared" si="51"/>
        <v>5.6875</v>
      </c>
      <c r="R192" s="88">
        <f t="shared" si="52"/>
        <v>39.799331103678931</v>
      </c>
      <c r="S192" s="88">
        <f t="shared" si="53"/>
        <v>41.29032258064516</v>
      </c>
      <c r="T192" s="13">
        <f t="shared" si="54"/>
        <v>3</v>
      </c>
      <c r="U192" s="13">
        <f t="shared" si="55"/>
        <v>2</v>
      </c>
      <c r="V192" s="13">
        <f t="shared" si="56"/>
        <v>1</v>
      </c>
      <c r="W192" s="13">
        <f t="shared" ca="1" si="57"/>
        <v>3</v>
      </c>
      <c r="X192" s="13">
        <f t="shared" ca="1" si="58"/>
        <v>9</v>
      </c>
      <c r="Y192" s="81" t="str">
        <f t="shared" ca="1" si="59"/>
        <v>RE-BUY</v>
      </c>
      <c r="Z192" s="13">
        <v>14</v>
      </c>
      <c r="AA192" s="75">
        <v>46059</v>
      </c>
      <c r="AB192" s="75">
        <f t="shared" si="60"/>
        <v>45920</v>
      </c>
      <c r="AC192" s="88">
        <f t="shared" si="61"/>
        <v>19.857142857142858</v>
      </c>
      <c r="AD192" s="89" t="str">
        <f t="shared" ca="1" si="62"/>
        <v>STABLE</v>
      </c>
      <c r="AE192" s="89" t="str">
        <f t="shared" si="66"/>
        <v>FAST SELLING</v>
      </c>
      <c r="AF192" s="89" t="str">
        <f t="shared" si="63"/>
        <v>AT RISK</v>
      </c>
      <c r="AG192" s="89" t="str">
        <f t="shared" si="64"/>
        <v>FEASIBLE</v>
      </c>
      <c r="AH192" s="81" t="str">
        <f t="shared" ca="1" si="65"/>
        <v>IMMEDIATE REBUY</v>
      </c>
      <c r="AI192" s="75"/>
      <c r="AJ192" s="75"/>
      <c r="AK192" s="13"/>
      <c r="AL192" s="79"/>
      <c r="AM192" s="79"/>
      <c r="AN192" s="79"/>
      <c r="AO192" s="79"/>
      <c r="AP192" s="79"/>
      <c r="AQ192" s="75"/>
      <c r="AR192" s="75"/>
      <c r="AS192" s="75"/>
      <c r="AT192" s="75"/>
      <c r="AU192" s="75"/>
      <c r="AV192" s="13"/>
      <c r="AW192" s="13"/>
      <c r="AX192" s="13"/>
      <c r="AY192" s="13"/>
      <c r="AZ192" s="13"/>
      <c r="BA192" s="105"/>
      <c r="BB192" s="13"/>
      <c r="BC192" s="13"/>
      <c r="BD192" s="13"/>
      <c r="BE192" s="13"/>
      <c r="BF192" s="88"/>
      <c r="BG192" s="88"/>
      <c r="BH192" s="88"/>
      <c r="BI192" s="88"/>
      <c r="BJ192" s="88"/>
      <c r="BK192" s="105"/>
      <c r="BL192" s="105"/>
      <c r="BM192" s="105"/>
      <c r="BN192" s="105"/>
      <c r="BO192" s="105"/>
      <c r="BP192" s="105"/>
      <c r="BQ192" s="79"/>
      <c r="BR192" s="79"/>
      <c r="BS192" s="79"/>
      <c r="BT192" s="79"/>
      <c r="BU192" s="79"/>
      <c r="BV192" s="90"/>
      <c r="BW192" s="106"/>
      <c r="BX192" s="106"/>
      <c r="BY192" s="106"/>
      <c r="BZ192" s="106"/>
      <c r="CA192" s="106"/>
    </row>
    <row r="193" spans="1:79" x14ac:dyDescent="0.35">
      <c r="A193" s="25" t="s">
        <v>207</v>
      </c>
      <c r="B193" s="10" t="s">
        <v>330</v>
      </c>
      <c r="C193" s="10" t="s">
        <v>342</v>
      </c>
      <c r="D193" s="10" t="s">
        <v>346</v>
      </c>
      <c r="E193" s="11">
        <v>45885</v>
      </c>
      <c r="F193" s="17">
        <v>45892</v>
      </c>
      <c r="G193" s="14">
        <f t="shared" ca="1" si="45"/>
        <v>207</v>
      </c>
      <c r="H193" s="17">
        <v>299</v>
      </c>
      <c r="I193" s="17">
        <v>180</v>
      </c>
      <c r="J193" s="75">
        <f t="shared" si="46"/>
        <v>1120</v>
      </c>
      <c r="K193" s="17">
        <v>1550</v>
      </c>
      <c r="L193" s="85">
        <v>430</v>
      </c>
      <c r="M193" s="86">
        <f t="shared" ca="1" si="47"/>
        <v>2.0772946859903381</v>
      </c>
      <c r="N193" s="86">
        <f t="shared" si="48"/>
        <v>0.80451009251471861</v>
      </c>
      <c r="O193" s="86">
        <f t="shared" si="49"/>
        <v>1.3109756097560976</v>
      </c>
      <c r="P193" s="87">
        <f t="shared" si="50"/>
        <v>107.5</v>
      </c>
      <c r="Q193" s="104">
        <f t="shared" si="51"/>
        <v>10.418604651162791</v>
      </c>
      <c r="R193" s="88">
        <f t="shared" si="52"/>
        <v>39.799331103678931</v>
      </c>
      <c r="S193" s="88">
        <f t="shared" si="53"/>
        <v>27.741935483870968</v>
      </c>
      <c r="T193" s="13">
        <f t="shared" si="54"/>
        <v>3</v>
      </c>
      <c r="U193" s="13">
        <f t="shared" si="55"/>
        <v>1</v>
      </c>
      <c r="V193" s="13">
        <f t="shared" si="56"/>
        <v>1</v>
      </c>
      <c r="W193" s="13">
        <f t="shared" ca="1" si="57"/>
        <v>3</v>
      </c>
      <c r="X193" s="13">
        <f t="shared" ca="1" si="58"/>
        <v>8</v>
      </c>
      <c r="Y193" s="81" t="str">
        <f t="shared" ca="1" si="59"/>
        <v>MONITOR</v>
      </c>
      <c r="Z193" s="13">
        <v>14</v>
      </c>
      <c r="AA193" s="75">
        <v>46059</v>
      </c>
      <c r="AB193" s="75">
        <f t="shared" si="60"/>
        <v>45920</v>
      </c>
      <c r="AC193" s="88">
        <f t="shared" si="61"/>
        <v>19.857142857142858</v>
      </c>
      <c r="AD193" s="89" t="str">
        <f t="shared" ca="1" si="62"/>
        <v>STABLE</v>
      </c>
      <c r="AE193" s="89" t="str">
        <f t="shared" si="66"/>
        <v>FAST SELLING</v>
      </c>
      <c r="AF193" s="89" t="str">
        <f t="shared" si="63"/>
        <v>AT RISK</v>
      </c>
      <c r="AG193" s="89" t="str">
        <f t="shared" si="64"/>
        <v>FEASIBLE</v>
      </c>
      <c r="AH193" s="81" t="str">
        <f t="shared" ca="1" si="65"/>
        <v>MONITOR</v>
      </c>
      <c r="AI193" s="75"/>
      <c r="AJ193" s="75"/>
      <c r="AK193" s="13"/>
      <c r="AL193" s="79"/>
      <c r="AM193" s="79"/>
      <c r="AN193" s="79"/>
      <c r="AO193" s="79"/>
      <c r="AP193" s="79"/>
      <c r="AQ193" s="75"/>
      <c r="AR193" s="75"/>
      <c r="AS193" s="75"/>
      <c r="AT193" s="75"/>
      <c r="AU193" s="75"/>
      <c r="AV193" s="13"/>
      <c r="AW193" s="13"/>
      <c r="AX193" s="13"/>
      <c r="AY193" s="13"/>
      <c r="AZ193" s="13"/>
      <c r="BA193" s="105"/>
      <c r="BB193" s="13"/>
      <c r="BC193" s="13"/>
      <c r="BD193" s="13"/>
      <c r="BE193" s="13"/>
      <c r="BF193" s="88"/>
      <c r="BG193" s="88"/>
      <c r="BH193" s="88"/>
      <c r="BI193" s="88"/>
      <c r="BJ193" s="88"/>
      <c r="BK193" s="105"/>
      <c r="BL193" s="105"/>
      <c r="BM193" s="105"/>
      <c r="BN193" s="105"/>
      <c r="BO193" s="105"/>
      <c r="BP193" s="105"/>
      <c r="BQ193" s="79"/>
      <c r="BR193" s="79"/>
      <c r="BS193" s="79"/>
      <c r="BT193" s="79"/>
      <c r="BU193" s="79"/>
      <c r="BV193" s="90"/>
      <c r="BW193" s="106"/>
      <c r="BX193" s="106"/>
      <c r="BY193" s="106"/>
      <c r="BZ193" s="106"/>
      <c r="CA193" s="106"/>
    </row>
    <row r="194" spans="1:79" x14ac:dyDescent="0.35">
      <c r="A194" s="25" t="s">
        <v>208</v>
      </c>
      <c r="B194" s="10" t="s">
        <v>330</v>
      </c>
      <c r="C194" s="10" t="s">
        <v>342</v>
      </c>
      <c r="D194" s="10" t="s">
        <v>346</v>
      </c>
      <c r="E194" s="11">
        <v>45885</v>
      </c>
      <c r="F194" s="17">
        <v>45892</v>
      </c>
      <c r="G194" s="14">
        <f t="shared" ca="1" si="45"/>
        <v>207</v>
      </c>
      <c r="H194" s="17">
        <v>299</v>
      </c>
      <c r="I194" s="17">
        <v>180</v>
      </c>
      <c r="J194" s="75">
        <f t="shared" si="46"/>
        <v>1218</v>
      </c>
      <c r="K194" s="17">
        <v>1550</v>
      </c>
      <c r="L194" s="85">
        <v>332</v>
      </c>
      <c r="M194" s="86">
        <f t="shared" ca="1" si="47"/>
        <v>1.6038647342995169</v>
      </c>
      <c r="N194" s="86">
        <f t="shared" si="48"/>
        <v>0.80451009251471861</v>
      </c>
      <c r="O194" s="86">
        <f t="shared" si="49"/>
        <v>1.0121951219512195</v>
      </c>
      <c r="P194" s="87">
        <f t="shared" si="50"/>
        <v>83</v>
      </c>
      <c r="Q194" s="104">
        <f t="shared" si="51"/>
        <v>14.674698795180722</v>
      </c>
      <c r="R194" s="88">
        <f t="shared" si="52"/>
        <v>39.799331103678931</v>
      </c>
      <c r="S194" s="88">
        <f t="shared" si="53"/>
        <v>21.41935483870968</v>
      </c>
      <c r="T194" s="13">
        <f t="shared" si="54"/>
        <v>3</v>
      </c>
      <c r="U194" s="13">
        <f t="shared" si="55"/>
        <v>1</v>
      </c>
      <c r="V194" s="13">
        <f t="shared" si="56"/>
        <v>1</v>
      </c>
      <c r="W194" s="13">
        <f t="shared" ca="1" si="57"/>
        <v>3</v>
      </c>
      <c r="X194" s="13">
        <f t="shared" ca="1" si="58"/>
        <v>8</v>
      </c>
      <c r="Y194" s="81" t="str">
        <f t="shared" ca="1" si="59"/>
        <v>MONITOR</v>
      </c>
      <c r="Z194" s="13">
        <v>14</v>
      </c>
      <c r="AA194" s="75">
        <v>46059</v>
      </c>
      <c r="AB194" s="75">
        <f t="shared" si="60"/>
        <v>45920</v>
      </c>
      <c r="AC194" s="88">
        <f t="shared" si="61"/>
        <v>19.857142857142858</v>
      </c>
      <c r="AD194" s="89" t="str">
        <f t="shared" ca="1" si="62"/>
        <v>STABLE</v>
      </c>
      <c r="AE194" s="89" t="str">
        <f t="shared" si="66"/>
        <v>FAST SELLING</v>
      </c>
      <c r="AF194" s="89" t="str">
        <f t="shared" si="63"/>
        <v>AT RISK</v>
      </c>
      <c r="AG194" s="89" t="str">
        <f t="shared" si="64"/>
        <v>FEASIBLE</v>
      </c>
      <c r="AH194" s="81" t="str">
        <f t="shared" ca="1" si="65"/>
        <v>MONITOR</v>
      </c>
      <c r="AI194" s="75"/>
      <c r="AJ194" s="75"/>
      <c r="AK194" s="13"/>
      <c r="AL194" s="79"/>
      <c r="AM194" s="79"/>
      <c r="AN194" s="79"/>
      <c r="AO194" s="79"/>
      <c r="AP194" s="79"/>
      <c r="AQ194" s="75"/>
      <c r="AR194" s="75"/>
      <c r="AS194" s="75"/>
      <c r="AT194" s="75"/>
      <c r="AU194" s="75"/>
      <c r="AV194" s="13"/>
      <c r="AW194" s="13"/>
      <c r="AX194" s="13"/>
      <c r="AY194" s="13"/>
      <c r="AZ194" s="13"/>
      <c r="BA194" s="105"/>
      <c r="BB194" s="13"/>
      <c r="BC194" s="13"/>
      <c r="BD194" s="13"/>
      <c r="BE194" s="13"/>
      <c r="BF194" s="88"/>
      <c r="BG194" s="88"/>
      <c r="BH194" s="88"/>
      <c r="BI194" s="88"/>
      <c r="BJ194" s="88"/>
      <c r="BK194" s="105"/>
      <c r="BL194" s="105"/>
      <c r="BM194" s="105"/>
      <c r="BN194" s="105"/>
      <c r="BO194" s="105"/>
      <c r="BP194" s="105"/>
      <c r="BQ194" s="79"/>
      <c r="BR194" s="79"/>
      <c r="BS194" s="79"/>
      <c r="BT194" s="79"/>
      <c r="BU194" s="79"/>
      <c r="BV194" s="90"/>
      <c r="BW194" s="106"/>
      <c r="BX194" s="106"/>
      <c r="BY194" s="106"/>
      <c r="BZ194" s="106"/>
      <c r="CA194" s="106"/>
    </row>
    <row r="195" spans="1:79" x14ac:dyDescent="0.35">
      <c r="A195" s="25" t="s">
        <v>209</v>
      </c>
      <c r="B195" s="10" t="s">
        <v>330</v>
      </c>
      <c r="C195" s="10" t="s">
        <v>342</v>
      </c>
      <c r="D195" s="10" t="s">
        <v>346</v>
      </c>
      <c r="E195" s="11">
        <v>45885</v>
      </c>
      <c r="F195" s="17">
        <v>45892</v>
      </c>
      <c r="G195" s="14">
        <f t="shared" ref="G195:G258" ca="1" si="67">TODAY()-F195</f>
        <v>207</v>
      </c>
      <c r="H195" s="17">
        <v>299</v>
      </c>
      <c r="I195" s="17">
        <v>180</v>
      </c>
      <c r="J195" s="75">
        <f t="shared" ref="J195:J258" si="68">K195-L195</f>
        <v>1079</v>
      </c>
      <c r="K195" s="17">
        <v>1550</v>
      </c>
      <c r="L195" s="85">
        <v>471</v>
      </c>
      <c r="M195" s="86">
        <f t="shared" ref="M195:M258" ca="1" si="69">L195/G195</f>
        <v>2.2753623188405796</v>
      </c>
      <c r="N195" s="86">
        <f t="shared" ref="N195:N258" si="70">AVERAGEIFS(O:O,C:C,C195)</f>
        <v>0.80451009251471861</v>
      </c>
      <c r="O195" s="86">
        <f t="shared" ref="O195:O258" si="71">L195/328</f>
        <v>1.4359756097560976</v>
      </c>
      <c r="P195" s="87">
        <f t="shared" ref="P195:P258" si="72">O195*82</f>
        <v>117.75</v>
      </c>
      <c r="Q195" s="104">
        <f t="shared" ref="Q195:Q258" si="73">J195/P195</f>
        <v>9.1634819532908711</v>
      </c>
      <c r="R195" s="88">
        <f t="shared" ref="R195:R258" si="74">(H195-I195)/H195*100</f>
        <v>39.799331103678931</v>
      </c>
      <c r="S195" s="88">
        <f t="shared" ref="S195:S258" si="75">L195/K195*100</f>
        <v>30.387096774193552</v>
      </c>
      <c r="T195" s="13">
        <f t="shared" ref="T195:T258" si="76">IF(O195&gt;=N195,3,IF(O195&gt;=0.8*N195,2,1))</f>
        <v>3</v>
      </c>
      <c r="U195" s="13">
        <f t="shared" ref="U195:U258" si="77">IF(Q195&lt;=4,3,IF(Q195&lt;=6,2,1))</f>
        <v>1</v>
      </c>
      <c r="V195" s="13">
        <f t="shared" ref="V195:V258" si="78">IF(R195&gt;=60,3,IF(R195&gt;=45,2,1))</f>
        <v>1</v>
      </c>
      <c r="W195" s="13">
        <f t="shared" ref="W195:W258" ca="1" si="79">IF(M195&lt;=10,3,IF(M195&lt;=25,2,1))</f>
        <v>3</v>
      </c>
      <c r="X195" s="13">
        <f t="shared" ref="X195:X258" ca="1" si="80">T195+U195+V195+W195</f>
        <v>8</v>
      </c>
      <c r="Y195" s="81" t="str">
        <f t="shared" ref="Y195:Y258" ca="1" si="81">IFERROR(IF(X195&gt;=9,"RE-BUY",IF(X195&gt;=6,"MONITOR","EXIT")),"EXIT")</f>
        <v>MONITOR</v>
      </c>
      <c r="Z195" s="13">
        <v>14</v>
      </c>
      <c r="AA195" s="75">
        <v>46059</v>
      </c>
      <c r="AB195" s="75">
        <f t="shared" ref="AB195:AB258" si="82">F195+28</f>
        <v>45920</v>
      </c>
      <c r="AC195" s="88">
        <f t="shared" ref="AC195:AC258" si="83">(AA195-AB195)/7</f>
        <v>19.857142857142858</v>
      </c>
      <c r="AD195" s="89" t="str">
        <f t="shared" ref="AD195:AD258" ca="1" si="84">IF(G195&gt;=21,"STABLE","TOO EARLY")</f>
        <v>STABLE</v>
      </c>
      <c r="AE195" s="89" t="str">
        <f t="shared" si="66"/>
        <v>FAST SELLING</v>
      </c>
      <c r="AF195" s="89" t="str">
        <f t="shared" ref="AF195:AF258" si="85">IF(U195&lt;=Z195,"AT RISK","SAFE")</f>
        <v>AT RISK</v>
      </c>
      <c r="AG195" s="89" t="str">
        <f t="shared" ref="AG195:AG258" si="86">IF(Z195&lt;=AC195,"FEASIBLE","NOT FEASIBLE")</f>
        <v>FEASIBLE</v>
      </c>
      <c r="AH195" s="81" t="str">
        <f t="shared" ref="AH195:AH258" ca="1" si="87">IF(AND(Y195="RE-BUY",AD195="STABLE",AE195="FAST SELLING",AG195="FEASIBLE"),"IMMEDIATE REBUY","MONITOR")</f>
        <v>MONITOR</v>
      </c>
      <c r="AI195" s="75"/>
      <c r="AJ195" s="75"/>
      <c r="AK195" s="13"/>
      <c r="AL195" s="79"/>
      <c r="AM195" s="79"/>
      <c r="AN195" s="79"/>
      <c r="AO195" s="79"/>
      <c r="AP195" s="79"/>
      <c r="AQ195" s="75"/>
      <c r="AR195" s="75"/>
      <c r="AS195" s="75"/>
      <c r="AT195" s="75"/>
      <c r="AU195" s="75"/>
      <c r="AV195" s="13"/>
      <c r="AW195" s="13"/>
      <c r="AX195" s="13"/>
      <c r="AY195" s="13"/>
      <c r="AZ195" s="13"/>
      <c r="BA195" s="105"/>
      <c r="BB195" s="13"/>
      <c r="BC195" s="13"/>
      <c r="BD195" s="13"/>
      <c r="BE195" s="13"/>
      <c r="BF195" s="88"/>
      <c r="BG195" s="88"/>
      <c r="BH195" s="88"/>
      <c r="BI195" s="88"/>
      <c r="BJ195" s="88"/>
      <c r="BK195" s="105"/>
      <c r="BL195" s="105"/>
      <c r="BM195" s="105"/>
      <c r="BN195" s="105"/>
      <c r="BO195" s="105"/>
      <c r="BP195" s="105"/>
      <c r="BQ195" s="79"/>
      <c r="BR195" s="79"/>
      <c r="BS195" s="79"/>
      <c r="BT195" s="79"/>
      <c r="BU195" s="79"/>
      <c r="BV195" s="90"/>
      <c r="BW195" s="106"/>
      <c r="BX195" s="106"/>
      <c r="BY195" s="106"/>
      <c r="BZ195" s="106"/>
      <c r="CA195" s="106"/>
    </row>
    <row r="196" spans="1:79" x14ac:dyDescent="0.35">
      <c r="A196" s="25" t="s">
        <v>210</v>
      </c>
      <c r="B196" s="10" t="s">
        <v>319</v>
      </c>
      <c r="C196" s="10" t="s">
        <v>342</v>
      </c>
      <c r="D196" s="10" t="s">
        <v>346</v>
      </c>
      <c r="E196" s="11">
        <v>45892</v>
      </c>
      <c r="F196" s="17">
        <v>45892</v>
      </c>
      <c r="G196" s="14">
        <f t="shared" ca="1" si="67"/>
        <v>207</v>
      </c>
      <c r="H196" s="17">
        <v>499</v>
      </c>
      <c r="I196" s="17">
        <v>248</v>
      </c>
      <c r="J196" s="75">
        <f t="shared" si="68"/>
        <v>746</v>
      </c>
      <c r="K196" s="17">
        <v>900</v>
      </c>
      <c r="L196" s="85">
        <v>154</v>
      </c>
      <c r="M196" s="86">
        <f t="shared" ca="1" si="69"/>
        <v>0.7439613526570048</v>
      </c>
      <c r="N196" s="86">
        <f t="shared" si="70"/>
        <v>0.80451009251471861</v>
      </c>
      <c r="O196" s="86">
        <f t="shared" si="71"/>
        <v>0.46951219512195119</v>
      </c>
      <c r="P196" s="87">
        <f t="shared" si="72"/>
        <v>38.5</v>
      </c>
      <c r="Q196" s="104">
        <f t="shared" si="73"/>
        <v>19.376623376623378</v>
      </c>
      <c r="R196" s="88">
        <f t="shared" si="74"/>
        <v>50.300601202404806</v>
      </c>
      <c r="S196" s="88">
        <f t="shared" si="75"/>
        <v>17.111111111111111</v>
      </c>
      <c r="T196" s="13">
        <f t="shared" si="76"/>
        <v>1</v>
      </c>
      <c r="U196" s="13">
        <f t="shared" si="77"/>
        <v>1</v>
      </c>
      <c r="V196" s="13">
        <f t="shared" si="78"/>
        <v>2</v>
      </c>
      <c r="W196" s="13">
        <f t="shared" ca="1" si="79"/>
        <v>3</v>
      </c>
      <c r="X196" s="13">
        <f t="shared" ca="1" si="80"/>
        <v>7</v>
      </c>
      <c r="Y196" s="81" t="str">
        <f t="shared" ca="1" si="81"/>
        <v>MONITOR</v>
      </c>
      <c r="Z196" s="13">
        <v>14</v>
      </c>
      <c r="AA196" s="75">
        <v>46059</v>
      </c>
      <c r="AB196" s="75">
        <f t="shared" si="82"/>
        <v>45920</v>
      </c>
      <c r="AC196" s="88">
        <f t="shared" si="83"/>
        <v>19.857142857142858</v>
      </c>
      <c r="AD196" s="89" t="str">
        <f t="shared" ca="1" si="84"/>
        <v>STABLE</v>
      </c>
      <c r="AE196" s="89" t="str">
        <f t="shared" si="66"/>
        <v>SLOW SELLING</v>
      </c>
      <c r="AF196" s="89" t="str">
        <f t="shared" si="85"/>
        <v>AT RISK</v>
      </c>
      <c r="AG196" s="89" t="str">
        <f t="shared" si="86"/>
        <v>FEASIBLE</v>
      </c>
      <c r="AH196" s="81" t="str">
        <f t="shared" ca="1" si="87"/>
        <v>MONITOR</v>
      </c>
      <c r="AI196" s="75"/>
      <c r="AJ196" s="75"/>
      <c r="AK196" s="13"/>
      <c r="AL196" s="79"/>
      <c r="AM196" s="79"/>
      <c r="AN196" s="79"/>
      <c r="AO196" s="79"/>
      <c r="AP196" s="79"/>
      <c r="AQ196" s="75"/>
      <c r="AR196" s="75"/>
      <c r="AS196" s="75"/>
      <c r="AT196" s="75"/>
      <c r="AU196" s="75"/>
      <c r="AV196" s="13"/>
      <c r="AW196" s="13"/>
      <c r="AX196" s="13"/>
      <c r="AY196" s="13"/>
      <c r="AZ196" s="13"/>
      <c r="BA196" s="105"/>
      <c r="BB196" s="13"/>
      <c r="BC196" s="13"/>
      <c r="BD196" s="13"/>
      <c r="BE196" s="13"/>
      <c r="BF196" s="88"/>
      <c r="BG196" s="88"/>
      <c r="BH196" s="88"/>
      <c r="BI196" s="88"/>
      <c r="BJ196" s="88"/>
      <c r="BK196" s="105"/>
      <c r="BL196" s="105"/>
      <c r="BM196" s="105"/>
      <c r="BN196" s="105"/>
      <c r="BO196" s="105"/>
      <c r="BP196" s="105"/>
      <c r="BQ196" s="79"/>
      <c r="BR196" s="79"/>
      <c r="BS196" s="79"/>
      <c r="BT196" s="79"/>
      <c r="BU196" s="79"/>
      <c r="BV196" s="90"/>
      <c r="BW196" s="106"/>
      <c r="BX196" s="106"/>
      <c r="BY196" s="106"/>
      <c r="BZ196" s="106"/>
      <c r="CA196" s="106"/>
    </row>
    <row r="197" spans="1:79" x14ac:dyDescent="0.35">
      <c r="A197" s="25" t="s">
        <v>211</v>
      </c>
      <c r="B197" s="10" t="s">
        <v>319</v>
      </c>
      <c r="C197" s="10" t="s">
        <v>342</v>
      </c>
      <c r="D197" s="10" t="s">
        <v>346</v>
      </c>
      <c r="E197" s="11">
        <v>45892</v>
      </c>
      <c r="F197" s="17">
        <v>45892</v>
      </c>
      <c r="G197" s="14">
        <f t="shared" ca="1" si="67"/>
        <v>207</v>
      </c>
      <c r="H197" s="17">
        <v>499</v>
      </c>
      <c r="I197" s="17">
        <v>248</v>
      </c>
      <c r="J197" s="75">
        <f t="shared" si="68"/>
        <v>815</v>
      </c>
      <c r="K197" s="17">
        <v>900</v>
      </c>
      <c r="L197" s="85">
        <v>85</v>
      </c>
      <c r="M197" s="86">
        <f t="shared" ca="1" si="69"/>
        <v>0.41062801932367149</v>
      </c>
      <c r="N197" s="86">
        <f t="shared" si="70"/>
        <v>0.80451009251471861</v>
      </c>
      <c r="O197" s="86">
        <f t="shared" si="71"/>
        <v>0.25914634146341464</v>
      </c>
      <c r="P197" s="87">
        <f t="shared" si="72"/>
        <v>21.25</v>
      </c>
      <c r="Q197" s="104">
        <f t="shared" si="73"/>
        <v>38.352941176470587</v>
      </c>
      <c r="R197" s="88">
        <f t="shared" si="74"/>
        <v>50.300601202404806</v>
      </c>
      <c r="S197" s="88">
        <f t="shared" si="75"/>
        <v>9.4444444444444446</v>
      </c>
      <c r="T197" s="13">
        <f t="shared" si="76"/>
        <v>1</v>
      </c>
      <c r="U197" s="13">
        <f t="shared" si="77"/>
        <v>1</v>
      </c>
      <c r="V197" s="13">
        <f t="shared" si="78"/>
        <v>2</v>
      </c>
      <c r="W197" s="13">
        <f t="shared" ca="1" si="79"/>
        <v>3</v>
      </c>
      <c r="X197" s="13">
        <f t="shared" ca="1" si="80"/>
        <v>7</v>
      </c>
      <c r="Y197" s="81" t="str">
        <f t="shared" ca="1" si="81"/>
        <v>MONITOR</v>
      </c>
      <c r="Z197" s="13">
        <v>14</v>
      </c>
      <c r="AA197" s="75">
        <v>46059</v>
      </c>
      <c r="AB197" s="75">
        <f t="shared" si="82"/>
        <v>45920</v>
      </c>
      <c r="AC197" s="88">
        <f t="shared" si="83"/>
        <v>19.857142857142858</v>
      </c>
      <c r="AD197" s="89" t="str">
        <f t="shared" ca="1" si="84"/>
        <v>STABLE</v>
      </c>
      <c r="AE197" s="89" t="str">
        <f t="shared" si="66"/>
        <v>SLOW SELLING</v>
      </c>
      <c r="AF197" s="89" t="str">
        <f t="shared" si="85"/>
        <v>AT RISK</v>
      </c>
      <c r="AG197" s="89" t="str">
        <f t="shared" si="86"/>
        <v>FEASIBLE</v>
      </c>
      <c r="AH197" s="81" t="str">
        <f t="shared" ca="1" si="87"/>
        <v>MONITOR</v>
      </c>
      <c r="AI197" s="75"/>
      <c r="AJ197" s="75"/>
      <c r="AK197" s="13"/>
      <c r="AL197" s="79"/>
      <c r="AM197" s="79"/>
      <c r="AN197" s="79"/>
      <c r="AO197" s="79"/>
      <c r="AP197" s="79"/>
      <c r="AQ197" s="75"/>
      <c r="AR197" s="75"/>
      <c r="AS197" s="75"/>
      <c r="AT197" s="75"/>
      <c r="AU197" s="75"/>
      <c r="AV197" s="13"/>
      <c r="AW197" s="13"/>
      <c r="AX197" s="13"/>
      <c r="AY197" s="13"/>
      <c r="AZ197" s="13"/>
      <c r="BA197" s="105"/>
      <c r="BB197" s="13"/>
      <c r="BC197" s="13"/>
      <c r="BD197" s="13"/>
      <c r="BE197" s="13"/>
      <c r="BF197" s="88"/>
      <c r="BG197" s="88"/>
      <c r="BH197" s="88"/>
      <c r="BI197" s="88"/>
      <c r="BJ197" s="88"/>
      <c r="BK197" s="105"/>
      <c r="BL197" s="105"/>
      <c r="BM197" s="105"/>
      <c r="BN197" s="105"/>
      <c r="BO197" s="105"/>
      <c r="BP197" s="105"/>
      <c r="BQ197" s="79"/>
      <c r="BR197" s="79"/>
      <c r="BS197" s="79"/>
      <c r="BT197" s="79"/>
      <c r="BU197" s="79"/>
      <c r="BV197" s="90"/>
      <c r="BW197" s="106"/>
      <c r="BX197" s="106"/>
      <c r="BY197" s="106"/>
      <c r="BZ197" s="106"/>
      <c r="CA197" s="106"/>
    </row>
    <row r="198" spans="1:79" x14ac:dyDescent="0.35">
      <c r="A198" s="25" t="s">
        <v>212</v>
      </c>
      <c r="B198" s="10" t="s">
        <v>319</v>
      </c>
      <c r="C198" s="10" t="s">
        <v>342</v>
      </c>
      <c r="D198" s="10" t="s">
        <v>346</v>
      </c>
      <c r="E198" s="11">
        <v>45864</v>
      </c>
      <c r="F198" s="17">
        <v>45892</v>
      </c>
      <c r="G198" s="14">
        <f t="shared" ca="1" si="67"/>
        <v>207</v>
      </c>
      <c r="H198" s="17">
        <v>499</v>
      </c>
      <c r="I198" s="17">
        <v>270</v>
      </c>
      <c r="J198" s="75">
        <f t="shared" si="68"/>
        <v>892</v>
      </c>
      <c r="K198" s="17">
        <v>900</v>
      </c>
      <c r="L198" s="85">
        <v>8</v>
      </c>
      <c r="M198" s="86">
        <f t="shared" ca="1" si="69"/>
        <v>3.864734299516908E-2</v>
      </c>
      <c r="N198" s="86">
        <f t="shared" si="70"/>
        <v>0.80451009251471861</v>
      </c>
      <c r="O198" s="86">
        <f t="shared" si="71"/>
        <v>2.4390243902439025E-2</v>
      </c>
      <c r="P198" s="87">
        <f t="shared" si="72"/>
        <v>2</v>
      </c>
      <c r="Q198" s="104">
        <f t="shared" si="73"/>
        <v>446</v>
      </c>
      <c r="R198" s="88">
        <f t="shared" si="74"/>
        <v>45.891783567134269</v>
      </c>
      <c r="S198" s="88">
        <f t="shared" si="75"/>
        <v>0.88888888888888884</v>
      </c>
      <c r="T198" s="13">
        <f t="shared" si="76"/>
        <v>1</v>
      </c>
      <c r="U198" s="13">
        <f t="shared" si="77"/>
        <v>1</v>
      </c>
      <c r="V198" s="13">
        <f t="shared" si="78"/>
        <v>2</v>
      </c>
      <c r="W198" s="13">
        <f t="shared" ca="1" si="79"/>
        <v>3</v>
      </c>
      <c r="X198" s="13">
        <f t="shared" ca="1" si="80"/>
        <v>7</v>
      </c>
      <c r="Y198" s="81" t="str">
        <f t="shared" ca="1" si="81"/>
        <v>MONITOR</v>
      </c>
      <c r="Z198" s="13">
        <v>14</v>
      </c>
      <c r="AA198" s="75">
        <v>46059</v>
      </c>
      <c r="AB198" s="75">
        <f t="shared" si="82"/>
        <v>45920</v>
      </c>
      <c r="AC198" s="88">
        <f t="shared" si="83"/>
        <v>19.857142857142858</v>
      </c>
      <c r="AD198" s="89" t="str">
        <f t="shared" ca="1" si="84"/>
        <v>STABLE</v>
      </c>
      <c r="AE198" s="89" t="str">
        <f t="shared" si="66"/>
        <v>SLOW SELLING</v>
      </c>
      <c r="AF198" s="89" t="str">
        <f t="shared" si="85"/>
        <v>AT RISK</v>
      </c>
      <c r="AG198" s="89" t="str">
        <f t="shared" si="86"/>
        <v>FEASIBLE</v>
      </c>
      <c r="AH198" s="81" t="str">
        <f t="shared" ca="1" si="87"/>
        <v>MONITOR</v>
      </c>
      <c r="AI198" s="75"/>
      <c r="AJ198" s="75"/>
      <c r="AK198" s="13"/>
      <c r="AL198" s="79"/>
      <c r="AM198" s="79"/>
      <c r="AN198" s="79"/>
      <c r="AO198" s="79"/>
      <c r="AP198" s="79"/>
      <c r="AQ198" s="75"/>
      <c r="AR198" s="75"/>
      <c r="AS198" s="75"/>
      <c r="AT198" s="75"/>
      <c r="AU198" s="75"/>
      <c r="AV198" s="13"/>
      <c r="AW198" s="13"/>
      <c r="AX198" s="13"/>
      <c r="AY198" s="13"/>
      <c r="AZ198" s="13"/>
      <c r="BA198" s="105"/>
      <c r="BB198" s="13"/>
      <c r="BC198" s="13"/>
      <c r="BD198" s="13"/>
      <c r="BE198" s="13"/>
      <c r="BF198" s="88"/>
      <c r="BG198" s="88"/>
      <c r="BH198" s="88"/>
      <c r="BI198" s="88"/>
      <c r="BJ198" s="88"/>
      <c r="BK198" s="105"/>
      <c r="BL198" s="105"/>
      <c r="BM198" s="105"/>
      <c r="BN198" s="105"/>
      <c r="BO198" s="105"/>
      <c r="BP198" s="105"/>
      <c r="BQ198" s="79"/>
      <c r="BR198" s="79"/>
      <c r="BS198" s="79"/>
      <c r="BT198" s="79"/>
      <c r="BU198" s="79"/>
      <c r="BV198" s="90"/>
      <c r="BW198" s="106"/>
      <c r="BX198" s="106"/>
      <c r="BY198" s="106"/>
      <c r="BZ198" s="106"/>
      <c r="CA198" s="106"/>
    </row>
    <row r="199" spans="1:79" x14ac:dyDescent="0.35">
      <c r="A199" s="25" t="s">
        <v>213</v>
      </c>
      <c r="B199" s="10" t="s">
        <v>319</v>
      </c>
      <c r="C199" s="10" t="s">
        <v>342</v>
      </c>
      <c r="D199" s="10" t="s">
        <v>346</v>
      </c>
      <c r="E199" s="11">
        <v>45864</v>
      </c>
      <c r="F199" s="17">
        <v>45892</v>
      </c>
      <c r="G199" s="14">
        <f t="shared" ca="1" si="67"/>
        <v>207</v>
      </c>
      <c r="H199" s="17">
        <v>499</v>
      </c>
      <c r="I199" s="17">
        <v>245</v>
      </c>
      <c r="J199" s="75">
        <f t="shared" si="68"/>
        <v>382</v>
      </c>
      <c r="K199" s="17">
        <v>750</v>
      </c>
      <c r="L199" s="85">
        <v>368</v>
      </c>
      <c r="M199" s="86">
        <f t="shared" ca="1" si="69"/>
        <v>1.7777777777777777</v>
      </c>
      <c r="N199" s="86">
        <f t="shared" si="70"/>
        <v>0.80451009251471861</v>
      </c>
      <c r="O199" s="86">
        <f t="shared" si="71"/>
        <v>1.1219512195121952</v>
      </c>
      <c r="P199" s="87">
        <f t="shared" si="72"/>
        <v>92.000000000000014</v>
      </c>
      <c r="Q199" s="104">
        <f t="shared" si="73"/>
        <v>4.1521739130434776</v>
      </c>
      <c r="R199" s="88">
        <f t="shared" si="74"/>
        <v>50.901803607214426</v>
      </c>
      <c r="S199" s="88">
        <f t="shared" si="75"/>
        <v>49.066666666666663</v>
      </c>
      <c r="T199" s="13">
        <f t="shared" si="76"/>
        <v>3</v>
      </c>
      <c r="U199" s="13">
        <f t="shared" si="77"/>
        <v>2</v>
      </c>
      <c r="V199" s="13">
        <f t="shared" si="78"/>
        <v>2</v>
      </c>
      <c r="W199" s="13">
        <f t="shared" ca="1" si="79"/>
        <v>3</v>
      </c>
      <c r="X199" s="13">
        <f t="shared" ca="1" si="80"/>
        <v>10</v>
      </c>
      <c r="Y199" s="81" t="str">
        <f t="shared" ca="1" si="81"/>
        <v>RE-BUY</v>
      </c>
      <c r="Z199" s="13">
        <v>14</v>
      </c>
      <c r="AA199" s="75">
        <v>46059</v>
      </c>
      <c r="AB199" s="75">
        <f t="shared" si="82"/>
        <v>45920</v>
      </c>
      <c r="AC199" s="88">
        <f t="shared" si="83"/>
        <v>19.857142857142858</v>
      </c>
      <c r="AD199" s="89" t="str">
        <f t="shared" ca="1" si="84"/>
        <v>STABLE</v>
      </c>
      <c r="AE199" s="89" t="str">
        <f t="shared" si="66"/>
        <v>FAST SELLING</v>
      </c>
      <c r="AF199" s="89" t="str">
        <f t="shared" si="85"/>
        <v>AT RISK</v>
      </c>
      <c r="AG199" s="89" t="str">
        <f t="shared" si="86"/>
        <v>FEASIBLE</v>
      </c>
      <c r="AH199" s="81" t="str">
        <f t="shared" ca="1" si="87"/>
        <v>IMMEDIATE REBUY</v>
      </c>
      <c r="AI199" s="75"/>
      <c r="AJ199" s="75"/>
      <c r="AK199" s="13"/>
      <c r="AL199" s="79"/>
      <c r="AM199" s="79"/>
      <c r="AN199" s="79"/>
      <c r="AO199" s="79"/>
      <c r="AP199" s="79"/>
      <c r="AQ199" s="75"/>
      <c r="AR199" s="75"/>
      <c r="AS199" s="75"/>
      <c r="AT199" s="75"/>
      <c r="AU199" s="75"/>
      <c r="AV199" s="13"/>
      <c r="AW199" s="13"/>
      <c r="AX199" s="13"/>
      <c r="AY199" s="13"/>
      <c r="AZ199" s="13"/>
      <c r="BA199" s="105"/>
      <c r="BB199" s="13"/>
      <c r="BC199" s="13"/>
      <c r="BD199" s="13"/>
      <c r="BE199" s="13"/>
      <c r="BF199" s="88"/>
      <c r="BG199" s="88"/>
      <c r="BH199" s="88"/>
      <c r="BI199" s="88"/>
      <c r="BJ199" s="88"/>
      <c r="BK199" s="105"/>
      <c r="BL199" s="105"/>
      <c r="BM199" s="105"/>
      <c r="BN199" s="105"/>
      <c r="BO199" s="105"/>
      <c r="BP199" s="105"/>
      <c r="BQ199" s="79"/>
      <c r="BR199" s="79"/>
      <c r="BS199" s="79"/>
      <c r="BT199" s="79"/>
      <c r="BU199" s="79"/>
      <c r="BV199" s="90"/>
      <c r="BW199" s="106"/>
      <c r="BX199" s="106"/>
      <c r="BY199" s="106"/>
      <c r="BZ199" s="106"/>
      <c r="CA199" s="106"/>
    </row>
    <row r="200" spans="1:79" x14ac:dyDescent="0.35">
      <c r="A200" s="25" t="s">
        <v>214</v>
      </c>
      <c r="B200" s="10" t="s">
        <v>319</v>
      </c>
      <c r="C200" s="10" t="s">
        <v>342</v>
      </c>
      <c r="D200" s="10" t="s">
        <v>346</v>
      </c>
      <c r="E200" s="11">
        <v>45864</v>
      </c>
      <c r="F200" s="17">
        <v>45892</v>
      </c>
      <c r="G200" s="14">
        <f t="shared" ca="1" si="67"/>
        <v>207</v>
      </c>
      <c r="H200" s="17">
        <v>499</v>
      </c>
      <c r="I200" s="17">
        <v>245</v>
      </c>
      <c r="J200" s="75">
        <f t="shared" si="68"/>
        <v>820</v>
      </c>
      <c r="K200" s="17">
        <v>900</v>
      </c>
      <c r="L200" s="85">
        <v>80</v>
      </c>
      <c r="M200" s="86">
        <f t="shared" ca="1" si="69"/>
        <v>0.38647342995169082</v>
      </c>
      <c r="N200" s="86">
        <f t="shared" si="70"/>
        <v>0.80451009251471861</v>
      </c>
      <c r="O200" s="86">
        <f t="shared" si="71"/>
        <v>0.24390243902439024</v>
      </c>
      <c r="P200" s="87">
        <f t="shared" si="72"/>
        <v>20</v>
      </c>
      <c r="Q200" s="104">
        <f t="shared" si="73"/>
        <v>41</v>
      </c>
      <c r="R200" s="88">
        <f t="shared" si="74"/>
        <v>50.901803607214426</v>
      </c>
      <c r="S200" s="88">
        <f t="shared" si="75"/>
        <v>8.8888888888888893</v>
      </c>
      <c r="T200" s="13">
        <f t="shared" si="76"/>
        <v>1</v>
      </c>
      <c r="U200" s="13">
        <f t="shared" si="77"/>
        <v>1</v>
      </c>
      <c r="V200" s="13">
        <f t="shared" si="78"/>
        <v>2</v>
      </c>
      <c r="W200" s="13">
        <f t="shared" ca="1" si="79"/>
        <v>3</v>
      </c>
      <c r="X200" s="13">
        <f t="shared" ca="1" si="80"/>
        <v>7</v>
      </c>
      <c r="Y200" s="81" t="str">
        <f t="shared" ca="1" si="81"/>
        <v>MONITOR</v>
      </c>
      <c r="Z200" s="13">
        <v>14</v>
      </c>
      <c r="AA200" s="75">
        <v>46059</v>
      </c>
      <c r="AB200" s="75">
        <f t="shared" si="82"/>
        <v>45920</v>
      </c>
      <c r="AC200" s="88">
        <f t="shared" si="83"/>
        <v>19.857142857142858</v>
      </c>
      <c r="AD200" s="89" t="str">
        <f t="shared" ca="1" si="84"/>
        <v>STABLE</v>
      </c>
      <c r="AE200" s="89" t="str">
        <f t="shared" si="66"/>
        <v>SLOW SELLING</v>
      </c>
      <c r="AF200" s="89" t="str">
        <f t="shared" si="85"/>
        <v>AT RISK</v>
      </c>
      <c r="AG200" s="89" t="str">
        <f t="shared" si="86"/>
        <v>FEASIBLE</v>
      </c>
      <c r="AH200" s="81" t="str">
        <f t="shared" ca="1" si="87"/>
        <v>MONITOR</v>
      </c>
      <c r="AI200" s="75"/>
      <c r="AJ200" s="75"/>
      <c r="AK200" s="13"/>
      <c r="AL200" s="79"/>
      <c r="AM200" s="79"/>
      <c r="AN200" s="79"/>
      <c r="AO200" s="79"/>
      <c r="AP200" s="79"/>
      <c r="AQ200" s="75"/>
      <c r="AR200" s="75"/>
      <c r="AS200" s="75"/>
      <c r="AT200" s="75"/>
      <c r="AU200" s="75"/>
      <c r="AV200" s="13"/>
      <c r="AW200" s="13"/>
      <c r="AX200" s="13"/>
      <c r="AY200" s="13"/>
      <c r="AZ200" s="13"/>
      <c r="BA200" s="105"/>
      <c r="BB200" s="13"/>
      <c r="BC200" s="13"/>
      <c r="BD200" s="13"/>
      <c r="BE200" s="13"/>
      <c r="BF200" s="88"/>
      <c r="BG200" s="88"/>
      <c r="BH200" s="88"/>
      <c r="BI200" s="88"/>
      <c r="BJ200" s="88"/>
      <c r="BK200" s="105"/>
      <c r="BL200" s="105"/>
      <c r="BM200" s="105"/>
      <c r="BN200" s="105"/>
      <c r="BO200" s="105"/>
      <c r="BP200" s="105"/>
      <c r="BQ200" s="79"/>
      <c r="BR200" s="79"/>
      <c r="BS200" s="79"/>
      <c r="BT200" s="79"/>
      <c r="BU200" s="79"/>
      <c r="BV200" s="90"/>
      <c r="BW200" s="106"/>
      <c r="BX200" s="106"/>
      <c r="BY200" s="106"/>
      <c r="BZ200" s="106"/>
      <c r="CA200" s="106"/>
    </row>
    <row r="201" spans="1:79" x14ac:dyDescent="0.35">
      <c r="A201" s="25" t="s">
        <v>215</v>
      </c>
      <c r="B201" s="10" t="s">
        <v>319</v>
      </c>
      <c r="C201" s="10" t="s">
        <v>342</v>
      </c>
      <c r="D201" s="10" t="s">
        <v>346</v>
      </c>
      <c r="E201" s="11">
        <v>45864</v>
      </c>
      <c r="F201" s="17">
        <v>45892</v>
      </c>
      <c r="G201" s="14">
        <f t="shared" ca="1" si="67"/>
        <v>207</v>
      </c>
      <c r="H201" s="17">
        <v>499</v>
      </c>
      <c r="I201" s="17">
        <v>235</v>
      </c>
      <c r="J201" s="75">
        <f t="shared" si="68"/>
        <v>876</v>
      </c>
      <c r="K201" s="17">
        <v>900</v>
      </c>
      <c r="L201" s="85">
        <v>24</v>
      </c>
      <c r="M201" s="86">
        <f t="shared" ca="1" si="69"/>
        <v>0.11594202898550725</v>
      </c>
      <c r="N201" s="86">
        <f t="shared" si="70"/>
        <v>0.80451009251471861</v>
      </c>
      <c r="O201" s="86">
        <f t="shared" si="71"/>
        <v>7.3170731707317069E-2</v>
      </c>
      <c r="P201" s="87">
        <f t="shared" si="72"/>
        <v>6</v>
      </c>
      <c r="Q201" s="104">
        <f t="shared" si="73"/>
        <v>146</v>
      </c>
      <c r="R201" s="88">
        <f t="shared" si="74"/>
        <v>52.905811623246493</v>
      </c>
      <c r="S201" s="88">
        <f t="shared" si="75"/>
        <v>2.666666666666667</v>
      </c>
      <c r="T201" s="13">
        <f t="shared" si="76"/>
        <v>1</v>
      </c>
      <c r="U201" s="13">
        <f t="shared" si="77"/>
        <v>1</v>
      </c>
      <c r="V201" s="13">
        <f t="shared" si="78"/>
        <v>2</v>
      </c>
      <c r="W201" s="13">
        <f t="shared" ca="1" si="79"/>
        <v>3</v>
      </c>
      <c r="X201" s="13">
        <f t="shared" ca="1" si="80"/>
        <v>7</v>
      </c>
      <c r="Y201" s="81" t="str">
        <f t="shared" ca="1" si="81"/>
        <v>MONITOR</v>
      </c>
      <c r="Z201" s="13">
        <v>14</v>
      </c>
      <c r="AA201" s="75">
        <v>46059</v>
      </c>
      <c r="AB201" s="75">
        <f t="shared" si="82"/>
        <v>45920</v>
      </c>
      <c r="AC201" s="88">
        <f t="shared" si="83"/>
        <v>19.857142857142858</v>
      </c>
      <c r="AD201" s="89" t="str">
        <f t="shared" ca="1" si="84"/>
        <v>STABLE</v>
      </c>
      <c r="AE201" s="89" t="str">
        <f t="shared" si="66"/>
        <v>SLOW SELLING</v>
      </c>
      <c r="AF201" s="89" t="str">
        <f t="shared" si="85"/>
        <v>AT RISK</v>
      </c>
      <c r="AG201" s="89" t="str">
        <f t="shared" si="86"/>
        <v>FEASIBLE</v>
      </c>
      <c r="AH201" s="81" t="str">
        <f t="shared" ca="1" si="87"/>
        <v>MONITOR</v>
      </c>
      <c r="AI201" s="75"/>
      <c r="AJ201" s="75"/>
      <c r="AK201" s="13"/>
      <c r="AL201" s="79"/>
      <c r="AM201" s="79"/>
      <c r="AN201" s="79"/>
      <c r="AO201" s="79"/>
      <c r="AP201" s="79"/>
      <c r="AQ201" s="75"/>
      <c r="AR201" s="75"/>
      <c r="AS201" s="75"/>
      <c r="AT201" s="75"/>
      <c r="AU201" s="75"/>
      <c r="AV201" s="13"/>
      <c r="AW201" s="13"/>
      <c r="AX201" s="13"/>
      <c r="AY201" s="13"/>
      <c r="AZ201" s="13"/>
      <c r="BA201" s="105"/>
      <c r="BB201" s="13"/>
      <c r="BC201" s="13"/>
      <c r="BD201" s="13"/>
      <c r="BE201" s="13"/>
      <c r="BF201" s="88"/>
      <c r="BG201" s="88"/>
      <c r="BH201" s="88"/>
      <c r="BI201" s="88"/>
      <c r="BJ201" s="88"/>
      <c r="BK201" s="105"/>
      <c r="BL201" s="105"/>
      <c r="BM201" s="105"/>
      <c r="BN201" s="105"/>
      <c r="BO201" s="105"/>
      <c r="BP201" s="105"/>
      <c r="BQ201" s="79"/>
      <c r="BR201" s="79"/>
      <c r="BS201" s="79"/>
      <c r="BT201" s="79"/>
      <c r="BU201" s="79"/>
      <c r="BV201" s="90"/>
      <c r="BW201" s="106"/>
      <c r="BX201" s="106"/>
      <c r="BY201" s="106"/>
      <c r="BZ201" s="106"/>
      <c r="CA201" s="106"/>
    </row>
    <row r="202" spans="1:79" x14ac:dyDescent="0.35">
      <c r="A202" s="25" t="s">
        <v>216</v>
      </c>
      <c r="B202" s="10" t="s">
        <v>319</v>
      </c>
      <c r="C202" s="10" t="s">
        <v>342</v>
      </c>
      <c r="D202" s="10" t="s">
        <v>346</v>
      </c>
      <c r="E202" s="11">
        <v>45864</v>
      </c>
      <c r="F202" s="17">
        <v>45892</v>
      </c>
      <c r="G202" s="14">
        <f t="shared" ca="1" si="67"/>
        <v>207</v>
      </c>
      <c r="H202" s="17">
        <v>499</v>
      </c>
      <c r="I202" s="17">
        <v>239</v>
      </c>
      <c r="J202" s="75">
        <f t="shared" si="68"/>
        <v>660</v>
      </c>
      <c r="K202" s="17">
        <v>900</v>
      </c>
      <c r="L202" s="85">
        <v>240</v>
      </c>
      <c r="M202" s="86">
        <f t="shared" ca="1" si="69"/>
        <v>1.1594202898550725</v>
      </c>
      <c r="N202" s="86">
        <f t="shared" si="70"/>
        <v>0.80451009251471861</v>
      </c>
      <c r="O202" s="86">
        <f t="shared" si="71"/>
        <v>0.73170731707317072</v>
      </c>
      <c r="P202" s="87">
        <f t="shared" si="72"/>
        <v>60</v>
      </c>
      <c r="Q202" s="104">
        <f t="shared" si="73"/>
        <v>11</v>
      </c>
      <c r="R202" s="88">
        <f t="shared" si="74"/>
        <v>52.104208416833664</v>
      </c>
      <c r="S202" s="88">
        <f t="shared" si="75"/>
        <v>26.666666666666668</v>
      </c>
      <c r="T202" s="13">
        <f t="shared" si="76"/>
        <v>2</v>
      </c>
      <c r="U202" s="13">
        <f t="shared" si="77"/>
        <v>1</v>
      </c>
      <c r="V202" s="13">
        <f t="shared" si="78"/>
        <v>2</v>
      </c>
      <c r="W202" s="13">
        <f t="shared" ca="1" si="79"/>
        <v>3</v>
      </c>
      <c r="X202" s="13">
        <f t="shared" ca="1" si="80"/>
        <v>8</v>
      </c>
      <c r="Y202" s="81" t="str">
        <f t="shared" ca="1" si="81"/>
        <v>MONITOR</v>
      </c>
      <c r="Z202" s="13">
        <v>14</v>
      </c>
      <c r="AA202" s="75">
        <v>46059</v>
      </c>
      <c r="AB202" s="75">
        <f t="shared" si="82"/>
        <v>45920</v>
      </c>
      <c r="AC202" s="88">
        <f t="shared" si="83"/>
        <v>19.857142857142858</v>
      </c>
      <c r="AD202" s="89" t="str">
        <f t="shared" ca="1" si="84"/>
        <v>STABLE</v>
      </c>
      <c r="AE202" s="89" t="str">
        <f t="shared" si="66"/>
        <v>SLOW SELLING</v>
      </c>
      <c r="AF202" s="89" t="str">
        <f t="shared" si="85"/>
        <v>AT RISK</v>
      </c>
      <c r="AG202" s="89" t="str">
        <f t="shared" si="86"/>
        <v>FEASIBLE</v>
      </c>
      <c r="AH202" s="81" t="str">
        <f t="shared" ca="1" si="87"/>
        <v>MONITOR</v>
      </c>
      <c r="AI202" s="75"/>
      <c r="AJ202" s="75"/>
      <c r="AK202" s="13"/>
      <c r="AL202" s="79"/>
      <c r="AM202" s="79"/>
      <c r="AN202" s="79"/>
      <c r="AO202" s="79"/>
      <c r="AP202" s="79"/>
      <c r="AQ202" s="75"/>
      <c r="AR202" s="75"/>
      <c r="AS202" s="75"/>
      <c r="AT202" s="75"/>
      <c r="AU202" s="75"/>
      <c r="AV202" s="13"/>
      <c r="AW202" s="13"/>
      <c r="AX202" s="13"/>
      <c r="AY202" s="13"/>
      <c r="AZ202" s="13"/>
      <c r="BA202" s="105"/>
      <c r="BB202" s="13"/>
      <c r="BC202" s="13"/>
      <c r="BD202" s="13"/>
      <c r="BE202" s="13"/>
      <c r="BF202" s="88"/>
      <c r="BG202" s="88"/>
      <c r="BH202" s="88"/>
      <c r="BI202" s="88"/>
      <c r="BJ202" s="88"/>
      <c r="BK202" s="105"/>
      <c r="BL202" s="105"/>
      <c r="BM202" s="105"/>
      <c r="BN202" s="105"/>
      <c r="BO202" s="105"/>
      <c r="BP202" s="105"/>
      <c r="BQ202" s="79"/>
      <c r="BR202" s="79"/>
      <c r="BS202" s="79"/>
      <c r="BT202" s="79"/>
      <c r="BU202" s="79"/>
      <c r="BV202" s="90"/>
      <c r="BW202" s="106"/>
      <c r="BX202" s="106"/>
      <c r="BY202" s="106"/>
      <c r="BZ202" s="106"/>
      <c r="CA202" s="106"/>
    </row>
    <row r="203" spans="1:79" x14ac:dyDescent="0.35">
      <c r="A203" s="25" t="s">
        <v>217</v>
      </c>
      <c r="B203" s="10" t="s">
        <v>319</v>
      </c>
      <c r="C203" s="10" t="s">
        <v>342</v>
      </c>
      <c r="D203" s="10" t="s">
        <v>346</v>
      </c>
      <c r="E203" s="11">
        <v>45864</v>
      </c>
      <c r="F203" s="17">
        <v>45892</v>
      </c>
      <c r="G203" s="14">
        <f t="shared" ca="1" si="67"/>
        <v>207</v>
      </c>
      <c r="H203" s="17">
        <v>499</v>
      </c>
      <c r="I203" s="17">
        <v>235</v>
      </c>
      <c r="J203" s="75">
        <f t="shared" si="68"/>
        <v>823</v>
      </c>
      <c r="K203" s="17">
        <v>900</v>
      </c>
      <c r="L203" s="85">
        <v>77</v>
      </c>
      <c r="M203" s="86">
        <f t="shared" ca="1" si="69"/>
        <v>0.3719806763285024</v>
      </c>
      <c r="N203" s="86">
        <f t="shared" si="70"/>
        <v>0.80451009251471861</v>
      </c>
      <c r="O203" s="86">
        <f t="shared" si="71"/>
        <v>0.2347560975609756</v>
      </c>
      <c r="P203" s="87">
        <f t="shared" si="72"/>
        <v>19.25</v>
      </c>
      <c r="Q203" s="104">
        <f t="shared" si="73"/>
        <v>42.753246753246756</v>
      </c>
      <c r="R203" s="88">
        <f t="shared" si="74"/>
        <v>52.905811623246493</v>
      </c>
      <c r="S203" s="88">
        <f t="shared" si="75"/>
        <v>8.5555555555555554</v>
      </c>
      <c r="T203" s="13">
        <f t="shared" si="76"/>
        <v>1</v>
      </c>
      <c r="U203" s="13">
        <f t="shared" si="77"/>
        <v>1</v>
      </c>
      <c r="V203" s="13">
        <f t="shared" si="78"/>
        <v>2</v>
      </c>
      <c r="W203" s="13">
        <f t="shared" ca="1" si="79"/>
        <v>3</v>
      </c>
      <c r="X203" s="13">
        <f t="shared" ca="1" si="80"/>
        <v>7</v>
      </c>
      <c r="Y203" s="81" t="str">
        <f t="shared" ca="1" si="81"/>
        <v>MONITOR</v>
      </c>
      <c r="Z203" s="13">
        <v>14</v>
      </c>
      <c r="AA203" s="75">
        <v>46059</v>
      </c>
      <c r="AB203" s="75">
        <f t="shared" si="82"/>
        <v>45920</v>
      </c>
      <c r="AC203" s="88">
        <f t="shared" si="83"/>
        <v>19.857142857142858</v>
      </c>
      <c r="AD203" s="89" t="str">
        <f t="shared" ca="1" si="84"/>
        <v>STABLE</v>
      </c>
      <c r="AE203" s="89" t="str">
        <f t="shared" si="66"/>
        <v>SLOW SELLING</v>
      </c>
      <c r="AF203" s="89" t="str">
        <f t="shared" si="85"/>
        <v>AT RISK</v>
      </c>
      <c r="AG203" s="89" t="str">
        <f t="shared" si="86"/>
        <v>FEASIBLE</v>
      </c>
      <c r="AH203" s="81" t="str">
        <f t="shared" ca="1" si="87"/>
        <v>MONITOR</v>
      </c>
      <c r="AI203" s="75"/>
      <c r="AJ203" s="75"/>
      <c r="AK203" s="13"/>
      <c r="AL203" s="79"/>
      <c r="AM203" s="79"/>
      <c r="AN203" s="79"/>
      <c r="AO203" s="79"/>
      <c r="AP203" s="79"/>
      <c r="AQ203" s="75"/>
      <c r="AR203" s="75"/>
      <c r="AS203" s="75"/>
      <c r="AT203" s="75"/>
      <c r="AU203" s="75"/>
      <c r="AV203" s="13"/>
      <c r="AW203" s="13"/>
      <c r="AX203" s="13"/>
      <c r="AY203" s="13"/>
      <c r="AZ203" s="13"/>
      <c r="BA203" s="105"/>
      <c r="BB203" s="13"/>
      <c r="BC203" s="13"/>
      <c r="BD203" s="13"/>
      <c r="BE203" s="13"/>
      <c r="BF203" s="88"/>
      <c r="BG203" s="88"/>
      <c r="BH203" s="88"/>
      <c r="BI203" s="88"/>
      <c r="BJ203" s="88"/>
      <c r="BK203" s="105"/>
      <c r="BL203" s="105"/>
      <c r="BM203" s="105"/>
      <c r="BN203" s="105"/>
      <c r="BO203" s="105"/>
      <c r="BP203" s="105"/>
      <c r="BQ203" s="79"/>
      <c r="BR203" s="79"/>
      <c r="BS203" s="79"/>
      <c r="BT203" s="79"/>
      <c r="BU203" s="79"/>
      <c r="BV203" s="90"/>
      <c r="BW203" s="106"/>
      <c r="BX203" s="106"/>
      <c r="BY203" s="106"/>
      <c r="BZ203" s="106"/>
      <c r="CA203" s="106"/>
    </row>
    <row r="204" spans="1:79" x14ac:dyDescent="0.35">
      <c r="A204" s="25" t="s">
        <v>218</v>
      </c>
      <c r="B204" s="10" t="s">
        <v>330</v>
      </c>
      <c r="C204" s="10" t="s">
        <v>342</v>
      </c>
      <c r="D204" s="10" t="s">
        <v>346</v>
      </c>
      <c r="E204" s="11">
        <v>45920</v>
      </c>
      <c r="F204" s="17">
        <v>45892</v>
      </c>
      <c r="G204" s="14">
        <f t="shared" ca="1" si="67"/>
        <v>207</v>
      </c>
      <c r="H204" s="17">
        <v>499</v>
      </c>
      <c r="I204" s="17">
        <v>240</v>
      </c>
      <c r="J204" s="75">
        <f t="shared" si="68"/>
        <v>891</v>
      </c>
      <c r="K204" s="17">
        <v>900</v>
      </c>
      <c r="L204" s="85">
        <v>9</v>
      </c>
      <c r="M204" s="86">
        <f t="shared" ca="1" si="69"/>
        <v>4.3478260869565216E-2</v>
      </c>
      <c r="N204" s="86">
        <f t="shared" si="70"/>
        <v>0.80451009251471861</v>
      </c>
      <c r="O204" s="86">
        <f t="shared" si="71"/>
        <v>2.7439024390243903E-2</v>
      </c>
      <c r="P204" s="87">
        <f t="shared" si="72"/>
        <v>2.25</v>
      </c>
      <c r="Q204" s="104">
        <f t="shared" si="73"/>
        <v>396</v>
      </c>
      <c r="R204" s="88">
        <f t="shared" si="74"/>
        <v>51.903807615230455</v>
      </c>
      <c r="S204" s="88">
        <f t="shared" si="75"/>
        <v>1</v>
      </c>
      <c r="T204" s="13">
        <f t="shared" si="76"/>
        <v>1</v>
      </c>
      <c r="U204" s="13">
        <f t="shared" si="77"/>
        <v>1</v>
      </c>
      <c r="V204" s="13">
        <f t="shared" si="78"/>
        <v>2</v>
      </c>
      <c r="W204" s="13">
        <f t="shared" ca="1" si="79"/>
        <v>3</v>
      </c>
      <c r="X204" s="13">
        <f t="shared" ca="1" si="80"/>
        <v>7</v>
      </c>
      <c r="Y204" s="81" t="str">
        <f t="shared" ca="1" si="81"/>
        <v>MONITOR</v>
      </c>
      <c r="Z204" s="13">
        <v>14</v>
      </c>
      <c r="AA204" s="75">
        <v>46059</v>
      </c>
      <c r="AB204" s="75">
        <f t="shared" si="82"/>
        <v>45920</v>
      </c>
      <c r="AC204" s="88">
        <f t="shared" si="83"/>
        <v>19.857142857142858</v>
      </c>
      <c r="AD204" s="89" t="str">
        <f t="shared" ca="1" si="84"/>
        <v>STABLE</v>
      </c>
      <c r="AE204" s="89" t="str">
        <f t="shared" si="66"/>
        <v>SLOW SELLING</v>
      </c>
      <c r="AF204" s="89" t="str">
        <f t="shared" si="85"/>
        <v>AT RISK</v>
      </c>
      <c r="AG204" s="89" t="str">
        <f t="shared" si="86"/>
        <v>FEASIBLE</v>
      </c>
      <c r="AH204" s="81" t="str">
        <f t="shared" ca="1" si="87"/>
        <v>MONITOR</v>
      </c>
      <c r="AI204" s="75"/>
      <c r="AJ204" s="75"/>
      <c r="AK204" s="13"/>
      <c r="AL204" s="79"/>
      <c r="AM204" s="79"/>
      <c r="AN204" s="79"/>
      <c r="AO204" s="79"/>
      <c r="AP204" s="79"/>
      <c r="AQ204" s="75"/>
      <c r="AR204" s="75"/>
      <c r="AS204" s="75"/>
      <c r="AT204" s="75"/>
      <c r="AU204" s="75"/>
      <c r="AV204" s="13"/>
      <c r="AW204" s="13"/>
      <c r="AX204" s="13"/>
      <c r="AY204" s="13"/>
      <c r="AZ204" s="13"/>
      <c r="BA204" s="105"/>
      <c r="BB204" s="13"/>
      <c r="BC204" s="13"/>
      <c r="BD204" s="13"/>
      <c r="BE204" s="13"/>
      <c r="BF204" s="88"/>
      <c r="BG204" s="88"/>
      <c r="BH204" s="88"/>
      <c r="BI204" s="88"/>
      <c r="BJ204" s="88"/>
      <c r="BK204" s="105"/>
      <c r="BL204" s="105"/>
      <c r="BM204" s="105"/>
      <c r="BN204" s="105"/>
      <c r="BO204" s="105"/>
      <c r="BP204" s="105"/>
      <c r="BQ204" s="79"/>
      <c r="BR204" s="79"/>
      <c r="BS204" s="79"/>
      <c r="BT204" s="79"/>
      <c r="BU204" s="79"/>
      <c r="BV204" s="90"/>
      <c r="BW204" s="106"/>
      <c r="BX204" s="106"/>
      <c r="BY204" s="106"/>
      <c r="BZ204" s="106"/>
      <c r="CA204" s="106"/>
    </row>
    <row r="205" spans="1:79" x14ac:dyDescent="0.35">
      <c r="A205" s="25" t="s">
        <v>219</v>
      </c>
      <c r="B205" s="10" t="s">
        <v>332</v>
      </c>
      <c r="C205" s="10" t="s">
        <v>342</v>
      </c>
      <c r="D205" s="10" t="s">
        <v>346</v>
      </c>
      <c r="E205" s="11">
        <v>45892</v>
      </c>
      <c r="F205" s="17">
        <v>45892</v>
      </c>
      <c r="G205" s="14">
        <f t="shared" ca="1" si="67"/>
        <v>207</v>
      </c>
      <c r="H205" s="17">
        <v>399</v>
      </c>
      <c r="I205" s="17">
        <v>225</v>
      </c>
      <c r="J205" s="75">
        <f t="shared" si="68"/>
        <v>703</v>
      </c>
      <c r="K205" s="17">
        <v>1100</v>
      </c>
      <c r="L205" s="85">
        <v>397</v>
      </c>
      <c r="M205" s="86">
        <f t="shared" ca="1" si="69"/>
        <v>1.9178743961352658</v>
      </c>
      <c r="N205" s="86">
        <f t="shared" si="70"/>
        <v>0.80451009251471861</v>
      </c>
      <c r="O205" s="86">
        <f t="shared" si="71"/>
        <v>1.2103658536585367</v>
      </c>
      <c r="P205" s="87">
        <f t="shared" si="72"/>
        <v>99.25</v>
      </c>
      <c r="Q205" s="104">
        <f t="shared" si="73"/>
        <v>7.0831234256926949</v>
      </c>
      <c r="R205" s="88">
        <f t="shared" si="74"/>
        <v>43.609022556390975</v>
      </c>
      <c r="S205" s="88">
        <f t="shared" si="75"/>
        <v>36.090909090909093</v>
      </c>
      <c r="T205" s="13">
        <f t="shared" si="76"/>
        <v>3</v>
      </c>
      <c r="U205" s="13">
        <f t="shared" si="77"/>
        <v>1</v>
      </c>
      <c r="V205" s="13">
        <f t="shared" si="78"/>
        <v>1</v>
      </c>
      <c r="W205" s="13">
        <f t="shared" ca="1" si="79"/>
        <v>3</v>
      </c>
      <c r="X205" s="13">
        <f t="shared" ca="1" si="80"/>
        <v>8</v>
      </c>
      <c r="Y205" s="81" t="str">
        <f t="shared" ca="1" si="81"/>
        <v>MONITOR</v>
      </c>
      <c r="Z205" s="13">
        <v>14</v>
      </c>
      <c r="AA205" s="75">
        <v>46059</v>
      </c>
      <c r="AB205" s="75">
        <f t="shared" si="82"/>
        <v>45920</v>
      </c>
      <c r="AC205" s="88">
        <f t="shared" si="83"/>
        <v>19.857142857142858</v>
      </c>
      <c r="AD205" s="89" t="str">
        <f t="shared" ca="1" si="84"/>
        <v>STABLE</v>
      </c>
      <c r="AE205" s="89" t="str">
        <f t="shared" si="66"/>
        <v>FAST SELLING</v>
      </c>
      <c r="AF205" s="89" t="str">
        <f t="shared" si="85"/>
        <v>AT RISK</v>
      </c>
      <c r="AG205" s="89" t="str">
        <f t="shared" si="86"/>
        <v>FEASIBLE</v>
      </c>
      <c r="AH205" s="81" t="str">
        <f t="shared" ca="1" si="87"/>
        <v>MONITOR</v>
      </c>
      <c r="AI205" s="75"/>
      <c r="AJ205" s="75"/>
      <c r="AK205" s="13"/>
      <c r="AL205" s="79"/>
      <c r="AM205" s="79"/>
      <c r="AN205" s="79"/>
      <c r="AO205" s="79"/>
      <c r="AP205" s="79"/>
      <c r="AQ205" s="75"/>
      <c r="AR205" s="75"/>
      <c r="AS205" s="75"/>
      <c r="AT205" s="75"/>
      <c r="AU205" s="75"/>
      <c r="AV205" s="13"/>
      <c r="AW205" s="13"/>
      <c r="AX205" s="13"/>
      <c r="AY205" s="13"/>
      <c r="AZ205" s="13"/>
      <c r="BA205" s="105"/>
      <c r="BB205" s="13"/>
      <c r="BC205" s="13"/>
      <c r="BD205" s="13"/>
      <c r="BE205" s="13"/>
      <c r="BF205" s="88"/>
      <c r="BG205" s="88"/>
      <c r="BH205" s="88"/>
      <c r="BI205" s="88"/>
      <c r="BJ205" s="88"/>
      <c r="BK205" s="105"/>
      <c r="BL205" s="105"/>
      <c r="BM205" s="105"/>
      <c r="BN205" s="105"/>
      <c r="BO205" s="105"/>
      <c r="BP205" s="105"/>
      <c r="BQ205" s="79"/>
      <c r="BR205" s="79"/>
      <c r="BS205" s="79"/>
      <c r="BT205" s="79"/>
      <c r="BU205" s="79"/>
      <c r="BV205" s="90"/>
      <c r="BW205" s="106"/>
      <c r="BX205" s="106"/>
      <c r="BY205" s="106"/>
      <c r="BZ205" s="106"/>
      <c r="CA205" s="106"/>
    </row>
    <row r="206" spans="1:79" x14ac:dyDescent="0.35">
      <c r="A206" s="25" t="s">
        <v>220</v>
      </c>
      <c r="B206" s="10" t="s">
        <v>332</v>
      </c>
      <c r="C206" s="10" t="s">
        <v>342</v>
      </c>
      <c r="D206" s="10" t="s">
        <v>346</v>
      </c>
      <c r="E206" s="11">
        <v>45892</v>
      </c>
      <c r="F206" s="17">
        <v>45892</v>
      </c>
      <c r="G206" s="14">
        <f t="shared" ca="1" si="67"/>
        <v>207</v>
      </c>
      <c r="H206" s="17">
        <v>399</v>
      </c>
      <c r="I206" s="17">
        <v>225</v>
      </c>
      <c r="J206" s="75">
        <f t="shared" si="68"/>
        <v>867</v>
      </c>
      <c r="K206" s="17">
        <v>1100</v>
      </c>
      <c r="L206" s="85">
        <v>233</v>
      </c>
      <c r="M206" s="86">
        <f t="shared" ca="1" si="69"/>
        <v>1.1256038647342994</v>
      </c>
      <c r="N206" s="86">
        <f t="shared" si="70"/>
        <v>0.80451009251471861</v>
      </c>
      <c r="O206" s="86">
        <f t="shared" si="71"/>
        <v>0.71036585365853655</v>
      </c>
      <c r="P206" s="87">
        <f t="shared" si="72"/>
        <v>58.25</v>
      </c>
      <c r="Q206" s="104">
        <f t="shared" si="73"/>
        <v>14.884120171673819</v>
      </c>
      <c r="R206" s="88">
        <f t="shared" si="74"/>
        <v>43.609022556390975</v>
      </c>
      <c r="S206" s="88">
        <f t="shared" si="75"/>
        <v>21.181818181818183</v>
      </c>
      <c r="T206" s="13">
        <f t="shared" si="76"/>
        <v>2</v>
      </c>
      <c r="U206" s="13">
        <f t="shared" si="77"/>
        <v>1</v>
      </c>
      <c r="V206" s="13">
        <f t="shared" si="78"/>
        <v>1</v>
      </c>
      <c r="W206" s="13">
        <f t="shared" ca="1" si="79"/>
        <v>3</v>
      </c>
      <c r="X206" s="13">
        <f t="shared" ca="1" si="80"/>
        <v>7</v>
      </c>
      <c r="Y206" s="81" t="str">
        <f t="shared" ca="1" si="81"/>
        <v>MONITOR</v>
      </c>
      <c r="Z206" s="13">
        <v>14</v>
      </c>
      <c r="AA206" s="75">
        <v>46059</v>
      </c>
      <c r="AB206" s="75">
        <f t="shared" si="82"/>
        <v>45920</v>
      </c>
      <c r="AC206" s="88">
        <f t="shared" si="83"/>
        <v>19.857142857142858</v>
      </c>
      <c r="AD206" s="89" t="str">
        <f t="shared" ca="1" si="84"/>
        <v>STABLE</v>
      </c>
      <c r="AE206" s="89" t="str">
        <f t="shared" si="66"/>
        <v>SLOW SELLING</v>
      </c>
      <c r="AF206" s="89" t="str">
        <f t="shared" si="85"/>
        <v>AT RISK</v>
      </c>
      <c r="AG206" s="89" t="str">
        <f t="shared" si="86"/>
        <v>FEASIBLE</v>
      </c>
      <c r="AH206" s="81" t="str">
        <f t="shared" ca="1" si="87"/>
        <v>MONITOR</v>
      </c>
      <c r="AI206" s="75"/>
      <c r="AJ206" s="75"/>
      <c r="AK206" s="13"/>
      <c r="AL206" s="79"/>
      <c r="AM206" s="79"/>
      <c r="AN206" s="79"/>
      <c r="AO206" s="79"/>
      <c r="AP206" s="79"/>
      <c r="AQ206" s="75"/>
      <c r="AR206" s="75"/>
      <c r="AS206" s="75"/>
      <c r="AT206" s="75"/>
      <c r="AU206" s="75"/>
      <c r="AV206" s="13"/>
      <c r="AW206" s="13"/>
      <c r="AX206" s="13"/>
      <c r="AY206" s="13"/>
      <c r="AZ206" s="13"/>
      <c r="BA206" s="105"/>
      <c r="BB206" s="13"/>
      <c r="BC206" s="13"/>
      <c r="BD206" s="13"/>
      <c r="BE206" s="13"/>
      <c r="BF206" s="88"/>
      <c r="BG206" s="88"/>
      <c r="BH206" s="88"/>
      <c r="BI206" s="88"/>
      <c r="BJ206" s="88"/>
      <c r="BK206" s="105"/>
      <c r="BL206" s="105"/>
      <c r="BM206" s="105"/>
      <c r="BN206" s="105"/>
      <c r="BO206" s="105"/>
      <c r="BP206" s="105"/>
      <c r="BQ206" s="79"/>
      <c r="BR206" s="79"/>
      <c r="BS206" s="79"/>
      <c r="BT206" s="79"/>
      <c r="BU206" s="79"/>
      <c r="BV206" s="90"/>
      <c r="BW206" s="106"/>
      <c r="BX206" s="106"/>
      <c r="BY206" s="106"/>
      <c r="BZ206" s="106"/>
      <c r="CA206" s="106"/>
    </row>
    <row r="207" spans="1:79" x14ac:dyDescent="0.35">
      <c r="A207" s="25" t="s">
        <v>221</v>
      </c>
      <c r="B207" s="10" t="s">
        <v>332</v>
      </c>
      <c r="C207" s="10" t="s">
        <v>342</v>
      </c>
      <c r="D207" s="10" t="s">
        <v>346</v>
      </c>
      <c r="E207" s="11">
        <v>45892</v>
      </c>
      <c r="F207" s="17">
        <v>45892</v>
      </c>
      <c r="G207" s="14">
        <f t="shared" ca="1" si="67"/>
        <v>207</v>
      </c>
      <c r="H207" s="17">
        <v>399</v>
      </c>
      <c r="I207" s="17">
        <v>225</v>
      </c>
      <c r="J207" s="75">
        <f t="shared" si="68"/>
        <v>939</v>
      </c>
      <c r="K207" s="17">
        <v>1100</v>
      </c>
      <c r="L207" s="85">
        <v>161</v>
      </c>
      <c r="M207" s="86">
        <f t="shared" ca="1" si="69"/>
        <v>0.77777777777777779</v>
      </c>
      <c r="N207" s="86">
        <f t="shared" si="70"/>
        <v>0.80451009251471861</v>
      </c>
      <c r="O207" s="86">
        <f t="shared" si="71"/>
        <v>0.49085365853658536</v>
      </c>
      <c r="P207" s="87">
        <f t="shared" si="72"/>
        <v>40.25</v>
      </c>
      <c r="Q207" s="104">
        <f t="shared" si="73"/>
        <v>23.329192546583851</v>
      </c>
      <c r="R207" s="88">
        <f t="shared" si="74"/>
        <v>43.609022556390975</v>
      </c>
      <c r="S207" s="88">
        <f t="shared" si="75"/>
        <v>14.636363636363637</v>
      </c>
      <c r="T207" s="13">
        <f t="shared" si="76"/>
        <v>1</v>
      </c>
      <c r="U207" s="13">
        <f t="shared" si="77"/>
        <v>1</v>
      </c>
      <c r="V207" s="13">
        <f t="shared" si="78"/>
        <v>1</v>
      </c>
      <c r="W207" s="13">
        <f t="shared" ca="1" si="79"/>
        <v>3</v>
      </c>
      <c r="X207" s="13">
        <f t="shared" ca="1" si="80"/>
        <v>6</v>
      </c>
      <c r="Y207" s="81" t="str">
        <f t="shared" ca="1" si="81"/>
        <v>MONITOR</v>
      </c>
      <c r="Z207" s="13">
        <v>14</v>
      </c>
      <c r="AA207" s="75">
        <v>46059</v>
      </c>
      <c r="AB207" s="75">
        <f t="shared" si="82"/>
        <v>45920</v>
      </c>
      <c r="AC207" s="88">
        <f t="shared" si="83"/>
        <v>19.857142857142858</v>
      </c>
      <c r="AD207" s="89" t="str">
        <f t="shared" ca="1" si="84"/>
        <v>STABLE</v>
      </c>
      <c r="AE207" s="89" t="str">
        <f t="shared" si="66"/>
        <v>SLOW SELLING</v>
      </c>
      <c r="AF207" s="89" t="str">
        <f t="shared" si="85"/>
        <v>AT RISK</v>
      </c>
      <c r="AG207" s="89" t="str">
        <f t="shared" si="86"/>
        <v>FEASIBLE</v>
      </c>
      <c r="AH207" s="81" t="str">
        <f t="shared" ca="1" si="87"/>
        <v>MONITOR</v>
      </c>
      <c r="AI207" s="75"/>
      <c r="AJ207" s="75"/>
      <c r="AK207" s="13"/>
      <c r="AL207" s="79"/>
      <c r="AM207" s="79"/>
      <c r="AN207" s="79"/>
      <c r="AO207" s="79"/>
      <c r="AP207" s="79"/>
      <c r="AQ207" s="75"/>
      <c r="AR207" s="75"/>
      <c r="AS207" s="75"/>
      <c r="AT207" s="75"/>
      <c r="AU207" s="75"/>
      <c r="AV207" s="13"/>
      <c r="AW207" s="13"/>
      <c r="AX207" s="13"/>
      <c r="AY207" s="13"/>
      <c r="AZ207" s="13"/>
      <c r="BA207" s="105"/>
      <c r="BB207" s="13"/>
      <c r="BC207" s="13"/>
      <c r="BD207" s="13"/>
      <c r="BE207" s="13"/>
      <c r="BF207" s="88"/>
      <c r="BG207" s="88"/>
      <c r="BH207" s="88"/>
      <c r="BI207" s="88"/>
      <c r="BJ207" s="88"/>
      <c r="BK207" s="105"/>
      <c r="BL207" s="105"/>
      <c r="BM207" s="105"/>
      <c r="BN207" s="105"/>
      <c r="BO207" s="105"/>
      <c r="BP207" s="105"/>
      <c r="BQ207" s="79"/>
      <c r="BR207" s="79"/>
      <c r="BS207" s="79"/>
      <c r="BT207" s="79"/>
      <c r="BU207" s="79"/>
      <c r="BV207" s="90"/>
      <c r="BW207" s="106"/>
      <c r="BX207" s="106"/>
      <c r="BY207" s="106"/>
      <c r="BZ207" s="106"/>
      <c r="CA207" s="106"/>
    </row>
    <row r="208" spans="1:79" x14ac:dyDescent="0.35">
      <c r="A208" s="25" t="s">
        <v>222</v>
      </c>
      <c r="B208" s="10" t="s">
        <v>332</v>
      </c>
      <c r="C208" s="10" t="s">
        <v>342</v>
      </c>
      <c r="D208" s="10" t="s">
        <v>346</v>
      </c>
      <c r="E208" s="11">
        <v>45892</v>
      </c>
      <c r="F208" s="17">
        <v>45892</v>
      </c>
      <c r="G208" s="14">
        <f t="shared" ca="1" si="67"/>
        <v>207</v>
      </c>
      <c r="H208" s="17">
        <v>399</v>
      </c>
      <c r="I208" s="17">
        <v>225</v>
      </c>
      <c r="J208" s="75">
        <f t="shared" si="68"/>
        <v>938</v>
      </c>
      <c r="K208" s="17">
        <v>1100</v>
      </c>
      <c r="L208" s="85">
        <v>162</v>
      </c>
      <c r="M208" s="86">
        <f t="shared" ca="1" si="69"/>
        <v>0.78260869565217395</v>
      </c>
      <c r="N208" s="86">
        <f t="shared" si="70"/>
        <v>0.80451009251471861</v>
      </c>
      <c r="O208" s="86">
        <f t="shared" si="71"/>
        <v>0.49390243902439024</v>
      </c>
      <c r="P208" s="87">
        <f t="shared" si="72"/>
        <v>40.5</v>
      </c>
      <c r="Q208" s="104">
        <f t="shared" si="73"/>
        <v>23.160493827160494</v>
      </c>
      <c r="R208" s="88">
        <f t="shared" si="74"/>
        <v>43.609022556390975</v>
      </c>
      <c r="S208" s="88">
        <f t="shared" si="75"/>
        <v>14.727272727272728</v>
      </c>
      <c r="T208" s="13">
        <f t="shared" si="76"/>
        <v>1</v>
      </c>
      <c r="U208" s="13">
        <f t="shared" si="77"/>
        <v>1</v>
      </c>
      <c r="V208" s="13">
        <f t="shared" si="78"/>
        <v>1</v>
      </c>
      <c r="W208" s="13">
        <f t="shared" ca="1" si="79"/>
        <v>3</v>
      </c>
      <c r="X208" s="13">
        <f t="shared" ca="1" si="80"/>
        <v>6</v>
      </c>
      <c r="Y208" s="81" t="str">
        <f t="shared" ca="1" si="81"/>
        <v>MONITOR</v>
      </c>
      <c r="Z208" s="13">
        <v>14</v>
      </c>
      <c r="AA208" s="75">
        <v>46059</v>
      </c>
      <c r="AB208" s="75">
        <f t="shared" si="82"/>
        <v>45920</v>
      </c>
      <c r="AC208" s="88">
        <f t="shared" si="83"/>
        <v>19.857142857142858</v>
      </c>
      <c r="AD208" s="89" t="str">
        <f t="shared" ca="1" si="84"/>
        <v>STABLE</v>
      </c>
      <c r="AE208" s="89" t="str">
        <f t="shared" si="66"/>
        <v>SLOW SELLING</v>
      </c>
      <c r="AF208" s="89" t="str">
        <f t="shared" si="85"/>
        <v>AT RISK</v>
      </c>
      <c r="AG208" s="89" t="str">
        <f t="shared" si="86"/>
        <v>FEASIBLE</v>
      </c>
      <c r="AH208" s="81" t="str">
        <f t="shared" ca="1" si="87"/>
        <v>MONITOR</v>
      </c>
      <c r="AI208" s="75"/>
      <c r="AJ208" s="75"/>
      <c r="AK208" s="13"/>
      <c r="AL208" s="79"/>
      <c r="AM208" s="79"/>
      <c r="AN208" s="79"/>
      <c r="AO208" s="79"/>
      <c r="AP208" s="79"/>
      <c r="AQ208" s="75"/>
      <c r="AR208" s="75"/>
      <c r="AS208" s="75"/>
      <c r="AT208" s="75"/>
      <c r="AU208" s="75"/>
      <c r="AV208" s="13"/>
      <c r="AW208" s="13"/>
      <c r="AX208" s="13"/>
      <c r="AY208" s="13"/>
      <c r="AZ208" s="13"/>
      <c r="BA208" s="105"/>
      <c r="BB208" s="13"/>
      <c r="BC208" s="13"/>
      <c r="BD208" s="13"/>
      <c r="BE208" s="13"/>
      <c r="BF208" s="88"/>
      <c r="BG208" s="88"/>
      <c r="BH208" s="88"/>
      <c r="BI208" s="88"/>
      <c r="BJ208" s="88"/>
      <c r="BK208" s="105"/>
      <c r="BL208" s="105"/>
      <c r="BM208" s="105"/>
      <c r="BN208" s="105"/>
      <c r="BO208" s="105"/>
      <c r="BP208" s="105"/>
      <c r="BQ208" s="79"/>
      <c r="BR208" s="79"/>
      <c r="BS208" s="79"/>
      <c r="BT208" s="79"/>
      <c r="BU208" s="79"/>
      <c r="BV208" s="90"/>
      <c r="BW208" s="106"/>
      <c r="BX208" s="106"/>
      <c r="BY208" s="106"/>
      <c r="BZ208" s="106"/>
      <c r="CA208" s="106"/>
    </row>
    <row r="209" spans="1:79" x14ac:dyDescent="0.35">
      <c r="A209" s="25" t="s">
        <v>223</v>
      </c>
      <c r="B209" s="10" t="s">
        <v>316</v>
      </c>
      <c r="C209" s="10" t="s">
        <v>345</v>
      </c>
      <c r="D209" s="10" t="s">
        <v>346</v>
      </c>
      <c r="E209" s="11">
        <v>45864</v>
      </c>
      <c r="F209" s="17">
        <v>45892</v>
      </c>
      <c r="G209" s="14">
        <f t="shared" ca="1" si="67"/>
        <v>207</v>
      </c>
      <c r="H209" s="17">
        <v>799</v>
      </c>
      <c r="I209" s="17">
        <v>380</v>
      </c>
      <c r="J209" s="75">
        <f t="shared" si="68"/>
        <v>848</v>
      </c>
      <c r="K209" s="17">
        <v>1000</v>
      </c>
      <c r="L209" s="85">
        <v>152</v>
      </c>
      <c r="M209" s="86">
        <f t="shared" ca="1" si="69"/>
        <v>0.7342995169082126</v>
      </c>
      <c r="N209" s="86">
        <f t="shared" si="70"/>
        <v>0.73224085365853642</v>
      </c>
      <c r="O209" s="86">
        <f t="shared" si="71"/>
        <v>0.46341463414634149</v>
      </c>
      <c r="P209" s="87">
        <f t="shared" si="72"/>
        <v>38</v>
      </c>
      <c r="Q209" s="104">
        <f t="shared" si="73"/>
        <v>22.315789473684209</v>
      </c>
      <c r="R209" s="88">
        <f t="shared" si="74"/>
        <v>52.440550688360453</v>
      </c>
      <c r="S209" s="88">
        <f t="shared" si="75"/>
        <v>15.2</v>
      </c>
      <c r="T209" s="13">
        <f t="shared" si="76"/>
        <v>1</v>
      </c>
      <c r="U209" s="13">
        <f t="shared" si="77"/>
        <v>1</v>
      </c>
      <c r="V209" s="13">
        <f t="shared" si="78"/>
        <v>2</v>
      </c>
      <c r="W209" s="13">
        <f t="shared" ca="1" si="79"/>
        <v>3</v>
      </c>
      <c r="X209" s="13">
        <f t="shared" ca="1" si="80"/>
        <v>7</v>
      </c>
      <c r="Y209" s="81" t="str">
        <f t="shared" ca="1" si="81"/>
        <v>MONITOR</v>
      </c>
      <c r="Z209" s="13">
        <v>14</v>
      </c>
      <c r="AA209" s="75">
        <v>46059</v>
      </c>
      <c r="AB209" s="75">
        <f t="shared" si="82"/>
        <v>45920</v>
      </c>
      <c r="AC209" s="88">
        <f t="shared" si="83"/>
        <v>19.857142857142858</v>
      </c>
      <c r="AD209" s="89" t="str">
        <f t="shared" ca="1" si="84"/>
        <v>STABLE</v>
      </c>
      <c r="AE209" s="89" t="str">
        <f t="shared" si="66"/>
        <v>SLOW SELLING</v>
      </c>
      <c r="AF209" s="89" t="str">
        <f t="shared" si="85"/>
        <v>AT RISK</v>
      </c>
      <c r="AG209" s="89" t="str">
        <f t="shared" si="86"/>
        <v>FEASIBLE</v>
      </c>
      <c r="AH209" s="81" t="str">
        <f t="shared" ca="1" si="87"/>
        <v>MONITOR</v>
      </c>
      <c r="AI209" s="75"/>
      <c r="AJ209" s="75"/>
      <c r="AK209" s="13"/>
      <c r="AL209" s="79"/>
      <c r="AM209" s="79"/>
      <c r="AN209" s="79"/>
      <c r="AO209" s="79"/>
      <c r="AP209" s="79"/>
      <c r="AQ209" s="75"/>
      <c r="AR209" s="75"/>
      <c r="AS209" s="75"/>
      <c r="AT209" s="75"/>
      <c r="AU209" s="75"/>
      <c r="AV209" s="13"/>
      <c r="AW209" s="13"/>
      <c r="AX209" s="13"/>
      <c r="AY209" s="13"/>
      <c r="AZ209" s="13"/>
      <c r="BA209" s="105"/>
      <c r="BB209" s="13"/>
      <c r="BC209" s="13"/>
      <c r="BD209" s="13"/>
      <c r="BE209" s="13"/>
      <c r="BF209" s="88"/>
      <c r="BG209" s="88"/>
      <c r="BH209" s="88"/>
      <c r="BI209" s="88"/>
      <c r="BJ209" s="88"/>
      <c r="BK209" s="105"/>
      <c r="BL209" s="105"/>
      <c r="BM209" s="105"/>
      <c r="BN209" s="105"/>
      <c r="BO209" s="105"/>
      <c r="BP209" s="105"/>
      <c r="BQ209" s="79"/>
      <c r="BR209" s="79"/>
      <c r="BS209" s="79"/>
      <c r="BT209" s="79"/>
      <c r="BU209" s="79"/>
      <c r="BV209" s="90"/>
      <c r="BW209" s="106"/>
      <c r="BX209" s="106"/>
      <c r="BY209" s="106"/>
      <c r="BZ209" s="106"/>
      <c r="CA209" s="106"/>
    </row>
    <row r="210" spans="1:79" x14ac:dyDescent="0.35">
      <c r="A210" s="25" t="s">
        <v>224</v>
      </c>
      <c r="B210" s="10" t="s">
        <v>316</v>
      </c>
      <c r="C210" s="10" t="s">
        <v>345</v>
      </c>
      <c r="D210" s="10" t="s">
        <v>346</v>
      </c>
      <c r="E210" s="11">
        <v>45864</v>
      </c>
      <c r="F210" s="17">
        <v>45892</v>
      </c>
      <c r="G210" s="14">
        <f t="shared" ca="1" si="67"/>
        <v>207</v>
      </c>
      <c r="H210" s="17">
        <v>799</v>
      </c>
      <c r="I210" s="17">
        <v>380</v>
      </c>
      <c r="J210" s="75">
        <f t="shared" si="68"/>
        <v>812</v>
      </c>
      <c r="K210" s="17">
        <v>1000</v>
      </c>
      <c r="L210" s="85">
        <v>188</v>
      </c>
      <c r="M210" s="86">
        <f t="shared" ca="1" si="69"/>
        <v>0.90821256038647347</v>
      </c>
      <c r="N210" s="86">
        <f t="shared" si="70"/>
        <v>0.73224085365853642</v>
      </c>
      <c r="O210" s="86">
        <f t="shared" si="71"/>
        <v>0.57317073170731703</v>
      </c>
      <c r="P210" s="87">
        <f t="shared" si="72"/>
        <v>46.999999999999993</v>
      </c>
      <c r="Q210" s="104">
        <f t="shared" si="73"/>
        <v>17.276595744680854</v>
      </c>
      <c r="R210" s="88">
        <f t="shared" si="74"/>
        <v>52.440550688360453</v>
      </c>
      <c r="S210" s="88">
        <f t="shared" si="75"/>
        <v>18.8</v>
      </c>
      <c r="T210" s="13">
        <f t="shared" si="76"/>
        <v>1</v>
      </c>
      <c r="U210" s="13">
        <f t="shared" si="77"/>
        <v>1</v>
      </c>
      <c r="V210" s="13">
        <f t="shared" si="78"/>
        <v>2</v>
      </c>
      <c r="W210" s="13">
        <f t="shared" ca="1" si="79"/>
        <v>3</v>
      </c>
      <c r="X210" s="13">
        <f t="shared" ca="1" si="80"/>
        <v>7</v>
      </c>
      <c r="Y210" s="81" t="str">
        <f t="shared" ca="1" si="81"/>
        <v>MONITOR</v>
      </c>
      <c r="Z210" s="13">
        <v>14</v>
      </c>
      <c r="AA210" s="75">
        <v>46059</v>
      </c>
      <c r="AB210" s="75">
        <f t="shared" si="82"/>
        <v>45920</v>
      </c>
      <c r="AC210" s="88">
        <f t="shared" si="83"/>
        <v>19.857142857142858</v>
      </c>
      <c r="AD210" s="89" t="str">
        <f t="shared" ca="1" si="84"/>
        <v>STABLE</v>
      </c>
      <c r="AE210" s="89" t="str">
        <f t="shared" si="66"/>
        <v>SLOW SELLING</v>
      </c>
      <c r="AF210" s="89" t="str">
        <f t="shared" si="85"/>
        <v>AT RISK</v>
      </c>
      <c r="AG210" s="89" t="str">
        <f t="shared" si="86"/>
        <v>FEASIBLE</v>
      </c>
      <c r="AH210" s="81" t="str">
        <f t="shared" ca="1" si="87"/>
        <v>MONITOR</v>
      </c>
      <c r="AI210" s="75"/>
      <c r="AJ210" s="75"/>
      <c r="AK210" s="13"/>
      <c r="AL210" s="79"/>
      <c r="AM210" s="79"/>
      <c r="AN210" s="79"/>
      <c r="AO210" s="79"/>
      <c r="AP210" s="79"/>
      <c r="AQ210" s="75"/>
      <c r="AR210" s="75"/>
      <c r="AS210" s="75"/>
      <c r="AT210" s="75"/>
      <c r="AU210" s="75"/>
      <c r="AV210" s="13"/>
      <c r="AW210" s="13"/>
      <c r="AX210" s="13"/>
      <c r="AY210" s="13"/>
      <c r="AZ210" s="13"/>
      <c r="BA210" s="105"/>
      <c r="BB210" s="13"/>
      <c r="BC210" s="13"/>
      <c r="BD210" s="13"/>
      <c r="BE210" s="13"/>
      <c r="BF210" s="88"/>
      <c r="BG210" s="88"/>
      <c r="BH210" s="88"/>
      <c r="BI210" s="88"/>
      <c r="BJ210" s="88"/>
      <c r="BK210" s="105"/>
      <c r="BL210" s="105"/>
      <c r="BM210" s="105"/>
      <c r="BN210" s="105"/>
      <c r="BO210" s="105"/>
      <c r="BP210" s="105"/>
      <c r="BQ210" s="79"/>
      <c r="BR210" s="79"/>
      <c r="BS210" s="79"/>
      <c r="BT210" s="79"/>
      <c r="BU210" s="79"/>
      <c r="BV210" s="90"/>
      <c r="BW210" s="106"/>
      <c r="BX210" s="106"/>
      <c r="BY210" s="106"/>
      <c r="BZ210" s="106"/>
      <c r="CA210" s="106"/>
    </row>
    <row r="211" spans="1:79" x14ac:dyDescent="0.35">
      <c r="A211" s="25" t="s">
        <v>225</v>
      </c>
      <c r="B211" s="10" t="s">
        <v>316</v>
      </c>
      <c r="C211" s="10" t="s">
        <v>345</v>
      </c>
      <c r="D211" s="10" t="s">
        <v>346</v>
      </c>
      <c r="E211" s="11">
        <v>45920</v>
      </c>
      <c r="F211" s="17">
        <v>45892</v>
      </c>
      <c r="G211" s="14">
        <f t="shared" ca="1" si="67"/>
        <v>207</v>
      </c>
      <c r="H211" s="17">
        <v>799</v>
      </c>
      <c r="I211" s="17">
        <v>380</v>
      </c>
      <c r="J211" s="75">
        <f t="shared" si="68"/>
        <v>850</v>
      </c>
      <c r="K211" s="17">
        <v>1000</v>
      </c>
      <c r="L211" s="85">
        <v>150</v>
      </c>
      <c r="M211" s="86">
        <f t="shared" ca="1" si="69"/>
        <v>0.72463768115942029</v>
      </c>
      <c r="N211" s="86">
        <f t="shared" si="70"/>
        <v>0.73224085365853642</v>
      </c>
      <c r="O211" s="86">
        <f t="shared" si="71"/>
        <v>0.45731707317073172</v>
      </c>
      <c r="P211" s="87">
        <f t="shared" si="72"/>
        <v>37.5</v>
      </c>
      <c r="Q211" s="104">
        <f t="shared" si="73"/>
        <v>22.666666666666668</v>
      </c>
      <c r="R211" s="88">
        <f t="shared" si="74"/>
        <v>52.440550688360453</v>
      </c>
      <c r="S211" s="88">
        <f t="shared" si="75"/>
        <v>15</v>
      </c>
      <c r="T211" s="13">
        <f t="shared" si="76"/>
        <v>1</v>
      </c>
      <c r="U211" s="13">
        <f t="shared" si="77"/>
        <v>1</v>
      </c>
      <c r="V211" s="13">
        <f t="shared" si="78"/>
        <v>2</v>
      </c>
      <c r="W211" s="13">
        <f t="shared" ca="1" si="79"/>
        <v>3</v>
      </c>
      <c r="X211" s="13">
        <f t="shared" ca="1" si="80"/>
        <v>7</v>
      </c>
      <c r="Y211" s="81" t="str">
        <f t="shared" ca="1" si="81"/>
        <v>MONITOR</v>
      </c>
      <c r="Z211" s="13">
        <v>14</v>
      </c>
      <c r="AA211" s="75">
        <v>46059</v>
      </c>
      <c r="AB211" s="75">
        <f t="shared" si="82"/>
        <v>45920</v>
      </c>
      <c r="AC211" s="88">
        <f t="shared" si="83"/>
        <v>19.857142857142858</v>
      </c>
      <c r="AD211" s="89" t="str">
        <f t="shared" ca="1" si="84"/>
        <v>STABLE</v>
      </c>
      <c r="AE211" s="89" t="str">
        <f t="shared" si="66"/>
        <v>SLOW SELLING</v>
      </c>
      <c r="AF211" s="89" t="str">
        <f t="shared" si="85"/>
        <v>AT RISK</v>
      </c>
      <c r="AG211" s="89" t="str">
        <f t="shared" si="86"/>
        <v>FEASIBLE</v>
      </c>
      <c r="AH211" s="81" t="str">
        <f t="shared" ca="1" si="87"/>
        <v>MONITOR</v>
      </c>
      <c r="AI211" s="75"/>
      <c r="AJ211" s="75"/>
      <c r="AK211" s="13"/>
      <c r="AL211" s="79"/>
      <c r="AM211" s="79"/>
      <c r="AN211" s="79"/>
      <c r="AO211" s="79"/>
      <c r="AP211" s="79"/>
      <c r="AQ211" s="75"/>
      <c r="AR211" s="75"/>
      <c r="AS211" s="75"/>
      <c r="AT211" s="75"/>
      <c r="AU211" s="75"/>
      <c r="AV211" s="13"/>
      <c r="AW211" s="13"/>
      <c r="AX211" s="13"/>
      <c r="AY211" s="13"/>
      <c r="AZ211" s="13"/>
      <c r="BA211" s="105"/>
      <c r="BB211" s="13"/>
      <c r="BC211" s="13"/>
      <c r="BD211" s="13"/>
      <c r="BE211" s="13"/>
      <c r="BF211" s="88"/>
      <c r="BG211" s="88"/>
      <c r="BH211" s="88"/>
      <c r="BI211" s="88"/>
      <c r="BJ211" s="88"/>
      <c r="BK211" s="105"/>
      <c r="BL211" s="105"/>
      <c r="BM211" s="105"/>
      <c r="BN211" s="105"/>
      <c r="BO211" s="105"/>
      <c r="BP211" s="105"/>
      <c r="BQ211" s="79"/>
      <c r="BR211" s="79"/>
      <c r="BS211" s="79"/>
      <c r="BT211" s="79"/>
      <c r="BU211" s="79"/>
      <c r="BV211" s="90"/>
      <c r="BW211" s="106"/>
      <c r="BX211" s="106"/>
      <c r="BY211" s="106"/>
      <c r="BZ211" s="106"/>
      <c r="CA211" s="106"/>
    </row>
    <row r="212" spans="1:79" x14ac:dyDescent="0.35">
      <c r="A212" s="25" t="s">
        <v>226</v>
      </c>
      <c r="B212" s="10" t="s">
        <v>316</v>
      </c>
      <c r="C212" s="10" t="s">
        <v>345</v>
      </c>
      <c r="D212" s="10" t="s">
        <v>346</v>
      </c>
      <c r="E212" s="11">
        <v>45920</v>
      </c>
      <c r="F212" s="17">
        <v>45892</v>
      </c>
      <c r="G212" s="14">
        <f t="shared" ca="1" si="67"/>
        <v>207</v>
      </c>
      <c r="H212" s="17">
        <v>799</v>
      </c>
      <c r="I212" s="17">
        <v>380</v>
      </c>
      <c r="J212" s="75">
        <f t="shared" si="68"/>
        <v>538</v>
      </c>
      <c r="K212" s="17">
        <v>1000</v>
      </c>
      <c r="L212" s="85">
        <v>462</v>
      </c>
      <c r="M212" s="86">
        <f t="shared" ca="1" si="69"/>
        <v>2.2318840579710146</v>
      </c>
      <c r="N212" s="86">
        <f t="shared" si="70"/>
        <v>0.73224085365853642</v>
      </c>
      <c r="O212" s="86">
        <f t="shared" si="71"/>
        <v>1.4085365853658536</v>
      </c>
      <c r="P212" s="87">
        <f t="shared" si="72"/>
        <v>115.5</v>
      </c>
      <c r="Q212" s="104">
        <f t="shared" si="73"/>
        <v>4.6580086580086579</v>
      </c>
      <c r="R212" s="88">
        <f t="shared" si="74"/>
        <v>52.440550688360453</v>
      </c>
      <c r="S212" s="88">
        <f t="shared" si="75"/>
        <v>46.2</v>
      </c>
      <c r="T212" s="13">
        <f t="shared" si="76"/>
        <v>3</v>
      </c>
      <c r="U212" s="13">
        <f t="shared" si="77"/>
        <v>2</v>
      </c>
      <c r="V212" s="13">
        <f t="shared" si="78"/>
        <v>2</v>
      </c>
      <c r="W212" s="13">
        <f t="shared" ca="1" si="79"/>
        <v>3</v>
      </c>
      <c r="X212" s="13">
        <f t="shared" ca="1" si="80"/>
        <v>10</v>
      </c>
      <c r="Y212" s="81" t="str">
        <f t="shared" ca="1" si="81"/>
        <v>RE-BUY</v>
      </c>
      <c r="Z212" s="13">
        <v>14</v>
      </c>
      <c r="AA212" s="75">
        <v>46059</v>
      </c>
      <c r="AB212" s="75">
        <f t="shared" si="82"/>
        <v>45920</v>
      </c>
      <c r="AC212" s="88">
        <f t="shared" si="83"/>
        <v>19.857142857142858</v>
      </c>
      <c r="AD212" s="89" t="str">
        <f t="shared" ca="1" si="84"/>
        <v>STABLE</v>
      </c>
      <c r="AE212" s="89" t="str">
        <f t="shared" si="66"/>
        <v>FAST SELLING</v>
      </c>
      <c r="AF212" s="89" t="str">
        <f t="shared" si="85"/>
        <v>AT RISK</v>
      </c>
      <c r="AG212" s="89" t="str">
        <f t="shared" si="86"/>
        <v>FEASIBLE</v>
      </c>
      <c r="AH212" s="81" t="str">
        <f t="shared" ca="1" si="87"/>
        <v>IMMEDIATE REBUY</v>
      </c>
      <c r="AI212" s="75"/>
      <c r="AJ212" s="75"/>
      <c r="AK212" s="13"/>
      <c r="AL212" s="79"/>
      <c r="AM212" s="79"/>
      <c r="AN212" s="79"/>
      <c r="AO212" s="79"/>
      <c r="AP212" s="79"/>
      <c r="AQ212" s="75"/>
      <c r="AR212" s="75"/>
      <c r="AS212" s="75"/>
      <c r="AT212" s="75"/>
      <c r="AU212" s="75"/>
      <c r="AV212" s="13"/>
      <c r="AW212" s="13"/>
      <c r="AX212" s="13"/>
      <c r="AY212" s="13"/>
      <c r="AZ212" s="13"/>
      <c r="BA212" s="105"/>
      <c r="BB212" s="13"/>
      <c r="BC212" s="13"/>
      <c r="BD212" s="13"/>
      <c r="BE212" s="13"/>
      <c r="BF212" s="88"/>
      <c r="BG212" s="88"/>
      <c r="BH212" s="88"/>
      <c r="BI212" s="88"/>
      <c r="BJ212" s="88"/>
      <c r="BK212" s="105"/>
      <c r="BL212" s="105"/>
      <c r="BM212" s="105"/>
      <c r="BN212" s="105"/>
      <c r="BO212" s="105"/>
      <c r="BP212" s="105"/>
      <c r="BQ212" s="79"/>
      <c r="BR212" s="79"/>
      <c r="BS212" s="79"/>
      <c r="BT212" s="79"/>
      <c r="BU212" s="79"/>
      <c r="BV212" s="90"/>
      <c r="BW212" s="106"/>
      <c r="BX212" s="106"/>
      <c r="BY212" s="106"/>
      <c r="BZ212" s="106"/>
      <c r="CA212" s="106"/>
    </row>
    <row r="213" spans="1:79" x14ac:dyDescent="0.35">
      <c r="A213" s="25" t="s">
        <v>227</v>
      </c>
      <c r="B213" s="10" t="s">
        <v>316</v>
      </c>
      <c r="C213" s="10" t="s">
        <v>345</v>
      </c>
      <c r="D213" s="10" t="s">
        <v>346</v>
      </c>
      <c r="E213" s="11">
        <v>45878</v>
      </c>
      <c r="F213" s="17">
        <v>45892</v>
      </c>
      <c r="G213" s="14">
        <f t="shared" ca="1" si="67"/>
        <v>207</v>
      </c>
      <c r="H213" s="17">
        <v>699</v>
      </c>
      <c r="I213" s="17">
        <v>380</v>
      </c>
      <c r="J213" s="75">
        <f t="shared" si="68"/>
        <v>677</v>
      </c>
      <c r="K213" s="17">
        <v>1000</v>
      </c>
      <c r="L213" s="85">
        <v>323</v>
      </c>
      <c r="M213" s="86">
        <f t="shared" ca="1" si="69"/>
        <v>1.5603864734299517</v>
      </c>
      <c r="N213" s="86">
        <f t="shared" si="70"/>
        <v>0.73224085365853642</v>
      </c>
      <c r="O213" s="86">
        <f t="shared" si="71"/>
        <v>0.9847560975609756</v>
      </c>
      <c r="P213" s="87">
        <f t="shared" si="72"/>
        <v>80.75</v>
      </c>
      <c r="Q213" s="104">
        <f t="shared" si="73"/>
        <v>8.3839009287925705</v>
      </c>
      <c r="R213" s="88">
        <f t="shared" si="74"/>
        <v>45.636623748211733</v>
      </c>
      <c r="S213" s="88">
        <f t="shared" si="75"/>
        <v>32.300000000000004</v>
      </c>
      <c r="T213" s="13">
        <f t="shared" si="76"/>
        <v>3</v>
      </c>
      <c r="U213" s="13">
        <f t="shared" si="77"/>
        <v>1</v>
      </c>
      <c r="V213" s="13">
        <f t="shared" si="78"/>
        <v>2</v>
      </c>
      <c r="W213" s="13">
        <f t="shared" ca="1" si="79"/>
        <v>3</v>
      </c>
      <c r="X213" s="13">
        <f t="shared" ca="1" si="80"/>
        <v>9</v>
      </c>
      <c r="Y213" s="81" t="str">
        <f t="shared" ca="1" si="81"/>
        <v>RE-BUY</v>
      </c>
      <c r="Z213" s="13">
        <v>14</v>
      </c>
      <c r="AA213" s="75">
        <v>46059</v>
      </c>
      <c r="AB213" s="75">
        <f t="shared" si="82"/>
        <v>45920</v>
      </c>
      <c r="AC213" s="88">
        <f t="shared" si="83"/>
        <v>19.857142857142858</v>
      </c>
      <c r="AD213" s="89" t="str">
        <f t="shared" ca="1" si="84"/>
        <v>STABLE</v>
      </c>
      <c r="AE213" s="89" t="str">
        <f t="shared" si="66"/>
        <v>FAST SELLING</v>
      </c>
      <c r="AF213" s="89" t="str">
        <f t="shared" si="85"/>
        <v>AT RISK</v>
      </c>
      <c r="AG213" s="89" t="str">
        <f t="shared" si="86"/>
        <v>FEASIBLE</v>
      </c>
      <c r="AH213" s="81" t="str">
        <f t="shared" ca="1" si="87"/>
        <v>IMMEDIATE REBUY</v>
      </c>
      <c r="AI213" s="75"/>
      <c r="AJ213" s="75"/>
      <c r="AK213" s="13"/>
      <c r="AL213" s="79"/>
      <c r="AM213" s="79"/>
      <c r="AN213" s="79"/>
      <c r="AO213" s="79"/>
      <c r="AP213" s="79"/>
      <c r="AQ213" s="75"/>
      <c r="AR213" s="75"/>
      <c r="AS213" s="75"/>
      <c r="AT213" s="75"/>
      <c r="AU213" s="75"/>
      <c r="AV213" s="13"/>
      <c r="AW213" s="13"/>
      <c r="AX213" s="13"/>
      <c r="AY213" s="13"/>
      <c r="AZ213" s="13"/>
      <c r="BA213" s="105"/>
      <c r="BB213" s="13"/>
      <c r="BC213" s="13"/>
      <c r="BD213" s="13"/>
      <c r="BE213" s="13"/>
      <c r="BF213" s="88"/>
      <c r="BG213" s="88"/>
      <c r="BH213" s="88"/>
      <c r="BI213" s="88"/>
      <c r="BJ213" s="88"/>
      <c r="BK213" s="105"/>
      <c r="BL213" s="105"/>
      <c r="BM213" s="105"/>
      <c r="BN213" s="105"/>
      <c r="BO213" s="105"/>
      <c r="BP213" s="105"/>
      <c r="BQ213" s="79"/>
      <c r="BR213" s="79"/>
      <c r="BS213" s="79"/>
      <c r="BT213" s="79"/>
      <c r="BU213" s="79"/>
      <c r="BV213" s="90"/>
      <c r="BW213" s="106"/>
      <c r="BX213" s="106"/>
      <c r="BY213" s="106"/>
      <c r="BZ213" s="106"/>
      <c r="CA213" s="106"/>
    </row>
    <row r="214" spans="1:79" x14ac:dyDescent="0.35">
      <c r="A214" s="25" t="s">
        <v>228</v>
      </c>
      <c r="B214" s="10" t="s">
        <v>316</v>
      </c>
      <c r="C214" s="10" t="s">
        <v>345</v>
      </c>
      <c r="D214" s="10" t="s">
        <v>346</v>
      </c>
      <c r="E214" s="11">
        <v>45878</v>
      </c>
      <c r="F214" s="17">
        <v>45892</v>
      </c>
      <c r="G214" s="14">
        <f t="shared" ca="1" si="67"/>
        <v>207</v>
      </c>
      <c r="H214" s="17">
        <v>699</v>
      </c>
      <c r="I214" s="17">
        <v>380</v>
      </c>
      <c r="J214" s="75">
        <f t="shared" si="68"/>
        <v>708</v>
      </c>
      <c r="K214" s="17">
        <v>1000</v>
      </c>
      <c r="L214" s="85">
        <v>292</v>
      </c>
      <c r="M214" s="86">
        <f t="shared" ca="1" si="69"/>
        <v>1.4106280193236715</v>
      </c>
      <c r="N214" s="86">
        <f t="shared" si="70"/>
        <v>0.73224085365853642</v>
      </c>
      <c r="O214" s="86">
        <f t="shared" si="71"/>
        <v>0.8902439024390244</v>
      </c>
      <c r="P214" s="87">
        <f t="shared" si="72"/>
        <v>73</v>
      </c>
      <c r="Q214" s="104">
        <f t="shared" si="73"/>
        <v>9.6986301369863011</v>
      </c>
      <c r="R214" s="88">
        <f t="shared" si="74"/>
        <v>45.636623748211733</v>
      </c>
      <c r="S214" s="88">
        <f t="shared" si="75"/>
        <v>29.2</v>
      </c>
      <c r="T214" s="13">
        <f t="shared" si="76"/>
        <v>3</v>
      </c>
      <c r="U214" s="13">
        <f t="shared" si="77"/>
        <v>1</v>
      </c>
      <c r="V214" s="13">
        <f t="shared" si="78"/>
        <v>2</v>
      </c>
      <c r="W214" s="13">
        <f t="shared" ca="1" si="79"/>
        <v>3</v>
      </c>
      <c r="X214" s="13">
        <f t="shared" ca="1" si="80"/>
        <v>9</v>
      </c>
      <c r="Y214" s="81" t="str">
        <f t="shared" ca="1" si="81"/>
        <v>RE-BUY</v>
      </c>
      <c r="Z214" s="13">
        <v>14</v>
      </c>
      <c r="AA214" s="75">
        <v>46059</v>
      </c>
      <c r="AB214" s="75">
        <f t="shared" si="82"/>
        <v>45920</v>
      </c>
      <c r="AC214" s="88">
        <f t="shared" si="83"/>
        <v>19.857142857142858</v>
      </c>
      <c r="AD214" s="89" t="str">
        <f t="shared" ca="1" si="84"/>
        <v>STABLE</v>
      </c>
      <c r="AE214" s="89" t="str">
        <f t="shared" si="66"/>
        <v>FAST SELLING</v>
      </c>
      <c r="AF214" s="89" t="str">
        <f t="shared" si="85"/>
        <v>AT RISK</v>
      </c>
      <c r="AG214" s="89" t="str">
        <f t="shared" si="86"/>
        <v>FEASIBLE</v>
      </c>
      <c r="AH214" s="81" t="str">
        <f t="shared" ca="1" si="87"/>
        <v>IMMEDIATE REBUY</v>
      </c>
      <c r="AI214" s="75"/>
      <c r="AJ214" s="75"/>
      <c r="AK214" s="13"/>
      <c r="AL214" s="79"/>
      <c r="AM214" s="79"/>
      <c r="AN214" s="79"/>
      <c r="AO214" s="79"/>
      <c r="AP214" s="79"/>
      <c r="AQ214" s="75"/>
      <c r="AR214" s="75"/>
      <c r="AS214" s="75"/>
      <c r="AT214" s="75"/>
      <c r="AU214" s="75"/>
      <c r="AV214" s="13"/>
      <c r="AW214" s="13"/>
      <c r="AX214" s="13"/>
      <c r="AY214" s="13"/>
      <c r="AZ214" s="13"/>
      <c r="BA214" s="105"/>
      <c r="BB214" s="13"/>
      <c r="BC214" s="13"/>
      <c r="BD214" s="13"/>
      <c r="BE214" s="13"/>
      <c r="BF214" s="88"/>
      <c r="BG214" s="88"/>
      <c r="BH214" s="88"/>
      <c r="BI214" s="88"/>
      <c r="BJ214" s="88"/>
      <c r="BK214" s="105"/>
      <c r="BL214" s="105"/>
      <c r="BM214" s="105"/>
      <c r="BN214" s="105"/>
      <c r="BO214" s="105"/>
      <c r="BP214" s="105"/>
      <c r="BQ214" s="79"/>
      <c r="BR214" s="79"/>
      <c r="BS214" s="79"/>
      <c r="BT214" s="79"/>
      <c r="BU214" s="79"/>
      <c r="BV214" s="90"/>
      <c r="BW214" s="106"/>
      <c r="BX214" s="106"/>
      <c r="BY214" s="106"/>
      <c r="BZ214" s="106"/>
      <c r="CA214" s="106"/>
    </row>
    <row r="215" spans="1:79" x14ac:dyDescent="0.35">
      <c r="A215" s="25" t="s">
        <v>229</v>
      </c>
      <c r="B215" s="10" t="s">
        <v>327</v>
      </c>
      <c r="C215" s="10" t="s">
        <v>345</v>
      </c>
      <c r="D215" s="10" t="s">
        <v>346</v>
      </c>
      <c r="E215" s="11">
        <v>45864</v>
      </c>
      <c r="F215" s="17">
        <v>45892</v>
      </c>
      <c r="G215" s="14">
        <f t="shared" ca="1" si="67"/>
        <v>207</v>
      </c>
      <c r="H215" s="17">
        <v>799</v>
      </c>
      <c r="I215" s="17">
        <v>400</v>
      </c>
      <c r="J215" s="75">
        <f t="shared" si="68"/>
        <v>833</v>
      </c>
      <c r="K215" s="17">
        <v>1050</v>
      </c>
      <c r="L215" s="85">
        <v>217</v>
      </c>
      <c r="M215" s="86">
        <f t="shared" ca="1" si="69"/>
        <v>1.0483091787439613</v>
      </c>
      <c r="N215" s="86">
        <f t="shared" si="70"/>
        <v>0.73224085365853642</v>
      </c>
      <c r="O215" s="86">
        <f t="shared" si="71"/>
        <v>0.66158536585365857</v>
      </c>
      <c r="P215" s="87">
        <f t="shared" si="72"/>
        <v>54.25</v>
      </c>
      <c r="Q215" s="104">
        <f t="shared" si="73"/>
        <v>15.35483870967742</v>
      </c>
      <c r="R215" s="88">
        <f t="shared" si="74"/>
        <v>49.937421777221523</v>
      </c>
      <c r="S215" s="88">
        <f t="shared" si="75"/>
        <v>20.666666666666668</v>
      </c>
      <c r="T215" s="13">
        <f t="shared" si="76"/>
        <v>2</v>
      </c>
      <c r="U215" s="13">
        <f t="shared" si="77"/>
        <v>1</v>
      </c>
      <c r="V215" s="13">
        <f t="shared" si="78"/>
        <v>2</v>
      </c>
      <c r="W215" s="13">
        <f t="shared" ca="1" si="79"/>
        <v>3</v>
      </c>
      <c r="X215" s="13">
        <f t="shared" ca="1" si="80"/>
        <v>8</v>
      </c>
      <c r="Y215" s="81" t="str">
        <f t="shared" ca="1" si="81"/>
        <v>MONITOR</v>
      </c>
      <c r="Z215" s="13">
        <v>14</v>
      </c>
      <c r="AA215" s="75">
        <v>46059</v>
      </c>
      <c r="AB215" s="75">
        <f t="shared" si="82"/>
        <v>45920</v>
      </c>
      <c r="AC215" s="88">
        <f t="shared" si="83"/>
        <v>19.857142857142858</v>
      </c>
      <c r="AD215" s="89" t="str">
        <f t="shared" ca="1" si="84"/>
        <v>STABLE</v>
      </c>
      <c r="AE215" s="89" t="str">
        <f t="shared" si="66"/>
        <v>SLOW SELLING</v>
      </c>
      <c r="AF215" s="89" t="str">
        <f t="shared" si="85"/>
        <v>AT RISK</v>
      </c>
      <c r="AG215" s="89" t="str">
        <f t="shared" si="86"/>
        <v>FEASIBLE</v>
      </c>
      <c r="AH215" s="81" t="str">
        <f t="shared" ca="1" si="87"/>
        <v>MONITOR</v>
      </c>
      <c r="AI215" s="75"/>
      <c r="AJ215" s="75"/>
      <c r="AK215" s="13"/>
      <c r="AL215" s="79"/>
      <c r="AM215" s="79"/>
      <c r="AN215" s="79"/>
      <c r="AO215" s="79"/>
      <c r="AP215" s="79"/>
      <c r="AQ215" s="75"/>
      <c r="AR215" s="75"/>
      <c r="AS215" s="75"/>
      <c r="AT215" s="75"/>
      <c r="AU215" s="75"/>
      <c r="AV215" s="13"/>
      <c r="AW215" s="13"/>
      <c r="AX215" s="13"/>
      <c r="AY215" s="13"/>
      <c r="AZ215" s="13"/>
      <c r="BA215" s="105"/>
      <c r="BB215" s="13"/>
      <c r="BC215" s="13"/>
      <c r="BD215" s="13"/>
      <c r="BE215" s="13"/>
      <c r="BF215" s="88"/>
      <c r="BG215" s="88"/>
      <c r="BH215" s="88"/>
      <c r="BI215" s="88"/>
      <c r="BJ215" s="88"/>
      <c r="BK215" s="105"/>
      <c r="BL215" s="105"/>
      <c r="BM215" s="105"/>
      <c r="BN215" s="105"/>
      <c r="BO215" s="105"/>
      <c r="BP215" s="105"/>
      <c r="BQ215" s="79"/>
      <c r="BR215" s="79"/>
      <c r="BS215" s="79"/>
      <c r="BT215" s="79"/>
      <c r="BU215" s="79"/>
      <c r="BV215" s="90"/>
      <c r="BW215" s="106"/>
      <c r="BX215" s="106"/>
      <c r="BY215" s="106"/>
      <c r="BZ215" s="106"/>
      <c r="CA215" s="106"/>
    </row>
    <row r="216" spans="1:79" x14ac:dyDescent="0.35">
      <c r="A216" s="25" t="s">
        <v>230</v>
      </c>
      <c r="B216" s="15" t="s">
        <v>329</v>
      </c>
      <c r="C216" s="10" t="s">
        <v>345</v>
      </c>
      <c r="D216" s="10" t="s">
        <v>346</v>
      </c>
      <c r="E216" s="11">
        <v>45871</v>
      </c>
      <c r="F216" s="17">
        <v>45892</v>
      </c>
      <c r="G216" s="14">
        <f t="shared" ca="1" si="67"/>
        <v>207</v>
      </c>
      <c r="H216" s="17">
        <v>599</v>
      </c>
      <c r="I216" s="17">
        <v>315</v>
      </c>
      <c r="J216" s="75">
        <f t="shared" si="68"/>
        <v>1178</v>
      </c>
      <c r="K216" s="17">
        <v>1450</v>
      </c>
      <c r="L216" s="85">
        <v>272</v>
      </c>
      <c r="M216" s="86">
        <f t="shared" ca="1" si="69"/>
        <v>1.3140096618357489</v>
      </c>
      <c r="N216" s="86">
        <f t="shared" si="70"/>
        <v>0.73224085365853642</v>
      </c>
      <c r="O216" s="86">
        <f t="shared" si="71"/>
        <v>0.82926829268292679</v>
      </c>
      <c r="P216" s="87">
        <f t="shared" si="72"/>
        <v>68</v>
      </c>
      <c r="Q216" s="104">
        <f t="shared" si="73"/>
        <v>17.323529411764707</v>
      </c>
      <c r="R216" s="88">
        <f t="shared" si="74"/>
        <v>47.412353923205345</v>
      </c>
      <c r="S216" s="88">
        <f t="shared" si="75"/>
        <v>18.758620689655174</v>
      </c>
      <c r="T216" s="13">
        <f t="shared" si="76"/>
        <v>3</v>
      </c>
      <c r="U216" s="13">
        <f t="shared" si="77"/>
        <v>1</v>
      </c>
      <c r="V216" s="13">
        <f t="shared" si="78"/>
        <v>2</v>
      </c>
      <c r="W216" s="13">
        <f t="shared" ca="1" si="79"/>
        <v>3</v>
      </c>
      <c r="X216" s="13">
        <f t="shared" ca="1" si="80"/>
        <v>9</v>
      </c>
      <c r="Y216" s="81" t="str">
        <f t="shared" ca="1" si="81"/>
        <v>RE-BUY</v>
      </c>
      <c r="Z216" s="13">
        <v>14</v>
      </c>
      <c r="AA216" s="75">
        <v>46059</v>
      </c>
      <c r="AB216" s="75">
        <f t="shared" si="82"/>
        <v>45920</v>
      </c>
      <c r="AC216" s="88">
        <f t="shared" si="83"/>
        <v>19.857142857142858</v>
      </c>
      <c r="AD216" s="89" t="str">
        <f t="shared" ca="1" si="84"/>
        <v>STABLE</v>
      </c>
      <c r="AE216" s="89" t="str">
        <f t="shared" ref="AE216:AE279" si="88">IF(O216&gt;=N216,"FAST SELLING","SLOW SELLING")</f>
        <v>FAST SELLING</v>
      </c>
      <c r="AF216" s="89" t="str">
        <f t="shared" si="85"/>
        <v>AT RISK</v>
      </c>
      <c r="AG216" s="89" t="str">
        <f t="shared" si="86"/>
        <v>FEASIBLE</v>
      </c>
      <c r="AH216" s="81" t="str">
        <f t="shared" ca="1" si="87"/>
        <v>IMMEDIATE REBUY</v>
      </c>
      <c r="AI216" s="75"/>
      <c r="AJ216" s="75"/>
      <c r="AK216" s="13"/>
      <c r="AL216" s="79"/>
      <c r="AM216" s="79"/>
      <c r="AN216" s="79"/>
      <c r="AO216" s="79"/>
      <c r="AP216" s="79"/>
      <c r="AQ216" s="75"/>
      <c r="AR216" s="75"/>
      <c r="AS216" s="75"/>
      <c r="AT216" s="75"/>
      <c r="AU216" s="75"/>
      <c r="AV216" s="13"/>
      <c r="AW216" s="13"/>
      <c r="AX216" s="13"/>
      <c r="AY216" s="13"/>
      <c r="AZ216" s="13"/>
      <c r="BA216" s="105"/>
      <c r="BB216" s="13"/>
      <c r="BC216" s="13"/>
      <c r="BD216" s="13"/>
      <c r="BE216" s="13"/>
      <c r="BF216" s="88"/>
      <c r="BG216" s="88"/>
      <c r="BH216" s="88"/>
      <c r="BI216" s="88"/>
      <c r="BJ216" s="88"/>
      <c r="BK216" s="105"/>
      <c r="BL216" s="105"/>
      <c r="BM216" s="105"/>
      <c r="BN216" s="105"/>
      <c r="BO216" s="105"/>
      <c r="BP216" s="105"/>
      <c r="BQ216" s="79"/>
      <c r="BR216" s="79"/>
      <c r="BS216" s="79"/>
      <c r="BT216" s="79"/>
      <c r="BU216" s="79"/>
      <c r="BV216" s="90"/>
      <c r="BW216" s="106"/>
      <c r="BX216" s="106"/>
      <c r="BY216" s="106"/>
      <c r="BZ216" s="106"/>
      <c r="CA216" s="106"/>
    </row>
    <row r="217" spans="1:79" x14ac:dyDescent="0.35">
      <c r="A217" s="25" t="s">
        <v>231</v>
      </c>
      <c r="B217" s="10" t="s">
        <v>316</v>
      </c>
      <c r="C217" s="10" t="s">
        <v>345</v>
      </c>
      <c r="D217" s="10" t="s">
        <v>346</v>
      </c>
      <c r="E217" s="11">
        <v>45871</v>
      </c>
      <c r="F217" s="17">
        <v>45892</v>
      </c>
      <c r="G217" s="14">
        <f t="shared" ca="1" si="67"/>
        <v>207</v>
      </c>
      <c r="H217" s="17">
        <v>799</v>
      </c>
      <c r="I217" s="17">
        <v>400</v>
      </c>
      <c r="J217" s="75">
        <f t="shared" si="68"/>
        <v>1357</v>
      </c>
      <c r="K217" s="17">
        <v>1450</v>
      </c>
      <c r="L217" s="85">
        <v>93</v>
      </c>
      <c r="M217" s="86">
        <f t="shared" ca="1" si="69"/>
        <v>0.44927536231884058</v>
      </c>
      <c r="N217" s="86">
        <f t="shared" si="70"/>
        <v>0.73224085365853642</v>
      </c>
      <c r="O217" s="86">
        <f t="shared" si="71"/>
        <v>0.28353658536585363</v>
      </c>
      <c r="P217" s="87">
        <f t="shared" si="72"/>
        <v>23.249999999999996</v>
      </c>
      <c r="Q217" s="104">
        <f t="shared" si="73"/>
        <v>58.365591397849471</v>
      </c>
      <c r="R217" s="88">
        <f t="shared" si="74"/>
        <v>49.937421777221523</v>
      </c>
      <c r="S217" s="88">
        <f t="shared" si="75"/>
        <v>6.4137931034482758</v>
      </c>
      <c r="T217" s="13">
        <f t="shared" si="76"/>
        <v>1</v>
      </c>
      <c r="U217" s="13">
        <f t="shared" si="77"/>
        <v>1</v>
      </c>
      <c r="V217" s="13">
        <f t="shared" si="78"/>
        <v>2</v>
      </c>
      <c r="W217" s="13">
        <f t="shared" ca="1" si="79"/>
        <v>3</v>
      </c>
      <c r="X217" s="13">
        <f t="shared" ca="1" si="80"/>
        <v>7</v>
      </c>
      <c r="Y217" s="81" t="str">
        <f t="shared" ca="1" si="81"/>
        <v>MONITOR</v>
      </c>
      <c r="Z217" s="13">
        <v>14</v>
      </c>
      <c r="AA217" s="75">
        <v>46059</v>
      </c>
      <c r="AB217" s="75">
        <f t="shared" si="82"/>
        <v>45920</v>
      </c>
      <c r="AC217" s="88">
        <f t="shared" si="83"/>
        <v>19.857142857142858</v>
      </c>
      <c r="AD217" s="89" t="str">
        <f t="shared" ca="1" si="84"/>
        <v>STABLE</v>
      </c>
      <c r="AE217" s="89" t="str">
        <f t="shared" si="88"/>
        <v>SLOW SELLING</v>
      </c>
      <c r="AF217" s="89" t="str">
        <f t="shared" si="85"/>
        <v>AT RISK</v>
      </c>
      <c r="AG217" s="89" t="str">
        <f t="shared" si="86"/>
        <v>FEASIBLE</v>
      </c>
      <c r="AH217" s="81" t="str">
        <f t="shared" ca="1" si="87"/>
        <v>MONITOR</v>
      </c>
      <c r="AI217" s="75"/>
      <c r="AJ217" s="75"/>
      <c r="AK217" s="13"/>
      <c r="AL217" s="79"/>
      <c r="AM217" s="79"/>
      <c r="AN217" s="79"/>
      <c r="AO217" s="79"/>
      <c r="AP217" s="79"/>
      <c r="AQ217" s="75"/>
      <c r="AR217" s="75"/>
      <c r="AS217" s="75"/>
      <c r="AT217" s="75"/>
      <c r="AU217" s="75"/>
      <c r="AV217" s="13"/>
      <c r="AW217" s="13"/>
      <c r="AX217" s="13"/>
      <c r="AY217" s="13"/>
      <c r="AZ217" s="13"/>
      <c r="BA217" s="105"/>
      <c r="BB217" s="13"/>
      <c r="BC217" s="13"/>
      <c r="BD217" s="13"/>
      <c r="BE217" s="13"/>
      <c r="BF217" s="88"/>
      <c r="BG217" s="88"/>
      <c r="BH217" s="88"/>
      <c r="BI217" s="88"/>
      <c r="BJ217" s="88"/>
      <c r="BK217" s="105"/>
      <c r="BL217" s="105"/>
      <c r="BM217" s="105"/>
      <c r="BN217" s="105"/>
      <c r="BO217" s="105"/>
      <c r="BP217" s="105"/>
      <c r="BQ217" s="79"/>
      <c r="BR217" s="79"/>
      <c r="BS217" s="79"/>
      <c r="BT217" s="79"/>
      <c r="BU217" s="79"/>
      <c r="BV217" s="90"/>
      <c r="BW217" s="106"/>
      <c r="BX217" s="106"/>
      <c r="BY217" s="106"/>
      <c r="BZ217" s="106"/>
      <c r="CA217" s="106"/>
    </row>
    <row r="218" spans="1:79" x14ac:dyDescent="0.35">
      <c r="A218" s="25" t="s">
        <v>232</v>
      </c>
      <c r="B218" s="10" t="s">
        <v>327</v>
      </c>
      <c r="C218" s="10" t="s">
        <v>345</v>
      </c>
      <c r="D218" s="10" t="s">
        <v>346</v>
      </c>
      <c r="E218" s="11">
        <v>45864</v>
      </c>
      <c r="F218" s="17">
        <v>45892</v>
      </c>
      <c r="G218" s="14">
        <f t="shared" ca="1" si="67"/>
        <v>207</v>
      </c>
      <c r="H218" s="17">
        <v>799</v>
      </c>
      <c r="I218" s="17">
        <v>400</v>
      </c>
      <c r="J218" s="75">
        <f t="shared" si="68"/>
        <v>608</v>
      </c>
      <c r="K218" s="17">
        <v>750</v>
      </c>
      <c r="L218" s="85">
        <v>142</v>
      </c>
      <c r="M218" s="86">
        <f t="shared" ca="1" si="69"/>
        <v>0.68599033816425126</v>
      </c>
      <c r="N218" s="86">
        <f t="shared" si="70"/>
        <v>0.73224085365853642</v>
      </c>
      <c r="O218" s="86">
        <f t="shared" si="71"/>
        <v>0.43292682926829268</v>
      </c>
      <c r="P218" s="87">
        <f t="shared" si="72"/>
        <v>35.5</v>
      </c>
      <c r="Q218" s="104">
        <f t="shared" si="73"/>
        <v>17.12676056338028</v>
      </c>
      <c r="R218" s="88">
        <f t="shared" si="74"/>
        <v>49.937421777221523</v>
      </c>
      <c r="S218" s="88">
        <f t="shared" si="75"/>
        <v>18.933333333333334</v>
      </c>
      <c r="T218" s="13">
        <f t="shared" si="76"/>
        <v>1</v>
      </c>
      <c r="U218" s="13">
        <f t="shared" si="77"/>
        <v>1</v>
      </c>
      <c r="V218" s="13">
        <f t="shared" si="78"/>
        <v>2</v>
      </c>
      <c r="W218" s="13">
        <f t="shared" ca="1" si="79"/>
        <v>3</v>
      </c>
      <c r="X218" s="13">
        <f t="shared" ca="1" si="80"/>
        <v>7</v>
      </c>
      <c r="Y218" s="81" t="str">
        <f t="shared" ca="1" si="81"/>
        <v>MONITOR</v>
      </c>
      <c r="Z218" s="13">
        <v>14</v>
      </c>
      <c r="AA218" s="75">
        <v>46059</v>
      </c>
      <c r="AB218" s="75">
        <f t="shared" si="82"/>
        <v>45920</v>
      </c>
      <c r="AC218" s="88">
        <f t="shared" si="83"/>
        <v>19.857142857142858</v>
      </c>
      <c r="AD218" s="89" t="str">
        <f t="shared" ca="1" si="84"/>
        <v>STABLE</v>
      </c>
      <c r="AE218" s="89" t="str">
        <f t="shared" si="88"/>
        <v>SLOW SELLING</v>
      </c>
      <c r="AF218" s="89" t="str">
        <f t="shared" si="85"/>
        <v>AT RISK</v>
      </c>
      <c r="AG218" s="89" t="str">
        <f t="shared" si="86"/>
        <v>FEASIBLE</v>
      </c>
      <c r="AH218" s="81" t="str">
        <f t="shared" ca="1" si="87"/>
        <v>MONITOR</v>
      </c>
      <c r="AI218" s="75"/>
      <c r="AJ218" s="75"/>
      <c r="AK218" s="13"/>
      <c r="AL218" s="79"/>
      <c r="AM218" s="79"/>
      <c r="AN218" s="79"/>
      <c r="AO218" s="79"/>
      <c r="AP218" s="79"/>
      <c r="AQ218" s="75"/>
      <c r="AR218" s="75"/>
      <c r="AS218" s="75"/>
      <c r="AT218" s="75"/>
      <c r="AU218" s="75"/>
      <c r="AV218" s="13"/>
      <c r="AW218" s="13"/>
      <c r="AX218" s="13"/>
      <c r="AY218" s="13"/>
      <c r="AZ218" s="13"/>
      <c r="BA218" s="105"/>
      <c r="BB218" s="13"/>
      <c r="BC218" s="13"/>
      <c r="BD218" s="13"/>
      <c r="BE218" s="13"/>
      <c r="BF218" s="88"/>
      <c r="BG218" s="88"/>
      <c r="BH218" s="88"/>
      <c r="BI218" s="88"/>
      <c r="BJ218" s="88"/>
      <c r="BK218" s="105"/>
      <c r="BL218" s="105"/>
      <c r="BM218" s="105"/>
      <c r="BN218" s="105"/>
      <c r="BO218" s="105"/>
      <c r="BP218" s="105"/>
      <c r="BQ218" s="79"/>
      <c r="BR218" s="79"/>
      <c r="BS218" s="79"/>
      <c r="BT218" s="79"/>
      <c r="BU218" s="79"/>
      <c r="BV218" s="90"/>
      <c r="BW218" s="106"/>
      <c r="BX218" s="106"/>
      <c r="BY218" s="106"/>
      <c r="BZ218" s="106"/>
      <c r="CA218" s="106"/>
    </row>
    <row r="219" spans="1:79" x14ac:dyDescent="0.35">
      <c r="A219" s="25" t="s">
        <v>233</v>
      </c>
      <c r="B219" s="10" t="s">
        <v>327</v>
      </c>
      <c r="C219" s="10" t="s">
        <v>345</v>
      </c>
      <c r="D219" s="10" t="s">
        <v>346</v>
      </c>
      <c r="E219" s="11">
        <v>45892</v>
      </c>
      <c r="F219" s="17">
        <v>45892</v>
      </c>
      <c r="G219" s="14">
        <f t="shared" ca="1" si="67"/>
        <v>207</v>
      </c>
      <c r="H219" s="17">
        <v>799</v>
      </c>
      <c r="I219" s="17">
        <v>400</v>
      </c>
      <c r="J219" s="75">
        <f t="shared" si="68"/>
        <v>632</v>
      </c>
      <c r="K219" s="17">
        <v>750</v>
      </c>
      <c r="L219" s="85">
        <v>118</v>
      </c>
      <c r="M219" s="86">
        <f t="shared" ca="1" si="69"/>
        <v>0.57004830917874394</v>
      </c>
      <c r="N219" s="86">
        <f t="shared" si="70"/>
        <v>0.73224085365853642</v>
      </c>
      <c r="O219" s="86">
        <f t="shared" si="71"/>
        <v>0.3597560975609756</v>
      </c>
      <c r="P219" s="87">
        <f t="shared" si="72"/>
        <v>29.5</v>
      </c>
      <c r="Q219" s="104">
        <f t="shared" si="73"/>
        <v>21.423728813559322</v>
      </c>
      <c r="R219" s="88">
        <f t="shared" si="74"/>
        <v>49.937421777221523</v>
      </c>
      <c r="S219" s="88">
        <f t="shared" si="75"/>
        <v>15.733333333333333</v>
      </c>
      <c r="T219" s="13">
        <f t="shared" si="76"/>
        <v>1</v>
      </c>
      <c r="U219" s="13">
        <f t="shared" si="77"/>
        <v>1</v>
      </c>
      <c r="V219" s="13">
        <f t="shared" si="78"/>
        <v>2</v>
      </c>
      <c r="W219" s="13">
        <f t="shared" ca="1" si="79"/>
        <v>3</v>
      </c>
      <c r="X219" s="13">
        <f t="shared" ca="1" si="80"/>
        <v>7</v>
      </c>
      <c r="Y219" s="81" t="str">
        <f t="shared" ca="1" si="81"/>
        <v>MONITOR</v>
      </c>
      <c r="Z219" s="13">
        <v>14</v>
      </c>
      <c r="AA219" s="75">
        <v>46059</v>
      </c>
      <c r="AB219" s="75">
        <f t="shared" si="82"/>
        <v>45920</v>
      </c>
      <c r="AC219" s="88">
        <f t="shared" si="83"/>
        <v>19.857142857142858</v>
      </c>
      <c r="AD219" s="89" t="str">
        <f t="shared" ca="1" si="84"/>
        <v>STABLE</v>
      </c>
      <c r="AE219" s="89" t="str">
        <f t="shared" si="88"/>
        <v>SLOW SELLING</v>
      </c>
      <c r="AF219" s="89" t="str">
        <f t="shared" si="85"/>
        <v>AT RISK</v>
      </c>
      <c r="AG219" s="89" t="str">
        <f t="shared" si="86"/>
        <v>FEASIBLE</v>
      </c>
      <c r="AH219" s="81" t="str">
        <f t="shared" ca="1" si="87"/>
        <v>MONITOR</v>
      </c>
      <c r="AI219" s="75"/>
      <c r="AJ219" s="75"/>
      <c r="AK219" s="13"/>
      <c r="AL219" s="79"/>
      <c r="AM219" s="79"/>
      <c r="AN219" s="79"/>
      <c r="AO219" s="79"/>
      <c r="AP219" s="79"/>
      <c r="AQ219" s="75"/>
      <c r="AR219" s="75"/>
      <c r="AS219" s="75"/>
      <c r="AT219" s="75"/>
      <c r="AU219" s="75"/>
      <c r="AV219" s="13"/>
      <c r="AW219" s="13"/>
      <c r="AX219" s="13"/>
      <c r="AY219" s="13"/>
      <c r="AZ219" s="13"/>
      <c r="BA219" s="105"/>
      <c r="BB219" s="13"/>
      <c r="BC219" s="13"/>
      <c r="BD219" s="13"/>
      <c r="BE219" s="13"/>
      <c r="BF219" s="88"/>
      <c r="BG219" s="88"/>
      <c r="BH219" s="88"/>
      <c r="BI219" s="88"/>
      <c r="BJ219" s="88"/>
      <c r="BK219" s="105"/>
      <c r="BL219" s="105"/>
      <c r="BM219" s="105"/>
      <c r="BN219" s="105"/>
      <c r="BO219" s="105"/>
      <c r="BP219" s="105"/>
      <c r="BQ219" s="79"/>
      <c r="BR219" s="79"/>
      <c r="BS219" s="79"/>
      <c r="BT219" s="79"/>
      <c r="BU219" s="79"/>
      <c r="BV219" s="90"/>
      <c r="BW219" s="106"/>
      <c r="BX219" s="106"/>
      <c r="BY219" s="106"/>
      <c r="BZ219" s="106"/>
      <c r="CA219" s="106"/>
    </row>
    <row r="220" spans="1:79" x14ac:dyDescent="0.35">
      <c r="A220" s="25" t="s">
        <v>234</v>
      </c>
      <c r="B220" s="10" t="s">
        <v>327</v>
      </c>
      <c r="C220" s="10" t="s">
        <v>345</v>
      </c>
      <c r="D220" s="10" t="s">
        <v>346</v>
      </c>
      <c r="E220" s="11">
        <v>45920</v>
      </c>
      <c r="F220" s="17">
        <v>45892</v>
      </c>
      <c r="G220" s="14">
        <f t="shared" ca="1" si="67"/>
        <v>207</v>
      </c>
      <c r="H220" s="17">
        <v>799</v>
      </c>
      <c r="I220" s="17">
        <v>400</v>
      </c>
      <c r="J220" s="75">
        <f t="shared" si="68"/>
        <v>791</v>
      </c>
      <c r="K220" s="17">
        <v>1050</v>
      </c>
      <c r="L220" s="85">
        <v>259</v>
      </c>
      <c r="M220" s="86">
        <f t="shared" ca="1" si="69"/>
        <v>1.251207729468599</v>
      </c>
      <c r="N220" s="86">
        <f t="shared" si="70"/>
        <v>0.73224085365853642</v>
      </c>
      <c r="O220" s="86">
        <f t="shared" si="71"/>
        <v>0.78963414634146345</v>
      </c>
      <c r="P220" s="87">
        <f t="shared" si="72"/>
        <v>64.75</v>
      </c>
      <c r="Q220" s="104">
        <f t="shared" si="73"/>
        <v>12.216216216216216</v>
      </c>
      <c r="R220" s="88">
        <f t="shared" si="74"/>
        <v>49.937421777221523</v>
      </c>
      <c r="S220" s="88">
        <f t="shared" si="75"/>
        <v>24.666666666666668</v>
      </c>
      <c r="T220" s="13">
        <f t="shared" si="76"/>
        <v>3</v>
      </c>
      <c r="U220" s="13">
        <f t="shared" si="77"/>
        <v>1</v>
      </c>
      <c r="V220" s="13">
        <f t="shared" si="78"/>
        <v>2</v>
      </c>
      <c r="W220" s="13">
        <f t="shared" ca="1" si="79"/>
        <v>3</v>
      </c>
      <c r="X220" s="13">
        <f t="shared" ca="1" si="80"/>
        <v>9</v>
      </c>
      <c r="Y220" s="81" t="str">
        <f t="shared" ca="1" si="81"/>
        <v>RE-BUY</v>
      </c>
      <c r="Z220" s="13">
        <v>14</v>
      </c>
      <c r="AA220" s="75">
        <v>46059</v>
      </c>
      <c r="AB220" s="75">
        <f t="shared" si="82"/>
        <v>45920</v>
      </c>
      <c r="AC220" s="88">
        <f t="shared" si="83"/>
        <v>19.857142857142858</v>
      </c>
      <c r="AD220" s="89" t="str">
        <f t="shared" ca="1" si="84"/>
        <v>STABLE</v>
      </c>
      <c r="AE220" s="89" t="str">
        <f t="shared" si="88"/>
        <v>FAST SELLING</v>
      </c>
      <c r="AF220" s="89" t="str">
        <f t="shared" si="85"/>
        <v>AT RISK</v>
      </c>
      <c r="AG220" s="89" t="str">
        <f t="shared" si="86"/>
        <v>FEASIBLE</v>
      </c>
      <c r="AH220" s="81" t="str">
        <f t="shared" ca="1" si="87"/>
        <v>IMMEDIATE REBUY</v>
      </c>
      <c r="AI220" s="75"/>
      <c r="AJ220" s="75"/>
      <c r="AK220" s="13"/>
      <c r="AL220" s="79"/>
      <c r="AM220" s="79"/>
      <c r="AN220" s="79"/>
      <c r="AO220" s="79"/>
      <c r="AP220" s="79"/>
      <c r="AQ220" s="75"/>
      <c r="AR220" s="75"/>
      <c r="AS220" s="75"/>
      <c r="AT220" s="75"/>
      <c r="AU220" s="75"/>
      <c r="AV220" s="13"/>
      <c r="AW220" s="13"/>
      <c r="AX220" s="13"/>
      <c r="AY220" s="13"/>
      <c r="AZ220" s="13"/>
      <c r="BA220" s="105"/>
      <c r="BB220" s="13"/>
      <c r="BC220" s="13"/>
      <c r="BD220" s="13"/>
      <c r="BE220" s="13"/>
      <c r="BF220" s="88"/>
      <c r="BG220" s="88"/>
      <c r="BH220" s="88"/>
      <c r="BI220" s="88"/>
      <c r="BJ220" s="88"/>
      <c r="BK220" s="105"/>
      <c r="BL220" s="105"/>
      <c r="BM220" s="105"/>
      <c r="BN220" s="105"/>
      <c r="BO220" s="105"/>
      <c r="BP220" s="105"/>
      <c r="BQ220" s="79"/>
      <c r="BR220" s="79"/>
      <c r="BS220" s="79"/>
      <c r="BT220" s="79"/>
      <c r="BU220" s="79"/>
      <c r="BV220" s="90"/>
      <c r="BW220" s="106"/>
      <c r="BX220" s="106"/>
      <c r="BY220" s="106"/>
      <c r="BZ220" s="106"/>
      <c r="CA220" s="106"/>
    </row>
    <row r="221" spans="1:79" x14ac:dyDescent="0.35">
      <c r="A221" s="25" t="s">
        <v>235</v>
      </c>
      <c r="B221" s="10" t="s">
        <v>327</v>
      </c>
      <c r="C221" s="10" t="s">
        <v>345</v>
      </c>
      <c r="D221" s="10" t="s">
        <v>346</v>
      </c>
      <c r="E221" s="11">
        <v>45920</v>
      </c>
      <c r="F221" s="17">
        <v>45892</v>
      </c>
      <c r="G221" s="14">
        <f t="shared" ca="1" si="67"/>
        <v>207</v>
      </c>
      <c r="H221" s="17">
        <v>799</v>
      </c>
      <c r="I221" s="17">
        <v>400</v>
      </c>
      <c r="J221" s="75">
        <f t="shared" si="68"/>
        <v>816</v>
      </c>
      <c r="K221" s="17">
        <v>1050</v>
      </c>
      <c r="L221" s="85">
        <v>234</v>
      </c>
      <c r="M221" s="86">
        <f t="shared" ca="1" si="69"/>
        <v>1.1304347826086956</v>
      </c>
      <c r="N221" s="86">
        <f t="shared" si="70"/>
        <v>0.73224085365853642</v>
      </c>
      <c r="O221" s="86">
        <f t="shared" si="71"/>
        <v>0.71341463414634143</v>
      </c>
      <c r="P221" s="87">
        <f t="shared" si="72"/>
        <v>58.5</v>
      </c>
      <c r="Q221" s="104">
        <f t="shared" si="73"/>
        <v>13.948717948717949</v>
      </c>
      <c r="R221" s="88">
        <f t="shared" si="74"/>
        <v>49.937421777221523</v>
      </c>
      <c r="S221" s="88">
        <f t="shared" si="75"/>
        <v>22.285714285714285</v>
      </c>
      <c r="T221" s="13">
        <f t="shared" si="76"/>
        <v>2</v>
      </c>
      <c r="U221" s="13">
        <f t="shared" si="77"/>
        <v>1</v>
      </c>
      <c r="V221" s="13">
        <f t="shared" si="78"/>
        <v>2</v>
      </c>
      <c r="W221" s="13">
        <f t="shared" ca="1" si="79"/>
        <v>3</v>
      </c>
      <c r="X221" s="13">
        <f t="shared" ca="1" si="80"/>
        <v>8</v>
      </c>
      <c r="Y221" s="81" t="str">
        <f t="shared" ca="1" si="81"/>
        <v>MONITOR</v>
      </c>
      <c r="Z221" s="13">
        <v>14</v>
      </c>
      <c r="AA221" s="75">
        <v>46059</v>
      </c>
      <c r="AB221" s="75">
        <f t="shared" si="82"/>
        <v>45920</v>
      </c>
      <c r="AC221" s="88">
        <f t="shared" si="83"/>
        <v>19.857142857142858</v>
      </c>
      <c r="AD221" s="89" t="str">
        <f t="shared" ca="1" si="84"/>
        <v>STABLE</v>
      </c>
      <c r="AE221" s="89" t="str">
        <f t="shared" si="88"/>
        <v>SLOW SELLING</v>
      </c>
      <c r="AF221" s="89" t="str">
        <f t="shared" si="85"/>
        <v>AT RISK</v>
      </c>
      <c r="AG221" s="89" t="str">
        <f t="shared" si="86"/>
        <v>FEASIBLE</v>
      </c>
      <c r="AH221" s="81" t="str">
        <f t="shared" ca="1" si="87"/>
        <v>MONITOR</v>
      </c>
      <c r="AI221" s="75"/>
      <c r="AJ221" s="75"/>
      <c r="AK221" s="13"/>
      <c r="AL221" s="79"/>
      <c r="AM221" s="79"/>
      <c r="AN221" s="79"/>
      <c r="AO221" s="79"/>
      <c r="AP221" s="79"/>
      <c r="AQ221" s="75"/>
      <c r="AR221" s="75"/>
      <c r="AS221" s="75"/>
      <c r="AT221" s="75"/>
      <c r="AU221" s="75"/>
      <c r="AV221" s="13"/>
      <c r="AW221" s="13"/>
      <c r="AX221" s="13"/>
      <c r="AY221" s="13"/>
      <c r="AZ221" s="13"/>
      <c r="BA221" s="105"/>
      <c r="BB221" s="13"/>
      <c r="BC221" s="13"/>
      <c r="BD221" s="13"/>
      <c r="BE221" s="13"/>
      <c r="BF221" s="88"/>
      <c r="BG221" s="88"/>
      <c r="BH221" s="88"/>
      <c r="BI221" s="88"/>
      <c r="BJ221" s="88"/>
      <c r="BK221" s="105"/>
      <c r="BL221" s="105"/>
      <c r="BM221" s="105"/>
      <c r="BN221" s="105"/>
      <c r="BO221" s="105"/>
      <c r="BP221" s="105"/>
      <c r="BQ221" s="79"/>
      <c r="BR221" s="79"/>
      <c r="BS221" s="79"/>
      <c r="BT221" s="79"/>
      <c r="BU221" s="79"/>
      <c r="BV221" s="90"/>
      <c r="BW221" s="106"/>
      <c r="BX221" s="106"/>
      <c r="BY221" s="106"/>
      <c r="BZ221" s="106"/>
      <c r="CA221" s="106"/>
    </row>
    <row r="222" spans="1:79" x14ac:dyDescent="0.35">
      <c r="A222" s="25" t="s">
        <v>236</v>
      </c>
      <c r="B222" s="10" t="s">
        <v>327</v>
      </c>
      <c r="C222" s="10" t="s">
        <v>345</v>
      </c>
      <c r="D222" s="10" t="s">
        <v>346</v>
      </c>
      <c r="E222" s="11">
        <v>45920</v>
      </c>
      <c r="F222" s="17">
        <v>45892</v>
      </c>
      <c r="G222" s="14">
        <f t="shared" ca="1" si="67"/>
        <v>207</v>
      </c>
      <c r="H222" s="17">
        <v>799</v>
      </c>
      <c r="I222" s="17">
        <v>400</v>
      </c>
      <c r="J222" s="75">
        <f t="shared" si="68"/>
        <v>687</v>
      </c>
      <c r="K222" s="17">
        <v>1050</v>
      </c>
      <c r="L222" s="85">
        <v>363</v>
      </c>
      <c r="M222" s="86">
        <f t="shared" ca="1" si="69"/>
        <v>1.7536231884057971</v>
      </c>
      <c r="N222" s="86">
        <f t="shared" si="70"/>
        <v>0.73224085365853642</v>
      </c>
      <c r="O222" s="86">
        <f t="shared" si="71"/>
        <v>1.1067073170731707</v>
      </c>
      <c r="P222" s="87">
        <f t="shared" si="72"/>
        <v>90.75</v>
      </c>
      <c r="Q222" s="104">
        <f t="shared" si="73"/>
        <v>7.5702479338842972</v>
      </c>
      <c r="R222" s="88">
        <f t="shared" si="74"/>
        <v>49.937421777221523</v>
      </c>
      <c r="S222" s="88">
        <f t="shared" si="75"/>
        <v>34.571428571428569</v>
      </c>
      <c r="T222" s="13">
        <f t="shared" si="76"/>
        <v>3</v>
      </c>
      <c r="U222" s="13">
        <f t="shared" si="77"/>
        <v>1</v>
      </c>
      <c r="V222" s="13">
        <f t="shared" si="78"/>
        <v>2</v>
      </c>
      <c r="W222" s="13">
        <f t="shared" ca="1" si="79"/>
        <v>3</v>
      </c>
      <c r="X222" s="13">
        <f t="shared" ca="1" si="80"/>
        <v>9</v>
      </c>
      <c r="Y222" s="81" t="str">
        <f t="shared" ca="1" si="81"/>
        <v>RE-BUY</v>
      </c>
      <c r="Z222" s="13">
        <v>14</v>
      </c>
      <c r="AA222" s="75">
        <v>46059</v>
      </c>
      <c r="AB222" s="75">
        <f t="shared" si="82"/>
        <v>45920</v>
      </c>
      <c r="AC222" s="88">
        <f t="shared" si="83"/>
        <v>19.857142857142858</v>
      </c>
      <c r="AD222" s="89" t="str">
        <f t="shared" ca="1" si="84"/>
        <v>STABLE</v>
      </c>
      <c r="AE222" s="89" t="str">
        <f t="shared" si="88"/>
        <v>FAST SELLING</v>
      </c>
      <c r="AF222" s="89" t="str">
        <f t="shared" si="85"/>
        <v>AT RISK</v>
      </c>
      <c r="AG222" s="89" t="str">
        <f t="shared" si="86"/>
        <v>FEASIBLE</v>
      </c>
      <c r="AH222" s="81" t="str">
        <f t="shared" ca="1" si="87"/>
        <v>IMMEDIATE REBUY</v>
      </c>
      <c r="AI222" s="75"/>
      <c r="AJ222" s="75"/>
      <c r="AK222" s="13"/>
      <c r="AL222" s="79"/>
      <c r="AM222" s="79"/>
      <c r="AN222" s="79"/>
      <c r="AO222" s="79"/>
      <c r="AP222" s="79"/>
      <c r="AQ222" s="75"/>
      <c r="AR222" s="75"/>
      <c r="AS222" s="75"/>
      <c r="AT222" s="75"/>
      <c r="AU222" s="75"/>
      <c r="AV222" s="13"/>
      <c r="AW222" s="13"/>
      <c r="AX222" s="13"/>
      <c r="AY222" s="13"/>
      <c r="AZ222" s="13"/>
      <c r="BA222" s="105"/>
      <c r="BB222" s="13"/>
      <c r="BC222" s="13"/>
      <c r="BD222" s="13"/>
      <c r="BE222" s="13"/>
      <c r="BF222" s="88"/>
      <c r="BG222" s="88"/>
      <c r="BH222" s="88"/>
      <c r="BI222" s="88"/>
      <c r="BJ222" s="88"/>
      <c r="BK222" s="105"/>
      <c r="BL222" s="105"/>
      <c r="BM222" s="105"/>
      <c r="BN222" s="105"/>
      <c r="BO222" s="105"/>
      <c r="BP222" s="105"/>
      <c r="BQ222" s="79"/>
      <c r="BR222" s="79"/>
      <c r="BS222" s="79"/>
      <c r="BT222" s="79"/>
      <c r="BU222" s="79"/>
      <c r="BV222" s="90"/>
      <c r="BW222" s="106"/>
      <c r="BX222" s="106"/>
      <c r="BY222" s="106"/>
      <c r="BZ222" s="106"/>
      <c r="CA222" s="106"/>
    </row>
    <row r="223" spans="1:79" x14ac:dyDescent="0.35">
      <c r="A223" s="25" t="s">
        <v>237</v>
      </c>
      <c r="B223" s="10" t="s">
        <v>333</v>
      </c>
      <c r="C223" s="10" t="s">
        <v>345</v>
      </c>
      <c r="D223" s="10" t="s">
        <v>346</v>
      </c>
      <c r="E223" s="11">
        <v>45913</v>
      </c>
      <c r="F223" s="17">
        <v>45892</v>
      </c>
      <c r="G223" s="14">
        <f t="shared" ca="1" si="67"/>
        <v>207</v>
      </c>
      <c r="H223" s="17">
        <v>799</v>
      </c>
      <c r="I223" s="17">
        <v>420</v>
      </c>
      <c r="J223" s="75">
        <f t="shared" si="68"/>
        <v>1517</v>
      </c>
      <c r="K223" s="17">
        <v>1750</v>
      </c>
      <c r="L223" s="85">
        <v>233</v>
      </c>
      <c r="M223" s="86">
        <f t="shared" ca="1" si="69"/>
        <v>1.1256038647342994</v>
      </c>
      <c r="N223" s="86">
        <f t="shared" si="70"/>
        <v>0.73224085365853642</v>
      </c>
      <c r="O223" s="86">
        <f t="shared" si="71"/>
        <v>0.71036585365853655</v>
      </c>
      <c r="P223" s="87">
        <f t="shared" si="72"/>
        <v>58.25</v>
      </c>
      <c r="Q223" s="104">
        <f t="shared" si="73"/>
        <v>26.042918454935624</v>
      </c>
      <c r="R223" s="88">
        <f t="shared" si="74"/>
        <v>47.434292866082608</v>
      </c>
      <c r="S223" s="88">
        <f t="shared" si="75"/>
        <v>13.314285714285715</v>
      </c>
      <c r="T223" s="13">
        <f t="shared" si="76"/>
        <v>2</v>
      </c>
      <c r="U223" s="13">
        <f t="shared" si="77"/>
        <v>1</v>
      </c>
      <c r="V223" s="13">
        <f t="shared" si="78"/>
        <v>2</v>
      </c>
      <c r="W223" s="13">
        <f t="shared" ca="1" si="79"/>
        <v>3</v>
      </c>
      <c r="X223" s="13">
        <f t="shared" ca="1" si="80"/>
        <v>8</v>
      </c>
      <c r="Y223" s="81" t="str">
        <f t="shared" ca="1" si="81"/>
        <v>MONITOR</v>
      </c>
      <c r="Z223" s="13">
        <v>14</v>
      </c>
      <c r="AA223" s="75">
        <v>46059</v>
      </c>
      <c r="AB223" s="75">
        <f t="shared" si="82"/>
        <v>45920</v>
      </c>
      <c r="AC223" s="88">
        <f t="shared" si="83"/>
        <v>19.857142857142858</v>
      </c>
      <c r="AD223" s="89" t="str">
        <f t="shared" ca="1" si="84"/>
        <v>STABLE</v>
      </c>
      <c r="AE223" s="89" t="str">
        <f t="shared" si="88"/>
        <v>SLOW SELLING</v>
      </c>
      <c r="AF223" s="89" t="str">
        <f t="shared" si="85"/>
        <v>AT RISK</v>
      </c>
      <c r="AG223" s="89" t="str">
        <f t="shared" si="86"/>
        <v>FEASIBLE</v>
      </c>
      <c r="AH223" s="81" t="str">
        <f t="shared" ca="1" si="87"/>
        <v>MONITOR</v>
      </c>
      <c r="AI223" s="75"/>
      <c r="AJ223" s="75"/>
      <c r="AK223" s="13"/>
      <c r="AL223" s="79"/>
      <c r="AM223" s="79"/>
      <c r="AN223" s="79"/>
      <c r="AO223" s="79"/>
      <c r="AP223" s="79"/>
      <c r="AQ223" s="75"/>
      <c r="AR223" s="75"/>
      <c r="AS223" s="75"/>
      <c r="AT223" s="75"/>
      <c r="AU223" s="75"/>
      <c r="AV223" s="13"/>
      <c r="AW223" s="13"/>
      <c r="AX223" s="13"/>
      <c r="AY223" s="13"/>
      <c r="AZ223" s="13"/>
      <c r="BA223" s="105"/>
      <c r="BB223" s="13"/>
      <c r="BC223" s="13"/>
      <c r="BD223" s="13"/>
      <c r="BE223" s="13"/>
      <c r="BF223" s="88"/>
      <c r="BG223" s="88"/>
      <c r="BH223" s="88"/>
      <c r="BI223" s="88"/>
      <c r="BJ223" s="88"/>
      <c r="BK223" s="105"/>
      <c r="BL223" s="105"/>
      <c r="BM223" s="105"/>
      <c r="BN223" s="105"/>
      <c r="BO223" s="105"/>
      <c r="BP223" s="105"/>
      <c r="BQ223" s="79"/>
      <c r="BR223" s="79"/>
      <c r="BS223" s="79"/>
      <c r="BT223" s="79"/>
      <c r="BU223" s="79"/>
      <c r="BV223" s="90"/>
      <c r="BW223" s="106"/>
      <c r="BX223" s="106"/>
      <c r="BY223" s="106"/>
      <c r="BZ223" s="106"/>
      <c r="CA223" s="106"/>
    </row>
    <row r="224" spans="1:79" x14ac:dyDescent="0.35">
      <c r="A224" s="25" t="s">
        <v>238</v>
      </c>
      <c r="B224" s="10" t="s">
        <v>333</v>
      </c>
      <c r="C224" s="10" t="s">
        <v>345</v>
      </c>
      <c r="D224" s="10" t="s">
        <v>346</v>
      </c>
      <c r="E224" s="11">
        <v>45913</v>
      </c>
      <c r="F224" s="17">
        <v>45892</v>
      </c>
      <c r="G224" s="14">
        <f t="shared" ca="1" si="67"/>
        <v>207</v>
      </c>
      <c r="H224" s="17">
        <v>799</v>
      </c>
      <c r="I224" s="17">
        <v>420</v>
      </c>
      <c r="J224" s="75">
        <f t="shared" si="68"/>
        <v>1320</v>
      </c>
      <c r="K224" s="17">
        <v>1750</v>
      </c>
      <c r="L224" s="85">
        <v>430</v>
      </c>
      <c r="M224" s="86">
        <f t="shared" ca="1" si="69"/>
        <v>2.0772946859903381</v>
      </c>
      <c r="N224" s="86">
        <f t="shared" si="70"/>
        <v>0.73224085365853642</v>
      </c>
      <c r="O224" s="86">
        <f t="shared" si="71"/>
        <v>1.3109756097560976</v>
      </c>
      <c r="P224" s="87">
        <f t="shared" si="72"/>
        <v>107.5</v>
      </c>
      <c r="Q224" s="104">
        <f t="shared" si="73"/>
        <v>12.279069767441861</v>
      </c>
      <c r="R224" s="88">
        <f t="shared" si="74"/>
        <v>47.434292866082608</v>
      </c>
      <c r="S224" s="88">
        <f t="shared" si="75"/>
        <v>24.571428571428573</v>
      </c>
      <c r="T224" s="13">
        <f t="shared" si="76"/>
        <v>3</v>
      </c>
      <c r="U224" s="13">
        <f t="shared" si="77"/>
        <v>1</v>
      </c>
      <c r="V224" s="13">
        <f t="shared" si="78"/>
        <v>2</v>
      </c>
      <c r="W224" s="13">
        <f t="shared" ca="1" si="79"/>
        <v>3</v>
      </c>
      <c r="X224" s="13">
        <f t="shared" ca="1" si="80"/>
        <v>9</v>
      </c>
      <c r="Y224" s="81" t="str">
        <f t="shared" ca="1" si="81"/>
        <v>RE-BUY</v>
      </c>
      <c r="Z224" s="13">
        <v>14</v>
      </c>
      <c r="AA224" s="75">
        <v>46059</v>
      </c>
      <c r="AB224" s="75">
        <f t="shared" si="82"/>
        <v>45920</v>
      </c>
      <c r="AC224" s="88">
        <f t="shared" si="83"/>
        <v>19.857142857142858</v>
      </c>
      <c r="AD224" s="89" t="str">
        <f t="shared" ca="1" si="84"/>
        <v>STABLE</v>
      </c>
      <c r="AE224" s="89" t="str">
        <f t="shared" si="88"/>
        <v>FAST SELLING</v>
      </c>
      <c r="AF224" s="89" t="str">
        <f t="shared" si="85"/>
        <v>AT RISK</v>
      </c>
      <c r="AG224" s="89" t="str">
        <f t="shared" si="86"/>
        <v>FEASIBLE</v>
      </c>
      <c r="AH224" s="81" t="str">
        <f t="shared" ca="1" si="87"/>
        <v>IMMEDIATE REBUY</v>
      </c>
      <c r="AI224" s="75"/>
      <c r="AJ224" s="75"/>
      <c r="AK224" s="13"/>
      <c r="AL224" s="79"/>
      <c r="AM224" s="79"/>
      <c r="AN224" s="79"/>
      <c r="AO224" s="79"/>
      <c r="AP224" s="79"/>
      <c r="AQ224" s="75"/>
      <c r="AR224" s="75"/>
      <c r="AS224" s="75"/>
      <c r="AT224" s="75"/>
      <c r="AU224" s="75"/>
      <c r="AV224" s="13"/>
      <c r="AW224" s="13"/>
      <c r="AX224" s="13"/>
      <c r="AY224" s="13"/>
      <c r="AZ224" s="13"/>
      <c r="BA224" s="105"/>
      <c r="BB224" s="13"/>
      <c r="BC224" s="13"/>
      <c r="BD224" s="13"/>
      <c r="BE224" s="13"/>
      <c r="BF224" s="88"/>
      <c r="BG224" s="88"/>
      <c r="BH224" s="88"/>
      <c r="BI224" s="88"/>
      <c r="BJ224" s="88"/>
      <c r="BK224" s="105"/>
      <c r="BL224" s="105"/>
      <c r="BM224" s="105"/>
      <c r="BN224" s="105"/>
      <c r="BO224" s="105"/>
      <c r="BP224" s="105"/>
      <c r="BQ224" s="79"/>
      <c r="BR224" s="79"/>
      <c r="BS224" s="79"/>
      <c r="BT224" s="79"/>
      <c r="BU224" s="79"/>
      <c r="BV224" s="90"/>
      <c r="BW224" s="106"/>
      <c r="BX224" s="106"/>
      <c r="BY224" s="106"/>
      <c r="BZ224" s="106"/>
      <c r="CA224" s="106"/>
    </row>
    <row r="225" spans="1:79" x14ac:dyDescent="0.35">
      <c r="A225" s="25" t="s">
        <v>239</v>
      </c>
      <c r="B225" s="10" t="s">
        <v>333</v>
      </c>
      <c r="C225" s="10" t="s">
        <v>345</v>
      </c>
      <c r="D225" s="10" t="s">
        <v>346</v>
      </c>
      <c r="E225" s="11">
        <v>45913</v>
      </c>
      <c r="F225" s="17">
        <v>45892</v>
      </c>
      <c r="G225" s="14">
        <f t="shared" ca="1" si="67"/>
        <v>207</v>
      </c>
      <c r="H225" s="17">
        <v>799</v>
      </c>
      <c r="I225" s="17">
        <v>420</v>
      </c>
      <c r="J225" s="75">
        <f t="shared" si="68"/>
        <v>1209</v>
      </c>
      <c r="K225" s="17">
        <v>1600</v>
      </c>
      <c r="L225" s="85">
        <v>391</v>
      </c>
      <c r="M225" s="86">
        <f t="shared" ca="1" si="69"/>
        <v>1.8888888888888888</v>
      </c>
      <c r="N225" s="86">
        <f t="shared" si="70"/>
        <v>0.73224085365853642</v>
      </c>
      <c r="O225" s="86">
        <f t="shared" si="71"/>
        <v>1.1920731707317074</v>
      </c>
      <c r="P225" s="87">
        <f t="shared" si="72"/>
        <v>97.75</v>
      </c>
      <c r="Q225" s="104">
        <f t="shared" si="73"/>
        <v>12.368286445012787</v>
      </c>
      <c r="R225" s="88">
        <f t="shared" si="74"/>
        <v>47.434292866082608</v>
      </c>
      <c r="S225" s="88">
        <f t="shared" si="75"/>
        <v>24.4375</v>
      </c>
      <c r="T225" s="13">
        <f t="shared" si="76"/>
        <v>3</v>
      </c>
      <c r="U225" s="13">
        <f t="shared" si="77"/>
        <v>1</v>
      </c>
      <c r="V225" s="13">
        <f t="shared" si="78"/>
        <v>2</v>
      </c>
      <c r="W225" s="13">
        <f t="shared" ca="1" si="79"/>
        <v>3</v>
      </c>
      <c r="X225" s="13">
        <f t="shared" ca="1" si="80"/>
        <v>9</v>
      </c>
      <c r="Y225" s="81" t="str">
        <f t="shared" ca="1" si="81"/>
        <v>RE-BUY</v>
      </c>
      <c r="Z225" s="13">
        <v>14</v>
      </c>
      <c r="AA225" s="75">
        <v>46059</v>
      </c>
      <c r="AB225" s="75">
        <f t="shared" si="82"/>
        <v>45920</v>
      </c>
      <c r="AC225" s="88">
        <f t="shared" si="83"/>
        <v>19.857142857142858</v>
      </c>
      <c r="AD225" s="89" t="str">
        <f t="shared" ca="1" si="84"/>
        <v>STABLE</v>
      </c>
      <c r="AE225" s="89" t="str">
        <f t="shared" si="88"/>
        <v>FAST SELLING</v>
      </c>
      <c r="AF225" s="89" t="str">
        <f t="shared" si="85"/>
        <v>AT RISK</v>
      </c>
      <c r="AG225" s="89" t="str">
        <f t="shared" si="86"/>
        <v>FEASIBLE</v>
      </c>
      <c r="AH225" s="81" t="str">
        <f t="shared" ca="1" si="87"/>
        <v>IMMEDIATE REBUY</v>
      </c>
      <c r="AI225" s="75"/>
      <c r="AJ225" s="75"/>
      <c r="AK225" s="13"/>
      <c r="AL225" s="79"/>
      <c r="AM225" s="79"/>
      <c r="AN225" s="79"/>
      <c r="AO225" s="79"/>
      <c r="AP225" s="79"/>
      <c r="AQ225" s="75"/>
      <c r="AR225" s="75"/>
      <c r="AS225" s="75"/>
      <c r="AT225" s="75"/>
      <c r="AU225" s="75"/>
      <c r="AV225" s="13"/>
      <c r="AW225" s="13"/>
      <c r="AX225" s="13"/>
      <c r="AY225" s="13"/>
      <c r="AZ225" s="13"/>
      <c r="BA225" s="105"/>
      <c r="BB225" s="13"/>
      <c r="BC225" s="13"/>
      <c r="BD225" s="13"/>
      <c r="BE225" s="13"/>
      <c r="BF225" s="88"/>
      <c r="BG225" s="88"/>
      <c r="BH225" s="88"/>
      <c r="BI225" s="88"/>
      <c r="BJ225" s="88"/>
      <c r="BK225" s="105"/>
      <c r="BL225" s="105"/>
      <c r="BM225" s="105"/>
      <c r="BN225" s="105"/>
      <c r="BO225" s="105"/>
      <c r="BP225" s="105"/>
      <c r="BQ225" s="79"/>
      <c r="BR225" s="79"/>
      <c r="BS225" s="79"/>
      <c r="BT225" s="79"/>
      <c r="BU225" s="79"/>
      <c r="BV225" s="90"/>
      <c r="BW225" s="106"/>
      <c r="BX225" s="106"/>
      <c r="BY225" s="106"/>
      <c r="BZ225" s="106"/>
      <c r="CA225" s="106"/>
    </row>
    <row r="226" spans="1:79" x14ac:dyDescent="0.35">
      <c r="A226" s="25" t="s">
        <v>240</v>
      </c>
      <c r="B226" s="10" t="s">
        <v>333</v>
      </c>
      <c r="C226" s="10" t="s">
        <v>345</v>
      </c>
      <c r="D226" s="10" t="s">
        <v>346</v>
      </c>
      <c r="E226" s="11">
        <v>45962</v>
      </c>
      <c r="F226" s="17">
        <v>45892</v>
      </c>
      <c r="G226" s="14">
        <f t="shared" ca="1" si="67"/>
        <v>207</v>
      </c>
      <c r="H226" s="17">
        <v>799</v>
      </c>
      <c r="I226" s="17">
        <v>420</v>
      </c>
      <c r="J226" s="75">
        <f t="shared" si="68"/>
        <v>827</v>
      </c>
      <c r="K226" s="17">
        <v>1450</v>
      </c>
      <c r="L226" s="85">
        <v>623</v>
      </c>
      <c r="M226" s="86">
        <f t="shared" ca="1" si="69"/>
        <v>3.0096618357487923</v>
      </c>
      <c r="N226" s="86">
        <f t="shared" si="70"/>
        <v>0.73224085365853642</v>
      </c>
      <c r="O226" s="86">
        <f t="shared" si="71"/>
        <v>1.899390243902439</v>
      </c>
      <c r="P226" s="87">
        <f t="shared" si="72"/>
        <v>155.75</v>
      </c>
      <c r="Q226" s="104">
        <f t="shared" si="73"/>
        <v>5.3097913322632424</v>
      </c>
      <c r="R226" s="88">
        <f t="shared" si="74"/>
        <v>47.434292866082608</v>
      </c>
      <c r="S226" s="88">
        <f t="shared" si="75"/>
        <v>42.96551724137931</v>
      </c>
      <c r="T226" s="13">
        <f t="shared" si="76"/>
        <v>3</v>
      </c>
      <c r="U226" s="13">
        <f t="shared" si="77"/>
        <v>2</v>
      </c>
      <c r="V226" s="13">
        <f t="shared" si="78"/>
        <v>2</v>
      </c>
      <c r="W226" s="13">
        <f t="shared" ca="1" si="79"/>
        <v>3</v>
      </c>
      <c r="X226" s="13">
        <f t="shared" ca="1" si="80"/>
        <v>10</v>
      </c>
      <c r="Y226" s="81" t="str">
        <f t="shared" ca="1" si="81"/>
        <v>RE-BUY</v>
      </c>
      <c r="Z226" s="13">
        <v>14</v>
      </c>
      <c r="AA226" s="75">
        <v>46059</v>
      </c>
      <c r="AB226" s="75">
        <f t="shared" si="82"/>
        <v>45920</v>
      </c>
      <c r="AC226" s="88">
        <f t="shared" si="83"/>
        <v>19.857142857142858</v>
      </c>
      <c r="AD226" s="89" t="str">
        <f t="shared" ca="1" si="84"/>
        <v>STABLE</v>
      </c>
      <c r="AE226" s="89" t="str">
        <f t="shared" si="88"/>
        <v>FAST SELLING</v>
      </c>
      <c r="AF226" s="89" t="str">
        <f t="shared" si="85"/>
        <v>AT RISK</v>
      </c>
      <c r="AG226" s="89" t="str">
        <f t="shared" si="86"/>
        <v>FEASIBLE</v>
      </c>
      <c r="AH226" s="81" t="str">
        <f t="shared" ca="1" si="87"/>
        <v>IMMEDIATE REBUY</v>
      </c>
      <c r="AI226" s="75"/>
      <c r="AJ226" s="75"/>
      <c r="AK226" s="13"/>
      <c r="AL226" s="79"/>
      <c r="AM226" s="79"/>
      <c r="AN226" s="79"/>
      <c r="AO226" s="79"/>
      <c r="AP226" s="79"/>
      <c r="AQ226" s="75"/>
      <c r="AR226" s="75"/>
      <c r="AS226" s="75"/>
      <c r="AT226" s="75"/>
      <c r="AU226" s="75"/>
      <c r="AV226" s="13"/>
      <c r="AW226" s="13"/>
      <c r="AX226" s="13"/>
      <c r="AY226" s="13"/>
      <c r="AZ226" s="13"/>
      <c r="BA226" s="105"/>
      <c r="BB226" s="13"/>
      <c r="BC226" s="13"/>
      <c r="BD226" s="13"/>
      <c r="BE226" s="13"/>
      <c r="BF226" s="88"/>
      <c r="BG226" s="88"/>
      <c r="BH226" s="88"/>
      <c r="BI226" s="88"/>
      <c r="BJ226" s="88"/>
      <c r="BK226" s="105"/>
      <c r="BL226" s="105"/>
      <c r="BM226" s="105"/>
      <c r="BN226" s="105"/>
      <c r="BO226" s="105"/>
      <c r="BP226" s="105"/>
      <c r="BQ226" s="79"/>
      <c r="BR226" s="79"/>
      <c r="BS226" s="79"/>
      <c r="BT226" s="79"/>
      <c r="BU226" s="79"/>
      <c r="BV226" s="90"/>
      <c r="BW226" s="106"/>
      <c r="BX226" s="106"/>
      <c r="BY226" s="106"/>
      <c r="BZ226" s="106"/>
      <c r="CA226" s="106"/>
    </row>
    <row r="227" spans="1:79" x14ac:dyDescent="0.35">
      <c r="A227" s="25" t="s">
        <v>241</v>
      </c>
      <c r="B227" s="10" t="s">
        <v>333</v>
      </c>
      <c r="C227" s="10" t="s">
        <v>345</v>
      </c>
      <c r="D227" s="10" t="s">
        <v>346</v>
      </c>
      <c r="E227" s="11">
        <v>45962</v>
      </c>
      <c r="F227" s="17">
        <v>45892</v>
      </c>
      <c r="G227" s="14">
        <f t="shared" ca="1" si="67"/>
        <v>207</v>
      </c>
      <c r="H227" s="17">
        <v>799</v>
      </c>
      <c r="I227" s="17">
        <v>420</v>
      </c>
      <c r="J227" s="75">
        <f t="shared" si="68"/>
        <v>1148</v>
      </c>
      <c r="K227" s="17">
        <v>1450</v>
      </c>
      <c r="L227" s="85">
        <v>302</v>
      </c>
      <c r="M227" s="86">
        <f t="shared" ca="1" si="69"/>
        <v>1.4589371980676329</v>
      </c>
      <c r="N227" s="86">
        <f t="shared" si="70"/>
        <v>0.73224085365853642</v>
      </c>
      <c r="O227" s="86">
        <f t="shared" si="71"/>
        <v>0.92073170731707321</v>
      </c>
      <c r="P227" s="87">
        <f t="shared" si="72"/>
        <v>75.5</v>
      </c>
      <c r="Q227" s="104">
        <f t="shared" si="73"/>
        <v>15.205298013245033</v>
      </c>
      <c r="R227" s="88">
        <f t="shared" si="74"/>
        <v>47.434292866082608</v>
      </c>
      <c r="S227" s="88">
        <f t="shared" si="75"/>
        <v>20.827586206896552</v>
      </c>
      <c r="T227" s="13">
        <f t="shared" si="76"/>
        <v>3</v>
      </c>
      <c r="U227" s="13">
        <f t="shared" si="77"/>
        <v>1</v>
      </c>
      <c r="V227" s="13">
        <f t="shared" si="78"/>
        <v>2</v>
      </c>
      <c r="W227" s="13">
        <f t="shared" ca="1" si="79"/>
        <v>3</v>
      </c>
      <c r="X227" s="13">
        <f t="shared" ca="1" si="80"/>
        <v>9</v>
      </c>
      <c r="Y227" s="81" t="str">
        <f t="shared" ca="1" si="81"/>
        <v>RE-BUY</v>
      </c>
      <c r="Z227" s="13">
        <v>14</v>
      </c>
      <c r="AA227" s="75">
        <v>46059</v>
      </c>
      <c r="AB227" s="75">
        <f t="shared" si="82"/>
        <v>45920</v>
      </c>
      <c r="AC227" s="88">
        <f t="shared" si="83"/>
        <v>19.857142857142858</v>
      </c>
      <c r="AD227" s="89" t="str">
        <f t="shared" ca="1" si="84"/>
        <v>STABLE</v>
      </c>
      <c r="AE227" s="89" t="str">
        <f t="shared" si="88"/>
        <v>FAST SELLING</v>
      </c>
      <c r="AF227" s="89" t="str">
        <f t="shared" si="85"/>
        <v>AT RISK</v>
      </c>
      <c r="AG227" s="89" t="str">
        <f t="shared" si="86"/>
        <v>FEASIBLE</v>
      </c>
      <c r="AH227" s="81" t="str">
        <f t="shared" ca="1" si="87"/>
        <v>IMMEDIATE REBUY</v>
      </c>
      <c r="AI227" s="75"/>
      <c r="AJ227" s="75"/>
      <c r="AK227" s="13"/>
      <c r="AL227" s="79"/>
      <c r="AM227" s="79"/>
      <c r="AN227" s="79"/>
      <c r="AO227" s="79"/>
      <c r="AP227" s="79"/>
      <c r="AQ227" s="75"/>
      <c r="AR227" s="75"/>
      <c r="AS227" s="75"/>
      <c r="AT227" s="75"/>
      <c r="AU227" s="75"/>
      <c r="AV227" s="13"/>
      <c r="AW227" s="13"/>
      <c r="AX227" s="13"/>
      <c r="AY227" s="13"/>
      <c r="AZ227" s="13"/>
      <c r="BA227" s="105"/>
      <c r="BB227" s="13"/>
      <c r="BC227" s="13"/>
      <c r="BD227" s="13"/>
      <c r="BE227" s="13"/>
      <c r="BF227" s="88"/>
      <c r="BG227" s="88"/>
      <c r="BH227" s="88"/>
      <c r="BI227" s="88"/>
      <c r="BJ227" s="88"/>
      <c r="BK227" s="105"/>
      <c r="BL227" s="105"/>
      <c r="BM227" s="105"/>
      <c r="BN227" s="105"/>
      <c r="BO227" s="105"/>
      <c r="BP227" s="105"/>
      <c r="BQ227" s="79"/>
      <c r="BR227" s="79"/>
      <c r="BS227" s="79"/>
      <c r="BT227" s="79"/>
      <c r="BU227" s="79"/>
      <c r="BV227" s="90"/>
      <c r="BW227" s="106"/>
      <c r="BX227" s="106"/>
      <c r="BY227" s="106"/>
      <c r="BZ227" s="106"/>
      <c r="CA227" s="106"/>
    </row>
    <row r="228" spans="1:79" x14ac:dyDescent="0.35">
      <c r="A228" s="25" t="s">
        <v>242</v>
      </c>
      <c r="B228" s="10" t="s">
        <v>333</v>
      </c>
      <c r="C228" s="10" t="s">
        <v>345</v>
      </c>
      <c r="D228" s="10" t="s">
        <v>346</v>
      </c>
      <c r="E228" s="11">
        <v>45913</v>
      </c>
      <c r="F228" s="17">
        <v>45892</v>
      </c>
      <c r="G228" s="14">
        <f t="shared" ca="1" si="67"/>
        <v>207</v>
      </c>
      <c r="H228" s="17">
        <v>799</v>
      </c>
      <c r="I228" s="17">
        <v>420</v>
      </c>
      <c r="J228" s="75">
        <f t="shared" si="68"/>
        <v>1143</v>
      </c>
      <c r="K228" s="17">
        <v>1450</v>
      </c>
      <c r="L228" s="85">
        <v>307</v>
      </c>
      <c r="M228" s="86">
        <f t="shared" ca="1" si="69"/>
        <v>1.4830917874396135</v>
      </c>
      <c r="N228" s="86">
        <f t="shared" si="70"/>
        <v>0.73224085365853642</v>
      </c>
      <c r="O228" s="86">
        <f t="shared" si="71"/>
        <v>0.93597560975609762</v>
      </c>
      <c r="P228" s="87">
        <f t="shared" si="72"/>
        <v>76.75</v>
      </c>
      <c r="Q228" s="104">
        <f t="shared" si="73"/>
        <v>14.892508143322475</v>
      </c>
      <c r="R228" s="88">
        <f t="shared" si="74"/>
        <v>47.434292866082608</v>
      </c>
      <c r="S228" s="88">
        <f t="shared" si="75"/>
        <v>21.172413793103448</v>
      </c>
      <c r="T228" s="13">
        <f t="shared" si="76"/>
        <v>3</v>
      </c>
      <c r="U228" s="13">
        <f t="shared" si="77"/>
        <v>1</v>
      </c>
      <c r="V228" s="13">
        <f t="shared" si="78"/>
        <v>2</v>
      </c>
      <c r="W228" s="13">
        <f t="shared" ca="1" si="79"/>
        <v>3</v>
      </c>
      <c r="X228" s="13">
        <f t="shared" ca="1" si="80"/>
        <v>9</v>
      </c>
      <c r="Y228" s="81" t="str">
        <f t="shared" ca="1" si="81"/>
        <v>RE-BUY</v>
      </c>
      <c r="Z228" s="13">
        <v>14</v>
      </c>
      <c r="AA228" s="75">
        <v>46059</v>
      </c>
      <c r="AB228" s="75">
        <f t="shared" si="82"/>
        <v>45920</v>
      </c>
      <c r="AC228" s="88">
        <f t="shared" si="83"/>
        <v>19.857142857142858</v>
      </c>
      <c r="AD228" s="89" t="str">
        <f t="shared" ca="1" si="84"/>
        <v>STABLE</v>
      </c>
      <c r="AE228" s="89" t="str">
        <f t="shared" si="88"/>
        <v>FAST SELLING</v>
      </c>
      <c r="AF228" s="89" t="str">
        <f t="shared" si="85"/>
        <v>AT RISK</v>
      </c>
      <c r="AG228" s="89" t="str">
        <f t="shared" si="86"/>
        <v>FEASIBLE</v>
      </c>
      <c r="AH228" s="81" t="str">
        <f t="shared" ca="1" si="87"/>
        <v>IMMEDIATE REBUY</v>
      </c>
      <c r="AI228" s="75"/>
      <c r="AJ228" s="75"/>
      <c r="AK228" s="13"/>
      <c r="AL228" s="79"/>
      <c r="AM228" s="79"/>
      <c r="AN228" s="79"/>
      <c r="AO228" s="79"/>
      <c r="AP228" s="79"/>
      <c r="AQ228" s="75"/>
      <c r="AR228" s="75"/>
      <c r="AS228" s="75"/>
      <c r="AT228" s="75"/>
      <c r="AU228" s="75"/>
      <c r="AV228" s="13"/>
      <c r="AW228" s="13"/>
      <c r="AX228" s="13"/>
      <c r="AY228" s="13"/>
      <c r="AZ228" s="13"/>
      <c r="BA228" s="105"/>
      <c r="BB228" s="13"/>
      <c r="BC228" s="13"/>
      <c r="BD228" s="13"/>
      <c r="BE228" s="13"/>
      <c r="BF228" s="88"/>
      <c r="BG228" s="88"/>
      <c r="BH228" s="88"/>
      <c r="BI228" s="88"/>
      <c r="BJ228" s="88"/>
      <c r="BK228" s="105"/>
      <c r="BL228" s="105"/>
      <c r="BM228" s="105"/>
      <c r="BN228" s="105"/>
      <c r="BO228" s="105"/>
      <c r="BP228" s="105"/>
      <c r="BQ228" s="79"/>
      <c r="BR228" s="79"/>
      <c r="BS228" s="79"/>
      <c r="BT228" s="79"/>
      <c r="BU228" s="79"/>
      <c r="BV228" s="90"/>
      <c r="BW228" s="106"/>
      <c r="BX228" s="106"/>
      <c r="BY228" s="106"/>
      <c r="BZ228" s="106"/>
      <c r="CA228" s="106"/>
    </row>
    <row r="229" spans="1:79" x14ac:dyDescent="0.35">
      <c r="A229" s="25" t="s">
        <v>243</v>
      </c>
      <c r="B229" s="10" t="s">
        <v>333</v>
      </c>
      <c r="C229" s="10" t="s">
        <v>345</v>
      </c>
      <c r="D229" s="10" t="s">
        <v>346</v>
      </c>
      <c r="E229" s="11">
        <v>45962</v>
      </c>
      <c r="F229" s="17">
        <v>45892</v>
      </c>
      <c r="G229" s="14">
        <f t="shared" ca="1" si="67"/>
        <v>207</v>
      </c>
      <c r="H229" s="17">
        <v>799</v>
      </c>
      <c r="I229" s="17">
        <v>340</v>
      </c>
      <c r="J229" s="75">
        <f t="shared" si="68"/>
        <v>824</v>
      </c>
      <c r="K229" s="17">
        <v>1050</v>
      </c>
      <c r="L229" s="85">
        <v>226</v>
      </c>
      <c r="M229" s="86">
        <f t="shared" ca="1" si="69"/>
        <v>1.0917874396135265</v>
      </c>
      <c r="N229" s="86">
        <f t="shared" si="70"/>
        <v>0.73224085365853642</v>
      </c>
      <c r="O229" s="86">
        <f t="shared" si="71"/>
        <v>0.68902439024390238</v>
      </c>
      <c r="P229" s="87">
        <f t="shared" si="72"/>
        <v>56.499999999999993</v>
      </c>
      <c r="Q229" s="104">
        <f t="shared" si="73"/>
        <v>14.584070796460178</v>
      </c>
      <c r="R229" s="88">
        <f t="shared" si="74"/>
        <v>57.446808510638306</v>
      </c>
      <c r="S229" s="88">
        <f t="shared" si="75"/>
        <v>21.523809523809522</v>
      </c>
      <c r="T229" s="13">
        <f t="shared" si="76"/>
        <v>2</v>
      </c>
      <c r="U229" s="13">
        <f t="shared" si="77"/>
        <v>1</v>
      </c>
      <c r="V229" s="13">
        <f t="shared" si="78"/>
        <v>2</v>
      </c>
      <c r="W229" s="13">
        <f t="shared" ca="1" si="79"/>
        <v>3</v>
      </c>
      <c r="X229" s="13">
        <f t="shared" ca="1" si="80"/>
        <v>8</v>
      </c>
      <c r="Y229" s="81" t="str">
        <f t="shared" ca="1" si="81"/>
        <v>MONITOR</v>
      </c>
      <c r="Z229" s="13">
        <v>14</v>
      </c>
      <c r="AA229" s="75">
        <v>46059</v>
      </c>
      <c r="AB229" s="75">
        <f t="shared" si="82"/>
        <v>45920</v>
      </c>
      <c r="AC229" s="88">
        <f t="shared" si="83"/>
        <v>19.857142857142858</v>
      </c>
      <c r="AD229" s="89" t="str">
        <f t="shared" ca="1" si="84"/>
        <v>STABLE</v>
      </c>
      <c r="AE229" s="89" t="str">
        <f t="shared" si="88"/>
        <v>SLOW SELLING</v>
      </c>
      <c r="AF229" s="89" t="str">
        <f t="shared" si="85"/>
        <v>AT RISK</v>
      </c>
      <c r="AG229" s="89" t="str">
        <f t="shared" si="86"/>
        <v>FEASIBLE</v>
      </c>
      <c r="AH229" s="81" t="str">
        <f t="shared" ca="1" si="87"/>
        <v>MONITOR</v>
      </c>
      <c r="AI229" s="75"/>
      <c r="AJ229" s="75"/>
      <c r="AK229" s="13"/>
      <c r="AL229" s="79"/>
      <c r="AM229" s="79"/>
      <c r="AN229" s="79"/>
      <c r="AO229" s="79"/>
      <c r="AP229" s="79"/>
      <c r="AQ229" s="75"/>
      <c r="AR229" s="75"/>
      <c r="AS229" s="75"/>
      <c r="AT229" s="75"/>
      <c r="AU229" s="75"/>
      <c r="AV229" s="13"/>
      <c r="AW229" s="13"/>
      <c r="AX229" s="13"/>
      <c r="AY229" s="13"/>
      <c r="AZ229" s="13"/>
      <c r="BA229" s="105"/>
      <c r="BB229" s="13"/>
      <c r="BC229" s="13"/>
      <c r="BD229" s="13"/>
      <c r="BE229" s="13"/>
      <c r="BF229" s="88"/>
      <c r="BG229" s="88"/>
      <c r="BH229" s="88"/>
      <c r="BI229" s="88"/>
      <c r="BJ229" s="88"/>
      <c r="BK229" s="105"/>
      <c r="BL229" s="105"/>
      <c r="BM229" s="105"/>
      <c r="BN229" s="105"/>
      <c r="BO229" s="105"/>
      <c r="BP229" s="105"/>
      <c r="BQ229" s="79"/>
      <c r="BR229" s="79"/>
      <c r="BS229" s="79"/>
      <c r="BT229" s="79"/>
      <c r="BU229" s="79"/>
      <c r="BV229" s="90"/>
      <c r="BW229" s="106"/>
      <c r="BX229" s="106"/>
      <c r="BY229" s="106"/>
      <c r="BZ229" s="106"/>
      <c r="CA229" s="106"/>
    </row>
    <row r="230" spans="1:79" x14ac:dyDescent="0.35">
      <c r="A230" s="25" t="s">
        <v>244</v>
      </c>
      <c r="B230" s="10" t="s">
        <v>333</v>
      </c>
      <c r="C230" s="10" t="s">
        <v>345</v>
      </c>
      <c r="D230" s="10" t="s">
        <v>346</v>
      </c>
      <c r="E230" s="11">
        <v>45913</v>
      </c>
      <c r="F230" s="17">
        <v>45892</v>
      </c>
      <c r="G230" s="14">
        <f t="shared" ca="1" si="67"/>
        <v>207</v>
      </c>
      <c r="H230" s="17">
        <v>799</v>
      </c>
      <c r="I230" s="17">
        <v>340</v>
      </c>
      <c r="J230" s="75">
        <f t="shared" si="68"/>
        <v>763</v>
      </c>
      <c r="K230" s="17">
        <v>1050</v>
      </c>
      <c r="L230" s="85">
        <v>287</v>
      </c>
      <c r="M230" s="86">
        <f t="shared" ca="1" si="69"/>
        <v>1.3864734299516908</v>
      </c>
      <c r="N230" s="86">
        <f t="shared" si="70"/>
        <v>0.73224085365853642</v>
      </c>
      <c r="O230" s="86">
        <f t="shared" si="71"/>
        <v>0.875</v>
      </c>
      <c r="P230" s="87">
        <f t="shared" si="72"/>
        <v>71.75</v>
      </c>
      <c r="Q230" s="104">
        <f t="shared" si="73"/>
        <v>10.634146341463415</v>
      </c>
      <c r="R230" s="88">
        <f t="shared" si="74"/>
        <v>57.446808510638306</v>
      </c>
      <c r="S230" s="88">
        <f t="shared" si="75"/>
        <v>27.333333333333332</v>
      </c>
      <c r="T230" s="13">
        <f t="shared" si="76"/>
        <v>3</v>
      </c>
      <c r="U230" s="13">
        <f t="shared" si="77"/>
        <v>1</v>
      </c>
      <c r="V230" s="13">
        <f t="shared" si="78"/>
        <v>2</v>
      </c>
      <c r="W230" s="13">
        <f t="shared" ca="1" si="79"/>
        <v>3</v>
      </c>
      <c r="X230" s="13">
        <f t="shared" ca="1" si="80"/>
        <v>9</v>
      </c>
      <c r="Y230" s="81" t="str">
        <f t="shared" ca="1" si="81"/>
        <v>RE-BUY</v>
      </c>
      <c r="Z230" s="13">
        <v>14</v>
      </c>
      <c r="AA230" s="75">
        <v>46059</v>
      </c>
      <c r="AB230" s="75">
        <f t="shared" si="82"/>
        <v>45920</v>
      </c>
      <c r="AC230" s="88">
        <f t="shared" si="83"/>
        <v>19.857142857142858</v>
      </c>
      <c r="AD230" s="89" t="str">
        <f t="shared" ca="1" si="84"/>
        <v>STABLE</v>
      </c>
      <c r="AE230" s="89" t="str">
        <f t="shared" si="88"/>
        <v>FAST SELLING</v>
      </c>
      <c r="AF230" s="89" t="str">
        <f t="shared" si="85"/>
        <v>AT RISK</v>
      </c>
      <c r="AG230" s="89" t="str">
        <f t="shared" si="86"/>
        <v>FEASIBLE</v>
      </c>
      <c r="AH230" s="81" t="str">
        <f t="shared" ca="1" si="87"/>
        <v>IMMEDIATE REBUY</v>
      </c>
      <c r="AI230" s="75"/>
      <c r="AJ230" s="75"/>
      <c r="AK230" s="13"/>
      <c r="AL230" s="79"/>
      <c r="AM230" s="79"/>
      <c r="AN230" s="79"/>
      <c r="AO230" s="79"/>
      <c r="AP230" s="79"/>
      <c r="AQ230" s="75"/>
      <c r="AR230" s="75"/>
      <c r="AS230" s="75"/>
      <c r="AT230" s="75"/>
      <c r="AU230" s="75"/>
      <c r="AV230" s="13"/>
      <c r="AW230" s="13"/>
      <c r="AX230" s="13"/>
      <c r="AY230" s="13"/>
      <c r="AZ230" s="13"/>
      <c r="BA230" s="105"/>
      <c r="BB230" s="13"/>
      <c r="BC230" s="13"/>
      <c r="BD230" s="13"/>
      <c r="BE230" s="13"/>
      <c r="BF230" s="88"/>
      <c r="BG230" s="88"/>
      <c r="BH230" s="88"/>
      <c r="BI230" s="88"/>
      <c r="BJ230" s="88"/>
      <c r="BK230" s="105"/>
      <c r="BL230" s="105"/>
      <c r="BM230" s="105"/>
      <c r="BN230" s="105"/>
      <c r="BO230" s="105"/>
      <c r="BP230" s="105"/>
      <c r="BQ230" s="79"/>
      <c r="BR230" s="79"/>
      <c r="BS230" s="79"/>
      <c r="BT230" s="79"/>
      <c r="BU230" s="79"/>
      <c r="BV230" s="90"/>
      <c r="BW230" s="106"/>
      <c r="BX230" s="106"/>
      <c r="BY230" s="106"/>
      <c r="BZ230" s="106"/>
      <c r="CA230" s="106"/>
    </row>
    <row r="231" spans="1:79" x14ac:dyDescent="0.35">
      <c r="A231" s="25" t="s">
        <v>245</v>
      </c>
      <c r="B231" s="10" t="s">
        <v>333</v>
      </c>
      <c r="C231" s="10" t="s">
        <v>345</v>
      </c>
      <c r="D231" s="10" t="s">
        <v>346</v>
      </c>
      <c r="E231" s="11">
        <v>45913</v>
      </c>
      <c r="F231" s="17">
        <v>45892</v>
      </c>
      <c r="G231" s="14">
        <f t="shared" ca="1" si="67"/>
        <v>207</v>
      </c>
      <c r="H231" s="17">
        <v>799</v>
      </c>
      <c r="I231" s="17">
        <v>340</v>
      </c>
      <c r="J231" s="75">
        <f t="shared" si="68"/>
        <v>739</v>
      </c>
      <c r="K231" s="17">
        <v>1050</v>
      </c>
      <c r="L231" s="85">
        <v>311</v>
      </c>
      <c r="M231" s="86">
        <f t="shared" ca="1" si="69"/>
        <v>1.5024154589371981</v>
      </c>
      <c r="N231" s="86">
        <f t="shared" si="70"/>
        <v>0.73224085365853642</v>
      </c>
      <c r="O231" s="86">
        <f t="shared" si="71"/>
        <v>0.94817073170731703</v>
      </c>
      <c r="P231" s="87">
        <f t="shared" si="72"/>
        <v>77.75</v>
      </c>
      <c r="Q231" s="104">
        <f t="shared" si="73"/>
        <v>9.504823151125402</v>
      </c>
      <c r="R231" s="88">
        <f t="shared" si="74"/>
        <v>57.446808510638306</v>
      </c>
      <c r="S231" s="88">
        <f t="shared" si="75"/>
        <v>29.619047619047617</v>
      </c>
      <c r="T231" s="13">
        <f t="shared" si="76"/>
        <v>3</v>
      </c>
      <c r="U231" s="13">
        <f t="shared" si="77"/>
        <v>1</v>
      </c>
      <c r="V231" s="13">
        <f t="shared" si="78"/>
        <v>2</v>
      </c>
      <c r="W231" s="13">
        <f t="shared" ca="1" si="79"/>
        <v>3</v>
      </c>
      <c r="X231" s="13">
        <f t="shared" ca="1" si="80"/>
        <v>9</v>
      </c>
      <c r="Y231" s="81" t="str">
        <f t="shared" ca="1" si="81"/>
        <v>RE-BUY</v>
      </c>
      <c r="Z231" s="13">
        <v>14</v>
      </c>
      <c r="AA231" s="75">
        <v>46059</v>
      </c>
      <c r="AB231" s="75">
        <f t="shared" si="82"/>
        <v>45920</v>
      </c>
      <c r="AC231" s="88">
        <f t="shared" si="83"/>
        <v>19.857142857142858</v>
      </c>
      <c r="AD231" s="89" t="str">
        <f t="shared" ca="1" si="84"/>
        <v>STABLE</v>
      </c>
      <c r="AE231" s="89" t="str">
        <f t="shared" si="88"/>
        <v>FAST SELLING</v>
      </c>
      <c r="AF231" s="89" t="str">
        <f t="shared" si="85"/>
        <v>AT RISK</v>
      </c>
      <c r="AG231" s="89" t="str">
        <f t="shared" si="86"/>
        <v>FEASIBLE</v>
      </c>
      <c r="AH231" s="81" t="str">
        <f t="shared" ca="1" si="87"/>
        <v>IMMEDIATE REBUY</v>
      </c>
      <c r="AI231" s="75"/>
      <c r="AJ231" s="75"/>
      <c r="AK231" s="13"/>
      <c r="AL231" s="79"/>
      <c r="AM231" s="79"/>
      <c r="AN231" s="79"/>
      <c r="AO231" s="79"/>
      <c r="AP231" s="79"/>
      <c r="AQ231" s="75"/>
      <c r="AR231" s="75"/>
      <c r="AS231" s="75"/>
      <c r="AT231" s="75"/>
      <c r="AU231" s="75"/>
      <c r="AV231" s="13"/>
      <c r="AW231" s="13"/>
      <c r="AX231" s="13"/>
      <c r="AY231" s="13"/>
      <c r="AZ231" s="13"/>
      <c r="BA231" s="105"/>
      <c r="BB231" s="13"/>
      <c r="BC231" s="13"/>
      <c r="BD231" s="13"/>
      <c r="BE231" s="13"/>
      <c r="BF231" s="88"/>
      <c r="BG231" s="88"/>
      <c r="BH231" s="88"/>
      <c r="BI231" s="88"/>
      <c r="BJ231" s="88"/>
      <c r="BK231" s="105"/>
      <c r="BL231" s="105"/>
      <c r="BM231" s="105"/>
      <c r="BN231" s="105"/>
      <c r="BO231" s="105"/>
      <c r="BP231" s="105"/>
      <c r="BQ231" s="79"/>
      <c r="BR231" s="79"/>
      <c r="BS231" s="79"/>
      <c r="BT231" s="79"/>
      <c r="BU231" s="79"/>
      <c r="BV231" s="90"/>
      <c r="BW231" s="106"/>
      <c r="BX231" s="106"/>
      <c r="BY231" s="106"/>
      <c r="BZ231" s="106"/>
      <c r="CA231" s="106"/>
    </row>
    <row r="232" spans="1:79" x14ac:dyDescent="0.35">
      <c r="A232" s="25" t="s">
        <v>246</v>
      </c>
      <c r="B232" s="10" t="s">
        <v>333</v>
      </c>
      <c r="C232" s="10" t="s">
        <v>345</v>
      </c>
      <c r="D232" s="10" t="s">
        <v>346</v>
      </c>
      <c r="E232" s="11">
        <v>45913</v>
      </c>
      <c r="F232" s="17">
        <v>45892</v>
      </c>
      <c r="G232" s="14">
        <f t="shared" ca="1" si="67"/>
        <v>207</v>
      </c>
      <c r="H232" s="17">
        <v>799</v>
      </c>
      <c r="I232" s="17">
        <v>340</v>
      </c>
      <c r="J232" s="75">
        <f t="shared" si="68"/>
        <v>692</v>
      </c>
      <c r="K232" s="17">
        <v>1050</v>
      </c>
      <c r="L232" s="85">
        <v>358</v>
      </c>
      <c r="M232" s="86">
        <f t="shared" ca="1" si="69"/>
        <v>1.7294685990338163</v>
      </c>
      <c r="N232" s="86">
        <f t="shared" si="70"/>
        <v>0.73224085365853642</v>
      </c>
      <c r="O232" s="86">
        <f t="shared" si="71"/>
        <v>1.0914634146341464</v>
      </c>
      <c r="P232" s="87">
        <f t="shared" si="72"/>
        <v>89.5</v>
      </c>
      <c r="Q232" s="104">
        <f t="shared" si="73"/>
        <v>7.7318435754189947</v>
      </c>
      <c r="R232" s="88">
        <f t="shared" si="74"/>
        <v>57.446808510638306</v>
      </c>
      <c r="S232" s="88">
        <f t="shared" si="75"/>
        <v>34.095238095238095</v>
      </c>
      <c r="T232" s="13">
        <f t="shared" si="76"/>
        <v>3</v>
      </c>
      <c r="U232" s="13">
        <f t="shared" si="77"/>
        <v>1</v>
      </c>
      <c r="V232" s="13">
        <f t="shared" si="78"/>
        <v>2</v>
      </c>
      <c r="W232" s="13">
        <f t="shared" ca="1" si="79"/>
        <v>3</v>
      </c>
      <c r="X232" s="13">
        <f t="shared" ca="1" si="80"/>
        <v>9</v>
      </c>
      <c r="Y232" s="81" t="str">
        <f t="shared" ca="1" si="81"/>
        <v>RE-BUY</v>
      </c>
      <c r="Z232" s="13">
        <v>14</v>
      </c>
      <c r="AA232" s="75">
        <v>46059</v>
      </c>
      <c r="AB232" s="75">
        <f t="shared" si="82"/>
        <v>45920</v>
      </c>
      <c r="AC232" s="88">
        <f t="shared" si="83"/>
        <v>19.857142857142858</v>
      </c>
      <c r="AD232" s="89" t="str">
        <f t="shared" ca="1" si="84"/>
        <v>STABLE</v>
      </c>
      <c r="AE232" s="89" t="str">
        <f t="shared" si="88"/>
        <v>FAST SELLING</v>
      </c>
      <c r="AF232" s="89" t="str">
        <f t="shared" si="85"/>
        <v>AT RISK</v>
      </c>
      <c r="AG232" s="89" t="str">
        <f t="shared" si="86"/>
        <v>FEASIBLE</v>
      </c>
      <c r="AH232" s="81" t="str">
        <f t="shared" ca="1" si="87"/>
        <v>IMMEDIATE REBUY</v>
      </c>
      <c r="AI232" s="75"/>
      <c r="AJ232" s="75"/>
      <c r="AK232" s="13"/>
      <c r="AL232" s="79"/>
      <c r="AM232" s="79"/>
      <c r="AN232" s="79"/>
      <c r="AO232" s="79"/>
      <c r="AP232" s="79"/>
      <c r="AQ232" s="75"/>
      <c r="AR232" s="75"/>
      <c r="AS232" s="75"/>
      <c r="AT232" s="75"/>
      <c r="AU232" s="75"/>
      <c r="AV232" s="13"/>
      <c r="AW232" s="13"/>
      <c r="AX232" s="13"/>
      <c r="AY232" s="13"/>
      <c r="AZ232" s="13"/>
      <c r="BA232" s="105"/>
      <c r="BB232" s="13"/>
      <c r="BC232" s="13"/>
      <c r="BD232" s="13"/>
      <c r="BE232" s="13"/>
      <c r="BF232" s="88"/>
      <c r="BG232" s="88"/>
      <c r="BH232" s="88"/>
      <c r="BI232" s="88"/>
      <c r="BJ232" s="88"/>
      <c r="BK232" s="105"/>
      <c r="BL232" s="105"/>
      <c r="BM232" s="105"/>
      <c r="BN232" s="105"/>
      <c r="BO232" s="105"/>
      <c r="BP232" s="105"/>
      <c r="BQ232" s="79"/>
      <c r="BR232" s="79"/>
      <c r="BS232" s="79"/>
      <c r="BT232" s="79"/>
      <c r="BU232" s="79"/>
      <c r="BV232" s="90"/>
      <c r="BW232" s="106"/>
      <c r="BX232" s="106"/>
      <c r="BY232" s="106"/>
      <c r="BZ232" s="106"/>
      <c r="CA232" s="106"/>
    </row>
    <row r="233" spans="1:79" x14ac:dyDescent="0.35">
      <c r="A233" s="25" t="s">
        <v>247</v>
      </c>
      <c r="B233" s="10" t="s">
        <v>333</v>
      </c>
      <c r="C233" s="10" t="s">
        <v>345</v>
      </c>
      <c r="D233" s="10" t="s">
        <v>346</v>
      </c>
      <c r="E233" s="11">
        <v>45962</v>
      </c>
      <c r="F233" s="17">
        <v>45892</v>
      </c>
      <c r="G233" s="14">
        <f t="shared" ca="1" si="67"/>
        <v>207</v>
      </c>
      <c r="H233" s="17">
        <v>799</v>
      </c>
      <c r="I233" s="17">
        <v>340</v>
      </c>
      <c r="J233" s="75">
        <f t="shared" si="68"/>
        <v>934</v>
      </c>
      <c r="K233" s="17">
        <v>1050</v>
      </c>
      <c r="L233" s="85">
        <v>116</v>
      </c>
      <c r="M233" s="86">
        <f t="shared" ca="1" si="69"/>
        <v>0.56038647342995174</v>
      </c>
      <c r="N233" s="86">
        <f t="shared" si="70"/>
        <v>0.73224085365853642</v>
      </c>
      <c r="O233" s="86">
        <f t="shared" si="71"/>
        <v>0.35365853658536583</v>
      </c>
      <c r="P233" s="87">
        <f t="shared" si="72"/>
        <v>29</v>
      </c>
      <c r="Q233" s="104">
        <f t="shared" si="73"/>
        <v>32.206896551724135</v>
      </c>
      <c r="R233" s="88">
        <f t="shared" si="74"/>
        <v>57.446808510638306</v>
      </c>
      <c r="S233" s="88">
        <f t="shared" si="75"/>
        <v>11.047619047619047</v>
      </c>
      <c r="T233" s="13">
        <f t="shared" si="76"/>
        <v>1</v>
      </c>
      <c r="U233" s="13">
        <f t="shared" si="77"/>
        <v>1</v>
      </c>
      <c r="V233" s="13">
        <f t="shared" si="78"/>
        <v>2</v>
      </c>
      <c r="W233" s="13">
        <f t="shared" ca="1" si="79"/>
        <v>3</v>
      </c>
      <c r="X233" s="13">
        <f t="shared" ca="1" si="80"/>
        <v>7</v>
      </c>
      <c r="Y233" s="81" t="str">
        <f t="shared" ca="1" si="81"/>
        <v>MONITOR</v>
      </c>
      <c r="Z233" s="13">
        <v>14</v>
      </c>
      <c r="AA233" s="75">
        <v>46059</v>
      </c>
      <c r="AB233" s="75">
        <f t="shared" si="82"/>
        <v>45920</v>
      </c>
      <c r="AC233" s="88">
        <f t="shared" si="83"/>
        <v>19.857142857142858</v>
      </c>
      <c r="AD233" s="89" t="str">
        <f t="shared" ca="1" si="84"/>
        <v>STABLE</v>
      </c>
      <c r="AE233" s="89" t="str">
        <f t="shared" si="88"/>
        <v>SLOW SELLING</v>
      </c>
      <c r="AF233" s="89" t="str">
        <f t="shared" si="85"/>
        <v>AT RISK</v>
      </c>
      <c r="AG233" s="89" t="str">
        <f t="shared" si="86"/>
        <v>FEASIBLE</v>
      </c>
      <c r="AH233" s="81" t="str">
        <f t="shared" ca="1" si="87"/>
        <v>MONITOR</v>
      </c>
      <c r="AI233" s="75"/>
      <c r="AJ233" s="75"/>
      <c r="AK233" s="13"/>
      <c r="AL233" s="79"/>
      <c r="AM233" s="79"/>
      <c r="AN233" s="79"/>
      <c r="AO233" s="79"/>
      <c r="AP233" s="79"/>
      <c r="AQ233" s="75"/>
      <c r="AR233" s="75"/>
      <c r="AS233" s="75"/>
      <c r="AT233" s="75"/>
      <c r="AU233" s="75"/>
      <c r="AV233" s="13"/>
      <c r="AW233" s="13"/>
      <c r="AX233" s="13"/>
      <c r="AY233" s="13"/>
      <c r="AZ233" s="13"/>
      <c r="BA233" s="105"/>
      <c r="BB233" s="13"/>
      <c r="BC233" s="13"/>
      <c r="BD233" s="13"/>
      <c r="BE233" s="13"/>
      <c r="BF233" s="88"/>
      <c r="BG233" s="88"/>
      <c r="BH233" s="88"/>
      <c r="BI233" s="88"/>
      <c r="BJ233" s="88"/>
      <c r="BK233" s="105"/>
      <c r="BL233" s="105"/>
      <c r="BM233" s="105"/>
      <c r="BN233" s="105"/>
      <c r="BO233" s="105"/>
      <c r="BP233" s="105"/>
      <c r="BQ233" s="79"/>
      <c r="BR233" s="79"/>
      <c r="BS233" s="79"/>
      <c r="BT233" s="79"/>
      <c r="BU233" s="79"/>
      <c r="BV233" s="90"/>
      <c r="BW233" s="106"/>
      <c r="BX233" s="106"/>
      <c r="BY233" s="106"/>
      <c r="BZ233" s="106"/>
      <c r="CA233" s="106"/>
    </row>
    <row r="234" spans="1:79" x14ac:dyDescent="0.35">
      <c r="A234" s="25" t="s">
        <v>248</v>
      </c>
      <c r="B234" s="10" t="s">
        <v>333</v>
      </c>
      <c r="C234" s="10" t="s">
        <v>345</v>
      </c>
      <c r="D234" s="10" t="s">
        <v>346</v>
      </c>
      <c r="E234" s="11">
        <v>45913</v>
      </c>
      <c r="F234" s="17">
        <v>45892</v>
      </c>
      <c r="G234" s="14">
        <f t="shared" ca="1" si="67"/>
        <v>207</v>
      </c>
      <c r="H234" s="17">
        <v>799</v>
      </c>
      <c r="I234" s="17">
        <v>340</v>
      </c>
      <c r="J234" s="75">
        <f t="shared" si="68"/>
        <v>715</v>
      </c>
      <c r="K234" s="17">
        <v>1050</v>
      </c>
      <c r="L234" s="85">
        <v>335</v>
      </c>
      <c r="M234" s="86">
        <f t="shared" ca="1" si="69"/>
        <v>1.6183574879227054</v>
      </c>
      <c r="N234" s="86">
        <f t="shared" si="70"/>
        <v>0.73224085365853642</v>
      </c>
      <c r="O234" s="86">
        <f t="shared" si="71"/>
        <v>1.0213414634146341</v>
      </c>
      <c r="P234" s="87">
        <f t="shared" si="72"/>
        <v>83.749999999999986</v>
      </c>
      <c r="Q234" s="104">
        <f t="shared" si="73"/>
        <v>8.5373134328358216</v>
      </c>
      <c r="R234" s="88">
        <f t="shared" si="74"/>
        <v>57.446808510638306</v>
      </c>
      <c r="S234" s="88">
        <f t="shared" si="75"/>
        <v>31.904761904761902</v>
      </c>
      <c r="T234" s="13">
        <f t="shared" si="76"/>
        <v>3</v>
      </c>
      <c r="U234" s="13">
        <f t="shared" si="77"/>
        <v>1</v>
      </c>
      <c r="V234" s="13">
        <f t="shared" si="78"/>
        <v>2</v>
      </c>
      <c r="W234" s="13">
        <f t="shared" ca="1" si="79"/>
        <v>3</v>
      </c>
      <c r="X234" s="13">
        <f t="shared" ca="1" si="80"/>
        <v>9</v>
      </c>
      <c r="Y234" s="81" t="str">
        <f t="shared" ca="1" si="81"/>
        <v>RE-BUY</v>
      </c>
      <c r="Z234" s="13">
        <v>14</v>
      </c>
      <c r="AA234" s="75">
        <v>46059</v>
      </c>
      <c r="AB234" s="75">
        <f t="shared" si="82"/>
        <v>45920</v>
      </c>
      <c r="AC234" s="88">
        <f t="shared" si="83"/>
        <v>19.857142857142858</v>
      </c>
      <c r="AD234" s="89" t="str">
        <f t="shared" ca="1" si="84"/>
        <v>STABLE</v>
      </c>
      <c r="AE234" s="89" t="str">
        <f t="shared" si="88"/>
        <v>FAST SELLING</v>
      </c>
      <c r="AF234" s="89" t="str">
        <f t="shared" si="85"/>
        <v>AT RISK</v>
      </c>
      <c r="AG234" s="89" t="str">
        <f t="shared" si="86"/>
        <v>FEASIBLE</v>
      </c>
      <c r="AH234" s="81" t="str">
        <f t="shared" ca="1" si="87"/>
        <v>IMMEDIATE REBUY</v>
      </c>
      <c r="AI234" s="75"/>
      <c r="AJ234" s="75"/>
      <c r="AK234" s="13"/>
      <c r="AL234" s="79"/>
      <c r="AM234" s="79"/>
      <c r="AN234" s="79"/>
      <c r="AO234" s="79"/>
      <c r="AP234" s="79"/>
      <c r="AQ234" s="75"/>
      <c r="AR234" s="75"/>
      <c r="AS234" s="75"/>
      <c r="AT234" s="75"/>
      <c r="AU234" s="75"/>
      <c r="AV234" s="13"/>
      <c r="AW234" s="13"/>
      <c r="AX234" s="13"/>
      <c r="AY234" s="13"/>
      <c r="AZ234" s="13"/>
      <c r="BA234" s="105"/>
      <c r="BB234" s="13"/>
      <c r="BC234" s="13"/>
      <c r="BD234" s="13"/>
      <c r="BE234" s="13"/>
      <c r="BF234" s="88"/>
      <c r="BG234" s="88"/>
      <c r="BH234" s="88"/>
      <c r="BI234" s="88"/>
      <c r="BJ234" s="88"/>
      <c r="BK234" s="105"/>
      <c r="BL234" s="105"/>
      <c r="BM234" s="105"/>
      <c r="BN234" s="105"/>
      <c r="BO234" s="105"/>
      <c r="BP234" s="105"/>
      <c r="BQ234" s="79"/>
      <c r="BR234" s="79"/>
      <c r="BS234" s="79"/>
      <c r="BT234" s="79"/>
      <c r="BU234" s="79"/>
      <c r="BV234" s="90"/>
      <c r="BW234" s="106"/>
      <c r="BX234" s="106"/>
      <c r="BY234" s="106"/>
      <c r="BZ234" s="106"/>
      <c r="CA234" s="106"/>
    </row>
    <row r="235" spans="1:79" x14ac:dyDescent="0.35">
      <c r="A235" s="25" t="s">
        <v>249</v>
      </c>
      <c r="B235" s="10" t="s">
        <v>316</v>
      </c>
      <c r="C235" s="10" t="s">
        <v>345</v>
      </c>
      <c r="D235" s="10" t="s">
        <v>346</v>
      </c>
      <c r="E235" s="11">
        <v>45878</v>
      </c>
      <c r="F235" s="17">
        <v>45892</v>
      </c>
      <c r="G235" s="14">
        <f t="shared" ca="1" si="67"/>
        <v>207</v>
      </c>
      <c r="H235" s="17">
        <v>799</v>
      </c>
      <c r="I235" s="17">
        <v>400</v>
      </c>
      <c r="J235" s="75">
        <f t="shared" si="68"/>
        <v>1322</v>
      </c>
      <c r="K235" s="17">
        <v>1600</v>
      </c>
      <c r="L235" s="85">
        <v>278</v>
      </c>
      <c r="M235" s="86">
        <f t="shared" ca="1" si="69"/>
        <v>1.3429951690821256</v>
      </c>
      <c r="N235" s="86">
        <f t="shared" si="70"/>
        <v>0.73224085365853642</v>
      </c>
      <c r="O235" s="86">
        <f t="shared" si="71"/>
        <v>0.84756097560975607</v>
      </c>
      <c r="P235" s="87">
        <f t="shared" si="72"/>
        <v>69.5</v>
      </c>
      <c r="Q235" s="104">
        <f t="shared" si="73"/>
        <v>19.021582733812949</v>
      </c>
      <c r="R235" s="88">
        <f t="shared" si="74"/>
        <v>49.937421777221523</v>
      </c>
      <c r="S235" s="88">
        <f t="shared" si="75"/>
        <v>17.375</v>
      </c>
      <c r="T235" s="13">
        <f t="shared" si="76"/>
        <v>3</v>
      </c>
      <c r="U235" s="13">
        <f t="shared" si="77"/>
        <v>1</v>
      </c>
      <c r="V235" s="13">
        <f t="shared" si="78"/>
        <v>2</v>
      </c>
      <c r="W235" s="13">
        <f t="shared" ca="1" si="79"/>
        <v>3</v>
      </c>
      <c r="X235" s="13">
        <f t="shared" ca="1" si="80"/>
        <v>9</v>
      </c>
      <c r="Y235" s="81" t="str">
        <f t="shared" ca="1" si="81"/>
        <v>RE-BUY</v>
      </c>
      <c r="Z235" s="13">
        <v>14</v>
      </c>
      <c r="AA235" s="75">
        <v>46059</v>
      </c>
      <c r="AB235" s="75">
        <f t="shared" si="82"/>
        <v>45920</v>
      </c>
      <c r="AC235" s="88">
        <f t="shared" si="83"/>
        <v>19.857142857142858</v>
      </c>
      <c r="AD235" s="89" t="str">
        <f t="shared" ca="1" si="84"/>
        <v>STABLE</v>
      </c>
      <c r="AE235" s="89" t="str">
        <f t="shared" si="88"/>
        <v>FAST SELLING</v>
      </c>
      <c r="AF235" s="89" t="str">
        <f t="shared" si="85"/>
        <v>AT RISK</v>
      </c>
      <c r="AG235" s="89" t="str">
        <f t="shared" si="86"/>
        <v>FEASIBLE</v>
      </c>
      <c r="AH235" s="81" t="str">
        <f t="shared" ca="1" si="87"/>
        <v>IMMEDIATE REBUY</v>
      </c>
      <c r="AI235" s="75"/>
      <c r="AJ235" s="75"/>
      <c r="AK235" s="13"/>
      <c r="AL235" s="79"/>
      <c r="AM235" s="79"/>
      <c r="AN235" s="79"/>
      <c r="AO235" s="79"/>
      <c r="AP235" s="79"/>
      <c r="AQ235" s="75"/>
      <c r="AR235" s="75"/>
      <c r="AS235" s="75"/>
      <c r="AT235" s="75"/>
      <c r="AU235" s="75"/>
      <c r="AV235" s="13"/>
      <c r="AW235" s="13"/>
      <c r="AX235" s="13"/>
      <c r="AY235" s="13"/>
      <c r="AZ235" s="13"/>
      <c r="BA235" s="105"/>
      <c r="BB235" s="13"/>
      <c r="BC235" s="13"/>
      <c r="BD235" s="13"/>
      <c r="BE235" s="13"/>
      <c r="BF235" s="88"/>
      <c r="BG235" s="88"/>
      <c r="BH235" s="88"/>
      <c r="BI235" s="88"/>
      <c r="BJ235" s="88"/>
      <c r="BK235" s="105"/>
      <c r="BL235" s="105"/>
      <c r="BM235" s="105"/>
      <c r="BN235" s="105"/>
      <c r="BO235" s="105"/>
      <c r="BP235" s="105"/>
      <c r="BQ235" s="79"/>
      <c r="BR235" s="79"/>
      <c r="BS235" s="79"/>
      <c r="BT235" s="79"/>
      <c r="BU235" s="79"/>
      <c r="BV235" s="90"/>
      <c r="BW235" s="106"/>
      <c r="BX235" s="106"/>
      <c r="BY235" s="106"/>
      <c r="BZ235" s="106"/>
      <c r="CA235" s="106"/>
    </row>
    <row r="236" spans="1:79" x14ac:dyDescent="0.35">
      <c r="A236" s="25" t="s">
        <v>250</v>
      </c>
      <c r="B236" s="10" t="s">
        <v>316</v>
      </c>
      <c r="C236" s="10" t="s">
        <v>345</v>
      </c>
      <c r="D236" s="10" t="s">
        <v>346</v>
      </c>
      <c r="E236" s="11">
        <v>45864</v>
      </c>
      <c r="F236" s="17">
        <v>45892</v>
      </c>
      <c r="G236" s="14">
        <f t="shared" ca="1" si="67"/>
        <v>207</v>
      </c>
      <c r="H236" s="17">
        <v>599</v>
      </c>
      <c r="I236" s="17">
        <v>345</v>
      </c>
      <c r="J236" s="75">
        <f t="shared" si="68"/>
        <v>1351</v>
      </c>
      <c r="K236" s="17">
        <v>1500</v>
      </c>
      <c r="L236" s="85">
        <v>149</v>
      </c>
      <c r="M236" s="86">
        <f t="shared" ca="1" si="69"/>
        <v>0.71980676328502413</v>
      </c>
      <c r="N236" s="86">
        <f t="shared" si="70"/>
        <v>0.73224085365853642</v>
      </c>
      <c r="O236" s="86">
        <f t="shared" si="71"/>
        <v>0.45426829268292684</v>
      </c>
      <c r="P236" s="87">
        <f t="shared" si="72"/>
        <v>37.25</v>
      </c>
      <c r="Q236" s="104">
        <f t="shared" si="73"/>
        <v>36.268456375838923</v>
      </c>
      <c r="R236" s="88">
        <f t="shared" si="74"/>
        <v>42.404006677796332</v>
      </c>
      <c r="S236" s="88">
        <f t="shared" si="75"/>
        <v>9.9333333333333336</v>
      </c>
      <c r="T236" s="13">
        <f t="shared" si="76"/>
        <v>1</v>
      </c>
      <c r="U236" s="13">
        <f t="shared" si="77"/>
        <v>1</v>
      </c>
      <c r="V236" s="13">
        <f t="shared" si="78"/>
        <v>1</v>
      </c>
      <c r="W236" s="13">
        <f t="shared" ca="1" si="79"/>
        <v>3</v>
      </c>
      <c r="X236" s="13">
        <f t="shared" ca="1" si="80"/>
        <v>6</v>
      </c>
      <c r="Y236" s="81" t="str">
        <f t="shared" ca="1" si="81"/>
        <v>MONITOR</v>
      </c>
      <c r="Z236" s="13">
        <v>14</v>
      </c>
      <c r="AA236" s="75">
        <v>46059</v>
      </c>
      <c r="AB236" s="75">
        <f t="shared" si="82"/>
        <v>45920</v>
      </c>
      <c r="AC236" s="88">
        <f t="shared" si="83"/>
        <v>19.857142857142858</v>
      </c>
      <c r="AD236" s="89" t="str">
        <f t="shared" ca="1" si="84"/>
        <v>STABLE</v>
      </c>
      <c r="AE236" s="89" t="str">
        <f t="shared" si="88"/>
        <v>SLOW SELLING</v>
      </c>
      <c r="AF236" s="89" t="str">
        <f t="shared" si="85"/>
        <v>AT RISK</v>
      </c>
      <c r="AG236" s="89" t="str">
        <f t="shared" si="86"/>
        <v>FEASIBLE</v>
      </c>
      <c r="AH236" s="81" t="str">
        <f t="shared" ca="1" si="87"/>
        <v>MONITOR</v>
      </c>
      <c r="AI236" s="75"/>
      <c r="AJ236" s="75"/>
      <c r="AK236" s="13"/>
      <c r="AL236" s="79"/>
      <c r="AM236" s="79"/>
      <c r="AN236" s="79"/>
      <c r="AO236" s="79"/>
      <c r="AP236" s="79"/>
      <c r="AQ236" s="75"/>
      <c r="AR236" s="75"/>
      <c r="AS236" s="75"/>
      <c r="AT236" s="75"/>
      <c r="AU236" s="75"/>
      <c r="AV236" s="13"/>
      <c r="AW236" s="13"/>
      <c r="AX236" s="13"/>
      <c r="AY236" s="13"/>
      <c r="AZ236" s="13"/>
      <c r="BA236" s="105"/>
      <c r="BB236" s="13"/>
      <c r="BC236" s="13"/>
      <c r="BD236" s="13"/>
      <c r="BE236" s="13"/>
      <c r="BF236" s="88"/>
      <c r="BG236" s="88"/>
      <c r="BH236" s="88"/>
      <c r="BI236" s="88"/>
      <c r="BJ236" s="88"/>
      <c r="BK236" s="105"/>
      <c r="BL236" s="105"/>
      <c r="BM236" s="105"/>
      <c r="BN236" s="105"/>
      <c r="BO236" s="105"/>
      <c r="BP236" s="105"/>
      <c r="BQ236" s="79"/>
      <c r="BR236" s="79"/>
      <c r="BS236" s="79"/>
      <c r="BT236" s="79"/>
      <c r="BU236" s="79"/>
      <c r="BV236" s="90"/>
      <c r="BW236" s="106"/>
      <c r="BX236" s="106"/>
      <c r="BY236" s="106"/>
      <c r="BZ236" s="106"/>
      <c r="CA236" s="106"/>
    </row>
    <row r="237" spans="1:79" x14ac:dyDescent="0.35">
      <c r="A237" s="25" t="s">
        <v>251</v>
      </c>
      <c r="B237" s="10" t="s">
        <v>316</v>
      </c>
      <c r="C237" s="10" t="s">
        <v>345</v>
      </c>
      <c r="D237" s="10" t="s">
        <v>346</v>
      </c>
      <c r="E237" s="11">
        <v>45864</v>
      </c>
      <c r="F237" s="17">
        <v>45892</v>
      </c>
      <c r="G237" s="14">
        <f t="shared" ca="1" si="67"/>
        <v>207</v>
      </c>
      <c r="H237" s="17">
        <v>599</v>
      </c>
      <c r="I237" s="17">
        <v>345</v>
      </c>
      <c r="J237" s="75">
        <f t="shared" si="68"/>
        <v>1324</v>
      </c>
      <c r="K237" s="17">
        <v>1500</v>
      </c>
      <c r="L237" s="85">
        <v>176</v>
      </c>
      <c r="M237" s="86">
        <f t="shared" ca="1" si="69"/>
        <v>0.85024154589371981</v>
      </c>
      <c r="N237" s="86">
        <f t="shared" si="70"/>
        <v>0.73224085365853642</v>
      </c>
      <c r="O237" s="86">
        <f t="shared" si="71"/>
        <v>0.53658536585365857</v>
      </c>
      <c r="P237" s="87">
        <f t="shared" si="72"/>
        <v>44</v>
      </c>
      <c r="Q237" s="104">
        <f t="shared" si="73"/>
        <v>30.09090909090909</v>
      </c>
      <c r="R237" s="88">
        <f t="shared" si="74"/>
        <v>42.404006677796332</v>
      </c>
      <c r="S237" s="88">
        <f t="shared" si="75"/>
        <v>11.733333333333333</v>
      </c>
      <c r="T237" s="13">
        <f t="shared" si="76"/>
        <v>1</v>
      </c>
      <c r="U237" s="13">
        <f t="shared" si="77"/>
        <v>1</v>
      </c>
      <c r="V237" s="13">
        <f t="shared" si="78"/>
        <v>1</v>
      </c>
      <c r="W237" s="13">
        <f t="shared" ca="1" si="79"/>
        <v>3</v>
      </c>
      <c r="X237" s="13">
        <f t="shared" ca="1" si="80"/>
        <v>6</v>
      </c>
      <c r="Y237" s="81" t="str">
        <f t="shared" ca="1" si="81"/>
        <v>MONITOR</v>
      </c>
      <c r="Z237" s="13">
        <v>14</v>
      </c>
      <c r="AA237" s="75">
        <v>46059</v>
      </c>
      <c r="AB237" s="75">
        <f t="shared" si="82"/>
        <v>45920</v>
      </c>
      <c r="AC237" s="88">
        <f t="shared" si="83"/>
        <v>19.857142857142858</v>
      </c>
      <c r="AD237" s="89" t="str">
        <f t="shared" ca="1" si="84"/>
        <v>STABLE</v>
      </c>
      <c r="AE237" s="89" t="str">
        <f t="shared" si="88"/>
        <v>SLOW SELLING</v>
      </c>
      <c r="AF237" s="89" t="str">
        <f t="shared" si="85"/>
        <v>AT RISK</v>
      </c>
      <c r="AG237" s="89" t="str">
        <f t="shared" si="86"/>
        <v>FEASIBLE</v>
      </c>
      <c r="AH237" s="81" t="str">
        <f t="shared" ca="1" si="87"/>
        <v>MONITOR</v>
      </c>
      <c r="AI237" s="75"/>
      <c r="AJ237" s="75"/>
      <c r="AK237" s="13"/>
      <c r="AL237" s="79"/>
      <c r="AM237" s="79"/>
      <c r="AN237" s="79"/>
      <c r="AO237" s="79"/>
      <c r="AP237" s="79"/>
      <c r="AQ237" s="75"/>
      <c r="AR237" s="75"/>
      <c r="AS237" s="75"/>
      <c r="AT237" s="75"/>
      <c r="AU237" s="75"/>
      <c r="AV237" s="13"/>
      <c r="AW237" s="13"/>
      <c r="AX237" s="13"/>
      <c r="AY237" s="13"/>
      <c r="AZ237" s="13"/>
      <c r="BA237" s="105"/>
      <c r="BB237" s="13"/>
      <c r="BC237" s="13"/>
      <c r="BD237" s="13"/>
      <c r="BE237" s="13"/>
      <c r="BF237" s="88"/>
      <c r="BG237" s="88"/>
      <c r="BH237" s="88"/>
      <c r="BI237" s="88"/>
      <c r="BJ237" s="88"/>
      <c r="BK237" s="105"/>
      <c r="BL237" s="105"/>
      <c r="BM237" s="105"/>
      <c r="BN237" s="105"/>
      <c r="BO237" s="105"/>
      <c r="BP237" s="105"/>
      <c r="BQ237" s="79"/>
      <c r="BR237" s="79"/>
      <c r="BS237" s="79"/>
      <c r="BT237" s="79"/>
      <c r="BU237" s="79"/>
      <c r="BV237" s="90"/>
      <c r="BW237" s="106"/>
      <c r="BX237" s="106"/>
      <c r="BY237" s="106"/>
      <c r="BZ237" s="106"/>
      <c r="CA237" s="106"/>
    </row>
    <row r="238" spans="1:79" x14ac:dyDescent="0.35">
      <c r="A238" s="25" t="s">
        <v>252</v>
      </c>
      <c r="B238" s="15" t="s">
        <v>323</v>
      </c>
      <c r="C238" s="10" t="s">
        <v>345</v>
      </c>
      <c r="D238" s="10" t="s">
        <v>346</v>
      </c>
      <c r="E238" s="11">
        <v>45878</v>
      </c>
      <c r="F238" s="17">
        <v>45892</v>
      </c>
      <c r="G238" s="14">
        <f t="shared" ca="1" si="67"/>
        <v>207</v>
      </c>
      <c r="H238" s="17">
        <v>499</v>
      </c>
      <c r="I238" s="17">
        <v>230</v>
      </c>
      <c r="J238" s="75">
        <f t="shared" si="68"/>
        <v>714</v>
      </c>
      <c r="K238" s="17">
        <v>750</v>
      </c>
      <c r="L238" s="85">
        <v>36</v>
      </c>
      <c r="M238" s="86">
        <f t="shared" ca="1" si="69"/>
        <v>0.17391304347826086</v>
      </c>
      <c r="N238" s="86">
        <f t="shared" si="70"/>
        <v>0.73224085365853642</v>
      </c>
      <c r="O238" s="86">
        <f t="shared" si="71"/>
        <v>0.10975609756097561</v>
      </c>
      <c r="P238" s="87">
        <f t="shared" si="72"/>
        <v>9</v>
      </c>
      <c r="Q238" s="104">
        <f t="shared" si="73"/>
        <v>79.333333333333329</v>
      </c>
      <c r="R238" s="88">
        <f t="shared" si="74"/>
        <v>53.907815631262523</v>
      </c>
      <c r="S238" s="88">
        <f t="shared" si="75"/>
        <v>4.8</v>
      </c>
      <c r="T238" s="13">
        <f t="shared" si="76"/>
        <v>1</v>
      </c>
      <c r="U238" s="13">
        <f t="shared" si="77"/>
        <v>1</v>
      </c>
      <c r="V238" s="13">
        <f t="shared" si="78"/>
        <v>2</v>
      </c>
      <c r="W238" s="13">
        <f t="shared" ca="1" si="79"/>
        <v>3</v>
      </c>
      <c r="X238" s="13">
        <f t="shared" ca="1" si="80"/>
        <v>7</v>
      </c>
      <c r="Y238" s="81" t="str">
        <f t="shared" ca="1" si="81"/>
        <v>MONITOR</v>
      </c>
      <c r="Z238" s="13">
        <v>14</v>
      </c>
      <c r="AA238" s="75">
        <v>46059</v>
      </c>
      <c r="AB238" s="75">
        <f t="shared" si="82"/>
        <v>45920</v>
      </c>
      <c r="AC238" s="88">
        <f t="shared" si="83"/>
        <v>19.857142857142858</v>
      </c>
      <c r="AD238" s="89" t="str">
        <f t="shared" ca="1" si="84"/>
        <v>STABLE</v>
      </c>
      <c r="AE238" s="89" t="str">
        <f t="shared" si="88"/>
        <v>SLOW SELLING</v>
      </c>
      <c r="AF238" s="89" t="str">
        <f t="shared" si="85"/>
        <v>AT RISK</v>
      </c>
      <c r="AG238" s="89" t="str">
        <f t="shared" si="86"/>
        <v>FEASIBLE</v>
      </c>
      <c r="AH238" s="81" t="str">
        <f t="shared" ca="1" si="87"/>
        <v>MONITOR</v>
      </c>
      <c r="AI238" s="75"/>
      <c r="AJ238" s="75"/>
      <c r="AK238" s="13"/>
      <c r="AL238" s="79"/>
      <c r="AM238" s="79"/>
      <c r="AN238" s="79"/>
      <c r="AO238" s="79"/>
      <c r="AP238" s="79"/>
      <c r="AQ238" s="75"/>
      <c r="AR238" s="75"/>
      <c r="AS238" s="75"/>
      <c r="AT238" s="75"/>
      <c r="AU238" s="75"/>
      <c r="AV238" s="13"/>
      <c r="AW238" s="13"/>
      <c r="AX238" s="13"/>
      <c r="AY238" s="13"/>
      <c r="AZ238" s="13"/>
      <c r="BA238" s="105"/>
      <c r="BB238" s="13"/>
      <c r="BC238" s="13"/>
      <c r="BD238" s="13"/>
      <c r="BE238" s="13"/>
      <c r="BF238" s="88"/>
      <c r="BG238" s="88"/>
      <c r="BH238" s="88"/>
      <c r="BI238" s="88"/>
      <c r="BJ238" s="88"/>
      <c r="BK238" s="105"/>
      <c r="BL238" s="105"/>
      <c r="BM238" s="105"/>
      <c r="BN238" s="105"/>
      <c r="BO238" s="105"/>
      <c r="BP238" s="105"/>
      <c r="BQ238" s="79"/>
      <c r="BR238" s="79"/>
      <c r="BS238" s="79"/>
      <c r="BT238" s="79"/>
      <c r="BU238" s="79"/>
      <c r="BV238" s="90"/>
      <c r="BW238" s="106"/>
      <c r="BX238" s="106"/>
      <c r="BY238" s="106"/>
      <c r="BZ238" s="106"/>
      <c r="CA238" s="106"/>
    </row>
    <row r="239" spans="1:79" x14ac:dyDescent="0.35">
      <c r="A239" s="25" t="s">
        <v>253</v>
      </c>
      <c r="B239" s="15" t="s">
        <v>323</v>
      </c>
      <c r="C239" s="10" t="s">
        <v>345</v>
      </c>
      <c r="D239" s="10" t="s">
        <v>346</v>
      </c>
      <c r="E239" s="11">
        <v>45864</v>
      </c>
      <c r="F239" s="17">
        <v>45892</v>
      </c>
      <c r="G239" s="14">
        <f t="shared" ca="1" si="67"/>
        <v>207</v>
      </c>
      <c r="H239" s="17">
        <v>499</v>
      </c>
      <c r="I239" s="17">
        <v>230</v>
      </c>
      <c r="J239" s="75">
        <f t="shared" si="68"/>
        <v>953</v>
      </c>
      <c r="K239" s="17">
        <v>1000</v>
      </c>
      <c r="L239" s="85">
        <v>47</v>
      </c>
      <c r="M239" s="86">
        <f t="shared" ca="1" si="69"/>
        <v>0.22705314009661837</v>
      </c>
      <c r="N239" s="86">
        <f t="shared" si="70"/>
        <v>0.73224085365853642</v>
      </c>
      <c r="O239" s="86">
        <f t="shared" si="71"/>
        <v>0.14329268292682926</v>
      </c>
      <c r="P239" s="87">
        <f t="shared" si="72"/>
        <v>11.749999999999998</v>
      </c>
      <c r="Q239" s="104">
        <f t="shared" si="73"/>
        <v>81.106382978723417</v>
      </c>
      <c r="R239" s="88">
        <f t="shared" si="74"/>
        <v>53.907815631262523</v>
      </c>
      <c r="S239" s="88">
        <f t="shared" si="75"/>
        <v>4.7</v>
      </c>
      <c r="T239" s="13">
        <f t="shared" si="76"/>
        <v>1</v>
      </c>
      <c r="U239" s="13">
        <f t="shared" si="77"/>
        <v>1</v>
      </c>
      <c r="V239" s="13">
        <f t="shared" si="78"/>
        <v>2</v>
      </c>
      <c r="W239" s="13">
        <f t="shared" ca="1" si="79"/>
        <v>3</v>
      </c>
      <c r="X239" s="13">
        <f t="shared" ca="1" si="80"/>
        <v>7</v>
      </c>
      <c r="Y239" s="81" t="str">
        <f t="shared" ca="1" si="81"/>
        <v>MONITOR</v>
      </c>
      <c r="Z239" s="13">
        <v>14</v>
      </c>
      <c r="AA239" s="75">
        <v>46059</v>
      </c>
      <c r="AB239" s="75">
        <f t="shared" si="82"/>
        <v>45920</v>
      </c>
      <c r="AC239" s="88">
        <f t="shared" si="83"/>
        <v>19.857142857142858</v>
      </c>
      <c r="AD239" s="89" t="str">
        <f t="shared" ca="1" si="84"/>
        <v>STABLE</v>
      </c>
      <c r="AE239" s="89" t="str">
        <f t="shared" si="88"/>
        <v>SLOW SELLING</v>
      </c>
      <c r="AF239" s="89" t="str">
        <f t="shared" si="85"/>
        <v>AT RISK</v>
      </c>
      <c r="AG239" s="89" t="str">
        <f t="shared" si="86"/>
        <v>FEASIBLE</v>
      </c>
      <c r="AH239" s="81" t="str">
        <f t="shared" ca="1" si="87"/>
        <v>MONITOR</v>
      </c>
      <c r="AI239" s="75"/>
      <c r="AJ239" s="75"/>
      <c r="AK239" s="13"/>
      <c r="AL239" s="79"/>
      <c r="AM239" s="79"/>
      <c r="AN239" s="79"/>
      <c r="AO239" s="79"/>
      <c r="AP239" s="79"/>
      <c r="AQ239" s="75"/>
      <c r="AR239" s="75"/>
      <c r="AS239" s="75"/>
      <c r="AT239" s="75"/>
      <c r="AU239" s="75"/>
      <c r="AV239" s="13"/>
      <c r="AW239" s="13"/>
      <c r="AX239" s="13"/>
      <c r="AY239" s="13"/>
      <c r="AZ239" s="13"/>
      <c r="BA239" s="105"/>
      <c r="BB239" s="13"/>
      <c r="BC239" s="13"/>
      <c r="BD239" s="13"/>
      <c r="BE239" s="13"/>
      <c r="BF239" s="88"/>
      <c r="BG239" s="88"/>
      <c r="BH239" s="88"/>
      <c r="BI239" s="88"/>
      <c r="BJ239" s="88"/>
      <c r="BK239" s="105"/>
      <c r="BL239" s="105"/>
      <c r="BM239" s="105"/>
      <c r="BN239" s="105"/>
      <c r="BO239" s="105"/>
      <c r="BP239" s="105"/>
      <c r="BQ239" s="79"/>
      <c r="BR239" s="79"/>
      <c r="BS239" s="79"/>
      <c r="BT239" s="79"/>
      <c r="BU239" s="79"/>
      <c r="BV239" s="90"/>
      <c r="BW239" s="106"/>
      <c r="BX239" s="106"/>
      <c r="BY239" s="106"/>
      <c r="BZ239" s="106"/>
      <c r="CA239" s="106"/>
    </row>
    <row r="240" spans="1:79" x14ac:dyDescent="0.35">
      <c r="A240" s="25" t="s">
        <v>254</v>
      </c>
      <c r="B240" s="15" t="s">
        <v>323</v>
      </c>
      <c r="C240" s="10" t="s">
        <v>345</v>
      </c>
      <c r="D240" s="10" t="s">
        <v>346</v>
      </c>
      <c r="E240" s="11">
        <v>45864</v>
      </c>
      <c r="F240" s="17">
        <v>45892</v>
      </c>
      <c r="G240" s="14">
        <f t="shared" ca="1" si="67"/>
        <v>207</v>
      </c>
      <c r="H240" s="17">
        <v>499</v>
      </c>
      <c r="I240" s="17">
        <v>230</v>
      </c>
      <c r="J240" s="75">
        <f t="shared" si="68"/>
        <v>936</v>
      </c>
      <c r="K240" s="17">
        <v>1000</v>
      </c>
      <c r="L240" s="85">
        <v>64</v>
      </c>
      <c r="M240" s="86">
        <f t="shared" ca="1" si="69"/>
        <v>0.30917874396135264</v>
      </c>
      <c r="N240" s="86">
        <f t="shared" si="70"/>
        <v>0.73224085365853642</v>
      </c>
      <c r="O240" s="86">
        <f t="shared" si="71"/>
        <v>0.1951219512195122</v>
      </c>
      <c r="P240" s="87">
        <f t="shared" si="72"/>
        <v>16</v>
      </c>
      <c r="Q240" s="104">
        <f t="shared" si="73"/>
        <v>58.5</v>
      </c>
      <c r="R240" s="88">
        <f t="shared" si="74"/>
        <v>53.907815631262523</v>
      </c>
      <c r="S240" s="88">
        <f t="shared" si="75"/>
        <v>6.4</v>
      </c>
      <c r="T240" s="13">
        <f t="shared" si="76"/>
        <v>1</v>
      </c>
      <c r="U240" s="13">
        <f t="shared" si="77"/>
        <v>1</v>
      </c>
      <c r="V240" s="13">
        <f t="shared" si="78"/>
        <v>2</v>
      </c>
      <c r="W240" s="13">
        <f t="shared" ca="1" si="79"/>
        <v>3</v>
      </c>
      <c r="X240" s="13">
        <f t="shared" ca="1" si="80"/>
        <v>7</v>
      </c>
      <c r="Y240" s="81" t="str">
        <f t="shared" ca="1" si="81"/>
        <v>MONITOR</v>
      </c>
      <c r="Z240" s="13">
        <v>14</v>
      </c>
      <c r="AA240" s="75">
        <v>46059</v>
      </c>
      <c r="AB240" s="75">
        <f t="shared" si="82"/>
        <v>45920</v>
      </c>
      <c r="AC240" s="88">
        <f t="shared" si="83"/>
        <v>19.857142857142858</v>
      </c>
      <c r="AD240" s="89" t="str">
        <f t="shared" ca="1" si="84"/>
        <v>STABLE</v>
      </c>
      <c r="AE240" s="89" t="str">
        <f t="shared" si="88"/>
        <v>SLOW SELLING</v>
      </c>
      <c r="AF240" s="89" t="str">
        <f t="shared" si="85"/>
        <v>AT RISK</v>
      </c>
      <c r="AG240" s="89" t="str">
        <f t="shared" si="86"/>
        <v>FEASIBLE</v>
      </c>
      <c r="AH240" s="81" t="str">
        <f t="shared" ca="1" si="87"/>
        <v>MONITOR</v>
      </c>
      <c r="AI240" s="75"/>
      <c r="AJ240" s="75"/>
      <c r="AK240" s="13"/>
      <c r="AL240" s="79"/>
      <c r="AM240" s="79"/>
      <c r="AN240" s="79"/>
      <c r="AO240" s="79"/>
      <c r="AP240" s="79"/>
      <c r="AQ240" s="75"/>
      <c r="AR240" s="75"/>
      <c r="AS240" s="75"/>
      <c r="AT240" s="75"/>
      <c r="AU240" s="75"/>
      <c r="AV240" s="13"/>
      <c r="AW240" s="13"/>
      <c r="AX240" s="13"/>
      <c r="AY240" s="13"/>
      <c r="AZ240" s="13"/>
      <c r="BA240" s="105"/>
      <c r="BB240" s="13"/>
      <c r="BC240" s="13"/>
      <c r="BD240" s="13"/>
      <c r="BE240" s="13"/>
      <c r="BF240" s="88"/>
      <c r="BG240" s="88"/>
      <c r="BH240" s="88"/>
      <c r="BI240" s="88"/>
      <c r="BJ240" s="88"/>
      <c r="BK240" s="105"/>
      <c r="BL240" s="105"/>
      <c r="BM240" s="105"/>
      <c r="BN240" s="105"/>
      <c r="BO240" s="105"/>
      <c r="BP240" s="105"/>
      <c r="BQ240" s="79"/>
      <c r="BR240" s="79"/>
      <c r="BS240" s="79"/>
      <c r="BT240" s="79"/>
      <c r="BU240" s="79"/>
      <c r="BV240" s="90"/>
      <c r="BW240" s="106"/>
      <c r="BX240" s="106"/>
      <c r="BY240" s="106"/>
      <c r="BZ240" s="106"/>
      <c r="CA240" s="106"/>
    </row>
    <row r="241" spans="1:79" x14ac:dyDescent="0.35">
      <c r="A241" s="25" t="s">
        <v>255</v>
      </c>
      <c r="B241" s="15" t="s">
        <v>323</v>
      </c>
      <c r="C241" s="10" t="s">
        <v>345</v>
      </c>
      <c r="D241" s="10" t="s">
        <v>346</v>
      </c>
      <c r="E241" s="11">
        <v>45920</v>
      </c>
      <c r="F241" s="17">
        <v>45892</v>
      </c>
      <c r="G241" s="14">
        <f t="shared" ca="1" si="67"/>
        <v>207</v>
      </c>
      <c r="H241" s="17">
        <v>499</v>
      </c>
      <c r="I241" s="17">
        <v>230</v>
      </c>
      <c r="J241" s="75">
        <f t="shared" si="68"/>
        <v>770</v>
      </c>
      <c r="K241" s="17">
        <v>1000</v>
      </c>
      <c r="L241" s="85">
        <v>230</v>
      </c>
      <c r="M241" s="86">
        <f t="shared" ca="1" si="69"/>
        <v>1.1111111111111112</v>
      </c>
      <c r="N241" s="86">
        <f t="shared" si="70"/>
        <v>0.73224085365853642</v>
      </c>
      <c r="O241" s="86">
        <f t="shared" si="71"/>
        <v>0.70121951219512191</v>
      </c>
      <c r="P241" s="87">
        <f t="shared" si="72"/>
        <v>57.5</v>
      </c>
      <c r="Q241" s="104">
        <f t="shared" si="73"/>
        <v>13.391304347826088</v>
      </c>
      <c r="R241" s="88">
        <f t="shared" si="74"/>
        <v>53.907815631262523</v>
      </c>
      <c r="S241" s="88">
        <f t="shared" si="75"/>
        <v>23</v>
      </c>
      <c r="T241" s="13">
        <f t="shared" si="76"/>
        <v>2</v>
      </c>
      <c r="U241" s="13">
        <f t="shared" si="77"/>
        <v>1</v>
      </c>
      <c r="V241" s="13">
        <f t="shared" si="78"/>
        <v>2</v>
      </c>
      <c r="W241" s="13">
        <f t="shared" ca="1" si="79"/>
        <v>3</v>
      </c>
      <c r="X241" s="13">
        <f t="shared" ca="1" si="80"/>
        <v>8</v>
      </c>
      <c r="Y241" s="81" t="str">
        <f t="shared" ca="1" si="81"/>
        <v>MONITOR</v>
      </c>
      <c r="Z241" s="13">
        <v>14</v>
      </c>
      <c r="AA241" s="75">
        <v>46059</v>
      </c>
      <c r="AB241" s="75">
        <f t="shared" si="82"/>
        <v>45920</v>
      </c>
      <c r="AC241" s="88">
        <f t="shared" si="83"/>
        <v>19.857142857142858</v>
      </c>
      <c r="AD241" s="89" t="str">
        <f t="shared" ca="1" si="84"/>
        <v>STABLE</v>
      </c>
      <c r="AE241" s="89" t="str">
        <f t="shared" si="88"/>
        <v>SLOW SELLING</v>
      </c>
      <c r="AF241" s="89" t="str">
        <f t="shared" si="85"/>
        <v>AT RISK</v>
      </c>
      <c r="AG241" s="89" t="str">
        <f t="shared" si="86"/>
        <v>FEASIBLE</v>
      </c>
      <c r="AH241" s="81" t="str">
        <f t="shared" ca="1" si="87"/>
        <v>MONITOR</v>
      </c>
      <c r="AI241" s="75"/>
      <c r="AJ241" s="75"/>
      <c r="AK241" s="13"/>
      <c r="AL241" s="79"/>
      <c r="AM241" s="79"/>
      <c r="AN241" s="79"/>
      <c r="AO241" s="79"/>
      <c r="AP241" s="79"/>
      <c r="AQ241" s="75"/>
      <c r="AR241" s="75"/>
      <c r="AS241" s="75"/>
      <c r="AT241" s="75"/>
      <c r="AU241" s="75"/>
      <c r="AV241" s="13"/>
      <c r="AW241" s="13"/>
      <c r="AX241" s="13"/>
      <c r="AY241" s="13"/>
      <c r="AZ241" s="13"/>
      <c r="BA241" s="105"/>
      <c r="BB241" s="13"/>
      <c r="BC241" s="13"/>
      <c r="BD241" s="13"/>
      <c r="BE241" s="13"/>
      <c r="BF241" s="88"/>
      <c r="BG241" s="88"/>
      <c r="BH241" s="88"/>
      <c r="BI241" s="88"/>
      <c r="BJ241" s="88"/>
      <c r="BK241" s="105"/>
      <c r="BL241" s="105"/>
      <c r="BM241" s="105"/>
      <c r="BN241" s="105"/>
      <c r="BO241" s="105"/>
      <c r="BP241" s="105"/>
      <c r="BQ241" s="79"/>
      <c r="BR241" s="79"/>
      <c r="BS241" s="79"/>
      <c r="BT241" s="79"/>
      <c r="BU241" s="79"/>
      <c r="BV241" s="90"/>
      <c r="BW241" s="106"/>
      <c r="BX241" s="106"/>
      <c r="BY241" s="106"/>
      <c r="BZ241" s="106"/>
      <c r="CA241" s="106"/>
    </row>
    <row r="242" spans="1:79" x14ac:dyDescent="0.35">
      <c r="A242" s="25" t="s">
        <v>188</v>
      </c>
      <c r="B242" s="15" t="s">
        <v>331</v>
      </c>
      <c r="C242" s="10" t="s">
        <v>342</v>
      </c>
      <c r="D242" s="10" t="s">
        <v>346</v>
      </c>
      <c r="E242" s="11">
        <v>45962</v>
      </c>
      <c r="F242" s="17">
        <v>45892</v>
      </c>
      <c r="G242" s="14">
        <f t="shared" ca="1" si="67"/>
        <v>207</v>
      </c>
      <c r="H242" s="18">
        <v>199</v>
      </c>
      <c r="I242" s="18">
        <v>135</v>
      </c>
      <c r="J242" s="75">
        <f t="shared" si="68"/>
        <v>1970</v>
      </c>
      <c r="K242" s="18">
        <v>2000</v>
      </c>
      <c r="L242" s="85">
        <v>30</v>
      </c>
      <c r="M242" s="86">
        <f t="shared" ca="1" si="69"/>
        <v>0.14492753623188406</v>
      </c>
      <c r="N242" s="86">
        <f t="shared" si="70"/>
        <v>0.80451009251471861</v>
      </c>
      <c r="O242" s="86">
        <f t="shared" si="71"/>
        <v>9.1463414634146339E-2</v>
      </c>
      <c r="P242" s="87">
        <f t="shared" si="72"/>
        <v>7.5</v>
      </c>
      <c r="Q242" s="104">
        <f t="shared" si="73"/>
        <v>262.66666666666669</v>
      </c>
      <c r="R242" s="88">
        <f t="shared" si="74"/>
        <v>32.1608040201005</v>
      </c>
      <c r="S242" s="88">
        <f t="shared" si="75"/>
        <v>1.5</v>
      </c>
      <c r="T242" s="13">
        <f t="shared" si="76"/>
        <v>1</v>
      </c>
      <c r="U242" s="13">
        <f t="shared" si="77"/>
        <v>1</v>
      </c>
      <c r="V242" s="13">
        <f t="shared" si="78"/>
        <v>1</v>
      </c>
      <c r="W242" s="13">
        <f t="shared" ca="1" si="79"/>
        <v>3</v>
      </c>
      <c r="X242" s="13">
        <f t="shared" ca="1" si="80"/>
        <v>6</v>
      </c>
      <c r="Y242" s="81" t="str">
        <f t="shared" ca="1" si="81"/>
        <v>MONITOR</v>
      </c>
      <c r="Z242" s="13">
        <v>14</v>
      </c>
      <c r="AA242" s="75">
        <v>46059</v>
      </c>
      <c r="AB242" s="75">
        <f t="shared" si="82"/>
        <v>45920</v>
      </c>
      <c r="AC242" s="88">
        <f t="shared" si="83"/>
        <v>19.857142857142858</v>
      </c>
      <c r="AD242" s="89" t="str">
        <f t="shared" ca="1" si="84"/>
        <v>STABLE</v>
      </c>
      <c r="AE242" s="89" t="str">
        <f t="shared" si="88"/>
        <v>SLOW SELLING</v>
      </c>
      <c r="AF242" s="89" t="str">
        <f t="shared" si="85"/>
        <v>AT RISK</v>
      </c>
      <c r="AG242" s="89" t="str">
        <f t="shared" si="86"/>
        <v>FEASIBLE</v>
      </c>
      <c r="AH242" s="81" t="str">
        <f t="shared" ca="1" si="87"/>
        <v>MONITOR</v>
      </c>
      <c r="AI242" s="75"/>
      <c r="AJ242" s="75"/>
      <c r="AK242" s="13"/>
      <c r="AL242" s="79"/>
      <c r="AM242" s="79"/>
      <c r="AN242" s="79"/>
      <c r="AO242" s="79"/>
      <c r="AP242" s="79"/>
      <c r="AQ242" s="75"/>
      <c r="AR242" s="75"/>
      <c r="AS242" s="75"/>
      <c r="AT242" s="75"/>
      <c r="AU242" s="75"/>
      <c r="AV242" s="13"/>
      <c r="AW242" s="13"/>
      <c r="AX242" s="13"/>
      <c r="AY242" s="13"/>
      <c r="AZ242" s="13"/>
      <c r="BA242" s="105"/>
      <c r="BB242" s="13"/>
      <c r="BC242" s="13"/>
      <c r="BD242" s="13"/>
      <c r="BE242" s="13"/>
      <c r="BF242" s="88"/>
      <c r="BG242" s="88"/>
      <c r="BH242" s="88"/>
      <c r="BI242" s="88"/>
      <c r="BJ242" s="88"/>
      <c r="BK242" s="105"/>
      <c r="BL242" s="105"/>
      <c r="BM242" s="105"/>
      <c r="BN242" s="105"/>
      <c r="BO242" s="105"/>
      <c r="BP242" s="105"/>
      <c r="BQ242" s="79"/>
      <c r="BR242" s="79"/>
      <c r="BS242" s="79"/>
      <c r="BT242" s="79"/>
      <c r="BU242" s="79"/>
      <c r="BV242" s="90"/>
      <c r="BW242" s="106"/>
      <c r="BX242" s="106"/>
      <c r="BY242" s="106"/>
      <c r="BZ242" s="106"/>
      <c r="CA242" s="106"/>
    </row>
    <row r="243" spans="1:79" x14ac:dyDescent="0.35">
      <c r="A243" s="25" t="s">
        <v>256</v>
      </c>
      <c r="B243" s="10" t="s">
        <v>334</v>
      </c>
      <c r="C243" s="10" t="s">
        <v>342</v>
      </c>
      <c r="D243" s="10" t="s">
        <v>346</v>
      </c>
      <c r="E243" s="11">
        <v>45976</v>
      </c>
      <c r="F243" s="17">
        <v>45892</v>
      </c>
      <c r="G243" s="14">
        <f t="shared" ca="1" si="67"/>
        <v>207</v>
      </c>
      <c r="H243" s="17">
        <v>999</v>
      </c>
      <c r="I243" s="17">
        <v>435</v>
      </c>
      <c r="J243" s="75">
        <f t="shared" si="68"/>
        <v>400</v>
      </c>
      <c r="K243" s="18">
        <v>400</v>
      </c>
      <c r="L243" s="89">
        <v>0</v>
      </c>
      <c r="M243" s="86">
        <f t="shared" ca="1" si="69"/>
        <v>0</v>
      </c>
      <c r="N243" s="86">
        <f t="shared" si="70"/>
        <v>0.80451009251471861</v>
      </c>
      <c r="O243" s="86">
        <f t="shared" si="71"/>
        <v>0</v>
      </c>
      <c r="P243" s="87">
        <f t="shared" si="72"/>
        <v>0</v>
      </c>
      <c r="Q243" s="104" t="e">
        <f t="shared" si="73"/>
        <v>#DIV/0!</v>
      </c>
      <c r="R243" s="88">
        <f t="shared" si="74"/>
        <v>56.456456456456458</v>
      </c>
      <c r="S243" s="88">
        <f t="shared" si="75"/>
        <v>0</v>
      </c>
      <c r="T243" s="13">
        <f t="shared" si="76"/>
        <v>1</v>
      </c>
      <c r="U243" s="13" t="e">
        <f t="shared" si="77"/>
        <v>#DIV/0!</v>
      </c>
      <c r="V243" s="13">
        <f t="shared" si="78"/>
        <v>2</v>
      </c>
      <c r="W243" s="13">
        <f t="shared" ca="1" si="79"/>
        <v>3</v>
      </c>
      <c r="X243" s="13" t="e">
        <f t="shared" ca="1" si="80"/>
        <v>#DIV/0!</v>
      </c>
      <c r="Y243" s="81" t="str">
        <f t="shared" ca="1" si="81"/>
        <v>EXIT</v>
      </c>
      <c r="Z243" s="13">
        <v>14</v>
      </c>
      <c r="AA243" s="75">
        <v>46059</v>
      </c>
      <c r="AB243" s="75">
        <f t="shared" si="82"/>
        <v>45920</v>
      </c>
      <c r="AC243" s="88">
        <f t="shared" si="83"/>
        <v>19.857142857142858</v>
      </c>
      <c r="AD243" s="89" t="str">
        <f t="shared" ca="1" si="84"/>
        <v>STABLE</v>
      </c>
      <c r="AE243" s="89" t="str">
        <f t="shared" si="88"/>
        <v>SLOW SELLING</v>
      </c>
      <c r="AF243" s="89" t="e">
        <f t="shared" si="85"/>
        <v>#DIV/0!</v>
      </c>
      <c r="AG243" s="89" t="str">
        <f t="shared" si="86"/>
        <v>FEASIBLE</v>
      </c>
      <c r="AH243" s="81" t="str">
        <f t="shared" ca="1" si="87"/>
        <v>MONITOR</v>
      </c>
      <c r="AI243" s="75"/>
      <c r="AJ243" s="75"/>
      <c r="AK243" s="13"/>
      <c r="AL243" s="79"/>
      <c r="AM243" s="79"/>
      <c r="AN243" s="79"/>
      <c r="AO243" s="79"/>
      <c r="AP243" s="79"/>
      <c r="AQ243" s="75"/>
      <c r="AR243" s="75"/>
      <c r="AS243" s="75"/>
      <c r="AT243" s="75"/>
      <c r="AU243" s="75"/>
      <c r="AV243" s="13"/>
      <c r="AW243" s="13"/>
      <c r="AX243" s="13"/>
      <c r="AY243" s="13"/>
      <c r="AZ243" s="13"/>
      <c r="BA243" s="105"/>
      <c r="BB243" s="13"/>
      <c r="BC243" s="13"/>
      <c r="BD243" s="13"/>
      <c r="BE243" s="13"/>
      <c r="BF243" s="88"/>
      <c r="BG243" s="88"/>
      <c r="BH243" s="88"/>
      <c r="BI243" s="88"/>
      <c r="BJ243" s="88"/>
      <c r="BK243" s="105"/>
      <c r="BL243" s="105"/>
      <c r="BM243" s="105"/>
      <c r="BN243" s="105"/>
      <c r="BO243" s="105"/>
      <c r="BP243" s="105"/>
      <c r="BQ243" s="79"/>
      <c r="BR243" s="79"/>
      <c r="BS243" s="79"/>
      <c r="BT243" s="79"/>
      <c r="BU243" s="79"/>
      <c r="BV243" s="90"/>
      <c r="BW243" s="106"/>
      <c r="BX243" s="106"/>
      <c r="BY243" s="106"/>
      <c r="BZ243" s="106"/>
      <c r="CA243" s="106"/>
    </row>
    <row r="244" spans="1:79" x14ac:dyDescent="0.35">
      <c r="A244" s="25" t="s">
        <v>257</v>
      </c>
      <c r="B244" s="10" t="s">
        <v>335</v>
      </c>
      <c r="C244" s="10" t="s">
        <v>341</v>
      </c>
      <c r="D244" s="10" t="s">
        <v>346</v>
      </c>
      <c r="E244" s="11">
        <v>45920</v>
      </c>
      <c r="F244" s="17">
        <v>45892</v>
      </c>
      <c r="G244" s="14">
        <f t="shared" ca="1" si="67"/>
        <v>207</v>
      </c>
      <c r="H244" s="17">
        <v>499</v>
      </c>
      <c r="I244" s="17">
        <v>255</v>
      </c>
      <c r="J244" s="75">
        <f t="shared" si="68"/>
        <v>1450</v>
      </c>
      <c r="K244" s="17">
        <v>1500</v>
      </c>
      <c r="L244" s="85">
        <v>50</v>
      </c>
      <c r="M244" s="86">
        <f t="shared" ca="1" si="69"/>
        <v>0.24154589371980675</v>
      </c>
      <c r="N244" s="86">
        <f t="shared" si="70"/>
        <v>0.92883099285538351</v>
      </c>
      <c r="O244" s="86">
        <f t="shared" si="71"/>
        <v>0.1524390243902439</v>
      </c>
      <c r="P244" s="87">
        <f t="shared" si="72"/>
        <v>12.5</v>
      </c>
      <c r="Q244" s="104">
        <f t="shared" si="73"/>
        <v>116</v>
      </c>
      <c r="R244" s="88">
        <f t="shared" si="74"/>
        <v>48.897795591182366</v>
      </c>
      <c r="S244" s="88">
        <f t="shared" si="75"/>
        <v>3.3333333333333335</v>
      </c>
      <c r="T244" s="13">
        <f t="shared" si="76"/>
        <v>1</v>
      </c>
      <c r="U244" s="13">
        <f t="shared" si="77"/>
        <v>1</v>
      </c>
      <c r="V244" s="13">
        <f t="shared" si="78"/>
        <v>2</v>
      </c>
      <c r="W244" s="13">
        <f t="shared" ca="1" si="79"/>
        <v>3</v>
      </c>
      <c r="X244" s="13">
        <f t="shared" ca="1" si="80"/>
        <v>7</v>
      </c>
      <c r="Y244" s="81" t="str">
        <f t="shared" ca="1" si="81"/>
        <v>MONITOR</v>
      </c>
      <c r="Z244" s="13">
        <v>14</v>
      </c>
      <c r="AA244" s="75">
        <v>46059</v>
      </c>
      <c r="AB244" s="75">
        <f t="shared" si="82"/>
        <v>45920</v>
      </c>
      <c r="AC244" s="88">
        <f t="shared" si="83"/>
        <v>19.857142857142858</v>
      </c>
      <c r="AD244" s="89" t="str">
        <f t="shared" ca="1" si="84"/>
        <v>STABLE</v>
      </c>
      <c r="AE244" s="89" t="str">
        <f t="shared" si="88"/>
        <v>SLOW SELLING</v>
      </c>
      <c r="AF244" s="89" t="str">
        <f t="shared" si="85"/>
        <v>AT RISK</v>
      </c>
      <c r="AG244" s="89" t="str">
        <f t="shared" si="86"/>
        <v>FEASIBLE</v>
      </c>
      <c r="AH244" s="81" t="str">
        <f t="shared" ca="1" si="87"/>
        <v>MONITOR</v>
      </c>
      <c r="AI244" s="75"/>
      <c r="AJ244" s="75"/>
      <c r="AK244" s="13"/>
      <c r="AL244" s="79"/>
      <c r="AM244" s="79"/>
      <c r="AN244" s="79"/>
      <c r="AO244" s="79"/>
      <c r="AP244" s="79"/>
      <c r="AQ244" s="75"/>
      <c r="AR244" s="75"/>
      <c r="AS244" s="75"/>
      <c r="AT244" s="75"/>
      <c r="AU244" s="75"/>
      <c r="AV244" s="13"/>
      <c r="AW244" s="13"/>
      <c r="AX244" s="13"/>
      <c r="AY244" s="13"/>
      <c r="AZ244" s="13"/>
      <c r="BA244" s="105"/>
      <c r="BB244" s="13"/>
      <c r="BC244" s="13"/>
      <c r="BD244" s="13"/>
      <c r="BE244" s="13"/>
      <c r="BF244" s="88"/>
      <c r="BG244" s="88"/>
      <c r="BH244" s="88"/>
      <c r="BI244" s="88"/>
      <c r="BJ244" s="88"/>
      <c r="BK244" s="105"/>
      <c r="BL244" s="105"/>
      <c r="BM244" s="105"/>
      <c r="BN244" s="105"/>
      <c r="BO244" s="105"/>
      <c r="BP244" s="105"/>
      <c r="BQ244" s="79"/>
      <c r="BR244" s="79"/>
      <c r="BS244" s="79"/>
      <c r="BT244" s="79"/>
      <c r="BU244" s="79"/>
      <c r="BV244" s="90"/>
      <c r="BW244" s="106"/>
      <c r="BX244" s="106"/>
      <c r="BY244" s="106"/>
      <c r="BZ244" s="106"/>
      <c r="CA244" s="106"/>
    </row>
    <row r="245" spans="1:79" x14ac:dyDescent="0.35">
      <c r="A245" s="25" t="s">
        <v>258</v>
      </c>
      <c r="B245" s="10" t="s">
        <v>335</v>
      </c>
      <c r="C245" s="10" t="s">
        <v>341</v>
      </c>
      <c r="D245" s="10" t="s">
        <v>346</v>
      </c>
      <c r="E245" s="11">
        <v>45878</v>
      </c>
      <c r="F245" s="17">
        <v>45892</v>
      </c>
      <c r="G245" s="14">
        <f t="shared" ca="1" si="67"/>
        <v>207</v>
      </c>
      <c r="H245" s="17">
        <v>499</v>
      </c>
      <c r="I245" s="17">
        <v>255</v>
      </c>
      <c r="J245" s="75">
        <f t="shared" si="68"/>
        <v>1173</v>
      </c>
      <c r="K245" s="17">
        <v>1500</v>
      </c>
      <c r="L245" s="85">
        <v>327</v>
      </c>
      <c r="M245" s="86">
        <f t="shared" ca="1" si="69"/>
        <v>1.5797101449275361</v>
      </c>
      <c r="N245" s="86">
        <f t="shared" si="70"/>
        <v>0.92883099285538351</v>
      </c>
      <c r="O245" s="86">
        <f t="shared" si="71"/>
        <v>0.99695121951219512</v>
      </c>
      <c r="P245" s="87">
        <f t="shared" si="72"/>
        <v>81.75</v>
      </c>
      <c r="Q245" s="104">
        <f t="shared" si="73"/>
        <v>14.348623853211009</v>
      </c>
      <c r="R245" s="88">
        <f t="shared" si="74"/>
        <v>48.897795591182366</v>
      </c>
      <c r="S245" s="88">
        <f t="shared" si="75"/>
        <v>21.8</v>
      </c>
      <c r="T245" s="13">
        <f t="shared" si="76"/>
        <v>3</v>
      </c>
      <c r="U245" s="13">
        <f t="shared" si="77"/>
        <v>1</v>
      </c>
      <c r="V245" s="13">
        <f t="shared" si="78"/>
        <v>2</v>
      </c>
      <c r="W245" s="13">
        <f t="shared" ca="1" si="79"/>
        <v>3</v>
      </c>
      <c r="X245" s="13">
        <f t="shared" ca="1" si="80"/>
        <v>9</v>
      </c>
      <c r="Y245" s="81" t="str">
        <f t="shared" ca="1" si="81"/>
        <v>RE-BUY</v>
      </c>
      <c r="Z245" s="13">
        <v>14</v>
      </c>
      <c r="AA245" s="75">
        <v>46059</v>
      </c>
      <c r="AB245" s="75">
        <f t="shared" si="82"/>
        <v>45920</v>
      </c>
      <c r="AC245" s="88">
        <f t="shared" si="83"/>
        <v>19.857142857142858</v>
      </c>
      <c r="AD245" s="89" t="str">
        <f t="shared" ca="1" si="84"/>
        <v>STABLE</v>
      </c>
      <c r="AE245" s="89" t="str">
        <f t="shared" si="88"/>
        <v>FAST SELLING</v>
      </c>
      <c r="AF245" s="89" t="str">
        <f t="shared" si="85"/>
        <v>AT RISK</v>
      </c>
      <c r="AG245" s="89" t="str">
        <f t="shared" si="86"/>
        <v>FEASIBLE</v>
      </c>
      <c r="AH245" s="81" t="str">
        <f t="shared" ca="1" si="87"/>
        <v>IMMEDIATE REBUY</v>
      </c>
      <c r="AI245" s="75"/>
      <c r="AJ245" s="75"/>
      <c r="AK245" s="13"/>
      <c r="AL245" s="79"/>
      <c r="AM245" s="79"/>
      <c r="AN245" s="79"/>
      <c r="AO245" s="79"/>
      <c r="AP245" s="79"/>
      <c r="AQ245" s="75"/>
      <c r="AR245" s="75"/>
      <c r="AS245" s="75"/>
      <c r="AT245" s="75"/>
      <c r="AU245" s="75"/>
      <c r="AV245" s="13"/>
      <c r="AW245" s="13"/>
      <c r="AX245" s="13"/>
      <c r="AY245" s="13"/>
      <c r="AZ245" s="13"/>
      <c r="BA245" s="105"/>
      <c r="BB245" s="13"/>
      <c r="BC245" s="13"/>
      <c r="BD245" s="13"/>
      <c r="BE245" s="13"/>
      <c r="BF245" s="88"/>
      <c r="BG245" s="88"/>
      <c r="BH245" s="88"/>
      <c r="BI245" s="88"/>
      <c r="BJ245" s="88"/>
      <c r="BK245" s="105"/>
      <c r="BL245" s="105"/>
      <c r="BM245" s="105"/>
      <c r="BN245" s="105"/>
      <c r="BO245" s="105"/>
      <c r="BP245" s="105"/>
      <c r="BQ245" s="79"/>
      <c r="BR245" s="79"/>
      <c r="BS245" s="79"/>
      <c r="BT245" s="79"/>
      <c r="BU245" s="79"/>
      <c r="BV245" s="90"/>
      <c r="BW245" s="106"/>
      <c r="BX245" s="106"/>
      <c r="BY245" s="106"/>
      <c r="BZ245" s="106"/>
      <c r="CA245" s="106"/>
    </row>
    <row r="246" spans="1:79" x14ac:dyDescent="0.35">
      <c r="A246" s="25" t="s">
        <v>259</v>
      </c>
      <c r="B246" s="10" t="s">
        <v>335</v>
      </c>
      <c r="C246" s="10" t="s">
        <v>341</v>
      </c>
      <c r="D246" s="10" t="s">
        <v>346</v>
      </c>
      <c r="E246" s="11">
        <v>45878</v>
      </c>
      <c r="F246" s="17">
        <v>45892</v>
      </c>
      <c r="G246" s="14">
        <f t="shared" ca="1" si="67"/>
        <v>207</v>
      </c>
      <c r="H246" s="17">
        <v>499</v>
      </c>
      <c r="I246" s="17">
        <v>255</v>
      </c>
      <c r="J246" s="75">
        <f t="shared" si="68"/>
        <v>1220</v>
      </c>
      <c r="K246" s="17">
        <v>1500</v>
      </c>
      <c r="L246" s="85">
        <v>280</v>
      </c>
      <c r="M246" s="86">
        <f t="shared" ca="1" si="69"/>
        <v>1.3526570048309179</v>
      </c>
      <c r="N246" s="86">
        <f t="shared" si="70"/>
        <v>0.92883099285538351</v>
      </c>
      <c r="O246" s="86">
        <f t="shared" si="71"/>
        <v>0.85365853658536583</v>
      </c>
      <c r="P246" s="87">
        <f t="shared" si="72"/>
        <v>70</v>
      </c>
      <c r="Q246" s="104">
        <f t="shared" si="73"/>
        <v>17.428571428571427</v>
      </c>
      <c r="R246" s="88">
        <f t="shared" si="74"/>
        <v>48.897795591182366</v>
      </c>
      <c r="S246" s="88">
        <f t="shared" si="75"/>
        <v>18.666666666666668</v>
      </c>
      <c r="T246" s="13">
        <f t="shared" si="76"/>
        <v>2</v>
      </c>
      <c r="U246" s="13">
        <f t="shared" si="77"/>
        <v>1</v>
      </c>
      <c r="V246" s="13">
        <f t="shared" si="78"/>
        <v>2</v>
      </c>
      <c r="W246" s="13">
        <f t="shared" ca="1" si="79"/>
        <v>3</v>
      </c>
      <c r="X246" s="13">
        <f t="shared" ca="1" si="80"/>
        <v>8</v>
      </c>
      <c r="Y246" s="81" t="str">
        <f t="shared" ca="1" si="81"/>
        <v>MONITOR</v>
      </c>
      <c r="Z246" s="13">
        <v>14</v>
      </c>
      <c r="AA246" s="75">
        <v>46059</v>
      </c>
      <c r="AB246" s="75">
        <f t="shared" si="82"/>
        <v>45920</v>
      </c>
      <c r="AC246" s="88">
        <f t="shared" si="83"/>
        <v>19.857142857142858</v>
      </c>
      <c r="AD246" s="89" t="str">
        <f t="shared" ca="1" si="84"/>
        <v>STABLE</v>
      </c>
      <c r="AE246" s="89" t="str">
        <f t="shared" si="88"/>
        <v>SLOW SELLING</v>
      </c>
      <c r="AF246" s="89" t="str">
        <f t="shared" si="85"/>
        <v>AT RISK</v>
      </c>
      <c r="AG246" s="89" t="str">
        <f t="shared" si="86"/>
        <v>FEASIBLE</v>
      </c>
      <c r="AH246" s="81" t="str">
        <f t="shared" ca="1" si="87"/>
        <v>MONITOR</v>
      </c>
      <c r="AI246" s="75"/>
      <c r="AJ246" s="75"/>
      <c r="AK246" s="13"/>
      <c r="AL246" s="79"/>
      <c r="AM246" s="79"/>
      <c r="AN246" s="79"/>
      <c r="AO246" s="79"/>
      <c r="AP246" s="79"/>
      <c r="AQ246" s="75"/>
      <c r="AR246" s="75"/>
      <c r="AS246" s="75"/>
      <c r="AT246" s="75"/>
      <c r="AU246" s="75"/>
      <c r="AV246" s="13"/>
      <c r="AW246" s="13"/>
      <c r="AX246" s="13"/>
      <c r="AY246" s="13"/>
      <c r="AZ246" s="13"/>
      <c r="BA246" s="105"/>
      <c r="BB246" s="13"/>
      <c r="BC246" s="13"/>
      <c r="BD246" s="13"/>
      <c r="BE246" s="13"/>
      <c r="BF246" s="88"/>
      <c r="BG246" s="88"/>
      <c r="BH246" s="88"/>
      <c r="BI246" s="88"/>
      <c r="BJ246" s="88"/>
      <c r="BK246" s="105"/>
      <c r="BL246" s="105"/>
      <c r="BM246" s="105"/>
      <c r="BN246" s="105"/>
      <c r="BO246" s="105"/>
      <c r="BP246" s="105"/>
      <c r="BQ246" s="79"/>
      <c r="BR246" s="79"/>
      <c r="BS246" s="79"/>
      <c r="BT246" s="79"/>
      <c r="BU246" s="79"/>
      <c r="BV246" s="90"/>
      <c r="BW246" s="106"/>
      <c r="BX246" s="106"/>
      <c r="BY246" s="106"/>
      <c r="BZ246" s="106"/>
      <c r="CA246" s="106"/>
    </row>
    <row r="247" spans="1:79" x14ac:dyDescent="0.35">
      <c r="A247" s="25" t="s">
        <v>260</v>
      </c>
      <c r="B247" s="10" t="s">
        <v>335</v>
      </c>
      <c r="C247" s="10" t="s">
        <v>341</v>
      </c>
      <c r="D247" s="10" t="s">
        <v>346</v>
      </c>
      <c r="E247" s="11">
        <v>45920</v>
      </c>
      <c r="F247" s="17">
        <v>45892</v>
      </c>
      <c r="G247" s="14">
        <f t="shared" ca="1" si="67"/>
        <v>207</v>
      </c>
      <c r="H247" s="17">
        <v>499</v>
      </c>
      <c r="I247" s="17">
        <v>255</v>
      </c>
      <c r="J247" s="75">
        <f t="shared" si="68"/>
        <v>1324</v>
      </c>
      <c r="K247" s="17">
        <v>1500</v>
      </c>
      <c r="L247" s="85">
        <v>176</v>
      </c>
      <c r="M247" s="86">
        <f t="shared" ca="1" si="69"/>
        <v>0.85024154589371981</v>
      </c>
      <c r="N247" s="86">
        <f t="shared" si="70"/>
        <v>0.92883099285538351</v>
      </c>
      <c r="O247" s="86">
        <f t="shared" si="71"/>
        <v>0.53658536585365857</v>
      </c>
      <c r="P247" s="87">
        <f t="shared" si="72"/>
        <v>44</v>
      </c>
      <c r="Q247" s="104">
        <f t="shared" si="73"/>
        <v>30.09090909090909</v>
      </c>
      <c r="R247" s="88">
        <f t="shared" si="74"/>
        <v>48.897795591182366</v>
      </c>
      <c r="S247" s="88">
        <f t="shared" si="75"/>
        <v>11.733333333333333</v>
      </c>
      <c r="T247" s="13">
        <f t="shared" si="76"/>
        <v>1</v>
      </c>
      <c r="U247" s="13">
        <f t="shared" si="77"/>
        <v>1</v>
      </c>
      <c r="V247" s="13">
        <f t="shared" si="78"/>
        <v>2</v>
      </c>
      <c r="W247" s="13">
        <f t="shared" ca="1" si="79"/>
        <v>3</v>
      </c>
      <c r="X247" s="13">
        <f t="shared" ca="1" si="80"/>
        <v>7</v>
      </c>
      <c r="Y247" s="81" t="str">
        <f t="shared" ca="1" si="81"/>
        <v>MONITOR</v>
      </c>
      <c r="Z247" s="13">
        <v>14</v>
      </c>
      <c r="AA247" s="75">
        <v>46059</v>
      </c>
      <c r="AB247" s="75">
        <f t="shared" si="82"/>
        <v>45920</v>
      </c>
      <c r="AC247" s="88">
        <f t="shared" si="83"/>
        <v>19.857142857142858</v>
      </c>
      <c r="AD247" s="89" t="str">
        <f t="shared" ca="1" si="84"/>
        <v>STABLE</v>
      </c>
      <c r="AE247" s="89" t="str">
        <f t="shared" si="88"/>
        <v>SLOW SELLING</v>
      </c>
      <c r="AF247" s="89" t="str">
        <f t="shared" si="85"/>
        <v>AT RISK</v>
      </c>
      <c r="AG247" s="89" t="str">
        <f t="shared" si="86"/>
        <v>FEASIBLE</v>
      </c>
      <c r="AH247" s="81" t="str">
        <f t="shared" ca="1" si="87"/>
        <v>MONITOR</v>
      </c>
      <c r="AI247" s="75"/>
      <c r="AJ247" s="75"/>
      <c r="AK247" s="13"/>
      <c r="AL247" s="79"/>
      <c r="AM247" s="79"/>
      <c r="AN247" s="79"/>
      <c r="AO247" s="79"/>
      <c r="AP247" s="79"/>
      <c r="AQ247" s="75"/>
      <c r="AR247" s="75"/>
      <c r="AS247" s="75"/>
      <c r="AT247" s="75"/>
      <c r="AU247" s="75"/>
      <c r="AV247" s="13"/>
      <c r="AW247" s="13"/>
      <c r="AX247" s="13"/>
      <c r="AY247" s="13"/>
      <c r="AZ247" s="13"/>
      <c r="BA247" s="105"/>
      <c r="BB247" s="13"/>
      <c r="BC247" s="13"/>
      <c r="BD247" s="13"/>
      <c r="BE247" s="13"/>
      <c r="BF247" s="88"/>
      <c r="BG247" s="88"/>
      <c r="BH247" s="88"/>
      <c r="BI247" s="88"/>
      <c r="BJ247" s="88"/>
      <c r="BK247" s="105"/>
      <c r="BL247" s="105"/>
      <c r="BM247" s="105"/>
      <c r="BN247" s="105"/>
      <c r="BO247" s="105"/>
      <c r="BP247" s="105"/>
      <c r="BQ247" s="79"/>
      <c r="BR247" s="79"/>
      <c r="BS247" s="79"/>
      <c r="BT247" s="79"/>
      <c r="BU247" s="79"/>
      <c r="BV247" s="90"/>
      <c r="BW247" s="106"/>
      <c r="BX247" s="106"/>
      <c r="BY247" s="106"/>
      <c r="BZ247" s="106"/>
      <c r="CA247" s="106"/>
    </row>
    <row r="248" spans="1:79" x14ac:dyDescent="0.35">
      <c r="A248" s="25" t="s">
        <v>261</v>
      </c>
      <c r="B248" s="10" t="s">
        <v>336</v>
      </c>
      <c r="C248" s="10" t="s">
        <v>341</v>
      </c>
      <c r="D248" s="10" t="s">
        <v>346</v>
      </c>
      <c r="E248" s="11">
        <v>45850</v>
      </c>
      <c r="F248" s="17">
        <v>45892</v>
      </c>
      <c r="G248" s="14">
        <f t="shared" ca="1" si="67"/>
        <v>207</v>
      </c>
      <c r="H248" s="17">
        <v>499</v>
      </c>
      <c r="I248" s="17">
        <v>297</v>
      </c>
      <c r="J248" s="75">
        <f t="shared" si="68"/>
        <v>2233</v>
      </c>
      <c r="K248" s="17">
        <v>2500</v>
      </c>
      <c r="L248" s="85">
        <v>267</v>
      </c>
      <c r="M248" s="86">
        <f t="shared" ca="1" si="69"/>
        <v>1.2898550724637681</v>
      </c>
      <c r="N248" s="86">
        <f t="shared" si="70"/>
        <v>0.92883099285538351</v>
      </c>
      <c r="O248" s="86">
        <f t="shared" si="71"/>
        <v>0.81402439024390238</v>
      </c>
      <c r="P248" s="87">
        <f t="shared" si="72"/>
        <v>66.75</v>
      </c>
      <c r="Q248" s="104">
        <f t="shared" si="73"/>
        <v>33.453183520599254</v>
      </c>
      <c r="R248" s="88">
        <f t="shared" si="74"/>
        <v>40.480961923847694</v>
      </c>
      <c r="S248" s="88">
        <f t="shared" si="75"/>
        <v>10.68</v>
      </c>
      <c r="T248" s="13">
        <f t="shared" si="76"/>
        <v>2</v>
      </c>
      <c r="U248" s="13">
        <f t="shared" si="77"/>
        <v>1</v>
      </c>
      <c r="V248" s="13">
        <f t="shared" si="78"/>
        <v>1</v>
      </c>
      <c r="W248" s="13">
        <f t="shared" ca="1" si="79"/>
        <v>3</v>
      </c>
      <c r="X248" s="13">
        <f t="shared" ca="1" si="80"/>
        <v>7</v>
      </c>
      <c r="Y248" s="81" t="str">
        <f t="shared" ca="1" si="81"/>
        <v>MONITOR</v>
      </c>
      <c r="Z248" s="13">
        <v>14</v>
      </c>
      <c r="AA248" s="75">
        <v>46059</v>
      </c>
      <c r="AB248" s="75">
        <f t="shared" si="82"/>
        <v>45920</v>
      </c>
      <c r="AC248" s="88">
        <f t="shared" si="83"/>
        <v>19.857142857142858</v>
      </c>
      <c r="AD248" s="89" t="str">
        <f t="shared" ca="1" si="84"/>
        <v>STABLE</v>
      </c>
      <c r="AE248" s="89" t="str">
        <f t="shared" si="88"/>
        <v>SLOW SELLING</v>
      </c>
      <c r="AF248" s="89" t="str">
        <f t="shared" si="85"/>
        <v>AT RISK</v>
      </c>
      <c r="AG248" s="89" t="str">
        <f t="shared" si="86"/>
        <v>FEASIBLE</v>
      </c>
      <c r="AH248" s="81" t="str">
        <f t="shared" ca="1" si="87"/>
        <v>MONITOR</v>
      </c>
      <c r="AI248" s="75"/>
      <c r="AJ248" s="75"/>
      <c r="AK248" s="13"/>
      <c r="AL248" s="79"/>
      <c r="AM248" s="79"/>
      <c r="AN248" s="79"/>
      <c r="AO248" s="79"/>
      <c r="AP248" s="79"/>
      <c r="AQ248" s="75"/>
      <c r="AR248" s="75"/>
      <c r="AS248" s="75"/>
      <c r="AT248" s="75"/>
      <c r="AU248" s="75"/>
      <c r="AV248" s="13"/>
      <c r="AW248" s="13"/>
      <c r="AX248" s="13"/>
      <c r="AY248" s="13"/>
      <c r="AZ248" s="13"/>
      <c r="BA248" s="105"/>
      <c r="BB248" s="13"/>
      <c r="BC248" s="13"/>
      <c r="BD248" s="13"/>
      <c r="BE248" s="13"/>
      <c r="BF248" s="88"/>
      <c r="BG248" s="88"/>
      <c r="BH248" s="88"/>
      <c r="BI248" s="88"/>
      <c r="BJ248" s="88"/>
      <c r="BK248" s="105"/>
      <c r="BL248" s="105"/>
      <c r="BM248" s="105"/>
      <c r="BN248" s="105"/>
      <c r="BO248" s="105"/>
      <c r="BP248" s="105"/>
      <c r="BQ248" s="79"/>
      <c r="BR248" s="79"/>
      <c r="BS248" s="79"/>
      <c r="BT248" s="79"/>
      <c r="BU248" s="79"/>
      <c r="BV248" s="90"/>
      <c r="BW248" s="106"/>
      <c r="BX248" s="106"/>
      <c r="BY248" s="106"/>
      <c r="BZ248" s="106"/>
      <c r="CA248" s="106"/>
    </row>
    <row r="249" spans="1:79" x14ac:dyDescent="0.35">
      <c r="A249" s="25" t="s">
        <v>262</v>
      </c>
      <c r="B249" s="10" t="s">
        <v>336</v>
      </c>
      <c r="C249" s="10" t="s">
        <v>341</v>
      </c>
      <c r="D249" s="10" t="s">
        <v>346</v>
      </c>
      <c r="E249" s="11">
        <v>45850</v>
      </c>
      <c r="F249" s="17">
        <v>45892</v>
      </c>
      <c r="G249" s="14">
        <f t="shared" ca="1" si="67"/>
        <v>207</v>
      </c>
      <c r="H249" s="17">
        <v>499</v>
      </c>
      <c r="I249" s="17">
        <v>297</v>
      </c>
      <c r="J249" s="75">
        <f t="shared" si="68"/>
        <v>2285</v>
      </c>
      <c r="K249" s="17">
        <v>2500</v>
      </c>
      <c r="L249" s="85">
        <v>215</v>
      </c>
      <c r="M249" s="86">
        <f t="shared" ca="1" si="69"/>
        <v>1.038647342995169</v>
      </c>
      <c r="N249" s="86">
        <f t="shared" si="70"/>
        <v>0.92883099285538351</v>
      </c>
      <c r="O249" s="86">
        <f t="shared" si="71"/>
        <v>0.65548780487804881</v>
      </c>
      <c r="P249" s="87">
        <f t="shared" si="72"/>
        <v>53.75</v>
      </c>
      <c r="Q249" s="104">
        <f t="shared" si="73"/>
        <v>42.511627906976742</v>
      </c>
      <c r="R249" s="88">
        <f t="shared" si="74"/>
        <v>40.480961923847694</v>
      </c>
      <c r="S249" s="88">
        <f t="shared" si="75"/>
        <v>8.6</v>
      </c>
      <c r="T249" s="13">
        <f t="shared" si="76"/>
        <v>1</v>
      </c>
      <c r="U249" s="13">
        <f t="shared" si="77"/>
        <v>1</v>
      </c>
      <c r="V249" s="13">
        <f t="shared" si="78"/>
        <v>1</v>
      </c>
      <c r="W249" s="13">
        <f t="shared" ca="1" si="79"/>
        <v>3</v>
      </c>
      <c r="X249" s="13">
        <f t="shared" ca="1" si="80"/>
        <v>6</v>
      </c>
      <c r="Y249" s="81" t="str">
        <f t="shared" ca="1" si="81"/>
        <v>MONITOR</v>
      </c>
      <c r="Z249" s="13">
        <v>14</v>
      </c>
      <c r="AA249" s="75">
        <v>46059</v>
      </c>
      <c r="AB249" s="75">
        <f t="shared" si="82"/>
        <v>45920</v>
      </c>
      <c r="AC249" s="88">
        <f t="shared" si="83"/>
        <v>19.857142857142858</v>
      </c>
      <c r="AD249" s="89" t="str">
        <f t="shared" ca="1" si="84"/>
        <v>STABLE</v>
      </c>
      <c r="AE249" s="89" t="str">
        <f t="shared" si="88"/>
        <v>SLOW SELLING</v>
      </c>
      <c r="AF249" s="89" t="str">
        <f t="shared" si="85"/>
        <v>AT RISK</v>
      </c>
      <c r="AG249" s="89" t="str">
        <f t="shared" si="86"/>
        <v>FEASIBLE</v>
      </c>
      <c r="AH249" s="81" t="str">
        <f t="shared" ca="1" si="87"/>
        <v>MONITOR</v>
      </c>
      <c r="AI249" s="75"/>
      <c r="AJ249" s="75"/>
      <c r="AK249" s="13"/>
      <c r="AL249" s="79"/>
      <c r="AM249" s="79"/>
      <c r="AN249" s="79"/>
      <c r="AO249" s="79"/>
      <c r="AP249" s="79"/>
      <c r="AQ249" s="75"/>
      <c r="AR249" s="75"/>
      <c r="AS249" s="75"/>
      <c r="AT249" s="75"/>
      <c r="AU249" s="75"/>
      <c r="AV249" s="13"/>
      <c r="AW249" s="13"/>
      <c r="AX249" s="13"/>
      <c r="AY249" s="13"/>
      <c r="AZ249" s="13"/>
      <c r="BA249" s="105"/>
      <c r="BB249" s="13"/>
      <c r="BC249" s="13"/>
      <c r="BD249" s="13"/>
      <c r="BE249" s="13"/>
      <c r="BF249" s="88"/>
      <c r="BG249" s="88"/>
      <c r="BH249" s="88"/>
      <c r="BI249" s="88"/>
      <c r="BJ249" s="88"/>
      <c r="BK249" s="105"/>
      <c r="BL249" s="105"/>
      <c r="BM249" s="105"/>
      <c r="BN249" s="105"/>
      <c r="BO249" s="105"/>
      <c r="BP249" s="105"/>
      <c r="BQ249" s="79"/>
      <c r="BR249" s="79"/>
      <c r="BS249" s="79"/>
      <c r="BT249" s="79"/>
      <c r="BU249" s="79"/>
      <c r="BV249" s="90"/>
      <c r="BW249" s="106"/>
      <c r="BX249" s="106"/>
      <c r="BY249" s="106"/>
      <c r="BZ249" s="106"/>
      <c r="CA249" s="106"/>
    </row>
    <row r="250" spans="1:79" x14ac:dyDescent="0.35">
      <c r="A250" s="25" t="s">
        <v>263</v>
      </c>
      <c r="B250" s="10" t="s">
        <v>336</v>
      </c>
      <c r="C250" s="10" t="s">
        <v>341</v>
      </c>
      <c r="D250" s="10" t="s">
        <v>346</v>
      </c>
      <c r="E250" s="11">
        <v>45850</v>
      </c>
      <c r="F250" s="17">
        <v>45892</v>
      </c>
      <c r="G250" s="14">
        <f t="shared" ca="1" si="67"/>
        <v>207</v>
      </c>
      <c r="H250" s="17">
        <v>499</v>
      </c>
      <c r="I250" s="17">
        <v>297</v>
      </c>
      <c r="J250" s="75">
        <f t="shared" si="68"/>
        <v>2461</v>
      </c>
      <c r="K250" s="17">
        <v>2500</v>
      </c>
      <c r="L250" s="85">
        <v>39</v>
      </c>
      <c r="M250" s="86">
        <f t="shared" ca="1" si="69"/>
        <v>0.18840579710144928</v>
      </c>
      <c r="N250" s="86">
        <f t="shared" si="70"/>
        <v>0.92883099285538351</v>
      </c>
      <c r="O250" s="86">
        <f t="shared" si="71"/>
        <v>0.11890243902439024</v>
      </c>
      <c r="P250" s="87">
        <f t="shared" si="72"/>
        <v>9.75</v>
      </c>
      <c r="Q250" s="104">
        <f t="shared" si="73"/>
        <v>252.41025641025641</v>
      </c>
      <c r="R250" s="88">
        <f t="shared" si="74"/>
        <v>40.480961923847694</v>
      </c>
      <c r="S250" s="88">
        <f t="shared" si="75"/>
        <v>1.5599999999999998</v>
      </c>
      <c r="T250" s="13">
        <f t="shared" si="76"/>
        <v>1</v>
      </c>
      <c r="U250" s="13">
        <f t="shared" si="77"/>
        <v>1</v>
      </c>
      <c r="V250" s="13">
        <f t="shared" si="78"/>
        <v>1</v>
      </c>
      <c r="W250" s="13">
        <f t="shared" ca="1" si="79"/>
        <v>3</v>
      </c>
      <c r="X250" s="13">
        <f t="shared" ca="1" si="80"/>
        <v>6</v>
      </c>
      <c r="Y250" s="81" t="str">
        <f t="shared" ca="1" si="81"/>
        <v>MONITOR</v>
      </c>
      <c r="Z250" s="13">
        <v>14</v>
      </c>
      <c r="AA250" s="75">
        <v>46059</v>
      </c>
      <c r="AB250" s="75">
        <f t="shared" si="82"/>
        <v>45920</v>
      </c>
      <c r="AC250" s="88">
        <f t="shared" si="83"/>
        <v>19.857142857142858</v>
      </c>
      <c r="AD250" s="89" t="str">
        <f t="shared" ca="1" si="84"/>
        <v>STABLE</v>
      </c>
      <c r="AE250" s="89" t="str">
        <f t="shared" si="88"/>
        <v>SLOW SELLING</v>
      </c>
      <c r="AF250" s="89" t="str">
        <f t="shared" si="85"/>
        <v>AT RISK</v>
      </c>
      <c r="AG250" s="89" t="str">
        <f t="shared" si="86"/>
        <v>FEASIBLE</v>
      </c>
      <c r="AH250" s="81" t="str">
        <f t="shared" ca="1" si="87"/>
        <v>MONITOR</v>
      </c>
      <c r="AI250" s="75"/>
      <c r="AJ250" s="75"/>
      <c r="AK250" s="13"/>
      <c r="AL250" s="79"/>
      <c r="AM250" s="79"/>
      <c r="AN250" s="79"/>
      <c r="AO250" s="79"/>
      <c r="AP250" s="79"/>
      <c r="AQ250" s="75"/>
      <c r="AR250" s="75"/>
      <c r="AS250" s="75"/>
      <c r="AT250" s="75"/>
      <c r="AU250" s="75"/>
      <c r="AV250" s="13"/>
      <c r="AW250" s="13"/>
      <c r="AX250" s="13"/>
      <c r="AY250" s="13"/>
      <c r="AZ250" s="13"/>
      <c r="BA250" s="105"/>
      <c r="BB250" s="13"/>
      <c r="BC250" s="13"/>
      <c r="BD250" s="13"/>
      <c r="BE250" s="13"/>
      <c r="BF250" s="88"/>
      <c r="BG250" s="88"/>
      <c r="BH250" s="88"/>
      <c r="BI250" s="88"/>
      <c r="BJ250" s="88"/>
      <c r="BK250" s="105"/>
      <c r="BL250" s="105"/>
      <c r="BM250" s="105"/>
      <c r="BN250" s="105"/>
      <c r="BO250" s="105"/>
      <c r="BP250" s="105"/>
      <c r="BQ250" s="79"/>
      <c r="BR250" s="79"/>
      <c r="BS250" s="79"/>
      <c r="BT250" s="79"/>
      <c r="BU250" s="79"/>
      <c r="BV250" s="90"/>
      <c r="BW250" s="106"/>
      <c r="BX250" s="106"/>
      <c r="BY250" s="106"/>
      <c r="BZ250" s="106"/>
      <c r="CA250" s="106"/>
    </row>
    <row r="251" spans="1:79" x14ac:dyDescent="0.35">
      <c r="A251" s="25" t="s">
        <v>264</v>
      </c>
      <c r="B251" s="10" t="s">
        <v>336</v>
      </c>
      <c r="C251" s="10" t="s">
        <v>341</v>
      </c>
      <c r="D251" s="10" t="s">
        <v>346</v>
      </c>
      <c r="E251" s="11">
        <v>45850</v>
      </c>
      <c r="F251" s="17">
        <v>45892</v>
      </c>
      <c r="G251" s="14">
        <f t="shared" ca="1" si="67"/>
        <v>207</v>
      </c>
      <c r="H251" s="17">
        <v>499</v>
      </c>
      <c r="I251" s="17">
        <v>297</v>
      </c>
      <c r="J251" s="75">
        <f t="shared" si="68"/>
        <v>2437</v>
      </c>
      <c r="K251" s="17">
        <v>2500</v>
      </c>
      <c r="L251" s="85">
        <v>63</v>
      </c>
      <c r="M251" s="86">
        <f t="shared" ca="1" si="69"/>
        <v>0.30434782608695654</v>
      </c>
      <c r="N251" s="86">
        <f t="shared" si="70"/>
        <v>0.92883099285538351</v>
      </c>
      <c r="O251" s="86">
        <f t="shared" si="71"/>
        <v>0.19207317073170732</v>
      </c>
      <c r="P251" s="87">
        <f t="shared" si="72"/>
        <v>15.75</v>
      </c>
      <c r="Q251" s="104">
        <f t="shared" si="73"/>
        <v>154.73015873015873</v>
      </c>
      <c r="R251" s="88">
        <f t="shared" si="74"/>
        <v>40.480961923847694</v>
      </c>
      <c r="S251" s="88">
        <f t="shared" si="75"/>
        <v>2.52</v>
      </c>
      <c r="T251" s="13">
        <f t="shared" si="76"/>
        <v>1</v>
      </c>
      <c r="U251" s="13">
        <f t="shared" si="77"/>
        <v>1</v>
      </c>
      <c r="V251" s="13">
        <f t="shared" si="78"/>
        <v>1</v>
      </c>
      <c r="W251" s="13">
        <f t="shared" ca="1" si="79"/>
        <v>3</v>
      </c>
      <c r="X251" s="13">
        <f t="shared" ca="1" si="80"/>
        <v>6</v>
      </c>
      <c r="Y251" s="81" t="str">
        <f t="shared" ca="1" si="81"/>
        <v>MONITOR</v>
      </c>
      <c r="Z251" s="13">
        <v>14</v>
      </c>
      <c r="AA251" s="75">
        <v>46059</v>
      </c>
      <c r="AB251" s="75">
        <f t="shared" si="82"/>
        <v>45920</v>
      </c>
      <c r="AC251" s="88">
        <f t="shared" si="83"/>
        <v>19.857142857142858</v>
      </c>
      <c r="AD251" s="89" t="str">
        <f t="shared" ca="1" si="84"/>
        <v>STABLE</v>
      </c>
      <c r="AE251" s="89" t="str">
        <f t="shared" si="88"/>
        <v>SLOW SELLING</v>
      </c>
      <c r="AF251" s="89" t="str">
        <f t="shared" si="85"/>
        <v>AT RISK</v>
      </c>
      <c r="AG251" s="89" t="str">
        <f t="shared" si="86"/>
        <v>FEASIBLE</v>
      </c>
      <c r="AH251" s="81" t="str">
        <f t="shared" ca="1" si="87"/>
        <v>MONITOR</v>
      </c>
      <c r="AI251" s="75"/>
      <c r="AJ251" s="75"/>
      <c r="AK251" s="13"/>
      <c r="AL251" s="79"/>
      <c r="AM251" s="79"/>
      <c r="AN251" s="79"/>
      <c r="AO251" s="79"/>
      <c r="AP251" s="79"/>
      <c r="AQ251" s="75"/>
      <c r="AR251" s="75"/>
      <c r="AS251" s="75"/>
      <c r="AT251" s="75"/>
      <c r="AU251" s="75"/>
      <c r="AV251" s="13"/>
      <c r="AW251" s="13"/>
      <c r="AX251" s="13"/>
      <c r="AY251" s="13"/>
      <c r="AZ251" s="13"/>
      <c r="BA251" s="105"/>
      <c r="BB251" s="13"/>
      <c r="BC251" s="13"/>
      <c r="BD251" s="13"/>
      <c r="BE251" s="13"/>
      <c r="BF251" s="88"/>
      <c r="BG251" s="88"/>
      <c r="BH251" s="88"/>
      <c r="BI251" s="88"/>
      <c r="BJ251" s="88"/>
      <c r="BK251" s="105"/>
      <c r="BL251" s="105"/>
      <c r="BM251" s="105"/>
      <c r="BN251" s="105"/>
      <c r="BO251" s="105"/>
      <c r="BP251" s="105"/>
      <c r="BQ251" s="79"/>
      <c r="BR251" s="79"/>
      <c r="BS251" s="79"/>
      <c r="BT251" s="79"/>
      <c r="BU251" s="79"/>
      <c r="BV251" s="90"/>
      <c r="BW251" s="106"/>
      <c r="BX251" s="106"/>
      <c r="BY251" s="106"/>
      <c r="BZ251" s="106"/>
      <c r="CA251" s="106"/>
    </row>
    <row r="252" spans="1:79" x14ac:dyDescent="0.35">
      <c r="A252" s="25" t="s">
        <v>265</v>
      </c>
      <c r="B252" s="10" t="s">
        <v>337</v>
      </c>
      <c r="C252" s="10" t="s">
        <v>341</v>
      </c>
      <c r="D252" s="10" t="s">
        <v>346</v>
      </c>
      <c r="E252" s="11">
        <v>45871</v>
      </c>
      <c r="F252" s="17">
        <v>45892</v>
      </c>
      <c r="G252" s="14">
        <f t="shared" ca="1" si="67"/>
        <v>207</v>
      </c>
      <c r="H252" s="17">
        <v>699</v>
      </c>
      <c r="I252" s="17">
        <v>335</v>
      </c>
      <c r="J252" s="75">
        <f t="shared" si="68"/>
        <v>798</v>
      </c>
      <c r="K252" s="17">
        <v>1000</v>
      </c>
      <c r="L252" s="85">
        <v>202</v>
      </c>
      <c r="M252" s="86">
        <f t="shared" ca="1" si="69"/>
        <v>0.97584541062801933</v>
      </c>
      <c r="N252" s="86">
        <f t="shared" si="70"/>
        <v>0.92883099285538351</v>
      </c>
      <c r="O252" s="86">
        <f t="shared" si="71"/>
        <v>0.61585365853658536</v>
      </c>
      <c r="P252" s="87">
        <f t="shared" si="72"/>
        <v>50.5</v>
      </c>
      <c r="Q252" s="104">
        <f t="shared" si="73"/>
        <v>15.801980198019802</v>
      </c>
      <c r="R252" s="88">
        <f t="shared" si="74"/>
        <v>52.074391988555078</v>
      </c>
      <c r="S252" s="88">
        <f t="shared" si="75"/>
        <v>20.200000000000003</v>
      </c>
      <c r="T252" s="13">
        <f t="shared" si="76"/>
        <v>1</v>
      </c>
      <c r="U252" s="13">
        <f t="shared" si="77"/>
        <v>1</v>
      </c>
      <c r="V252" s="13">
        <f t="shared" si="78"/>
        <v>2</v>
      </c>
      <c r="W252" s="13">
        <f t="shared" ca="1" si="79"/>
        <v>3</v>
      </c>
      <c r="X252" s="13">
        <f t="shared" ca="1" si="80"/>
        <v>7</v>
      </c>
      <c r="Y252" s="81" t="str">
        <f t="shared" ca="1" si="81"/>
        <v>MONITOR</v>
      </c>
      <c r="Z252" s="13">
        <v>14</v>
      </c>
      <c r="AA252" s="75">
        <v>46059</v>
      </c>
      <c r="AB252" s="75">
        <f t="shared" si="82"/>
        <v>45920</v>
      </c>
      <c r="AC252" s="88">
        <f t="shared" si="83"/>
        <v>19.857142857142858</v>
      </c>
      <c r="AD252" s="89" t="str">
        <f t="shared" ca="1" si="84"/>
        <v>STABLE</v>
      </c>
      <c r="AE252" s="89" t="str">
        <f t="shared" si="88"/>
        <v>SLOW SELLING</v>
      </c>
      <c r="AF252" s="89" t="str">
        <f t="shared" si="85"/>
        <v>AT RISK</v>
      </c>
      <c r="AG252" s="89" t="str">
        <f t="shared" si="86"/>
        <v>FEASIBLE</v>
      </c>
      <c r="AH252" s="81" t="str">
        <f t="shared" ca="1" si="87"/>
        <v>MONITOR</v>
      </c>
      <c r="AI252" s="75"/>
      <c r="AJ252" s="75"/>
      <c r="AK252" s="13"/>
      <c r="AL252" s="79"/>
      <c r="AM252" s="79"/>
      <c r="AN252" s="79"/>
      <c r="AO252" s="79"/>
      <c r="AP252" s="79"/>
      <c r="AQ252" s="75"/>
      <c r="AR252" s="75"/>
      <c r="AS252" s="75"/>
      <c r="AT252" s="75"/>
      <c r="AU252" s="75"/>
      <c r="AV252" s="13"/>
      <c r="AW252" s="13"/>
      <c r="AX252" s="13"/>
      <c r="AY252" s="13"/>
      <c r="AZ252" s="13"/>
      <c r="BA252" s="105"/>
      <c r="BB252" s="13"/>
      <c r="BC252" s="13"/>
      <c r="BD252" s="13"/>
      <c r="BE252" s="13"/>
      <c r="BF252" s="88"/>
      <c r="BG252" s="88"/>
      <c r="BH252" s="88"/>
      <c r="BI252" s="88"/>
      <c r="BJ252" s="88"/>
      <c r="BK252" s="105"/>
      <c r="BL252" s="105"/>
      <c r="BM252" s="105"/>
      <c r="BN252" s="105"/>
      <c r="BO252" s="105"/>
      <c r="BP252" s="105"/>
      <c r="BQ252" s="79"/>
      <c r="BR252" s="79"/>
      <c r="BS252" s="79"/>
      <c r="BT252" s="79"/>
      <c r="BU252" s="79"/>
      <c r="BV252" s="90"/>
      <c r="BW252" s="106"/>
      <c r="BX252" s="106"/>
      <c r="BY252" s="106"/>
      <c r="BZ252" s="106"/>
      <c r="CA252" s="106"/>
    </row>
    <row r="253" spans="1:79" x14ac:dyDescent="0.35">
      <c r="A253" s="25" t="s">
        <v>266</v>
      </c>
      <c r="B253" s="10" t="s">
        <v>336</v>
      </c>
      <c r="C253" s="10" t="s">
        <v>341</v>
      </c>
      <c r="D253" s="10" t="s">
        <v>346</v>
      </c>
      <c r="E253" s="11">
        <v>45871</v>
      </c>
      <c r="F253" s="17">
        <v>45892</v>
      </c>
      <c r="G253" s="14">
        <f t="shared" ca="1" si="67"/>
        <v>207</v>
      </c>
      <c r="H253" s="17">
        <v>699</v>
      </c>
      <c r="I253" s="17">
        <v>300</v>
      </c>
      <c r="J253" s="75">
        <f t="shared" si="68"/>
        <v>1240</v>
      </c>
      <c r="K253" s="17">
        <v>1400</v>
      </c>
      <c r="L253" s="85">
        <v>160</v>
      </c>
      <c r="M253" s="86">
        <f t="shared" ca="1" si="69"/>
        <v>0.77294685990338163</v>
      </c>
      <c r="N253" s="86">
        <f t="shared" si="70"/>
        <v>0.92883099285538351</v>
      </c>
      <c r="O253" s="86">
        <f t="shared" si="71"/>
        <v>0.48780487804878048</v>
      </c>
      <c r="P253" s="87">
        <f t="shared" si="72"/>
        <v>40</v>
      </c>
      <c r="Q253" s="104">
        <f t="shared" si="73"/>
        <v>31</v>
      </c>
      <c r="R253" s="88">
        <f t="shared" si="74"/>
        <v>57.081545064377679</v>
      </c>
      <c r="S253" s="88">
        <f t="shared" si="75"/>
        <v>11.428571428571429</v>
      </c>
      <c r="T253" s="13">
        <f t="shared" si="76"/>
        <v>1</v>
      </c>
      <c r="U253" s="13">
        <f t="shared" si="77"/>
        <v>1</v>
      </c>
      <c r="V253" s="13">
        <f t="shared" si="78"/>
        <v>2</v>
      </c>
      <c r="W253" s="13">
        <f t="shared" ca="1" si="79"/>
        <v>3</v>
      </c>
      <c r="X253" s="13">
        <f t="shared" ca="1" si="80"/>
        <v>7</v>
      </c>
      <c r="Y253" s="81" t="str">
        <f t="shared" ca="1" si="81"/>
        <v>MONITOR</v>
      </c>
      <c r="Z253" s="13">
        <v>14</v>
      </c>
      <c r="AA253" s="75">
        <v>46059</v>
      </c>
      <c r="AB253" s="75">
        <f t="shared" si="82"/>
        <v>45920</v>
      </c>
      <c r="AC253" s="88">
        <f t="shared" si="83"/>
        <v>19.857142857142858</v>
      </c>
      <c r="AD253" s="89" t="str">
        <f t="shared" ca="1" si="84"/>
        <v>STABLE</v>
      </c>
      <c r="AE253" s="89" t="str">
        <f t="shared" si="88"/>
        <v>SLOW SELLING</v>
      </c>
      <c r="AF253" s="89" t="str">
        <f t="shared" si="85"/>
        <v>AT RISK</v>
      </c>
      <c r="AG253" s="89" t="str">
        <f t="shared" si="86"/>
        <v>FEASIBLE</v>
      </c>
      <c r="AH253" s="81" t="str">
        <f t="shared" ca="1" si="87"/>
        <v>MONITOR</v>
      </c>
      <c r="AI253" s="75"/>
      <c r="AJ253" s="75"/>
      <c r="AK253" s="13"/>
      <c r="AL253" s="79"/>
      <c r="AM253" s="79"/>
      <c r="AN253" s="79"/>
      <c r="AO253" s="79"/>
      <c r="AP253" s="79"/>
      <c r="AQ253" s="75"/>
      <c r="AR253" s="75"/>
      <c r="AS253" s="75"/>
      <c r="AT253" s="75"/>
      <c r="AU253" s="75"/>
      <c r="AV253" s="13"/>
      <c r="AW253" s="13"/>
      <c r="AX253" s="13"/>
      <c r="AY253" s="13"/>
      <c r="AZ253" s="13"/>
      <c r="BA253" s="105"/>
      <c r="BB253" s="13"/>
      <c r="BC253" s="13"/>
      <c r="BD253" s="13"/>
      <c r="BE253" s="13"/>
      <c r="BF253" s="88"/>
      <c r="BG253" s="88"/>
      <c r="BH253" s="88"/>
      <c r="BI253" s="88"/>
      <c r="BJ253" s="88"/>
      <c r="BK253" s="105"/>
      <c r="BL253" s="105"/>
      <c r="BM253" s="105"/>
      <c r="BN253" s="105"/>
      <c r="BO253" s="105"/>
      <c r="BP253" s="105"/>
      <c r="BQ253" s="79"/>
      <c r="BR253" s="79"/>
      <c r="BS253" s="79"/>
      <c r="BT253" s="79"/>
      <c r="BU253" s="79"/>
      <c r="BV253" s="90"/>
      <c r="BW253" s="106"/>
      <c r="BX253" s="106"/>
      <c r="BY253" s="106"/>
      <c r="BZ253" s="106"/>
      <c r="CA253" s="106"/>
    </row>
    <row r="254" spans="1:79" x14ac:dyDescent="0.35">
      <c r="A254" s="25" t="s">
        <v>267</v>
      </c>
      <c r="B254" s="10" t="s">
        <v>336</v>
      </c>
      <c r="C254" s="10" t="s">
        <v>341</v>
      </c>
      <c r="D254" s="10" t="s">
        <v>346</v>
      </c>
      <c r="E254" s="11">
        <v>45871</v>
      </c>
      <c r="F254" s="17">
        <v>45892</v>
      </c>
      <c r="G254" s="14">
        <f t="shared" ca="1" si="67"/>
        <v>207</v>
      </c>
      <c r="H254" s="17">
        <v>699</v>
      </c>
      <c r="I254" s="17">
        <v>320</v>
      </c>
      <c r="J254" s="75">
        <f t="shared" si="68"/>
        <v>1122</v>
      </c>
      <c r="K254" s="17">
        <v>1300</v>
      </c>
      <c r="L254" s="85">
        <v>178</v>
      </c>
      <c r="M254" s="86">
        <f t="shared" ca="1" si="69"/>
        <v>0.85990338164251212</v>
      </c>
      <c r="N254" s="86">
        <f t="shared" si="70"/>
        <v>0.92883099285538351</v>
      </c>
      <c r="O254" s="86">
        <f t="shared" si="71"/>
        <v>0.54268292682926833</v>
      </c>
      <c r="P254" s="87">
        <f t="shared" si="72"/>
        <v>44.5</v>
      </c>
      <c r="Q254" s="104">
        <f t="shared" si="73"/>
        <v>25.213483146067414</v>
      </c>
      <c r="R254" s="88">
        <f t="shared" si="74"/>
        <v>54.220314735336196</v>
      </c>
      <c r="S254" s="88">
        <f t="shared" si="75"/>
        <v>13.692307692307693</v>
      </c>
      <c r="T254" s="13">
        <f t="shared" si="76"/>
        <v>1</v>
      </c>
      <c r="U254" s="13">
        <f t="shared" si="77"/>
        <v>1</v>
      </c>
      <c r="V254" s="13">
        <f t="shared" si="78"/>
        <v>2</v>
      </c>
      <c r="W254" s="13">
        <f t="shared" ca="1" si="79"/>
        <v>3</v>
      </c>
      <c r="X254" s="13">
        <f t="shared" ca="1" si="80"/>
        <v>7</v>
      </c>
      <c r="Y254" s="81" t="str">
        <f t="shared" ca="1" si="81"/>
        <v>MONITOR</v>
      </c>
      <c r="Z254" s="13">
        <v>14</v>
      </c>
      <c r="AA254" s="75">
        <v>46059</v>
      </c>
      <c r="AB254" s="75">
        <f t="shared" si="82"/>
        <v>45920</v>
      </c>
      <c r="AC254" s="88">
        <f t="shared" si="83"/>
        <v>19.857142857142858</v>
      </c>
      <c r="AD254" s="89" t="str">
        <f t="shared" ca="1" si="84"/>
        <v>STABLE</v>
      </c>
      <c r="AE254" s="89" t="str">
        <f t="shared" si="88"/>
        <v>SLOW SELLING</v>
      </c>
      <c r="AF254" s="89" t="str">
        <f t="shared" si="85"/>
        <v>AT RISK</v>
      </c>
      <c r="AG254" s="89" t="str">
        <f t="shared" si="86"/>
        <v>FEASIBLE</v>
      </c>
      <c r="AH254" s="81" t="str">
        <f t="shared" ca="1" si="87"/>
        <v>MONITOR</v>
      </c>
      <c r="AI254" s="75"/>
      <c r="AJ254" s="75"/>
      <c r="AK254" s="13"/>
      <c r="AL254" s="79"/>
      <c r="AM254" s="79"/>
      <c r="AN254" s="79"/>
      <c r="AO254" s="79"/>
      <c r="AP254" s="79"/>
      <c r="AQ254" s="75"/>
      <c r="AR254" s="75"/>
      <c r="AS254" s="75"/>
      <c r="AT254" s="75"/>
      <c r="AU254" s="75"/>
      <c r="AV254" s="13"/>
      <c r="AW254" s="13"/>
      <c r="AX254" s="13"/>
      <c r="AY254" s="13"/>
      <c r="AZ254" s="13"/>
      <c r="BA254" s="105"/>
      <c r="BB254" s="13"/>
      <c r="BC254" s="13"/>
      <c r="BD254" s="13"/>
      <c r="BE254" s="13"/>
      <c r="BF254" s="88"/>
      <c r="BG254" s="88"/>
      <c r="BH254" s="88"/>
      <c r="BI254" s="88"/>
      <c r="BJ254" s="88"/>
      <c r="BK254" s="105"/>
      <c r="BL254" s="105"/>
      <c r="BM254" s="105"/>
      <c r="BN254" s="105"/>
      <c r="BO254" s="105"/>
      <c r="BP254" s="105"/>
      <c r="BQ254" s="79"/>
      <c r="BR254" s="79"/>
      <c r="BS254" s="79"/>
      <c r="BT254" s="79"/>
      <c r="BU254" s="79"/>
      <c r="BV254" s="90"/>
      <c r="BW254" s="106"/>
      <c r="BX254" s="106"/>
      <c r="BY254" s="106"/>
      <c r="BZ254" s="106"/>
      <c r="CA254" s="106"/>
    </row>
    <row r="255" spans="1:79" x14ac:dyDescent="0.35">
      <c r="A255" s="25" t="s">
        <v>268</v>
      </c>
      <c r="B255" s="10" t="s">
        <v>336</v>
      </c>
      <c r="C255" s="10" t="s">
        <v>341</v>
      </c>
      <c r="D255" s="10" t="s">
        <v>346</v>
      </c>
      <c r="E255" s="11">
        <v>45920</v>
      </c>
      <c r="F255" s="17">
        <v>45892</v>
      </c>
      <c r="G255" s="14">
        <f t="shared" ca="1" si="67"/>
        <v>207</v>
      </c>
      <c r="H255" s="17">
        <v>699</v>
      </c>
      <c r="I255" s="17">
        <v>320</v>
      </c>
      <c r="J255" s="75">
        <f t="shared" si="68"/>
        <v>1215</v>
      </c>
      <c r="K255" s="17">
        <v>1300</v>
      </c>
      <c r="L255" s="85">
        <v>85</v>
      </c>
      <c r="M255" s="86">
        <f t="shared" ca="1" si="69"/>
        <v>0.41062801932367149</v>
      </c>
      <c r="N255" s="86">
        <f t="shared" si="70"/>
        <v>0.92883099285538351</v>
      </c>
      <c r="O255" s="86">
        <f t="shared" si="71"/>
        <v>0.25914634146341464</v>
      </c>
      <c r="P255" s="87">
        <f t="shared" si="72"/>
        <v>21.25</v>
      </c>
      <c r="Q255" s="104">
        <f t="shared" si="73"/>
        <v>57.176470588235297</v>
      </c>
      <c r="R255" s="88">
        <f t="shared" si="74"/>
        <v>54.220314735336196</v>
      </c>
      <c r="S255" s="88">
        <f t="shared" si="75"/>
        <v>6.5384615384615392</v>
      </c>
      <c r="T255" s="13">
        <f t="shared" si="76"/>
        <v>1</v>
      </c>
      <c r="U255" s="13">
        <f t="shared" si="77"/>
        <v>1</v>
      </c>
      <c r="V255" s="13">
        <f t="shared" si="78"/>
        <v>2</v>
      </c>
      <c r="W255" s="13">
        <f t="shared" ca="1" si="79"/>
        <v>3</v>
      </c>
      <c r="X255" s="13">
        <f t="shared" ca="1" si="80"/>
        <v>7</v>
      </c>
      <c r="Y255" s="81" t="str">
        <f t="shared" ca="1" si="81"/>
        <v>MONITOR</v>
      </c>
      <c r="Z255" s="13">
        <v>14</v>
      </c>
      <c r="AA255" s="75">
        <v>46059</v>
      </c>
      <c r="AB255" s="75">
        <f t="shared" si="82"/>
        <v>45920</v>
      </c>
      <c r="AC255" s="88">
        <f t="shared" si="83"/>
        <v>19.857142857142858</v>
      </c>
      <c r="AD255" s="89" t="str">
        <f t="shared" ca="1" si="84"/>
        <v>STABLE</v>
      </c>
      <c r="AE255" s="89" t="str">
        <f t="shared" si="88"/>
        <v>SLOW SELLING</v>
      </c>
      <c r="AF255" s="89" t="str">
        <f t="shared" si="85"/>
        <v>AT RISK</v>
      </c>
      <c r="AG255" s="89" t="str">
        <f t="shared" si="86"/>
        <v>FEASIBLE</v>
      </c>
      <c r="AH255" s="81" t="str">
        <f t="shared" ca="1" si="87"/>
        <v>MONITOR</v>
      </c>
      <c r="AI255" s="75"/>
      <c r="AJ255" s="75"/>
      <c r="AK255" s="13"/>
      <c r="AL255" s="79"/>
      <c r="AM255" s="79"/>
      <c r="AN255" s="79"/>
      <c r="AO255" s="79"/>
      <c r="AP255" s="79"/>
      <c r="AQ255" s="75"/>
      <c r="AR255" s="75"/>
      <c r="AS255" s="75"/>
      <c r="AT255" s="75"/>
      <c r="AU255" s="75"/>
      <c r="AV255" s="13"/>
      <c r="AW255" s="13"/>
      <c r="AX255" s="13"/>
      <c r="AY255" s="13"/>
      <c r="AZ255" s="13"/>
      <c r="BA255" s="105"/>
      <c r="BB255" s="13"/>
      <c r="BC255" s="13"/>
      <c r="BD255" s="13"/>
      <c r="BE255" s="13"/>
      <c r="BF255" s="88"/>
      <c r="BG255" s="88"/>
      <c r="BH255" s="88"/>
      <c r="BI255" s="88"/>
      <c r="BJ255" s="88"/>
      <c r="BK255" s="105"/>
      <c r="BL255" s="105"/>
      <c r="BM255" s="105"/>
      <c r="BN255" s="105"/>
      <c r="BO255" s="105"/>
      <c r="BP255" s="105"/>
      <c r="BQ255" s="79"/>
      <c r="BR255" s="79"/>
      <c r="BS255" s="79"/>
      <c r="BT255" s="79"/>
      <c r="BU255" s="79"/>
      <c r="BV255" s="90"/>
      <c r="BW255" s="106"/>
      <c r="BX255" s="106"/>
      <c r="BY255" s="106"/>
      <c r="BZ255" s="106"/>
      <c r="CA255" s="106"/>
    </row>
    <row r="256" spans="1:79" x14ac:dyDescent="0.35">
      <c r="A256" s="25" t="s">
        <v>269</v>
      </c>
      <c r="B256" s="10" t="s">
        <v>335</v>
      </c>
      <c r="C256" s="10" t="s">
        <v>341</v>
      </c>
      <c r="D256" s="10" t="s">
        <v>346</v>
      </c>
      <c r="E256" s="11">
        <v>45920</v>
      </c>
      <c r="F256" s="17">
        <v>45892</v>
      </c>
      <c r="G256" s="14">
        <f t="shared" ca="1" si="67"/>
        <v>207</v>
      </c>
      <c r="H256" s="17">
        <v>799</v>
      </c>
      <c r="I256" s="17">
        <v>325</v>
      </c>
      <c r="J256" s="75">
        <f t="shared" si="68"/>
        <v>947</v>
      </c>
      <c r="K256" s="17">
        <v>1050</v>
      </c>
      <c r="L256" s="85">
        <v>103</v>
      </c>
      <c r="M256" s="86">
        <f t="shared" ca="1" si="69"/>
        <v>0.49758454106280192</v>
      </c>
      <c r="N256" s="86">
        <f t="shared" si="70"/>
        <v>0.92883099285538351</v>
      </c>
      <c r="O256" s="86">
        <f t="shared" si="71"/>
        <v>0.31402439024390244</v>
      </c>
      <c r="P256" s="87">
        <f t="shared" si="72"/>
        <v>25.75</v>
      </c>
      <c r="Q256" s="104">
        <f t="shared" si="73"/>
        <v>36.776699029126213</v>
      </c>
      <c r="R256" s="88">
        <f t="shared" si="74"/>
        <v>59.324155193992489</v>
      </c>
      <c r="S256" s="88">
        <f t="shared" si="75"/>
        <v>9.8095238095238102</v>
      </c>
      <c r="T256" s="13">
        <f t="shared" si="76"/>
        <v>1</v>
      </c>
      <c r="U256" s="13">
        <f t="shared" si="77"/>
        <v>1</v>
      </c>
      <c r="V256" s="13">
        <f t="shared" si="78"/>
        <v>2</v>
      </c>
      <c r="W256" s="13">
        <f t="shared" ca="1" si="79"/>
        <v>3</v>
      </c>
      <c r="X256" s="13">
        <f t="shared" ca="1" si="80"/>
        <v>7</v>
      </c>
      <c r="Y256" s="81" t="str">
        <f t="shared" ca="1" si="81"/>
        <v>MONITOR</v>
      </c>
      <c r="Z256" s="13">
        <v>14</v>
      </c>
      <c r="AA256" s="75">
        <v>46059</v>
      </c>
      <c r="AB256" s="75">
        <f t="shared" si="82"/>
        <v>45920</v>
      </c>
      <c r="AC256" s="88">
        <f t="shared" si="83"/>
        <v>19.857142857142858</v>
      </c>
      <c r="AD256" s="89" t="str">
        <f t="shared" ca="1" si="84"/>
        <v>STABLE</v>
      </c>
      <c r="AE256" s="89" t="str">
        <f t="shared" si="88"/>
        <v>SLOW SELLING</v>
      </c>
      <c r="AF256" s="89" t="str">
        <f t="shared" si="85"/>
        <v>AT RISK</v>
      </c>
      <c r="AG256" s="89" t="str">
        <f t="shared" si="86"/>
        <v>FEASIBLE</v>
      </c>
      <c r="AH256" s="81" t="str">
        <f t="shared" ca="1" si="87"/>
        <v>MONITOR</v>
      </c>
      <c r="AI256" s="75"/>
      <c r="AJ256" s="75"/>
      <c r="AK256" s="13"/>
      <c r="AL256" s="79"/>
      <c r="AM256" s="79"/>
      <c r="AN256" s="79"/>
      <c r="AO256" s="79"/>
      <c r="AP256" s="79"/>
      <c r="AQ256" s="75"/>
      <c r="AR256" s="75"/>
      <c r="AS256" s="75"/>
      <c r="AT256" s="75"/>
      <c r="AU256" s="75"/>
      <c r="AV256" s="13"/>
      <c r="AW256" s="13"/>
      <c r="AX256" s="13"/>
      <c r="AY256" s="13"/>
      <c r="AZ256" s="13"/>
      <c r="BA256" s="105"/>
      <c r="BB256" s="13"/>
      <c r="BC256" s="13"/>
      <c r="BD256" s="13"/>
      <c r="BE256" s="13"/>
      <c r="BF256" s="88"/>
      <c r="BG256" s="88"/>
      <c r="BH256" s="88"/>
      <c r="BI256" s="88"/>
      <c r="BJ256" s="88"/>
      <c r="BK256" s="105"/>
      <c r="BL256" s="105"/>
      <c r="BM256" s="105"/>
      <c r="BN256" s="105"/>
      <c r="BO256" s="105"/>
      <c r="BP256" s="105"/>
      <c r="BQ256" s="79"/>
      <c r="BR256" s="79"/>
      <c r="BS256" s="79"/>
      <c r="BT256" s="79"/>
      <c r="BU256" s="79"/>
      <c r="BV256" s="90"/>
      <c r="BW256" s="106"/>
      <c r="BX256" s="106"/>
      <c r="BY256" s="106"/>
      <c r="BZ256" s="106"/>
      <c r="CA256" s="106"/>
    </row>
    <row r="257" spans="1:79" x14ac:dyDescent="0.35">
      <c r="A257" s="25" t="s">
        <v>270</v>
      </c>
      <c r="B257" s="10" t="s">
        <v>335</v>
      </c>
      <c r="C257" s="10" t="s">
        <v>341</v>
      </c>
      <c r="D257" s="10" t="s">
        <v>346</v>
      </c>
      <c r="E257" s="11">
        <v>45920</v>
      </c>
      <c r="F257" s="17">
        <v>45892</v>
      </c>
      <c r="G257" s="14">
        <f t="shared" ca="1" si="67"/>
        <v>207</v>
      </c>
      <c r="H257" s="17">
        <v>799</v>
      </c>
      <c r="I257" s="17">
        <v>325</v>
      </c>
      <c r="J257" s="75">
        <f t="shared" si="68"/>
        <v>923</v>
      </c>
      <c r="K257" s="17">
        <v>1050</v>
      </c>
      <c r="L257" s="85">
        <v>127</v>
      </c>
      <c r="M257" s="86">
        <f t="shared" ca="1" si="69"/>
        <v>0.61352657004830913</v>
      </c>
      <c r="N257" s="86">
        <f t="shared" si="70"/>
        <v>0.92883099285538351</v>
      </c>
      <c r="O257" s="86">
        <f t="shared" si="71"/>
        <v>0.38719512195121952</v>
      </c>
      <c r="P257" s="87">
        <f t="shared" si="72"/>
        <v>31.75</v>
      </c>
      <c r="Q257" s="104">
        <f t="shared" si="73"/>
        <v>29.070866141732285</v>
      </c>
      <c r="R257" s="88">
        <f t="shared" si="74"/>
        <v>59.324155193992489</v>
      </c>
      <c r="S257" s="88">
        <f t="shared" si="75"/>
        <v>12.095238095238095</v>
      </c>
      <c r="T257" s="13">
        <f t="shared" si="76"/>
        <v>1</v>
      </c>
      <c r="U257" s="13">
        <f t="shared" si="77"/>
        <v>1</v>
      </c>
      <c r="V257" s="13">
        <f t="shared" si="78"/>
        <v>2</v>
      </c>
      <c r="W257" s="13">
        <f t="shared" ca="1" si="79"/>
        <v>3</v>
      </c>
      <c r="X257" s="13">
        <f t="shared" ca="1" si="80"/>
        <v>7</v>
      </c>
      <c r="Y257" s="81" t="str">
        <f t="shared" ca="1" si="81"/>
        <v>MONITOR</v>
      </c>
      <c r="Z257" s="13">
        <v>14</v>
      </c>
      <c r="AA257" s="75">
        <v>46059</v>
      </c>
      <c r="AB257" s="75">
        <f t="shared" si="82"/>
        <v>45920</v>
      </c>
      <c r="AC257" s="88">
        <f t="shared" si="83"/>
        <v>19.857142857142858</v>
      </c>
      <c r="AD257" s="89" t="str">
        <f t="shared" ca="1" si="84"/>
        <v>STABLE</v>
      </c>
      <c r="AE257" s="89" t="str">
        <f t="shared" si="88"/>
        <v>SLOW SELLING</v>
      </c>
      <c r="AF257" s="89" t="str">
        <f t="shared" si="85"/>
        <v>AT RISK</v>
      </c>
      <c r="AG257" s="89" t="str">
        <f t="shared" si="86"/>
        <v>FEASIBLE</v>
      </c>
      <c r="AH257" s="81" t="str">
        <f t="shared" ca="1" si="87"/>
        <v>MONITOR</v>
      </c>
      <c r="AI257" s="75"/>
      <c r="AJ257" s="75"/>
      <c r="AK257" s="13"/>
      <c r="AL257" s="79"/>
      <c r="AM257" s="79"/>
      <c r="AN257" s="79"/>
      <c r="AO257" s="79"/>
      <c r="AP257" s="79"/>
      <c r="AQ257" s="75"/>
      <c r="AR257" s="75"/>
      <c r="AS257" s="75"/>
      <c r="AT257" s="75"/>
      <c r="AU257" s="75"/>
      <c r="AV257" s="13"/>
      <c r="AW257" s="13"/>
      <c r="AX257" s="13"/>
      <c r="AY257" s="13"/>
      <c r="AZ257" s="13"/>
      <c r="BA257" s="105"/>
      <c r="BB257" s="13"/>
      <c r="BC257" s="13"/>
      <c r="BD257" s="13"/>
      <c r="BE257" s="13"/>
      <c r="BF257" s="88"/>
      <c r="BG257" s="88"/>
      <c r="BH257" s="88"/>
      <c r="BI257" s="88"/>
      <c r="BJ257" s="88"/>
      <c r="BK257" s="105"/>
      <c r="BL257" s="105"/>
      <c r="BM257" s="105"/>
      <c r="BN257" s="105"/>
      <c r="BO257" s="105"/>
      <c r="BP257" s="105"/>
      <c r="BQ257" s="79"/>
      <c r="BR257" s="79"/>
      <c r="BS257" s="79"/>
      <c r="BT257" s="79"/>
      <c r="BU257" s="79"/>
      <c r="BV257" s="90"/>
      <c r="BW257" s="106"/>
      <c r="BX257" s="106"/>
      <c r="BY257" s="106"/>
      <c r="BZ257" s="106"/>
      <c r="CA257" s="106"/>
    </row>
    <row r="258" spans="1:79" x14ac:dyDescent="0.35">
      <c r="A258" s="25" t="s">
        <v>271</v>
      </c>
      <c r="B258" s="10" t="s">
        <v>335</v>
      </c>
      <c r="C258" s="10" t="s">
        <v>341</v>
      </c>
      <c r="D258" s="10" t="s">
        <v>346</v>
      </c>
      <c r="E258" s="11">
        <v>45920</v>
      </c>
      <c r="F258" s="17">
        <v>45892</v>
      </c>
      <c r="G258" s="14">
        <f t="shared" ca="1" si="67"/>
        <v>207</v>
      </c>
      <c r="H258" s="17">
        <v>799</v>
      </c>
      <c r="I258" s="17">
        <v>325</v>
      </c>
      <c r="J258" s="75">
        <f t="shared" si="68"/>
        <v>1050</v>
      </c>
      <c r="K258" s="17">
        <v>1050</v>
      </c>
      <c r="L258" s="89">
        <v>0</v>
      </c>
      <c r="M258" s="86">
        <f t="shared" ca="1" si="69"/>
        <v>0</v>
      </c>
      <c r="N258" s="86">
        <f t="shared" si="70"/>
        <v>0.92883099285538351</v>
      </c>
      <c r="O258" s="86">
        <f t="shared" si="71"/>
        <v>0</v>
      </c>
      <c r="P258" s="87">
        <f t="shared" si="72"/>
        <v>0</v>
      </c>
      <c r="Q258" s="104" t="e">
        <f t="shared" si="73"/>
        <v>#DIV/0!</v>
      </c>
      <c r="R258" s="88">
        <f t="shared" si="74"/>
        <v>59.324155193992489</v>
      </c>
      <c r="S258" s="88">
        <f t="shared" si="75"/>
        <v>0</v>
      </c>
      <c r="T258" s="13">
        <f t="shared" si="76"/>
        <v>1</v>
      </c>
      <c r="U258" s="13" t="e">
        <f t="shared" si="77"/>
        <v>#DIV/0!</v>
      </c>
      <c r="V258" s="13">
        <f t="shared" si="78"/>
        <v>2</v>
      </c>
      <c r="W258" s="13">
        <f t="shared" ca="1" si="79"/>
        <v>3</v>
      </c>
      <c r="X258" s="13" t="e">
        <f t="shared" ca="1" si="80"/>
        <v>#DIV/0!</v>
      </c>
      <c r="Y258" s="81" t="str">
        <f t="shared" ca="1" si="81"/>
        <v>EXIT</v>
      </c>
      <c r="Z258" s="13">
        <v>14</v>
      </c>
      <c r="AA258" s="75">
        <v>46059</v>
      </c>
      <c r="AB258" s="75">
        <f t="shared" si="82"/>
        <v>45920</v>
      </c>
      <c r="AC258" s="88">
        <f t="shared" si="83"/>
        <v>19.857142857142858</v>
      </c>
      <c r="AD258" s="89" t="str">
        <f t="shared" ca="1" si="84"/>
        <v>STABLE</v>
      </c>
      <c r="AE258" s="89" t="str">
        <f t="shared" si="88"/>
        <v>SLOW SELLING</v>
      </c>
      <c r="AF258" s="89" t="e">
        <f t="shared" si="85"/>
        <v>#DIV/0!</v>
      </c>
      <c r="AG258" s="89" t="str">
        <f t="shared" si="86"/>
        <v>FEASIBLE</v>
      </c>
      <c r="AH258" s="81" t="str">
        <f t="shared" ca="1" si="87"/>
        <v>MONITOR</v>
      </c>
      <c r="AI258" s="75"/>
      <c r="AJ258" s="75"/>
      <c r="AK258" s="13"/>
      <c r="AL258" s="79"/>
      <c r="AM258" s="79"/>
      <c r="AN258" s="79"/>
      <c r="AO258" s="79"/>
      <c r="AP258" s="79"/>
      <c r="AQ258" s="75"/>
      <c r="AR258" s="75"/>
      <c r="AS258" s="75"/>
      <c r="AT258" s="75"/>
      <c r="AU258" s="75"/>
      <c r="AV258" s="13"/>
      <c r="AW258" s="13"/>
      <c r="AX258" s="13"/>
      <c r="AY258" s="13"/>
      <c r="AZ258" s="13"/>
      <c r="BA258" s="105"/>
      <c r="BB258" s="13"/>
      <c r="BC258" s="13"/>
      <c r="BD258" s="13"/>
      <c r="BE258" s="13"/>
      <c r="BF258" s="88"/>
      <c r="BG258" s="88"/>
      <c r="BH258" s="88"/>
      <c r="BI258" s="88"/>
      <c r="BJ258" s="88"/>
      <c r="BK258" s="105"/>
      <c r="BL258" s="105"/>
      <c r="BM258" s="105"/>
      <c r="BN258" s="105"/>
      <c r="BO258" s="105"/>
      <c r="BP258" s="105"/>
      <c r="BQ258" s="79"/>
      <c r="BR258" s="79"/>
      <c r="BS258" s="79"/>
      <c r="BT258" s="79"/>
      <c r="BU258" s="79"/>
      <c r="BV258" s="90"/>
      <c r="BW258" s="106"/>
      <c r="BX258" s="106"/>
      <c r="BY258" s="106"/>
      <c r="BZ258" s="106"/>
      <c r="CA258" s="106"/>
    </row>
    <row r="259" spans="1:79" x14ac:dyDescent="0.35">
      <c r="A259" s="25" t="s">
        <v>272</v>
      </c>
      <c r="B259" s="10" t="s">
        <v>335</v>
      </c>
      <c r="C259" s="10" t="s">
        <v>341</v>
      </c>
      <c r="D259" s="10" t="s">
        <v>346</v>
      </c>
      <c r="E259" s="11">
        <v>45920</v>
      </c>
      <c r="F259" s="17">
        <v>45892</v>
      </c>
      <c r="G259" s="14">
        <f t="shared" ref="G259:G300" ca="1" si="89">TODAY()-F259</f>
        <v>207</v>
      </c>
      <c r="H259" s="17">
        <v>799</v>
      </c>
      <c r="I259" s="17">
        <v>325</v>
      </c>
      <c r="J259" s="75">
        <f t="shared" ref="J259:J300" si="90">K259-L259</f>
        <v>1050</v>
      </c>
      <c r="K259" s="17">
        <v>1050</v>
      </c>
      <c r="L259" s="89">
        <v>0</v>
      </c>
      <c r="M259" s="86">
        <f t="shared" ref="M259:M300" ca="1" si="91">L259/G259</f>
        <v>0</v>
      </c>
      <c r="N259" s="86">
        <f t="shared" ref="N259:N300" si="92">AVERAGEIFS(O:O,C:C,C259)</f>
        <v>0.92883099285538351</v>
      </c>
      <c r="O259" s="86">
        <f t="shared" ref="O259:O300" si="93">L259/328</f>
        <v>0</v>
      </c>
      <c r="P259" s="87">
        <f t="shared" ref="P259:P300" si="94">O259*82</f>
        <v>0</v>
      </c>
      <c r="Q259" s="104" t="e">
        <f t="shared" ref="Q259:Q300" si="95">J259/P259</f>
        <v>#DIV/0!</v>
      </c>
      <c r="R259" s="88">
        <f t="shared" ref="R259:R300" si="96">(H259-I259)/H259*100</f>
        <v>59.324155193992489</v>
      </c>
      <c r="S259" s="88">
        <f t="shared" ref="S259:S299" si="97">L259/K259*100</f>
        <v>0</v>
      </c>
      <c r="T259" s="13">
        <f t="shared" ref="T259:T300" si="98">IF(O259&gt;=N259,3,IF(O259&gt;=0.8*N259,2,1))</f>
        <v>1</v>
      </c>
      <c r="U259" s="13" t="e">
        <f t="shared" ref="U259:U300" si="99">IF(Q259&lt;=4,3,IF(Q259&lt;=6,2,1))</f>
        <v>#DIV/0!</v>
      </c>
      <c r="V259" s="13">
        <f t="shared" ref="V259:V300" si="100">IF(R259&gt;=60,3,IF(R259&gt;=45,2,1))</f>
        <v>2</v>
      </c>
      <c r="W259" s="13">
        <f t="shared" ref="W259:W300" ca="1" si="101">IF(M259&lt;=10,3,IF(M259&lt;=25,2,1))</f>
        <v>3</v>
      </c>
      <c r="X259" s="13" t="e">
        <f t="shared" ref="X259:X300" ca="1" si="102">T259+U259+V259+W259</f>
        <v>#DIV/0!</v>
      </c>
      <c r="Y259" s="81" t="str">
        <f t="shared" ref="Y259:Y300" ca="1" si="103">IFERROR(IF(X259&gt;=9,"RE-BUY",IF(X259&gt;=6,"MONITOR","EXIT")),"EXIT")</f>
        <v>EXIT</v>
      </c>
      <c r="Z259" s="13">
        <v>14</v>
      </c>
      <c r="AA259" s="75">
        <v>46059</v>
      </c>
      <c r="AB259" s="75">
        <f t="shared" ref="AB259:AB300" si="104">F259+28</f>
        <v>45920</v>
      </c>
      <c r="AC259" s="88">
        <f t="shared" ref="AC259:AC300" si="105">(AA259-AB259)/7</f>
        <v>19.857142857142858</v>
      </c>
      <c r="AD259" s="89" t="str">
        <f t="shared" ref="AD259:AD300" ca="1" si="106">IF(G259&gt;=21,"STABLE","TOO EARLY")</f>
        <v>STABLE</v>
      </c>
      <c r="AE259" s="89" t="str">
        <f t="shared" si="88"/>
        <v>SLOW SELLING</v>
      </c>
      <c r="AF259" s="89" t="e">
        <f t="shared" ref="AF259:AF300" si="107">IF(U259&lt;=Z259,"AT RISK","SAFE")</f>
        <v>#DIV/0!</v>
      </c>
      <c r="AG259" s="89" t="str">
        <f t="shared" ref="AG259:AG300" si="108">IF(Z259&lt;=AC259,"FEASIBLE","NOT FEASIBLE")</f>
        <v>FEASIBLE</v>
      </c>
      <c r="AH259" s="81" t="str">
        <f t="shared" ref="AH259:AH300" ca="1" si="109">IF(AND(Y259="RE-BUY",AD259="STABLE",AE259="FAST SELLING",AG259="FEASIBLE"),"IMMEDIATE REBUY","MONITOR")</f>
        <v>MONITOR</v>
      </c>
      <c r="AI259" s="75"/>
      <c r="AJ259" s="75"/>
      <c r="AK259" s="13"/>
      <c r="AL259" s="79"/>
      <c r="AM259" s="79"/>
      <c r="AN259" s="79"/>
      <c r="AO259" s="79"/>
      <c r="AP259" s="79"/>
      <c r="AQ259" s="75"/>
      <c r="AR259" s="75"/>
      <c r="AS259" s="75"/>
      <c r="AT259" s="75"/>
      <c r="AU259" s="75"/>
      <c r="AV259" s="13"/>
      <c r="AW259" s="13"/>
      <c r="AX259" s="13"/>
      <c r="AY259" s="13"/>
      <c r="AZ259" s="13"/>
      <c r="BA259" s="105"/>
      <c r="BB259" s="13"/>
      <c r="BC259" s="13"/>
      <c r="BD259" s="13"/>
      <c r="BE259" s="13"/>
      <c r="BF259" s="88"/>
      <c r="BG259" s="88"/>
      <c r="BH259" s="88"/>
      <c r="BI259" s="88"/>
      <c r="BJ259" s="88"/>
      <c r="BK259" s="105"/>
      <c r="BL259" s="105"/>
      <c r="BM259" s="105"/>
      <c r="BN259" s="105"/>
      <c r="BO259" s="105"/>
      <c r="BP259" s="105"/>
      <c r="BQ259" s="79"/>
      <c r="BR259" s="79"/>
      <c r="BS259" s="79"/>
      <c r="BT259" s="79"/>
      <c r="BU259" s="79"/>
      <c r="BV259" s="90"/>
      <c r="BW259" s="106"/>
      <c r="BX259" s="106"/>
      <c r="BY259" s="106"/>
      <c r="BZ259" s="106"/>
      <c r="CA259" s="106"/>
    </row>
    <row r="260" spans="1:79" x14ac:dyDescent="0.35">
      <c r="A260" s="25" t="s">
        <v>273</v>
      </c>
      <c r="B260" s="10" t="s">
        <v>335</v>
      </c>
      <c r="C260" s="10" t="s">
        <v>343</v>
      </c>
      <c r="D260" s="10" t="s">
        <v>346</v>
      </c>
      <c r="E260" s="11">
        <v>45920</v>
      </c>
      <c r="F260" s="17">
        <v>45892</v>
      </c>
      <c r="G260" s="14">
        <f t="shared" ca="1" si="89"/>
        <v>207</v>
      </c>
      <c r="H260" s="17">
        <v>799</v>
      </c>
      <c r="I260" s="17">
        <v>355</v>
      </c>
      <c r="J260" s="75">
        <f t="shared" si="90"/>
        <v>648</v>
      </c>
      <c r="K260" s="17">
        <v>750</v>
      </c>
      <c r="L260" s="85">
        <v>102</v>
      </c>
      <c r="M260" s="86">
        <f t="shared" ca="1" si="91"/>
        <v>0.49275362318840582</v>
      </c>
      <c r="N260" s="86">
        <f t="shared" si="92"/>
        <v>0.56143292682926838</v>
      </c>
      <c r="O260" s="86">
        <f t="shared" si="93"/>
        <v>0.31097560975609756</v>
      </c>
      <c r="P260" s="87">
        <f t="shared" si="94"/>
        <v>25.5</v>
      </c>
      <c r="Q260" s="104">
        <f t="shared" si="95"/>
        <v>25.411764705882351</v>
      </c>
      <c r="R260" s="88">
        <f t="shared" si="96"/>
        <v>55.569461827284108</v>
      </c>
      <c r="S260" s="88">
        <f t="shared" si="97"/>
        <v>13.600000000000001</v>
      </c>
      <c r="T260" s="13">
        <f t="shared" si="98"/>
        <v>1</v>
      </c>
      <c r="U260" s="13">
        <f t="shared" si="99"/>
        <v>1</v>
      </c>
      <c r="V260" s="13">
        <f t="shared" si="100"/>
        <v>2</v>
      </c>
      <c r="W260" s="13">
        <f t="shared" ca="1" si="101"/>
        <v>3</v>
      </c>
      <c r="X260" s="13">
        <f t="shared" ca="1" si="102"/>
        <v>7</v>
      </c>
      <c r="Y260" s="81" t="str">
        <f t="shared" ca="1" si="103"/>
        <v>MONITOR</v>
      </c>
      <c r="Z260" s="13">
        <v>14</v>
      </c>
      <c r="AA260" s="75">
        <v>46059</v>
      </c>
      <c r="AB260" s="75">
        <f t="shared" si="104"/>
        <v>45920</v>
      </c>
      <c r="AC260" s="88">
        <f t="shared" si="105"/>
        <v>19.857142857142858</v>
      </c>
      <c r="AD260" s="89" t="str">
        <f t="shared" ca="1" si="106"/>
        <v>STABLE</v>
      </c>
      <c r="AE260" s="89" t="str">
        <f t="shared" si="88"/>
        <v>SLOW SELLING</v>
      </c>
      <c r="AF260" s="89" t="str">
        <f t="shared" si="107"/>
        <v>AT RISK</v>
      </c>
      <c r="AG260" s="89" t="str">
        <f t="shared" si="108"/>
        <v>FEASIBLE</v>
      </c>
      <c r="AH260" s="81" t="str">
        <f t="shared" ca="1" si="109"/>
        <v>MONITOR</v>
      </c>
      <c r="AI260" s="75"/>
      <c r="AJ260" s="75"/>
      <c r="AK260" s="13"/>
      <c r="AL260" s="79"/>
      <c r="AM260" s="79"/>
      <c r="AN260" s="79"/>
      <c r="AO260" s="79"/>
      <c r="AP260" s="79"/>
      <c r="AQ260" s="75"/>
      <c r="AR260" s="75"/>
      <c r="AS260" s="75"/>
      <c r="AT260" s="75"/>
      <c r="AU260" s="75"/>
      <c r="AV260" s="13"/>
      <c r="AW260" s="13"/>
      <c r="AX260" s="13"/>
      <c r="AY260" s="13"/>
      <c r="AZ260" s="13"/>
      <c r="BA260" s="105"/>
      <c r="BB260" s="13"/>
      <c r="BC260" s="13"/>
      <c r="BD260" s="13"/>
      <c r="BE260" s="13"/>
      <c r="BF260" s="88"/>
      <c r="BG260" s="88"/>
      <c r="BH260" s="88"/>
      <c r="BI260" s="88"/>
      <c r="BJ260" s="88"/>
      <c r="BK260" s="105"/>
      <c r="BL260" s="105"/>
      <c r="BM260" s="105"/>
      <c r="BN260" s="105"/>
      <c r="BO260" s="105"/>
      <c r="BP260" s="105"/>
      <c r="BQ260" s="79"/>
      <c r="BR260" s="79"/>
      <c r="BS260" s="79"/>
      <c r="BT260" s="79"/>
      <c r="BU260" s="79"/>
      <c r="BV260" s="90"/>
      <c r="BW260" s="106"/>
      <c r="BX260" s="106"/>
      <c r="BY260" s="106"/>
      <c r="BZ260" s="106"/>
      <c r="CA260" s="106"/>
    </row>
    <row r="261" spans="1:79" x14ac:dyDescent="0.35">
      <c r="A261" s="25" t="s">
        <v>274</v>
      </c>
      <c r="B261" s="10" t="s">
        <v>335</v>
      </c>
      <c r="C261" s="10" t="s">
        <v>343</v>
      </c>
      <c r="D261" s="10" t="s">
        <v>346</v>
      </c>
      <c r="E261" s="11">
        <v>45920</v>
      </c>
      <c r="F261" s="17">
        <v>45892</v>
      </c>
      <c r="G261" s="14">
        <f t="shared" ca="1" si="89"/>
        <v>207</v>
      </c>
      <c r="H261" s="17">
        <v>799</v>
      </c>
      <c r="I261" s="17">
        <v>355</v>
      </c>
      <c r="J261" s="75">
        <f t="shared" si="90"/>
        <v>694</v>
      </c>
      <c r="K261" s="17">
        <v>750</v>
      </c>
      <c r="L261" s="85">
        <v>56</v>
      </c>
      <c r="M261" s="86">
        <f t="shared" ca="1" si="91"/>
        <v>0.27053140096618356</v>
      </c>
      <c r="N261" s="86">
        <f t="shared" si="92"/>
        <v>0.56143292682926838</v>
      </c>
      <c r="O261" s="86">
        <f t="shared" si="93"/>
        <v>0.17073170731707318</v>
      </c>
      <c r="P261" s="87">
        <f t="shared" si="94"/>
        <v>14.000000000000002</v>
      </c>
      <c r="Q261" s="104">
        <f t="shared" si="95"/>
        <v>49.571428571428562</v>
      </c>
      <c r="R261" s="88">
        <f t="shared" si="96"/>
        <v>55.569461827284108</v>
      </c>
      <c r="S261" s="88">
        <f t="shared" si="97"/>
        <v>7.4666666666666677</v>
      </c>
      <c r="T261" s="13">
        <f t="shared" si="98"/>
        <v>1</v>
      </c>
      <c r="U261" s="13">
        <f t="shared" si="99"/>
        <v>1</v>
      </c>
      <c r="V261" s="13">
        <f t="shared" si="100"/>
        <v>2</v>
      </c>
      <c r="W261" s="13">
        <f t="shared" ca="1" si="101"/>
        <v>3</v>
      </c>
      <c r="X261" s="13">
        <f t="shared" ca="1" si="102"/>
        <v>7</v>
      </c>
      <c r="Y261" s="81" t="str">
        <f t="shared" ca="1" si="103"/>
        <v>MONITOR</v>
      </c>
      <c r="Z261" s="13">
        <v>14</v>
      </c>
      <c r="AA261" s="75">
        <v>46059</v>
      </c>
      <c r="AB261" s="75">
        <f t="shared" si="104"/>
        <v>45920</v>
      </c>
      <c r="AC261" s="88">
        <f t="shared" si="105"/>
        <v>19.857142857142858</v>
      </c>
      <c r="AD261" s="89" t="str">
        <f t="shared" ca="1" si="106"/>
        <v>STABLE</v>
      </c>
      <c r="AE261" s="89" t="str">
        <f t="shared" si="88"/>
        <v>SLOW SELLING</v>
      </c>
      <c r="AF261" s="89" t="str">
        <f t="shared" si="107"/>
        <v>AT RISK</v>
      </c>
      <c r="AG261" s="89" t="str">
        <f t="shared" si="108"/>
        <v>FEASIBLE</v>
      </c>
      <c r="AH261" s="81" t="str">
        <f t="shared" ca="1" si="109"/>
        <v>MONITOR</v>
      </c>
      <c r="AI261" s="75"/>
      <c r="AJ261" s="75"/>
      <c r="AK261" s="13"/>
      <c r="AL261" s="79"/>
      <c r="AM261" s="79"/>
      <c r="AN261" s="79"/>
      <c r="AO261" s="79"/>
      <c r="AP261" s="79"/>
      <c r="AQ261" s="75"/>
      <c r="AR261" s="75"/>
      <c r="AS261" s="75"/>
      <c r="AT261" s="75"/>
      <c r="AU261" s="75"/>
      <c r="AV261" s="13"/>
      <c r="AW261" s="13"/>
      <c r="AX261" s="13"/>
      <c r="AY261" s="13"/>
      <c r="AZ261" s="13"/>
      <c r="BA261" s="105"/>
      <c r="BB261" s="13"/>
      <c r="BC261" s="13"/>
      <c r="BD261" s="13"/>
      <c r="BE261" s="13"/>
      <c r="BF261" s="88"/>
      <c r="BG261" s="88"/>
      <c r="BH261" s="88"/>
      <c r="BI261" s="88"/>
      <c r="BJ261" s="88"/>
      <c r="BK261" s="105"/>
      <c r="BL261" s="105"/>
      <c r="BM261" s="105"/>
      <c r="BN261" s="105"/>
      <c r="BO261" s="105"/>
      <c r="BP261" s="105"/>
      <c r="BQ261" s="79"/>
      <c r="BR261" s="79"/>
      <c r="BS261" s="79"/>
      <c r="BT261" s="79"/>
      <c r="BU261" s="79"/>
      <c r="BV261" s="90"/>
      <c r="BW261" s="106"/>
      <c r="BX261" s="106"/>
      <c r="BY261" s="106"/>
      <c r="BZ261" s="106"/>
      <c r="CA261" s="106"/>
    </row>
    <row r="262" spans="1:79" x14ac:dyDescent="0.35">
      <c r="A262" s="25" t="s">
        <v>275</v>
      </c>
      <c r="B262" s="10" t="s">
        <v>335</v>
      </c>
      <c r="C262" s="10" t="s">
        <v>343</v>
      </c>
      <c r="D262" s="10" t="s">
        <v>346</v>
      </c>
      <c r="E262" s="11">
        <v>45941</v>
      </c>
      <c r="F262" s="17">
        <v>45892</v>
      </c>
      <c r="G262" s="14">
        <f t="shared" ca="1" si="89"/>
        <v>207</v>
      </c>
      <c r="H262" s="17">
        <v>599</v>
      </c>
      <c r="I262" s="17">
        <v>280</v>
      </c>
      <c r="J262" s="75">
        <f t="shared" si="90"/>
        <v>671</v>
      </c>
      <c r="K262" s="17">
        <v>750</v>
      </c>
      <c r="L262" s="85">
        <v>79</v>
      </c>
      <c r="M262" s="86">
        <f t="shared" ca="1" si="91"/>
        <v>0.38164251207729466</v>
      </c>
      <c r="N262" s="86">
        <f t="shared" si="92"/>
        <v>0.56143292682926838</v>
      </c>
      <c r="O262" s="86">
        <f t="shared" si="93"/>
        <v>0.24085365853658536</v>
      </c>
      <c r="P262" s="87">
        <f t="shared" si="94"/>
        <v>19.75</v>
      </c>
      <c r="Q262" s="104">
        <f t="shared" si="95"/>
        <v>33.974683544303801</v>
      </c>
      <c r="R262" s="88">
        <f t="shared" si="96"/>
        <v>53.255425709515855</v>
      </c>
      <c r="S262" s="88">
        <f t="shared" si="97"/>
        <v>10.533333333333333</v>
      </c>
      <c r="T262" s="13">
        <f t="shared" si="98"/>
        <v>1</v>
      </c>
      <c r="U262" s="13">
        <f t="shared" si="99"/>
        <v>1</v>
      </c>
      <c r="V262" s="13">
        <f t="shared" si="100"/>
        <v>2</v>
      </c>
      <c r="W262" s="13">
        <f t="shared" ca="1" si="101"/>
        <v>3</v>
      </c>
      <c r="X262" s="13">
        <f t="shared" ca="1" si="102"/>
        <v>7</v>
      </c>
      <c r="Y262" s="81" t="str">
        <f t="shared" ca="1" si="103"/>
        <v>MONITOR</v>
      </c>
      <c r="Z262" s="13">
        <v>14</v>
      </c>
      <c r="AA262" s="75">
        <v>46059</v>
      </c>
      <c r="AB262" s="75">
        <f t="shared" si="104"/>
        <v>45920</v>
      </c>
      <c r="AC262" s="88">
        <f t="shared" si="105"/>
        <v>19.857142857142858</v>
      </c>
      <c r="AD262" s="89" t="str">
        <f t="shared" ca="1" si="106"/>
        <v>STABLE</v>
      </c>
      <c r="AE262" s="89" t="str">
        <f t="shared" si="88"/>
        <v>SLOW SELLING</v>
      </c>
      <c r="AF262" s="89" t="str">
        <f t="shared" si="107"/>
        <v>AT RISK</v>
      </c>
      <c r="AG262" s="89" t="str">
        <f t="shared" si="108"/>
        <v>FEASIBLE</v>
      </c>
      <c r="AH262" s="81" t="str">
        <f t="shared" ca="1" si="109"/>
        <v>MONITOR</v>
      </c>
      <c r="AI262" s="75"/>
      <c r="AJ262" s="75"/>
      <c r="AK262" s="13"/>
      <c r="AL262" s="79"/>
      <c r="AM262" s="79"/>
      <c r="AN262" s="79"/>
      <c r="AO262" s="79"/>
      <c r="AP262" s="79"/>
      <c r="AQ262" s="75"/>
      <c r="AR262" s="75"/>
      <c r="AS262" s="75"/>
      <c r="AT262" s="75"/>
      <c r="AU262" s="75"/>
      <c r="AV262" s="13"/>
      <c r="AW262" s="13"/>
      <c r="AX262" s="13"/>
      <c r="AY262" s="13"/>
      <c r="AZ262" s="13"/>
      <c r="BA262" s="105"/>
      <c r="BB262" s="13"/>
      <c r="BC262" s="13"/>
      <c r="BD262" s="13"/>
      <c r="BE262" s="13"/>
      <c r="BF262" s="88"/>
      <c r="BG262" s="88"/>
      <c r="BH262" s="88"/>
      <c r="BI262" s="88"/>
      <c r="BJ262" s="88"/>
      <c r="BK262" s="105"/>
      <c r="BL262" s="105"/>
      <c r="BM262" s="105"/>
      <c r="BN262" s="105"/>
      <c r="BO262" s="105"/>
      <c r="BP262" s="105"/>
      <c r="BQ262" s="79"/>
      <c r="BR262" s="79"/>
      <c r="BS262" s="79"/>
      <c r="BT262" s="79"/>
      <c r="BU262" s="79"/>
      <c r="BV262" s="90"/>
      <c r="BW262" s="106"/>
      <c r="BX262" s="106"/>
      <c r="BY262" s="106"/>
      <c r="BZ262" s="106"/>
      <c r="CA262" s="106"/>
    </row>
    <row r="263" spans="1:79" x14ac:dyDescent="0.35">
      <c r="A263" s="25" t="s">
        <v>276</v>
      </c>
      <c r="B263" s="10" t="s">
        <v>335</v>
      </c>
      <c r="C263" s="10" t="s">
        <v>343</v>
      </c>
      <c r="D263" s="10" t="s">
        <v>346</v>
      </c>
      <c r="E263" s="11">
        <v>45864</v>
      </c>
      <c r="F263" s="17">
        <v>45892</v>
      </c>
      <c r="G263" s="14">
        <f t="shared" ca="1" si="89"/>
        <v>207</v>
      </c>
      <c r="H263" s="17">
        <v>499</v>
      </c>
      <c r="I263" s="17">
        <v>275</v>
      </c>
      <c r="J263" s="75">
        <f t="shared" si="90"/>
        <v>669</v>
      </c>
      <c r="K263" s="17">
        <v>800</v>
      </c>
      <c r="L263" s="85">
        <v>131</v>
      </c>
      <c r="M263" s="86">
        <f t="shared" ca="1" si="91"/>
        <v>0.63285024154589375</v>
      </c>
      <c r="N263" s="86">
        <f t="shared" si="92"/>
        <v>0.56143292682926838</v>
      </c>
      <c r="O263" s="86">
        <f t="shared" si="93"/>
        <v>0.39939024390243905</v>
      </c>
      <c r="P263" s="87">
        <f t="shared" si="94"/>
        <v>32.75</v>
      </c>
      <c r="Q263" s="104">
        <f t="shared" si="95"/>
        <v>20.427480916030536</v>
      </c>
      <c r="R263" s="88">
        <f t="shared" si="96"/>
        <v>44.889779559118239</v>
      </c>
      <c r="S263" s="88">
        <f t="shared" si="97"/>
        <v>16.375</v>
      </c>
      <c r="T263" s="13">
        <f t="shared" si="98"/>
        <v>1</v>
      </c>
      <c r="U263" s="13">
        <f t="shared" si="99"/>
        <v>1</v>
      </c>
      <c r="V263" s="13">
        <f t="shared" si="100"/>
        <v>1</v>
      </c>
      <c r="W263" s="13">
        <f t="shared" ca="1" si="101"/>
        <v>3</v>
      </c>
      <c r="X263" s="13">
        <f t="shared" ca="1" si="102"/>
        <v>6</v>
      </c>
      <c r="Y263" s="81" t="str">
        <f t="shared" ca="1" si="103"/>
        <v>MONITOR</v>
      </c>
      <c r="Z263" s="13">
        <v>14</v>
      </c>
      <c r="AA263" s="75">
        <v>46059</v>
      </c>
      <c r="AB263" s="75">
        <f t="shared" si="104"/>
        <v>45920</v>
      </c>
      <c r="AC263" s="88">
        <f t="shared" si="105"/>
        <v>19.857142857142858</v>
      </c>
      <c r="AD263" s="89" t="str">
        <f t="shared" ca="1" si="106"/>
        <v>STABLE</v>
      </c>
      <c r="AE263" s="89" t="str">
        <f t="shared" si="88"/>
        <v>SLOW SELLING</v>
      </c>
      <c r="AF263" s="89" t="str">
        <f t="shared" si="107"/>
        <v>AT RISK</v>
      </c>
      <c r="AG263" s="89" t="str">
        <f t="shared" si="108"/>
        <v>FEASIBLE</v>
      </c>
      <c r="AH263" s="81" t="str">
        <f t="shared" ca="1" si="109"/>
        <v>MONITOR</v>
      </c>
      <c r="AI263" s="75"/>
      <c r="AJ263" s="75"/>
      <c r="AK263" s="13"/>
      <c r="AL263" s="79"/>
      <c r="AM263" s="79"/>
      <c r="AN263" s="79"/>
      <c r="AO263" s="79"/>
      <c r="AP263" s="79"/>
      <c r="AQ263" s="75"/>
      <c r="AR263" s="75"/>
      <c r="AS263" s="75"/>
      <c r="AT263" s="75"/>
      <c r="AU263" s="75"/>
      <c r="AV263" s="13"/>
      <c r="AW263" s="13"/>
      <c r="AX263" s="13"/>
      <c r="AY263" s="13"/>
      <c r="AZ263" s="13"/>
      <c r="BA263" s="105"/>
      <c r="BB263" s="13"/>
      <c r="BC263" s="13"/>
      <c r="BD263" s="13"/>
      <c r="BE263" s="13"/>
      <c r="BF263" s="88"/>
      <c r="BG263" s="88"/>
      <c r="BH263" s="88"/>
      <c r="BI263" s="88"/>
      <c r="BJ263" s="88"/>
      <c r="BK263" s="105"/>
      <c r="BL263" s="105"/>
      <c r="BM263" s="105"/>
      <c r="BN263" s="105"/>
      <c r="BO263" s="105"/>
      <c r="BP263" s="105"/>
      <c r="BQ263" s="79"/>
      <c r="BR263" s="79"/>
      <c r="BS263" s="79"/>
      <c r="BT263" s="79"/>
      <c r="BU263" s="79"/>
      <c r="BV263" s="90"/>
      <c r="BW263" s="106"/>
      <c r="BX263" s="106"/>
      <c r="BY263" s="106"/>
      <c r="BZ263" s="106"/>
      <c r="CA263" s="106"/>
    </row>
    <row r="264" spans="1:79" x14ac:dyDescent="0.35">
      <c r="A264" s="25" t="s">
        <v>277</v>
      </c>
      <c r="B264" s="10" t="s">
        <v>335</v>
      </c>
      <c r="C264" s="10" t="s">
        <v>343</v>
      </c>
      <c r="D264" s="10" t="s">
        <v>346</v>
      </c>
      <c r="E264" s="11">
        <v>45864</v>
      </c>
      <c r="F264" s="17">
        <v>45892</v>
      </c>
      <c r="G264" s="14">
        <f t="shared" ca="1" si="89"/>
        <v>207</v>
      </c>
      <c r="H264" s="17">
        <v>499</v>
      </c>
      <c r="I264" s="17">
        <v>275</v>
      </c>
      <c r="J264" s="75">
        <f t="shared" si="90"/>
        <v>654</v>
      </c>
      <c r="K264" s="17">
        <v>800</v>
      </c>
      <c r="L264" s="85">
        <v>146</v>
      </c>
      <c r="M264" s="86">
        <f t="shared" ca="1" si="91"/>
        <v>0.70531400966183577</v>
      </c>
      <c r="N264" s="86">
        <f t="shared" si="92"/>
        <v>0.56143292682926838</v>
      </c>
      <c r="O264" s="86">
        <f t="shared" si="93"/>
        <v>0.4451219512195122</v>
      </c>
      <c r="P264" s="87">
        <f t="shared" si="94"/>
        <v>36.5</v>
      </c>
      <c r="Q264" s="104">
        <f t="shared" si="95"/>
        <v>17.917808219178081</v>
      </c>
      <c r="R264" s="88">
        <f t="shared" si="96"/>
        <v>44.889779559118239</v>
      </c>
      <c r="S264" s="88">
        <f t="shared" si="97"/>
        <v>18.25</v>
      </c>
      <c r="T264" s="13">
        <f t="shared" si="98"/>
        <v>1</v>
      </c>
      <c r="U264" s="13">
        <f t="shared" si="99"/>
        <v>1</v>
      </c>
      <c r="V264" s="13">
        <f t="shared" si="100"/>
        <v>1</v>
      </c>
      <c r="W264" s="13">
        <f t="shared" ca="1" si="101"/>
        <v>3</v>
      </c>
      <c r="X264" s="13">
        <f t="shared" ca="1" si="102"/>
        <v>6</v>
      </c>
      <c r="Y264" s="81" t="str">
        <f t="shared" ca="1" si="103"/>
        <v>MONITOR</v>
      </c>
      <c r="Z264" s="13">
        <v>14</v>
      </c>
      <c r="AA264" s="75">
        <v>46059</v>
      </c>
      <c r="AB264" s="75">
        <f t="shared" si="104"/>
        <v>45920</v>
      </c>
      <c r="AC264" s="88">
        <f t="shared" si="105"/>
        <v>19.857142857142858</v>
      </c>
      <c r="AD264" s="89" t="str">
        <f t="shared" ca="1" si="106"/>
        <v>STABLE</v>
      </c>
      <c r="AE264" s="89" t="str">
        <f t="shared" si="88"/>
        <v>SLOW SELLING</v>
      </c>
      <c r="AF264" s="89" t="str">
        <f t="shared" si="107"/>
        <v>AT RISK</v>
      </c>
      <c r="AG264" s="89" t="str">
        <f t="shared" si="108"/>
        <v>FEASIBLE</v>
      </c>
      <c r="AH264" s="81" t="str">
        <f t="shared" ca="1" si="109"/>
        <v>MONITOR</v>
      </c>
      <c r="AI264" s="75"/>
      <c r="AJ264" s="75"/>
      <c r="AK264" s="13"/>
      <c r="AL264" s="79"/>
      <c r="AM264" s="79"/>
      <c r="AN264" s="79"/>
      <c r="AO264" s="79"/>
      <c r="AP264" s="79"/>
      <c r="AQ264" s="75"/>
      <c r="AR264" s="75"/>
      <c r="AS264" s="75"/>
      <c r="AT264" s="75"/>
      <c r="AU264" s="75"/>
      <c r="AV264" s="13"/>
      <c r="AW264" s="13"/>
      <c r="AX264" s="13"/>
      <c r="AY264" s="13"/>
      <c r="AZ264" s="13"/>
      <c r="BA264" s="105"/>
      <c r="BB264" s="13"/>
      <c r="BC264" s="13"/>
      <c r="BD264" s="13"/>
      <c r="BE264" s="13"/>
      <c r="BF264" s="88"/>
      <c r="BG264" s="88"/>
      <c r="BH264" s="88"/>
      <c r="BI264" s="88"/>
      <c r="BJ264" s="88"/>
      <c r="BK264" s="105"/>
      <c r="BL264" s="105"/>
      <c r="BM264" s="105"/>
      <c r="BN264" s="105"/>
      <c r="BO264" s="105"/>
      <c r="BP264" s="105"/>
      <c r="BQ264" s="79"/>
      <c r="BR264" s="79"/>
      <c r="BS264" s="79"/>
      <c r="BT264" s="79"/>
      <c r="BU264" s="79"/>
      <c r="BV264" s="90"/>
      <c r="BW264" s="106"/>
      <c r="BX264" s="106"/>
      <c r="BY264" s="106"/>
      <c r="BZ264" s="106"/>
      <c r="CA264" s="106"/>
    </row>
    <row r="265" spans="1:79" x14ac:dyDescent="0.35">
      <c r="A265" s="25" t="s">
        <v>278</v>
      </c>
      <c r="B265" s="10" t="s">
        <v>335</v>
      </c>
      <c r="C265" s="10" t="s">
        <v>343</v>
      </c>
      <c r="D265" s="10" t="s">
        <v>346</v>
      </c>
      <c r="E265" s="11">
        <v>45864</v>
      </c>
      <c r="F265" s="17">
        <v>45892</v>
      </c>
      <c r="G265" s="14">
        <f t="shared" ca="1" si="89"/>
        <v>207</v>
      </c>
      <c r="H265" s="17">
        <v>499</v>
      </c>
      <c r="I265" s="17">
        <v>275</v>
      </c>
      <c r="J265" s="75">
        <f t="shared" si="90"/>
        <v>608</v>
      </c>
      <c r="K265" s="17">
        <v>800</v>
      </c>
      <c r="L265" s="85">
        <v>192</v>
      </c>
      <c r="M265" s="86">
        <f t="shared" ca="1" si="91"/>
        <v>0.92753623188405798</v>
      </c>
      <c r="N265" s="86">
        <f t="shared" si="92"/>
        <v>0.56143292682926838</v>
      </c>
      <c r="O265" s="86">
        <f t="shared" si="93"/>
        <v>0.58536585365853655</v>
      </c>
      <c r="P265" s="87">
        <f t="shared" si="94"/>
        <v>48</v>
      </c>
      <c r="Q265" s="104">
        <f t="shared" si="95"/>
        <v>12.666666666666666</v>
      </c>
      <c r="R265" s="88">
        <f t="shared" si="96"/>
        <v>44.889779559118239</v>
      </c>
      <c r="S265" s="88">
        <f t="shared" si="97"/>
        <v>24</v>
      </c>
      <c r="T265" s="13">
        <f t="shared" si="98"/>
        <v>3</v>
      </c>
      <c r="U265" s="13">
        <f t="shared" si="99"/>
        <v>1</v>
      </c>
      <c r="V265" s="13">
        <f t="shared" si="100"/>
        <v>1</v>
      </c>
      <c r="W265" s="13">
        <f t="shared" ca="1" si="101"/>
        <v>3</v>
      </c>
      <c r="X265" s="13">
        <f t="shared" ca="1" si="102"/>
        <v>8</v>
      </c>
      <c r="Y265" s="81" t="str">
        <f t="shared" ca="1" si="103"/>
        <v>MONITOR</v>
      </c>
      <c r="Z265" s="13">
        <v>14</v>
      </c>
      <c r="AA265" s="75">
        <v>46059</v>
      </c>
      <c r="AB265" s="75">
        <f t="shared" si="104"/>
        <v>45920</v>
      </c>
      <c r="AC265" s="88">
        <f t="shared" si="105"/>
        <v>19.857142857142858</v>
      </c>
      <c r="AD265" s="89" t="str">
        <f t="shared" ca="1" si="106"/>
        <v>STABLE</v>
      </c>
      <c r="AE265" s="89" t="str">
        <f t="shared" si="88"/>
        <v>FAST SELLING</v>
      </c>
      <c r="AF265" s="89" t="str">
        <f t="shared" si="107"/>
        <v>AT RISK</v>
      </c>
      <c r="AG265" s="89" t="str">
        <f t="shared" si="108"/>
        <v>FEASIBLE</v>
      </c>
      <c r="AH265" s="81" t="str">
        <f t="shared" ca="1" si="109"/>
        <v>MONITOR</v>
      </c>
      <c r="AI265" s="75"/>
      <c r="AJ265" s="75"/>
      <c r="AK265" s="13"/>
      <c r="AL265" s="79"/>
      <c r="AM265" s="79"/>
      <c r="AN265" s="79"/>
      <c r="AO265" s="79"/>
      <c r="AP265" s="79"/>
      <c r="AQ265" s="75"/>
      <c r="AR265" s="75"/>
      <c r="AS265" s="75"/>
      <c r="AT265" s="75"/>
      <c r="AU265" s="75"/>
      <c r="AV265" s="13"/>
      <c r="AW265" s="13"/>
      <c r="AX265" s="13"/>
      <c r="AY265" s="13"/>
      <c r="AZ265" s="13"/>
      <c r="BA265" s="105"/>
      <c r="BB265" s="13"/>
      <c r="BC265" s="13"/>
      <c r="BD265" s="13"/>
      <c r="BE265" s="13"/>
      <c r="BF265" s="88"/>
      <c r="BG265" s="88"/>
      <c r="BH265" s="88"/>
      <c r="BI265" s="88"/>
      <c r="BJ265" s="88"/>
      <c r="BK265" s="105"/>
      <c r="BL265" s="105"/>
      <c r="BM265" s="105"/>
      <c r="BN265" s="105"/>
      <c r="BO265" s="105"/>
      <c r="BP265" s="105"/>
      <c r="BQ265" s="79"/>
      <c r="BR265" s="79"/>
      <c r="BS265" s="79"/>
      <c r="BT265" s="79"/>
      <c r="BU265" s="79"/>
      <c r="BV265" s="90"/>
      <c r="BW265" s="106"/>
      <c r="BX265" s="106"/>
      <c r="BY265" s="106"/>
      <c r="BZ265" s="106"/>
      <c r="CA265" s="106"/>
    </row>
    <row r="266" spans="1:79" x14ac:dyDescent="0.35">
      <c r="A266" s="25" t="s">
        <v>279</v>
      </c>
      <c r="B266" s="10" t="s">
        <v>335</v>
      </c>
      <c r="C266" s="10" t="s">
        <v>343</v>
      </c>
      <c r="D266" s="10" t="s">
        <v>346</v>
      </c>
      <c r="E266" s="11">
        <v>45864</v>
      </c>
      <c r="F266" s="17">
        <v>45892</v>
      </c>
      <c r="G266" s="14">
        <f t="shared" ca="1" si="89"/>
        <v>207</v>
      </c>
      <c r="H266" s="17">
        <v>499</v>
      </c>
      <c r="I266" s="17">
        <v>275</v>
      </c>
      <c r="J266" s="75">
        <f t="shared" si="90"/>
        <v>697</v>
      </c>
      <c r="K266" s="17">
        <v>800</v>
      </c>
      <c r="L266" s="85">
        <v>103</v>
      </c>
      <c r="M266" s="86">
        <f t="shared" ca="1" si="91"/>
        <v>0.49758454106280192</v>
      </c>
      <c r="N266" s="86">
        <f t="shared" si="92"/>
        <v>0.56143292682926838</v>
      </c>
      <c r="O266" s="86">
        <f t="shared" si="93"/>
        <v>0.31402439024390244</v>
      </c>
      <c r="P266" s="87">
        <f t="shared" si="94"/>
        <v>25.75</v>
      </c>
      <c r="Q266" s="104">
        <f t="shared" si="95"/>
        <v>27.067961165048544</v>
      </c>
      <c r="R266" s="88">
        <f t="shared" si="96"/>
        <v>44.889779559118239</v>
      </c>
      <c r="S266" s="88">
        <f t="shared" si="97"/>
        <v>12.875</v>
      </c>
      <c r="T266" s="13">
        <f t="shared" si="98"/>
        <v>1</v>
      </c>
      <c r="U266" s="13">
        <f t="shared" si="99"/>
        <v>1</v>
      </c>
      <c r="V266" s="13">
        <f t="shared" si="100"/>
        <v>1</v>
      </c>
      <c r="W266" s="13">
        <f t="shared" ca="1" si="101"/>
        <v>3</v>
      </c>
      <c r="X266" s="13">
        <f t="shared" ca="1" si="102"/>
        <v>6</v>
      </c>
      <c r="Y266" s="81" t="str">
        <f t="shared" ca="1" si="103"/>
        <v>MONITOR</v>
      </c>
      <c r="Z266" s="13">
        <v>14</v>
      </c>
      <c r="AA266" s="75">
        <v>46059</v>
      </c>
      <c r="AB266" s="75">
        <f t="shared" si="104"/>
        <v>45920</v>
      </c>
      <c r="AC266" s="88">
        <f t="shared" si="105"/>
        <v>19.857142857142858</v>
      </c>
      <c r="AD266" s="89" t="str">
        <f t="shared" ca="1" si="106"/>
        <v>STABLE</v>
      </c>
      <c r="AE266" s="89" t="str">
        <f t="shared" si="88"/>
        <v>SLOW SELLING</v>
      </c>
      <c r="AF266" s="89" t="str">
        <f t="shared" si="107"/>
        <v>AT RISK</v>
      </c>
      <c r="AG266" s="89" t="str">
        <f t="shared" si="108"/>
        <v>FEASIBLE</v>
      </c>
      <c r="AH266" s="81" t="str">
        <f t="shared" ca="1" si="109"/>
        <v>MONITOR</v>
      </c>
      <c r="AI266" s="75"/>
      <c r="AJ266" s="75"/>
      <c r="AK266" s="13"/>
      <c r="AL266" s="79"/>
      <c r="AM266" s="79"/>
      <c r="AN266" s="79"/>
      <c r="AO266" s="79"/>
      <c r="AP266" s="79"/>
      <c r="AQ266" s="75"/>
      <c r="AR266" s="75"/>
      <c r="AS266" s="75"/>
      <c r="AT266" s="75"/>
      <c r="AU266" s="75"/>
      <c r="AV266" s="13"/>
      <c r="AW266" s="13"/>
      <c r="AX266" s="13"/>
      <c r="AY266" s="13"/>
      <c r="AZ266" s="13"/>
      <c r="BA266" s="105"/>
      <c r="BB266" s="13"/>
      <c r="BC266" s="13"/>
      <c r="BD266" s="13"/>
      <c r="BE266" s="13"/>
      <c r="BF266" s="88"/>
      <c r="BG266" s="88"/>
      <c r="BH266" s="88"/>
      <c r="BI266" s="88"/>
      <c r="BJ266" s="88"/>
      <c r="BK266" s="105"/>
      <c r="BL266" s="105"/>
      <c r="BM266" s="105"/>
      <c r="BN266" s="105"/>
      <c r="BO266" s="105"/>
      <c r="BP266" s="105"/>
      <c r="BQ266" s="79"/>
      <c r="BR266" s="79"/>
      <c r="BS266" s="79"/>
      <c r="BT266" s="79"/>
      <c r="BU266" s="79"/>
      <c r="BV266" s="90"/>
      <c r="BW266" s="106"/>
      <c r="BX266" s="106"/>
      <c r="BY266" s="106"/>
      <c r="BZ266" s="106"/>
      <c r="CA266" s="106"/>
    </row>
    <row r="267" spans="1:79" x14ac:dyDescent="0.35">
      <c r="A267" s="25" t="s">
        <v>280</v>
      </c>
      <c r="B267" s="10" t="s">
        <v>335</v>
      </c>
      <c r="C267" s="10" t="s">
        <v>343</v>
      </c>
      <c r="D267" s="10" t="s">
        <v>346</v>
      </c>
      <c r="E267" s="11">
        <v>45920</v>
      </c>
      <c r="F267" s="17">
        <v>45892</v>
      </c>
      <c r="G267" s="14">
        <f t="shared" ca="1" si="89"/>
        <v>207</v>
      </c>
      <c r="H267" s="17">
        <v>999</v>
      </c>
      <c r="I267" s="17">
        <v>400</v>
      </c>
      <c r="J267" s="75">
        <f t="shared" si="90"/>
        <v>750</v>
      </c>
      <c r="K267" s="17">
        <v>750</v>
      </c>
      <c r="L267" s="89">
        <v>0</v>
      </c>
      <c r="M267" s="86">
        <f t="shared" ca="1" si="91"/>
        <v>0</v>
      </c>
      <c r="N267" s="86">
        <f t="shared" si="92"/>
        <v>0.56143292682926838</v>
      </c>
      <c r="O267" s="86">
        <f t="shared" si="93"/>
        <v>0</v>
      </c>
      <c r="P267" s="87">
        <f t="shared" si="94"/>
        <v>0</v>
      </c>
      <c r="Q267" s="104" t="e">
        <f t="shared" si="95"/>
        <v>#DIV/0!</v>
      </c>
      <c r="R267" s="88">
        <f t="shared" si="96"/>
        <v>59.95995995995996</v>
      </c>
      <c r="S267" s="88">
        <f t="shared" si="97"/>
        <v>0</v>
      </c>
      <c r="T267" s="13">
        <f t="shared" si="98"/>
        <v>1</v>
      </c>
      <c r="U267" s="13" t="e">
        <f t="shared" si="99"/>
        <v>#DIV/0!</v>
      </c>
      <c r="V267" s="13">
        <f t="shared" si="100"/>
        <v>2</v>
      </c>
      <c r="W267" s="13">
        <f t="shared" ca="1" si="101"/>
        <v>3</v>
      </c>
      <c r="X267" s="13" t="e">
        <f t="shared" ca="1" si="102"/>
        <v>#DIV/0!</v>
      </c>
      <c r="Y267" s="81" t="str">
        <f t="shared" ca="1" si="103"/>
        <v>EXIT</v>
      </c>
      <c r="Z267" s="13">
        <v>14</v>
      </c>
      <c r="AA267" s="75">
        <v>46059</v>
      </c>
      <c r="AB267" s="75">
        <f t="shared" si="104"/>
        <v>45920</v>
      </c>
      <c r="AC267" s="88">
        <f t="shared" si="105"/>
        <v>19.857142857142858</v>
      </c>
      <c r="AD267" s="89" t="str">
        <f t="shared" ca="1" si="106"/>
        <v>STABLE</v>
      </c>
      <c r="AE267" s="89" t="str">
        <f t="shared" si="88"/>
        <v>SLOW SELLING</v>
      </c>
      <c r="AF267" s="89" t="e">
        <f t="shared" si="107"/>
        <v>#DIV/0!</v>
      </c>
      <c r="AG267" s="89" t="str">
        <f t="shared" si="108"/>
        <v>FEASIBLE</v>
      </c>
      <c r="AH267" s="81" t="str">
        <f t="shared" ca="1" si="109"/>
        <v>MONITOR</v>
      </c>
      <c r="AI267" s="75"/>
      <c r="AJ267" s="75"/>
      <c r="AK267" s="13"/>
      <c r="AL267" s="79"/>
      <c r="AM267" s="79"/>
      <c r="AN267" s="79"/>
      <c r="AO267" s="79"/>
      <c r="AP267" s="79"/>
      <c r="AQ267" s="75"/>
      <c r="AR267" s="75"/>
      <c r="AS267" s="75"/>
      <c r="AT267" s="75"/>
      <c r="AU267" s="75"/>
      <c r="AV267" s="13"/>
      <c r="AW267" s="13"/>
      <c r="AX267" s="13"/>
      <c r="AY267" s="13"/>
      <c r="AZ267" s="13"/>
      <c r="BA267" s="105"/>
      <c r="BB267" s="13"/>
      <c r="BC267" s="13"/>
      <c r="BD267" s="13"/>
      <c r="BE267" s="13"/>
      <c r="BF267" s="88"/>
      <c r="BG267" s="88"/>
      <c r="BH267" s="88"/>
      <c r="BI267" s="88"/>
      <c r="BJ267" s="88"/>
      <c r="BK267" s="105"/>
      <c r="BL267" s="105"/>
      <c r="BM267" s="105"/>
      <c r="BN267" s="105"/>
      <c r="BO267" s="105"/>
      <c r="BP267" s="105"/>
      <c r="BQ267" s="79"/>
      <c r="BR267" s="79"/>
      <c r="BS267" s="79"/>
      <c r="BT267" s="79"/>
      <c r="BU267" s="79"/>
      <c r="BV267" s="90"/>
      <c r="BW267" s="106"/>
      <c r="BX267" s="106"/>
      <c r="BY267" s="106"/>
      <c r="BZ267" s="106"/>
      <c r="CA267" s="106"/>
    </row>
    <row r="268" spans="1:79" x14ac:dyDescent="0.35">
      <c r="A268" s="25" t="s">
        <v>281</v>
      </c>
      <c r="B268" s="10" t="s">
        <v>335</v>
      </c>
      <c r="C268" s="10" t="s">
        <v>343</v>
      </c>
      <c r="D268" s="10" t="s">
        <v>346</v>
      </c>
      <c r="E268" s="11">
        <v>45920</v>
      </c>
      <c r="F268" s="17">
        <v>45892</v>
      </c>
      <c r="G268" s="14">
        <f t="shared" ca="1" si="89"/>
        <v>207</v>
      </c>
      <c r="H268" s="17">
        <v>799</v>
      </c>
      <c r="I268" s="17">
        <v>325</v>
      </c>
      <c r="J268" s="75">
        <f t="shared" si="90"/>
        <v>909</v>
      </c>
      <c r="K268" s="17">
        <v>1050</v>
      </c>
      <c r="L268" s="85">
        <v>141</v>
      </c>
      <c r="M268" s="86">
        <f t="shared" ca="1" si="91"/>
        <v>0.6811594202898551</v>
      </c>
      <c r="N268" s="86">
        <f t="shared" si="92"/>
        <v>0.56143292682926838</v>
      </c>
      <c r="O268" s="86">
        <f t="shared" si="93"/>
        <v>0.4298780487804878</v>
      </c>
      <c r="P268" s="87">
        <f t="shared" si="94"/>
        <v>35.25</v>
      </c>
      <c r="Q268" s="104">
        <f t="shared" si="95"/>
        <v>25.787234042553191</v>
      </c>
      <c r="R268" s="88">
        <f t="shared" si="96"/>
        <v>59.324155193992489</v>
      </c>
      <c r="S268" s="88">
        <f t="shared" si="97"/>
        <v>13.428571428571429</v>
      </c>
      <c r="T268" s="13">
        <f t="shared" si="98"/>
        <v>1</v>
      </c>
      <c r="U268" s="13">
        <f t="shared" si="99"/>
        <v>1</v>
      </c>
      <c r="V268" s="13">
        <f t="shared" si="100"/>
        <v>2</v>
      </c>
      <c r="W268" s="13">
        <f t="shared" ca="1" si="101"/>
        <v>3</v>
      </c>
      <c r="X268" s="13">
        <f t="shared" ca="1" si="102"/>
        <v>7</v>
      </c>
      <c r="Y268" s="81" t="str">
        <f t="shared" ca="1" si="103"/>
        <v>MONITOR</v>
      </c>
      <c r="Z268" s="13">
        <v>14</v>
      </c>
      <c r="AA268" s="75">
        <v>46059</v>
      </c>
      <c r="AB268" s="75">
        <f t="shared" si="104"/>
        <v>45920</v>
      </c>
      <c r="AC268" s="88">
        <f t="shared" si="105"/>
        <v>19.857142857142858</v>
      </c>
      <c r="AD268" s="89" t="str">
        <f t="shared" ca="1" si="106"/>
        <v>STABLE</v>
      </c>
      <c r="AE268" s="89" t="str">
        <f t="shared" si="88"/>
        <v>SLOW SELLING</v>
      </c>
      <c r="AF268" s="89" t="str">
        <f t="shared" si="107"/>
        <v>AT RISK</v>
      </c>
      <c r="AG268" s="89" t="str">
        <f t="shared" si="108"/>
        <v>FEASIBLE</v>
      </c>
      <c r="AH268" s="81" t="str">
        <f t="shared" ca="1" si="109"/>
        <v>MONITOR</v>
      </c>
      <c r="AI268" s="75"/>
      <c r="AJ268" s="75"/>
      <c r="AK268" s="13"/>
      <c r="AL268" s="79"/>
      <c r="AM268" s="79"/>
      <c r="AN268" s="79"/>
      <c r="AO268" s="79"/>
      <c r="AP268" s="79"/>
      <c r="AQ268" s="75"/>
      <c r="AR268" s="75"/>
      <c r="AS268" s="75"/>
      <c r="AT268" s="75"/>
      <c r="AU268" s="75"/>
      <c r="AV268" s="13"/>
      <c r="AW268" s="13"/>
      <c r="AX268" s="13"/>
      <c r="AY268" s="13"/>
      <c r="AZ268" s="13"/>
      <c r="BA268" s="105"/>
      <c r="BB268" s="13"/>
      <c r="BC268" s="13"/>
      <c r="BD268" s="13"/>
      <c r="BE268" s="13"/>
      <c r="BF268" s="88"/>
      <c r="BG268" s="88"/>
      <c r="BH268" s="88"/>
      <c r="BI268" s="88"/>
      <c r="BJ268" s="88"/>
      <c r="BK268" s="105"/>
      <c r="BL268" s="105"/>
      <c r="BM268" s="105"/>
      <c r="BN268" s="105"/>
      <c r="BO268" s="105"/>
      <c r="BP268" s="105"/>
      <c r="BQ268" s="79"/>
      <c r="BR268" s="79"/>
      <c r="BS268" s="79"/>
      <c r="BT268" s="79"/>
      <c r="BU268" s="79"/>
      <c r="BV268" s="90"/>
      <c r="BW268" s="106"/>
      <c r="BX268" s="106"/>
      <c r="BY268" s="106"/>
      <c r="BZ268" s="106"/>
      <c r="CA268" s="106"/>
    </row>
    <row r="269" spans="1:79" x14ac:dyDescent="0.35">
      <c r="A269" s="25" t="s">
        <v>282</v>
      </c>
      <c r="B269" s="10" t="s">
        <v>338</v>
      </c>
      <c r="C269" s="10" t="s">
        <v>343</v>
      </c>
      <c r="D269" s="10" t="s">
        <v>346</v>
      </c>
      <c r="E269" s="11">
        <v>45920</v>
      </c>
      <c r="F269" s="17">
        <v>45892</v>
      </c>
      <c r="G269" s="14">
        <f t="shared" ca="1" si="89"/>
        <v>207</v>
      </c>
      <c r="H269" s="17">
        <v>799</v>
      </c>
      <c r="I269" s="17">
        <v>385</v>
      </c>
      <c r="J269" s="75">
        <f t="shared" si="90"/>
        <v>727</v>
      </c>
      <c r="K269" s="17">
        <v>1050</v>
      </c>
      <c r="L269" s="85">
        <v>323</v>
      </c>
      <c r="M269" s="86">
        <f t="shared" ca="1" si="91"/>
        <v>1.5603864734299517</v>
      </c>
      <c r="N269" s="86">
        <f t="shared" si="92"/>
        <v>0.56143292682926838</v>
      </c>
      <c r="O269" s="86">
        <f t="shared" si="93"/>
        <v>0.9847560975609756</v>
      </c>
      <c r="P269" s="87">
        <f t="shared" si="94"/>
        <v>80.75</v>
      </c>
      <c r="Q269" s="104">
        <f t="shared" si="95"/>
        <v>9.0030959752321973</v>
      </c>
      <c r="R269" s="88">
        <f t="shared" si="96"/>
        <v>51.814768460575721</v>
      </c>
      <c r="S269" s="88">
        <f t="shared" si="97"/>
        <v>30.761904761904763</v>
      </c>
      <c r="T269" s="13">
        <f t="shared" si="98"/>
        <v>3</v>
      </c>
      <c r="U269" s="13">
        <f t="shared" si="99"/>
        <v>1</v>
      </c>
      <c r="V269" s="13">
        <f t="shared" si="100"/>
        <v>2</v>
      </c>
      <c r="W269" s="13">
        <f t="shared" ca="1" si="101"/>
        <v>3</v>
      </c>
      <c r="X269" s="13">
        <f t="shared" ca="1" si="102"/>
        <v>9</v>
      </c>
      <c r="Y269" s="81" t="str">
        <f t="shared" ca="1" si="103"/>
        <v>RE-BUY</v>
      </c>
      <c r="Z269" s="13">
        <v>14</v>
      </c>
      <c r="AA269" s="75">
        <v>46059</v>
      </c>
      <c r="AB269" s="75">
        <f t="shared" si="104"/>
        <v>45920</v>
      </c>
      <c r="AC269" s="88">
        <f t="shared" si="105"/>
        <v>19.857142857142858</v>
      </c>
      <c r="AD269" s="89" t="str">
        <f t="shared" ca="1" si="106"/>
        <v>STABLE</v>
      </c>
      <c r="AE269" s="89" t="str">
        <f t="shared" si="88"/>
        <v>FAST SELLING</v>
      </c>
      <c r="AF269" s="89" t="str">
        <f t="shared" si="107"/>
        <v>AT RISK</v>
      </c>
      <c r="AG269" s="89" t="str">
        <f t="shared" si="108"/>
        <v>FEASIBLE</v>
      </c>
      <c r="AH269" s="81" t="str">
        <f t="shared" ca="1" si="109"/>
        <v>IMMEDIATE REBUY</v>
      </c>
      <c r="AI269" s="75"/>
      <c r="AJ269" s="75"/>
      <c r="AK269" s="13"/>
      <c r="AL269" s="79"/>
      <c r="AM269" s="79"/>
      <c r="AN269" s="79"/>
      <c r="AO269" s="79"/>
      <c r="AP269" s="79"/>
      <c r="AQ269" s="75"/>
      <c r="AR269" s="75"/>
      <c r="AS269" s="75"/>
      <c r="AT269" s="75"/>
      <c r="AU269" s="75"/>
      <c r="AV269" s="13"/>
      <c r="AW269" s="13"/>
      <c r="AX269" s="13"/>
      <c r="AY269" s="13"/>
      <c r="AZ269" s="13"/>
      <c r="BA269" s="105"/>
      <c r="BB269" s="13"/>
      <c r="BC269" s="13"/>
      <c r="BD269" s="13"/>
      <c r="BE269" s="13"/>
      <c r="BF269" s="88"/>
      <c r="BG269" s="88"/>
      <c r="BH269" s="88"/>
      <c r="BI269" s="88"/>
      <c r="BJ269" s="88"/>
      <c r="BK269" s="105"/>
      <c r="BL269" s="105"/>
      <c r="BM269" s="105"/>
      <c r="BN269" s="105"/>
      <c r="BO269" s="105"/>
      <c r="BP269" s="105"/>
      <c r="BQ269" s="79"/>
      <c r="BR269" s="79"/>
      <c r="BS269" s="79"/>
      <c r="BT269" s="79"/>
      <c r="BU269" s="79"/>
      <c r="BV269" s="90"/>
      <c r="BW269" s="106"/>
      <c r="BX269" s="106"/>
      <c r="BY269" s="106"/>
      <c r="BZ269" s="106"/>
      <c r="CA269" s="106"/>
    </row>
    <row r="270" spans="1:79" x14ac:dyDescent="0.35">
      <c r="A270" s="25" t="s">
        <v>283</v>
      </c>
      <c r="B270" s="10" t="s">
        <v>335</v>
      </c>
      <c r="C270" s="10" t="s">
        <v>343</v>
      </c>
      <c r="D270" s="10" t="s">
        <v>346</v>
      </c>
      <c r="E270" s="11">
        <v>45885</v>
      </c>
      <c r="F270" s="17">
        <v>45892</v>
      </c>
      <c r="G270" s="14">
        <f t="shared" ca="1" si="89"/>
        <v>207</v>
      </c>
      <c r="H270" s="17">
        <v>799</v>
      </c>
      <c r="I270" s="17">
        <v>345</v>
      </c>
      <c r="J270" s="75">
        <f t="shared" si="90"/>
        <v>467</v>
      </c>
      <c r="K270" s="17">
        <v>750</v>
      </c>
      <c r="L270" s="85">
        <v>283</v>
      </c>
      <c r="M270" s="86">
        <f t="shared" ca="1" si="91"/>
        <v>1.3671497584541064</v>
      </c>
      <c r="N270" s="86">
        <f t="shared" si="92"/>
        <v>0.56143292682926838</v>
      </c>
      <c r="O270" s="86">
        <f t="shared" si="93"/>
        <v>0.86280487804878048</v>
      </c>
      <c r="P270" s="87">
        <f t="shared" si="94"/>
        <v>70.75</v>
      </c>
      <c r="Q270" s="104">
        <f t="shared" si="95"/>
        <v>6.6007067137809186</v>
      </c>
      <c r="R270" s="88">
        <f t="shared" si="96"/>
        <v>56.821026282853573</v>
      </c>
      <c r="S270" s="88">
        <f t="shared" si="97"/>
        <v>37.733333333333334</v>
      </c>
      <c r="T270" s="13">
        <f t="shared" si="98"/>
        <v>3</v>
      </c>
      <c r="U270" s="13">
        <f t="shared" si="99"/>
        <v>1</v>
      </c>
      <c r="V270" s="13">
        <f t="shared" si="100"/>
        <v>2</v>
      </c>
      <c r="W270" s="13">
        <f t="shared" ca="1" si="101"/>
        <v>3</v>
      </c>
      <c r="X270" s="13">
        <f t="shared" ca="1" si="102"/>
        <v>9</v>
      </c>
      <c r="Y270" s="81" t="str">
        <f t="shared" ca="1" si="103"/>
        <v>RE-BUY</v>
      </c>
      <c r="Z270" s="13">
        <v>14</v>
      </c>
      <c r="AA270" s="75">
        <v>46059</v>
      </c>
      <c r="AB270" s="75">
        <f t="shared" si="104"/>
        <v>45920</v>
      </c>
      <c r="AC270" s="88">
        <f t="shared" si="105"/>
        <v>19.857142857142858</v>
      </c>
      <c r="AD270" s="89" t="str">
        <f t="shared" ca="1" si="106"/>
        <v>STABLE</v>
      </c>
      <c r="AE270" s="89" t="str">
        <f t="shared" si="88"/>
        <v>FAST SELLING</v>
      </c>
      <c r="AF270" s="89" t="str">
        <f t="shared" si="107"/>
        <v>AT RISK</v>
      </c>
      <c r="AG270" s="89" t="str">
        <f t="shared" si="108"/>
        <v>FEASIBLE</v>
      </c>
      <c r="AH270" s="81" t="str">
        <f t="shared" ca="1" si="109"/>
        <v>IMMEDIATE REBUY</v>
      </c>
      <c r="AI270" s="75"/>
      <c r="AJ270" s="75"/>
      <c r="AK270" s="13"/>
      <c r="AL270" s="79"/>
      <c r="AM270" s="79"/>
      <c r="AN270" s="79"/>
      <c r="AO270" s="79"/>
      <c r="AP270" s="79"/>
      <c r="AQ270" s="75"/>
      <c r="AR270" s="75"/>
      <c r="AS270" s="75"/>
      <c r="AT270" s="75"/>
      <c r="AU270" s="75"/>
      <c r="AV270" s="13"/>
      <c r="AW270" s="13"/>
      <c r="AX270" s="13"/>
      <c r="AY270" s="13"/>
      <c r="AZ270" s="13"/>
      <c r="BA270" s="105"/>
      <c r="BB270" s="13"/>
      <c r="BC270" s="13"/>
      <c r="BD270" s="13"/>
      <c r="BE270" s="13"/>
      <c r="BF270" s="88"/>
      <c r="BG270" s="88"/>
      <c r="BH270" s="88"/>
      <c r="BI270" s="88"/>
      <c r="BJ270" s="88"/>
      <c r="BK270" s="105"/>
      <c r="BL270" s="105"/>
      <c r="BM270" s="105"/>
      <c r="BN270" s="105"/>
      <c r="BO270" s="105"/>
      <c r="BP270" s="105"/>
      <c r="BQ270" s="79"/>
      <c r="BR270" s="79"/>
      <c r="BS270" s="79"/>
      <c r="BT270" s="79"/>
      <c r="BU270" s="79"/>
      <c r="BV270" s="90"/>
      <c r="BW270" s="106"/>
      <c r="BX270" s="106"/>
      <c r="BY270" s="106"/>
      <c r="BZ270" s="106"/>
      <c r="CA270" s="106"/>
    </row>
    <row r="271" spans="1:79" x14ac:dyDescent="0.35">
      <c r="A271" s="25" t="s">
        <v>284</v>
      </c>
      <c r="B271" s="10" t="s">
        <v>335</v>
      </c>
      <c r="C271" s="10" t="s">
        <v>343</v>
      </c>
      <c r="D271" s="10" t="s">
        <v>346</v>
      </c>
      <c r="E271" s="11">
        <v>45885</v>
      </c>
      <c r="F271" s="17">
        <v>45892</v>
      </c>
      <c r="G271" s="14">
        <f t="shared" ca="1" si="89"/>
        <v>207</v>
      </c>
      <c r="H271" s="17">
        <v>799</v>
      </c>
      <c r="I271" s="17">
        <v>345</v>
      </c>
      <c r="J271" s="75">
        <f t="shared" si="90"/>
        <v>544</v>
      </c>
      <c r="K271" s="17">
        <v>750</v>
      </c>
      <c r="L271" s="85">
        <v>206</v>
      </c>
      <c r="M271" s="86">
        <f t="shared" ca="1" si="91"/>
        <v>0.99516908212560384</v>
      </c>
      <c r="N271" s="86">
        <f t="shared" si="92"/>
        <v>0.56143292682926838</v>
      </c>
      <c r="O271" s="86">
        <f t="shared" si="93"/>
        <v>0.62804878048780488</v>
      </c>
      <c r="P271" s="87">
        <f t="shared" si="94"/>
        <v>51.5</v>
      </c>
      <c r="Q271" s="104">
        <f t="shared" si="95"/>
        <v>10.563106796116505</v>
      </c>
      <c r="R271" s="88">
        <f t="shared" si="96"/>
        <v>56.821026282853573</v>
      </c>
      <c r="S271" s="88">
        <f t="shared" si="97"/>
        <v>27.466666666666669</v>
      </c>
      <c r="T271" s="13">
        <f t="shared" si="98"/>
        <v>3</v>
      </c>
      <c r="U271" s="13">
        <f t="shared" si="99"/>
        <v>1</v>
      </c>
      <c r="V271" s="13">
        <f t="shared" si="100"/>
        <v>2</v>
      </c>
      <c r="W271" s="13">
        <f t="shared" ca="1" si="101"/>
        <v>3</v>
      </c>
      <c r="X271" s="13">
        <f t="shared" ca="1" si="102"/>
        <v>9</v>
      </c>
      <c r="Y271" s="81" t="str">
        <f t="shared" ca="1" si="103"/>
        <v>RE-BUY</v>
      </c>
      <c r="Z271" s="13">
        <v>14</v>
      </c>
      <c r="AA271" s="75">
        <v>46059</v>
      </c>
      <c r="AB271" s="75">
        <f t="shared" si="104"/>
        <v>45920</v>
      </c>
      <c r="AC271" s="88">
        <f t="shared" si="105"/>
        <v>19.857142857142858</v>
      </c>
      <c r="AD271" s="89" t="str">
        <f t="shared" ca="1" si="106"/>
        <v>STABLE</v>
      </c>
      <c r="AE271" s="89" t="str">
        <f t="shared" si="88"/>
        <v>FAST SELLING</v>
      </c>
      <c r="AF271" s="89" t="str">
        <f t="shared" si="107"/>
        <v>AT RISK</v>
      </c>
      <c r="AG271" s="89" t="str">
        <f t="shared" si="108"/>
        <v>FEASIBLE</v>
      </c>
      <c r="AH271" s="81" t="str">
        <f t="shared" ca="1" si="109"/>
        <v>IMMEDIATE REBUY</v>
      </c>
      <c r="AI271" s="75"/>
      <c r="AJ271" s="75"/>
      <c r="AK271" s="13"/>
      <c r="AL271" s="79"/>
      <c r="AM271" s="79"/>
      <c r="AN271" s="79"/>
      <c r="AO271" s="79"/>
      <c r="AP271" s="79"/>
      <c r="AQ271" s="75"/>
      <c r="AR271" s="75"/>
      <c r="AS271" s="75"/>
      <c r="AT271" s="75"/>
      <c r="AU271" s="75"/>
      <c r="AV271" s="13"/>
      <c r="AW271" s="13"/>
      <c r="AX271" s="13"/>
      <c r="AY271" s="13"/>
      <c r="AZ271" s="13"/>
      <c r="BA271" s="105"/>
      <c r="BB271" s="13"/>
      <c r="BC271" s="13"/>
      <c r="BD271" s="13"/>
      <c r="BE271" s="13"/>
      <c r="BF271" s="88"/>
      <c r="BG271" s="88"/>
      <c r="BH271" s="88"/>
      <c r="BI271" s="88"/>
      <c r="BJ271" s="88"/>
      <c r="BK271" s="105"/>
      <c r="BL271" s="105"/>
      <c r="BM271" s="105"/>
      <c r="BN271" s="105"/>
      <c r="BO271" s="105"/>
      <c r="BP271" s="105"/>
      <c r="BQ271" s="79"/>
      <c r="BR271" s="79"/>
      <c r="BS271" s="79"/>
      <c r="BT271" s="79"/>
      <c r="BU271" s="79"/>
      <c r="BV271" s="90"/>
      <c r="BW271" s="106"/>
      <c r="BX271" s="106"/>
      <c r="BY271" s="106"/>
      <c r="BZ271" s="106"/>
      <c r="CA271" s="106"/>
    </row>
    <row r="272" spans="1:79" x14ac:dyDescent="0.35">
      <c r="A272" s="25" t="s">
        <v>285</v>
      </c>
      <c r="B272" s="10" t="s">
        <v>335</v>
      </c>
      <c r="C272" s="10" t="s">
        <v>343</v>
      </c>
      <c r="D272" s="10" t="s">
        <v>346</v>
      </c>
      <c r="E272" s="11">
        <v>45885</v>
      </c>
      <c r="F272" s="17">
        <v>45892</v>
      </c>
      <c r="G272" s="14">
        <f t="shared" ca="1" si="89"/>
        <v>207</v>
      </c>
      <c r="H272" s="17">
        <v>799</v>
      </c>
      <c r="I272" s="17">
        <v>345</v>
      </c>
      <c r="J272" s="75">
        <f t="shared" si="90"/>
        <v>519</v>
      </c>
      <c r="K272" s="17">
        <v>750</v>
      </c>
      <c r="L272" s="85">
        <v>231</v>
      </c>
      <c r="M272" s="86">
        <f t="shared" ca="1" si="91"/>
        <v>1.1159420289855073</v>
      </c>
      <c r="N272" s="86">
        <f t="shared" si="92"/>
        <v>0.56143292682926838</v>
      </c>
      <c r="O272" s="86">
        <f t="shared" si="93"/>
        <v>0.70426829268292679</v>
      </c>
      <c r="P272" s="87">
        <f t="shared" si="94"/>
        <v>57.75</v>
      </c>
      <c r="Q272" s="104">
        <f t="shared" si="95"/>
        <v>8.9870129870129869</v>
      </c>
      <c r="R272" s="88">
        <f t="shared" si="96"/>
        <v>56.821026282853573</v>
      </c>
      <c r="S272" s="88">
        <f t="shared" si="97"/>
        <v>30.8</v>
      </c>
      <c r="T272" s="13">
        <f t="shared" si="98"/>
        <v>3</v>
      </c>
      <c r="U272" s="13">
        <f t="shared" si="99"/>
        <v>1</v>
      </c>
      <c r="V272" s="13">
        <f t="shared" si="100"/>
        <v>2</v>
      </c>
      <c r="W272" s="13">
        <f t="shared" ca="1" si="101"/>
        <v>3</v>
      </c>
      <c r="X272" s="13">
        <f t="shared" ca="1" si="102"/>
        <v>9</v>
      </c>
      <c r="Y272" s="81" t="str">
        <f t="shared" ca="1" si="103"/>
        <v>RE-BUY</v>
      </c>
      <c r="Z272" s="13">
        <v>14</v>
      </c>
      <c r="AA272" s="75">
        <v>46059</v>
      </c>
      <c r="AB272" s="75">
        <f t="shared" si="104"/>
        <v>45920</v>
      </c>
      <c r="AC272" s="88">
        <f t="shared" si="105"/>
        <v>19.857142857142858</v>
      </c>
      <c r="AD272" s="89" t="str">
        <f t="shared" ca="1" si="106"/>
        <v>STABLE</v>
      </c>
      <c r="AE272" s="89" t="str">
        <f t="shared" si="88"/>
        <v>FAST SELLING</v>
      </c>
      <c r="AF272" s="89" t="str">
        <f t="shared" si="107"/>
        <v>AT RISK</v>
      </c>
      <c r="AG272" s="89" t="str">
        <f t="shared" si="108"/>
        <v>FEASIBLE</v>
      </c>
      <c r="AH272" s="81" t="str">
        <f t="shared" ca="1" si="109"/>
        <v>IMMEDIATE REBUY</v>
      </c>
      <c r="AI272" s="75"/>
      <c r="AJ272" s="75"/>
      <c r="AK272" s="13"/>
      <c r="AL272" s="79"/>
      <c r="AM272" s="79"/>
      <c r="AN272" s="79"/>
      <c r="AO272" s="79"/>
      <c r="AP272" s="79"/>
      <c r="AQ272" s="75"/>
      <c r="AR272" s="75"/>
      <c r="AS272" s="75"/>
      <c r="AT272" s="75"/>
      <c r="AU272" s="75"/>
      <c r="AV272" s="13"/>
      <c r="AW272" s="13"/>
      <c r="AX272" s="13"/>
      <c r="AY272" s="13"/>
      <c r="AZ272" s="13"/>
      <c r="BA272" s="105"/>
      <c r="BB272" s="13"/>
      <c r="BC272" s="13"/>
      <c r="BD272" s="13"/>
      <c r="BE272" s="13"/>
      <c r="BF272" s="88"/>
      <c r="BG272" s="88"/>
      <c r="BH272" s="88"/>
      <c r="BI272" s="88"/>
      <c r="BJ272" s="88"/>
      <c r="BK272" s="105"/>
      <c r="BL272" s="105"/>
      <c r="BM272" s="105"/>
      <c r="BN272" s="105"/>
      <c r="BO272" s="105"/>
      <c r="BP272" s="105"/>
      <c r="BQ272" s="79"/>
      <c r="BR272" s="79"/>
      <c r="BS272" s="79"/>
      <c r="BT272" s="79"/>
      <c r="BU272" s="79"/>
      <c r="BV272" s="90"/>
      <c r="BW272" s="106"/>
      <c r="BX272" s="106"/>
      <c r="BY272" s="106"/>
      <c r="BZ272" s="106"/>
      <c r="CA272" s="106"/>
    </row>
    <row r="273" spans="1:79" x14ac:dyDescent="0.35">
      <c r="A273" s="25" t="s">
        <v>286</v>
      </c>
      <c r="B273" s="10" t="s">
        <v>335</v>
      </c>
      <c r="C273" s="10" t="s">
        <v>343</v>
      </c>
      <c r="D273" s="10" t="s">
        <v>346</v>
      </c>
      <c r="E273" s="11">
        <v>45885</v>
      </c>
      <c r="F273" s="17">
        <v>45892</v>
      </c>
      <c r="G273" s="14">
        <f t="shared" ca="1" si="89"/>
        <v>207</v>
      </c>
      <c r="H273" s="17">
        <v>799</v>
      </c>
      <c r="I273" s="17">
        <v>345</v>
      </c>
      <c r="J273" s="75">
        <f t="shared" si="90"/>
        <v>594</v>
      </c>
      <c r="K273" s="17">
        <v>750</v>
      </c>
      <c r="L273" s="85">
        <v>156</v>
      </c>
      <c r="M273" s="86">
        <f t="shared" ca="1" si="91"/>
        <v>0.75362318840579712</v>
      </c>
      <c r="N273" s="86">
        <f t="shared" si="92"/>
        <v>0.56143292682926838</v>
      </c>
      <c r="O273" s="86">
        <f t="shared" si="93"/>
        <v>0.47560975609756095</v>
      </c>
      <c r="P273" s="87">
        <f t="shared" si="94"/>
        <v>39</v>
      </c>
      <c r="Q273" s="104">
        <f t="shared" si="95"/>
        <v>15.23076923076923</v>
      </c>
      <c r="R273" s="88">
        <f t="shared" si="96"/>
        <v>56.821026282853573</v>
      </c>
      <c r="S273" s="88">
        <f t="shared" si="97"/>
        <v>20.8</v>
      </c>
      <c r="T273" s="13">
        <f t="shared" si="98"/>
        <v>2</v>
      </c>
      <c r="U273" s="13">
        <f t="shared" si="99"/>
        <v>1</v>
      </c>
      <c r="V273" s="13">
        <f t="shared" si="100"/>
        <v>2</v>
      </c>
      <c r="W273" s="13">
        <f t="shared" ca="1" si="101"/>
        <v>3</v>
      </c>
      <c r="X273" s="13">
        <f t="shared" ca="1" si="102"/>
        <v>8</v>
      </c>
      <c r="Y273" s="81" t="str">
        <f t="shared" ca="1" si="103"/>
        <v>MONITOR</v>
      </c>
      <c r="Z273" s="13">
        <v>14</v>
      </c>
      <c r="AA273" s="75">
        <v>46059</v>
      </c>
      <c r="AB273" s="75">
        <f t="shared" si="104"/>
        <v>45920</v>
      </c>
      <c r="AC273" s="88">
        <f t="shared" si="105"/>
        <v>19.857142857142858</v>
      </c>
      <c r="AD273" s="89" t="str">
        <f t="shared" ca="1" si="106"/>
        <v>STABLE</v>
      </c>
      <c r="AE273" s="89" t="str">
        <f t="shared" si="88"/>
        <v>SLOW SELLING</v>
      </c>
      <c r="AF273" s="89" t="str">
        <f t="shared" si="107"/>
        <v>AT RISK</v>
      </c>
      <c r="AG273" s="89" t="str">
        <f t="shared" si="108"/>
        <v>FEASIBLE</v>
      </c>
      <c r="AH273" s="81" t="str">
        <f t="shared" ca="1" si="109"/>
        <v>MONITOR</v>
      </c>
      <c r="AI273" s="75"/>
      <c r="AJ273" s="75"/>
      <c r="AK273" s="13"/>
      <c r="AL273" s="79"/>
      <c r="AM273" s="79"/>
      <c r="AN273" s="79"/>
      <c r="AO273" s="79"/>
      <c r="AP273" s="79"/>
      <c r="AQ273" s="75"/>
      <c r="AR273" s="75"/>
      <c r="AS273" s="75"/>
      <c r="AT273" s="75"/>
      <c r="AU273" s="75"/>
      <c r="AV273" s="13"/>
      <c r="AW273" s="13"/>
      <c r="AX273" s="13"/>
      <c r="AY273" s="13"/>
      <c r="AZ273" s="13"/>
      <c r="BA273" s="105"/>
      <c r="BB273" s="13"/>
      <c r="BC273" s="13"/>
      <c r="BD273" s="13"/>
      <c r="BE273" s="13"/>
      <c r="BF273" s="88"/>
      <c r="BG273" s="88"/>
      <c r="BH273" s="88"/>
      <c r="BI273" s="88"/>
      <c r="BJ273" s="88"/>
      <c r="BK273" s="105"/>
      <c r="BL273" s="105"/>
      <c r="BM273" s="105"/>
      <c r="BN273" s="105"/>
      <c r="BO273" s="105"/>
      <c r="BP273" s="105"/>
      <c r="BQ273" s="79"/>
      <c r="BR273" s="79"/>
      <c r="BS273" s="79"/>
      <c r="BT273" s="79"/>
      <c r="BU273" s="79"/>
      <c r="BV273" s="90"/>
      <c r="BW273" s="106"/>
      <c r="BX273" s="106"/>
      <c r="BY273" s="106"/>
      <c r="BZ273" s="106"/>
      <c r="CA273" s="106"/>
    </row>
    <row r="274" spans="1:79" x14ac:dyDescent="0.35">
      <c r="A274" s="25" t="s">
        <v>287</v>
      </c>
      <c r="B274" s="10" t="s">
        <v>335</v>
      </c>
      <c r="C274" s="10" t="s">
        <v>343</v>
      </c>
      <c r="D274" s="10" t="s">
        <v>346</v>
      </c>
      <c r="E274" s="11">
        <v>45941</v>
      </c>
      <c r="F274" s="17">
        <v>45892</v>
      </c>
      <c r="G274" s="14">
        <f t="shared" ca="1" si="89"/>
        <v>207</v>
      </c>
      <c r="H274" s="17">
        <v>599</v>
      </c>
      <c r="I274" s="17">
        <v>270</v>
      </c>
      <c r="J274" s="75">
        <f t="shared" si="90"/>
        <v>672</v>
      </c>
      <c r="K274" s="17">
        <v>750</v>
      </c>
      <c r="L274" s="85">
        <v>78</v>
      </c>
      <c r="M274" s="86">
        <f t="shared" ca="1" si="91"/>
        <v>0.37681159420289856</v>
      </c>
      <c r="N274" s="86">
        <f t="shared" si="92"/>
        <v>0.56143292682926838</v>
      </c>
      <c r="O274" s="86">
        <f t="shared" si="93"/>
        <v>0.23780487804878048</v>
      </c>
      <c r="P274" s="87">
        <f t="shared" si="94"/>
        <v>19.5</v>
      </c>
      <c r="Q274" s="104">
        <f t="shared" si="95"/>
        <v>34.46153846153846</v>
      </c>
      <c r="R274" s="88">
        <f t="shared" si="96"/>
        <v>54.924874791318871</v>
      </c>
      <c r="S274" s="88">
        <f t="shared" si="97"/>
        <v>10.4</v>
      </c>
      <c r="T274" s="13">
        <f t="shared" si="98"/>
        <v>1</v>
      </c>
      <c r="U274" s="13">
        <f t="shared" si="99"/>
        <v>1</v>
      </c>
      <c r="V274" s="13">
        <f t="shared" si="100"/>
        <v>2</v>
      </c>
      <c r="W274" s="13">
        <f t="shared" ca="1" si="101"/>
        <v>3</v>
      </c>
      <c r="X274" s="13">
        <f t="shared" ca="1" si="102"/>
        <v>7</v>
      </c>
      <c r="Y274" s="81" t="str">
        <f t="shared" ca="1" si="103"/>
        <v>MONITOR</v>
      </c>
      <c r="Z274" s="13">
        <v>14</v>
      </c>
      <c r="AA274" s="75">
        <v>46059</v>
      </c>
      <c r="AB274" s="75">
        <f t="shared" si="104"/>
        <v>45920</v>
      </c>
      <c r="AC274" s="88">
        <f t="shared" si="105"/>
        <v>19.857142857142858</v>
      </c>
      <c r="AD274" s="89" t="str">
        <f t="shared" ca="1" si="106"/>
        <v>STABLE</v>
      </c>
      <c r="AE274" s="89" t="str">
        <f t="shared" si="88"/>
        <v>SLOW SELLING</v>
      </c>
      <c r="AF274" s="89" t="str">
        <f t="shared" si="107"/>
        <v>AT RISK</v>
      </c>
      <c r="AG274" s="89" t="str">
        <f t="shared" si="108"/>
        <v>FEASIBLE</v>
      </c>
      <c r="AH274" s="81" t="str">
        <f t="shared" ca="1" si="109"/>
        <v>MONITOR</v>
      </c>
      <c r="AI274" s="75"/>
      <c r="AJ274" s="75"/>
      <c r="AK274" s="13"/>
      <c r="AL274" s="79"/>
      <c r="AM274" s="79"/>
      <c r="AN274" s="79"/>
      <c r="AO274" s="79"/>
      <c r="AP274" s="79"/>
      <c r="AQ274" s="75"/>
      <c r="AR274" s="75"/>
      <c r="AS274" s="75"/>
      <c r="AT274" s="75"/>
      <c r="AU274" s="75"/>
      <c r="AV274" s="13"/>
      <c r="AW274" s="13"/>
      <c r="AX274" s="13"/>
      <c r="AY274" s="13"/>
      <c r="AZ274" s="13"/>
      <c r="BA274" s="105"/>
      <c r="BB274" s="13"/>
      <c r="BC274" s="13"/>
      <c r="BD274" s="13"/>
      <c r="BE274" s="13"/>
      <c r="BF274" s="88"/>
      <c r="BG274" s="88"/>
      <c r="BH274" s="88"/>
      <c r="BI274" s="88"/>
      <c r="BJ274" s="88"/>
      <c r="BK274" s="105"/>
      <c r="BL274" s="105"/>
      <c r="BM274" s="105"/>
      <c r="BN274" s="105"/>
      <c r="BO274" s="105"/>
      <c r="BP274" s="105"/>
      <c r="BQ274" s="79"/>
      <c r="BR274" s="79"/>
      <c r="BS274" s="79"/>
      <c r="BT274" s="79"/>
      <c r="BU274" s="79"/>
      <c r="BV274" s="90"/>
      <c r="BW274" s="106"/>
      <c r="BX274" s="106"/>
      <c r="BY274" s="106"/>
      <c r="BZ274" s="106"/>
      <c r="CA274" s="106"/>
    </row>
    <row r="275" spans="1:79" x14ac:dyDescent="0.35">
      <c r="A275" s="25" t="s">
        <v>288</v>
      </c>
      <c r="B275" s="10" t="s">
        <v>335</v>
      </c>
      <c r="C275" s="10" t="s">
        <v>343</v>
      </c>
      <c r="D275" s="10" t="s">
        <v>346</v>
      </c>
      <c r="E275" s="11">
        <v>45920</v>
      </c>
      <c r="F275" s="17">
        <v>45892</v>
      </c>
      <c r="G275" s="14">
        <f t="shared" ca="1" si="89"/>
        <v>207</v>
      </c>
      <c r="H275" s="17">
        <v>499</v>
      </c>
      <c r="I275" s="17">
        <v>240</v>
      </c>
      <c r="J275" s="75">
        <f t="shared" si="90"/>
        <v>545</v>
      </c>
      <c r="K275" s="17">
        <v>750</v>
      </c>
      <c r="L275" s="85">
        <v>205</v>
      </c>
      <c r="M275" s="86">
        <f t="shared" ca="1" si="91"/>
        <v>0.99033816425120769</v>
      </c>
      <c r="N275" s="86">
        <f t="shared" si="92"/>
        <v>0.56143292682926838</v>
      </c>
      <c r="O275" s="86">
        <f t="shared" si="93"/>
        <v>0.625</v>
      </c>
      <c r="P275" s="87">
        <f t="shared" si="94"/>
        <v>51.25</v>
      </c>
      <c r="Q275" s="104">
        <f t="shared" si="95"/>
        <v>10.634146341463415</v>
      </c>
      <c r="R275" s="88">
        <f t="shared" si="96"/>
        <v>51.903807615230455</v>
      </c>
      <c r="S275" s="88">
        <f t="shared" si="97"/>
        <v>27.333333333333332</v>
      </c>
      <c r="T275" s="13">
        <f t="shared" si="98"/>
        <v>3</v>
      </c>
      <c r="U275" s="13">
        <f t="shared" si="99"/>
        <v>1</v>
      </c>
      <c r="V275" s="13">
        <f t="shared" si="100"/>
        <v>2</v>
      </c>
      <c r="W275" s="13">
        <f t="shared" ca="1" si="101"/>
        <v>3</v>
      </c>
      <c r="X275" s="13">
        <f t="shared" ca="1" si="102"/>
        <v>9</v>
      </c>
      <c r="Y275" s="81" t="str">
        <f t="shared" ca="1" si="103"/>
        <v>RE-BUY</v>
      </c>
      <c r="Z275" s="13">
        <v>14</v>
      </c>
      <c r="AA275" s="75">
        <v>46059</v>
      </c>
      <c r="AB275" s="75">
        <f t="shared" si="104"/>
        <v>45920</v>
      </c>
      <c r="AC275" s="88">
        <f t="shared" si="105"/>
        <v>19.857142857142858</v>
      </c>
      <c r="AD275" s="89" t="str">
        <f t="shared" ca="1" si="106"/>
        <v>STABLE</v>
      </c>
      <c r="AE275" s="89" t="str">
        <f t="shared" si="88"/>
        <v>FAST SELLING</v>
      </c>
      <c r="AF275" s="89" t="str">
        <f t="shared" si="107"/>
        <v>AT RISK</v>
      </c>
      <c r="AG275" s="89" t="str">
        <f t="shared" si="108"/>
        <v>FEASIBLE</v>
      </c>
      <c r="AH275" s="81" t="str">
        <f t="shared" ca="1" si="109"/>
        <v>IMMEDIATE REBUY</v>
      </c>
      <c r="AI275" s="75"/>
      <c r="AJ275" s="75"/>
      <c r="AK275" s="13"/>
      <c r="AL275" s="79"/>
      <c r="AM275" s="79"/>
      <c r="AN275" s="79"/>
      <c r="AO275" s="79"/>
      <c r="AP275" s="79"/>
      <c r="AQ275" s="75"/>
      <c r="AR275" s="75"/>
      <c r="AS275" s="75"/>
      <c r="AT275" s="75"/>
      <c r="AU275" s="75"/>
      <c r="AV275" s="13"/>
      <c r="AW275" s="13"/>
      <c r="AX275" s="13"/>
      <c r="AY275" s="13"/>
      <c r="AZ275" s="13"/>
      <c r="BA275" s="105"/>
      <c r="BB275" s="13"/>
      <c r="BC275" s="13"/>
      <c r="BD275" s="13"/>
      <c r="BE275" s="13"/>
      <c r="BF275" s="88"/>
      <c r="BG275" s="88"/>
      <c r="BH275" s="88"/>
      <c r="BI275" s="88"/>
      <c r="BJ275" s="88"/>
      <c r="BK275" s="105"/>
      <c r="BL275" s="105"/>
      <c r="BM275" s="105"/>
      <c r="BN275" s="105"/>
      <c r="BO275" s="105"/>
      <c r="BP275" s="105"/>
      <c r="BQ275" s="79"/>
      <c r="BR275" s="79"/>
      <c r="BS275" s="79"/>
      <c r="BT275" s="79"/>
      <c r="BU275" s="79"/>
      <c r="BV275" s="90"/>
      <c r="BW275" s="106"/>
      <c r="BX275" s="106"/>
      <c r="BY275" s="106"/>
      <c r="BZ275" s="106"/>
      <c r="CA275" s="106"/>
    </row>
    <row r="276" spans="1:79" x14ac:dyDescent="0.35">
      <c r="A276" s="25" t="s">
        <v>289</v>
      </c>
      <c r="B276" s="10" t="s">
        <v>334</v>
      </c>
      <c r="C276" s="10" t="s">
        <v>342</v>
      </c>
      <c r="D276" s="10" t="s">
        <v>346</v>
      </c>
      <c r="E276" s="11">
        <v>45920</v>
      </c>
      <c r="F276" s="17">
        <v>45892</v>
      </c>
      <c r="G276" s="14">
        <f t="shared" ca="1" si="89"/>
        <v>207</v>
      </c>
      <c r="H276" s="17">
        <v>999</v>
      </c>
      <c r="I276" s="17">
        <v>435</v>
      </c>
      <c r="J276" s="75">
        <f t="shared" si="90"/>
        <v>900</v>
      </c>
      <c r="K276" s="17">
        <v>900</v>
      </c>
      <c r="L276" s="89">
        <v>0</v>
      </c>
      <c r="M276" s="86">
        <f t="shared" ca="1" si="91"/>
        <v>0</v>
      </c>
      <c r="N276" s="86">
        <f t="shared" si="92"/>
        <v>0.80451009251471861</v>
      </c>
      <c r="O276" s="86">
        <f t="shared" si="93"/>
        <v>0</v>
      </c>
      <c r="P276" s="87">
        <f t="shared" si="94"/>
        <v>0</v>
      </c>
      <c r="Q276" s="104" t="e">
        <f t="shared" si="95"/>
        <v>#DIV/0!</v>
      </c>
      <c r="R276" s="88">
        <f t="shared" si="96"/>
        <v>56.456456456456458</v>
      </c>
      <c r="S276" s="88">
        <f t="shared" si="97"/>
        <v>0</v>
      </c>
      <c r="T276" s="13">
        <f t="shared" si="98"/>
        <v>1</v>
      </c>
      <c r="U276" s="13" t="e">
        <f t="shared" si="99"/>
        <v>#DIV/0!</v>
      </c>
      <c r="V276" s="13">
        <f t="shared" si="100"/>
        <v>2</v>
      </c>
      <c r="W276" s="13">
        <f t="shared" ca="1" si="101"/>
        <v>3</v>
      </c>
      <c r="X276" s="13" t="e">
        <f t="shared" ca="1" si="102"/>
        <v>#DIV/0!</v>
      </c>
      <c r="Y276" s="81" t="str">
        <f t="shared" ca="1" si="103"/>
        <v>EXIT</v>
      </c>
      <c r="Z276" s="13">
        <v>14</v>
      </c>
      <c r="AA276" s="75">
        <v>46059</v>
      </c>
      <c r="AB276" s="75">
        <f t="shared" si="104"/>
        <v>45920</v>
      </c>
      <c r="AC276" s="88">
        <f t="shared" si="105"/>
        <v>19.857142857142858</v>
      </c>
      <c r="AD276" s="89" t="str">
        <f t="shared" ca="1" si="106"/>
        <v>STABLE</v>
      </c>
      <c r="AE276" s="89" t="str">
        <f t="shared" si="88"/>
        <v>SLOW SELLING</v>
      </c>
      <c r="AF276" s="89" t="e">
        <f t="shared" si="107"/>
        <v>#DIV/0!</v>
      </c>
      <c r="AG276" s="89" t="str">
        <f t="shared" si="108"/>
        <v>FEASIBLE</v>
      </c>
      <c r="AH276" s="81" t="str">
        <f t="shared" ca="1" si="109"/>
        <v>MONITOR</v>
      </c>
      <c r="AI276" s="75"/>
      <c r="AJ276" s="75"/>
      <c r="AK276" s="13"/>
      <c r="AL276" s="79"/>
      <c r="AM276" s="79"/>
      <c r="AN276" s="79"/>
      <c r="AO276" s="79"/>
      <c r="AP276" s="79"/>
      <c r="AQ276" s="75"/>
      <c r="AR276" s="75"/>
      <c r="AS276" s="75"/>
      <c r="AT276" s="75"/>
      <c r="AU276" s="75"/>
      <c r="AV276" s="13"/>
      <c r="AW276" s="13"/>
      <c r="AX276" s="13"/>
      <c r="AY276" s="13"/>
      <c r="AZ276" s="13"/>
      <c r="BA276" s="105"/>
      <c r="BB276" s="13"/>
      <c r="BC276" s="13"/>
      <c r="BD276" s="13"/>
      <c r="BE276" s="13"/>
      <c r="BF276" s="88"/>
      <c r="BG276" s="88"/>
      <c r="BH276" s="88"/>
      <c r="BI276" s="88"/>
      <c r="BJ276" s="88"/>
      <c r="BK276" s="105"/>
      <c r="BL276" s="105"/>
      <c r="BM276" s="105"/>
      <c r="BN276" s="105"/>
      <c r="BO276" s="105"/>
      <c r="BP276" s="105"/>
      <c r="BQ276" s="79"/>
      <c r="BR276" s="79"/>
      <c r="BS276" s="79"/>
      <c r="BT276" s="79"/>
      <c r="BU276" s="79"/>
      <c r="BV276" s="90"/>
      <c r="BW276" s="106"/>
      <c r="BX276" s="106"/>
      <c r="BY276" s="106"/>
      <c r="BZ276" s="106"/>
      <c r="CA276" s="106"/>
    </row>
    <row r="277" spans="1:79" x14ac:dyDescent="0.35">
      <c r="A277" s="25" t="s">
        <v>290</v>
      </c>
      <c r="B277" s="10" t="s">
        <v>334</v>
      </c>
      <c r="C277" s="10" t="s">
        <v>342</v>
      </c>
      <c r="D277" s="10" t="s">
        <v>346</v>
      </c>
      <c r="E277" s="11">
        <v>45920</v>
      </c>
      <c r="F277" s="17">
        <v>45892</v>
      </c>
      <c r="G277" s="14">
        <f t="shared" ca="1" si="89"/>
        <v>207</v>
      </c>
      <c r="H277" s="17">
        <v>999</v>
      </c>
      <c r="I277" s="17">
        <v>435</v>
      </c>
      <c r="J277" s="75">
        <f t="shared" si="90"/>
        <v>734</v>
      </c>
      <c r="K277" s="17">
        <v>900</v>
      </c>
      <c r="L277" s="85">
        <v>166</v>
      </c>
      <c r="M277" s="86">
        <f t="shared" ca="1" si="91"/>
        <v>0.80193236714975846</v>
      </c>
      <c r="N277" s="86">
        <f t="shared" si="92"/>
        <v>0.80451009251471861</v>
      </c>
      <c r="O277" s="86">
        <f t="shared" si="93"/>
        <v>0.50609756097560976</v>
      </c>
      <c r="P277" s="87">
        <f t="shared" si="94"/>
        <v>41.5</v>
      </c>
      <c r="Q277" s="104">
        <f t="shared" si="95"/>
        <v>17.686746987951807</v>
      </c>
      <c r="R277" s="88">
        <f t="shared" si="96"/>
        <v>56.456456456456458</v>
      </c>
      <c r="S277" s="88">
        <f t="shared" si="97"/>
        <v>18.444444444444443</v>
      </c>
      <c r="T277" s="13">
        <f t="shared" si="98"/>
        <v>1</v>
      </c>
      <c r="U277" s="13">
        <f t="shared" si="99"/>
        <v>1</v>
      </c>
      <c r="V277" s="13">
        <f t="shared" si="100"/>
        <v>2</v>
      </c>
      <c r="W277" s="13">
        <f t="shared" ca="1" si="101"/>
        <v>3</v>
      </c>
      <c r="X277" s="13">
        <f t="shared" ca="1" si="102"/>
        <v>7</v>
      </c>
      <c r="Y277" s="81" t="str">
        <f t="shared" ca="1" si="103"/>
        <v>MONITOR</v>
      </c>
      <c r="Z277" s="13">
        <v>14</v>
      </c>
      <c r="AA277" s="75">
        <v>46059</v>
      </c>
      <c r="AB277" s="75">
        <f t="shared" si="104"/>
        <v>45920</v>
      </c>
      <c r="AC277" s="88">
        <f t="shared" si="105"/>
        <v>19.857142857142858</v>
      </c>
      <c r="AD277" s="89" t="str">
        <f t="shared" ca="1" si="106"/>
        <v>STABLE</v>
      </c>
      <c r="AE277" s="89" t="str">
        <f t="shared" si="88"/>
        <v>SLOW SELLING</v>
      </c>
      <c r="AF277" s="89" t="str">
        <f t="shared" si="107"/>
        <v>AT RISK</v>
      </c>
      <c r="AG277" s="89" t="str">
        <f t="shared" si="108"/>
        <v>FEASIBLE</v>
      </c>
      <c r="AH277" s="81" t="str">
        <f t="shared" ca="1" si="109"/>
        <v>MONITOR</v>
      </c>
      <c r="AI277" s="75"/>
      <c r="AJ277" s="75"/>
      <c r="AK277" s="13"/>
      <c r="AL277" s="79"/>
      <c r="AM277" s="79"/>
      <c r="AN277" s="79"/>
      <c r="AO277" s="79"/>
      <c r="AP277" s="79"/>
      <c r="AQ277" s="75"/>
      <c r="AR277" s="75"/>
      <c r="AS277" s="75"/>
      <c r="AT277" s="75"/>
      <c r="AU277" s="75"/>
      <c r="AV277" s="13"/>
      <c r="AW277" s="13"/>
      <c r="AX277" s="13"/>
      <c r="AY277" s="13"/>
      <c r="AZ277" s="13"/>
      <c r="BA277" s="105"/>
      <c r="BB277" s="13"/>
      <c r="BC277" s="13"/>
      <c r="BD277" s="13"/>
      <c r="BE277" s="13"/>
      <c r="BF277" s="88"/>
      <c r="BG277" s="88"/>
      <c r="BH277" s="88"/>
      <c r="BI277" s="88"/>
      <c r="BJ277" s="88"/>
      <c r="BK277" s="105"/>
      <c r="BL277" s="105"/>
      <c r="BM277" s="105"/>
      <c r="BN277" s="105"/>
      <c r="BO277" s="105"/>
      <c r="BP277" s="105"/>
      <c r="BQ277" s="79"/>
      <c r="BR277" s="79"/>
      <c r="BS277" s="79"/>
      <c r="BT277" s="79"/>
      <c r="BU277" s="79"/>
      <c r="BV277" s="90"/>
      <c r="BW277" s="106"/>
      <c r="BX277" s="106"/>
      <c r="BY277" s="106"/>
      <c r="BZ277" s="106"/>
      <c r="CA277" s="106"/>
    </row>
    <row r="278" spans="1:79" x14ac:dyDescent="0.35">
      <c r="A278" s="25" t="s">
        <v>291</v>
      </c>
      <c r="B278" s="10" t="s">
        <v>334</v>
      </c>
      <c r="C278" s="10" t="s">
        <v>342</v>
      </c>
      <c r="D278" s="10" t="s">
        <v>346</v>
      </c>
      <c r="E278" s="11">
        <v>45920</v>
      </c>
      <c r="F278" s="17">
        <v>45892</v>
      </c>
      <c r="G278" s="14">
        <f t="shared" ca="1" si="89"/>
        <v>207</v>
      </c>
      <c r="H278" s="17">
        <v>999</v>
      </c>
      <c r="I278" s="17">
        <v>460</v>
      </c>
      <c r="J278" s="75">
        <f t="shared" si="90"/>
        <v>846</v>
      </c>
      <c r="K278" s="17">
        <v>900</v>
      </c>
      <c r="L278" s="85">
        <v>54</v>
      </c>
      <c r="M278" s="86">
        <f t="shared" ca="1" si="91"/>
        <v>0.2608695652173913</v>
      </c>
      <c r="N278" s="86">
        <f t="shared" si="92"/>
        <v>0.80451009251471861</v>
      </c>
      <c r="O278" s="86">
        <f t="shared" si="93"/>
        <v>0.16463414634146342</v>
      </c>
      <c r="P278" s="87">
        <f t="shared" si="94"/>
        <v>13.5</v>
      </c>
      <c r="Q278" s="104">
        <f t="shared" si="95"/>
        <v>62.666666666666664</v>
      </c>
      <c r="R278" s="88">
        <f t="shared" si="96"/>
        <v>53.953953953953956</v>
      </c>
      <c r="S278" s="88">
        <f t="shared" si="97"/>
        <v>6</v>
      </c>
      <c r="T278" s="13">
        <f t="shared" si="98"/>
        <v>1</v>
      </c>
      <c r="U278" s="13">
        <f t="shared" si="99"/>
        <v>1</v>
      </c>
      <c r="V278" s="13">
        <f t="shared" si="100"/>
        <v>2</v>
      </c>
      <c r="W278" s="13">
        <f t="shared" ca="1" si="101"/>
        <v>3</v>
      </c>
      <c r="X278" s="13">
        <f t="shared" ca="1" si="102"/>
        <v>7</v>
      </c>
      <c r="Y278" s="81" t="str">
        <f t="shared" ca="1" si="103"/>
        <v>MONITOR</v>
      </c>
      <c r="Z278" s="13">
        <v>14</v>
      </c>
      <c r="AA278" s="75">
        <v>46059</v>
      </c>
      <c r="AB278" s="75">
        <f t="shared" si="104"/>
        <v>45920</v>
      </c>
      <c r="AC278" s="88">
        <f t="shared" si="105"/>
        <v>19.857142857142858</v>
      </c>
      <c r="AD278" s="89" t="str">
        <f t="shared" ca="1" si="106"/>
        <v>STABLE</v>
      </c>
      <c r="AE278" s="89" t="str">
        <f t="shared" si="88"/>
        <v>SLOW SELLING</v>
      </c>
      <c r="AF278" s="89" t="str">
        <f t="shared" si="107"/>
        <v>AT RISK</v>
      </c>
      <c r="AG278" s="89" t="str">
        <f t="shared" si="108"/>
        <v>FEASIBLE</v>
      </c>
      <c r="AH278" s="81" t="str">
        <f t="shared" ca="1" si="109"/>
        <v>MONITOR</v>
      </c>
      <c r="AI278" s="75"/>
      <c r="AJ278" s="75"/>
      <c r="AK278" s="13"/>
      <c r="AL278" s="79"/>
      <c r="AM278" s="79"/>
      <c r="AN278" s="79"/>
      <c r="AO278" s="79"/>
      <c r="AP278" s="79"/>
      <c r="AQ278" s="75"/>
      <c r="AR278" s="75"/>
      <c r="AS278" s="75"/>
      <c r="AT278" s="75"/>
      <c r="AU278" s="75"/>
      <c r="AV278" s="13"/>
      <c r="AW278" s="13"/>
      <c r="AX278" s="13"/>
      <c r="AY278" s="13"/>
      <c r="AZ278" s="13"/>
      <c r="BA278" s="105"/>
      <c r="BB278" s="13"/>
      <c r="BC278" s="13"/>
      <c r="BD278" s="13"/>
      <c r="BE278" s="13"/>
      <c r="BF278" s="88"/>
      <c r="BG278" s="88"/>
      <c r="BH278" s="88"/>
      <c r="BI278" s="88"/>
      <c r="BJ278" s="88"/>
      <c r="BK278" s="105"/>
      <c r="BL278" s="105"/>
      <c r="BM278" s="105"/>
      <c r="BN278" s="105"/>
      <c r="BO278" s="105"/>
      <c r="BP278" s="105"/>
      <c r="BQ278" s="79"/>
      <c r="BR278" s="79"/>
      <c r="BS278" s="79"/>
      <c r="BT278" s="79"/>
      <c r="BU278" s="79"/>
      <c r="BV278" s="90"/>
      <c r="BW278" s="106"/>
      <c r="BX278" s="106"/>
      <c r="BY278" s="106"/>
      <c r="BZ278" s="106"/>
      <c r="CA278" s="106"/>
    </row>
    <row r="279" spans="1:79" x14ac:dyDescent="0.35">
      <c r="A279" s="25" t="s">
        <v>292</v>
      </c>
      <c r="B279" s="10" t="s">
        <v>334</v>
      </c>
      <c r="C279" s="10" t="s">
        <v>342</v>
      </c>
      <c r="D279" s="10" t="s">
        <v>346</v>
      </c>
      <c r="E279" s="11">
        <v>45920</v>
      </c>
      <c r="F279" s="17">
        <v>45892</v>
      </c>
      <c r="G279" s="14">
        <f t="shared" ca="1" si="89"/>
        <v>207</v>
      </c>
      <c r="H279" s="17">
        <v>999</v>
      </c>
      <c r="I279" s="17">
        <v>460</v>
      </c>
      <c r="J279" s="75">
        <f t="shared" si="90"/>
        <v>691</v>
      </c>
      <c r="K279" s="17">
        <v>900</v>
      </c>
      <c r="L279" s="85">
        <v>209</v>
      </c>
      <c r="M279" s="86">
        <f t="shared" ca="1" si="91"/>
        <v>1.0096618357487923</v>
      </c>
      <c r="N279" s="86">
        <f t="shared" si="92"/>
        <v>0.80451009251471861</v>
      </c>
      <c r="O279" s="86">
        <f t="shared" si="93"/>
        <v>0.63719512195121952</v>
      </c>
      <c r="P279" s="87">
        <f t="shared" si="94"/>
        <v>52.25</v>
      </c>
      <c r="Q279" s="104">
        <f t="shared" si="95"/>
        <v>13.224880382775119</v>
      </c>
      <c r="R279" s="88">
        <f t="shared" si="96"/>
        <v>53.953953953953956</v>
      </c>
      <c r="S279" s="88">
        <f t="shared" si="97"/>
        <v>23.222222222222221</v>
      </c>
      <c r="T279" s="13">
        <f t="shared" si="98"/>
        <v>1</v>
      </c>
      <c r="U279" s="13">
        <f t="shared" si="99"/>
        <v>1</v>
      </c>
      <c r="V279" s="13">
        <f t="shared" si="100"/>
        <v>2</v>
      </c>
      <c r="W279" s="13">
        <f t="shared" ca="1" si="101"/>
        <v>3</v>
      </c>
      <c r="X279" s="13">
        <f t="shared" ca="1" si="102"/>
        <v>7</v>
      </c>
      <c r="Y279" s="81" t="str">
        <f t="shared" ca="1" si="103"/>
        <v>MONITOR</v>
      </c>
      <c r="Z279" s="13">
        <v>14</v>
      </c>
      <c r="AA279" s="75">
        <v>46059</v>
      </c>
      <c r="AB279" s="75">
        <f t="shared" si="104"/>
        <v>45920</v>
      </c>
      <c r="AC279" s="88">
        <f t="shared" si="105"/>
        <v>19.857142857142858</v>
      </c>
      <c r="AD279" s="89" t="str">
        <f t="shared" ca="1" si="106"/>
        <v>STABLE</v>
      </c>
      <c r="AE279" s="89" t="str">
        <f t="shared" si="88"/>
        <v>SLOW SELLING</v>
      </c>
      <c r="AF279" s="89" t="str">
        <f t="shared" si="107"/>
        <v>AT RISK</v>
      </c>
      <c r="AG279" s="89" t="str">
        <f t="shared" si="108"/>
        <v>FEASIBLE</v>
      </c>
      <c r="AH279" s="81" t="str">
        <f t="shared" ca="1" si="109"/>
        <v>MONITOR</v>
      </c>
      <c r="AI279" s="75"/>
      <c r="AJ279" s="75"/>
      <c r="AK279" s="13"/>
      <c r="AL279" s="79"/>
      <c r="AM279" s="79"/>
      <c r="AN279" s="79"/>
      <c r="AO279" s="79"/>
      <c r="AP279" s="79"/>
      <c r="AQ279" s="75"/>
      <c r="AR279" s="75"/>
      <c r="AS279" s="75"/>
      <c r="AT279" s="75"/>
      <c r="AU279" s="75"/>
      <c r="AV279" s="13"/>
      <c r="AW279" s="13"/>
      <c r="AX279" s="13"/>
      <c r="AY279" s="13"/>
      <c r="AZ279" s="13"/>
      <c r="BA279" s="105"/>
      <c r="BB279" s="13"/>
      <c r="BC279" s="13"/>
      <c r="BD279" s="13"/>
      <c r="BE279" s="13"/>
      <c r="BF279" s="88"/>
      <c r="BG279" s="88"/>
      <c r="BH279" s="88"/>
      <c r="BI279" s="88"/>
      <c r="BJ279" s="88"/>
      <c r="BK279" s="105"/>
      <c r="BL279" s="105"/>
      <c r="BM279" s="105"/>
      <c r="BN279" s="105"/>
      <c r="BO279" s="105"/>
      <c r="BP279" s="105"/>
      <c r="BQ279" s="79"/>
      <c r="BR279" s="79"/>
      <c r="BS279" s="79"/>
      <c r="BT279" s="79"/>
      <c r="BU279" s="79"/>
      <c r="BV279" s="90"/>
      <c r="BW279" s="106"/>
      <c r="BX279" s="106"/>
      <c r="BY279" s="106"/>
      <c r="BZ279" s="106"/>
      <c r="CA279" s="106"/>
    </row>
    <row r="280" spans="1:79" x14ac:dyDescent="0.35">
      <c r="A280" s="25" t="s">
        <v>293</v>
      </c>
      <c r="B280" s="10" t="s">
        <v>338</v>
      </c>
      <c r="C280" s="10" t="s">
        <v>342</v>
      </c>
      <c r="D280" s="10" t="s">
        <v>346</v>
      </c>
      <c r="E280" s="11">
        <v>45976</v>
      </c>
      <c r="F280" s="17">
        <v>45892</v>
      </c>
      <c r="G280" s="14">
        <f t="shared" ca="1" si="89"/>
        <v>207</v>
      </c>
      <c r="H280" s="17">
        <v>799</v>
      </c>
      <c r="I280" s="17">
        <v>360</v>
      </c>
      <c r="J280" s="75">
        <f t="shared" si="90"/>
        <v>800</v>
      </c>
      <c r="K280" s="18">
        <v>800</v>
      </c>
      <c r="L280" s="89">
        <v>0</v>
      </c>
      <c r="M280" s="86">
        <f t="shared" ca="1" si="91"/>
        <v>0</v>
      </c>
      <c r="N280" s="86">
        <f t="shared" si="92"/>
        <v>0.80451009251471861</v>
      </c>
      <c r="O280" s="86">
        <f t="shared" si="93"/>
        <v>0</v>
      </c>
      <c r="P280" s="87">
        <f t="shared" si="94"/>
        <v>0</v>
      </c>
      <c r="Q280" s="104" t="e">
        <f t="shared" si="95"/>
        <v>#DIV/0!</v>
      </c>
      <c r="R280" s="88">
        <f t="shared" si="96"/>
        <v>54.943679599499376</v>
      </c>
      <c r="S280" s="88">
        <f t="shared" si="97"/>
        <v>0</v>
      </c>
      <c r="T280" s="13">
        <f t="shared" si="98"/>
        <v>1</v>
      </c>
      <c r="U280" s="13" t="e">
        <f t="shared" si="99"/>
        <v>#DIV/0!</v>
      </c>
      <c r="V280" s="13">
        <f t="shared" si="100"/>
        <v>2</v>
      </c>
      <c r="W280" s="13">
        <f t="shared" ca="1" si="101"/>
        <v>3</v>
      </c>
      <c r="X280" s="13" t="e">
        <f t="shared" ca="1" si="102"/>
        <v>#DIV/0!</v>
      </c>
      <c r="Y280" s="81" t="str">
        <f t="shared" ca="1" si="103"/>
        <v>EXIT</v>
      </c>
      <c r="Z280" s="13">
        <v>14</v>
      </c>
      <c r="AA280" s="75">
        <v>46059</v>
      </c>
      <c r="AB280" s="75">
        <f t="shared" si="104"/>
        <v>45920</v>
      </c>
      <c r="AC280" s="88">
        <f t="shared" si="105"/>
        <v>19.857142857142858</v>
      </c>
      <c r="AD280" s="89" t="str">
        <f t="shared" ca="1" si="106"/>
        <v>STABLE</v>
      </c>
      <c r="AE280" s="89" t="str">
        <f t="shared" ref="AE280:AE300" si="110">IF(O280&gt;=N280,"FAST SELLING","SLOW SELLING")</f>
        <v>SLOW SELLING</v>
      </c>
      <c r="AF280" s="89" t="e">
        <f t="shared" si="107"/>
        <v>#DIV/0!</v>
      </c>
      <c r="AG280" s="89" t="str">
        <f t="shared" si="108"/>
        <v>FEASIBLE</v>
      </c>
      <c r="AH280" s="81" t="str">
        <f t="shared" ca="1" si="109"/>
        <v>MONITOR</v>
      </c>
      <c r="AI280" s="75"/>
      <c r="AJ280" s="75"/>
      <c r="AK280" s="13"/>
      <c r="AL280" s="79"/>
      <c r="AM280" s="79"/>
      <c r="AN280" s="79"/>
      <c r="AO280" s="79"/>
      <c r="AP280" s="79"/>
      <c r="AQ280" s="75"/>
      <c r="AR280" s="75"/>
      <c r="AS280" s="75"/>
      <c r="AT280" s="75"/>
      <c r="AU280" s="75"/>
      <c r="AV280" s="13"/>
      <c r="AW280" s="13"/>
      <c r="AX280" s="13"/>
      <c r="AY280" s="13"/>
      <c r="AZ280" s="13"/>
      <c r="BA280" s="105"/>
      <c r="BB280" s="13"/>
      <c r="BC280" s="13"/>
      <c r="BD280" s="13"/>
      <c r="BE280" s="13"/>
      <c r="BF280" s="88"/>
      <c r="BG280" s="88"/>
      <c r="BH280" s="88"/>
      <c r="BI280" s="88"/>
      <c r="BJ280" s="88"/>
      <c r="BK280" s="105"/>
      <c r="BL280" s="105"/>
      <c r="BM280" s="105"/>
      <c r="BN280" s="105"/>
      <c r="BO280" s="105"/>
      <c r="BP280" s="105"/>
      <c r="BQ280" s="79"/>
      <c r="BR280" s="79"/>
      <c r="BS280" s="79"/>
      <c r="BT280" s="79"/>
      <c r="BU280" s="79"/>
      <c r="BV280" s="90"/>
      <c r="BW280" s="106"/>
      <c r="BX280" s="106"/>
      <c r="BY280" s="106"/>
      <c r="BZ280" s="106"/>
      <c r="CA280" s="106"/>
    </row>
    <row r="281" spans="1:79" x14ac:dyDescent="0.35">
      <c r="A281" s="25" t="s">
        <v>294</v>
      </c>
      <c r="B281" s="10" t="s">
        <v>335</v>
      </c>
      <c r="C281" s="10" t="s">
        <v>342</v>
      </c>
      <c r="D281" s="10" t="s">
        <v>346</v>
      </c>
      <c r="E281" s="11">
        <v>45892</v>
      </c>
      <c r="F281" s="17">
        <v>45892</v>
      </c>
      <c r="G281" s="14">
        <f t="shared" ca="1" si="89"/>
        <v>207</v>
      </c>
      <c r="H281" s="17">
        <v>399</v>
      </c>
      <c r="I281" s="17">
        <v>205</v>
      </c>
      <c r="J281" s="75">
        <f t="shared" si="90"/>
        <v>632</v>
      </c>
      <c r="K281" s="17">
        <v>1000</v>
      </c>
      <c r="L281" s="85">
        <v>368</v>
      </c>
      <c r="M281" s="86">
        <f t="shared" ca="1" si="91"/>
        <v>1.7777777777777777</v>
      </c>
      <c r="N281" s="86">
        <f t="shared" si="92"/>
        <v>0.80451009251471861</v>
      </c>
      <c r="O281" s="86">
        <f t="shared" si="93"/>
        <v>1.1219512195121952</v>
      </c>
      <c r="P281" s="87">
        <f t="shared" si="94"/>
        <v>92.000000000000014</v>
      </c>
      <c r="Q281" s="104">
        <f t="shared" si="95"/>
        <v>6.8695652173913029</v>
      </c>
      <c r="R281" s="88">
        <f t="shared" si="96"/>
        <v>48.62155388471178</v>
      </c>
      <c r="S281" s="88">
        <f t="shared" si="97"/>
        <v>36.799999999999997</v>
      </c>
      <c r="T281" s="13">
        <f t="shared" si="98"/>
        <v>3</v>
      </c>
      <c r="U281" s="13">
        <f t="shared" si="99"/>
        <v>1</v>
      </c>
      <c r="V281" s="13">
        <f t="shared" si="100"/>
        <v>2</v>
      </c>
      <c r="W281" s="13">
        <f t="shared" ca="1" si="101"/>
        <v>3</v>
      </c>
      <c r="X281" s="13">
        <f t="shared" ca="1" si="102"/>
        <v>9</v>
      </c>
      <c r="Y281" s="81" t="str">
        <f t="shared" ca="1" si="103"/>
        <v>RE-BUY</v>
      </c>
      <c r="Z281" s="13">
        <v>14</v>
      </c>
      <c r="AA281" s="75">
        <v>46059</v>
      </c>
      <c r="AB281" s="75">
        <f t="shared" si="104"/>
        <v>45920</v>
      </c>
      <c r="AC281" s="88">
        <f t="shared" si="105"/>
        <v>19.857142857142858</v>
      </c>
      <c r="AD281" s="89" t="str">
        <f t="shared" ca="1" si="106"/>
        <v>STABLE</v>
      </c>
      <c r="AE281" s="89" t="str">
        <f t="shared" si="110"/>
        <v>FAST SELLING</v>
      </c>
      <c r="AF281" s="89" t="str">
        <f t="shared" si="107"/>
        <v>AT RISK</v>
      </c>
      <c r="AG281" s="89" t="str">
        <f t="shared" si="108"/>
        <v>FEASIBLE</v>
      </c>
      <c r="AH281" s="81" t="str">
        <f t="shared" ca="1" si="109"/>
        <v>IMMEDIATE REBUY</v>
      </c>
      <c r="AI281" s="75"/>
      <c r="AJ281" s="75"/>
      <c r="AK281" s="13"/>
      <c r="AL281" s="79"/>
      <c r="AM281" s="79"/>
      <c r="AN281" s="79"/>
      <c r="AO281" s="79"/>
      <c r="AP281" s="79"/>
      <c r="AQ281" s="75"/>
      <c r="AR281" s="75"/>
      <c r="AS281" s="75"/>
      <c r="AT281" s="75"/>
      <c r="AU281" s="75"/>
      <c r="AV281" s="13"/>
      <c r="AW281" s="13"/>
      <c r="AX281" s="13"/>
      <c r="AY281" s="13"/>
      <c r="AZ281" s="13"/>
      <c r="BA281" s="105"/>
      <c r="BB281" s="13"/>
      <c r="BC281" s="13"/>
      <c r="BD281" s="13"/>
      <c r="BE281" s="13"/>
      <c r="BF281" s="88"/>
      <c r="BG281" s="88"/>
      <c r="BH281" s="88"/>
      <c r="BI281" s="88"/>
      <c r="BJ281" s="88"/>
      <c r="BK281" s="105"/>
      <c r="BL281" s="105"/>
      <c r="BM281" s="105"/>
      <c r="BN281" s="105"/>
      <c r="BO281" s="105"/>
      <c r="BP281" s="105"/>
      <c r="BQ281" s="79"/>
      <c r="BR281" s="79"/>
      <c r="BS281" s="79"/>
      <c r="BT281" s="79"/>
      <c r="BU281" s="79"/>
      <c r="BV281" s="90"/>
      <c r="BW281" s="106"/>
      <c r="BX281" s="106"/>
      <c r="BY281" s="106"/>
      <c r="BZ281" s="106"/>
      <c r="CA281" s="106"/>
    </row>
    <row r="282" spans="1:79" x14ac:dyDescent="0.35">
      <c r="A282" s="25" t="s">
        <v>295</v>
      </c>
      <c r="B282" s="10" t="s">
        <v>335</v>
      </c>
      <c r="C282" s="10" t="s">
        <v>342</v>
      </c>
      <c r="D282" s="10" t="s">
        <v>346</v>
      </c>
      <c r="E282" s="11">
        <v>45892</v>
      </c>
      <c r="F282" s="17">
        <v>45892</v>
      </c>
      <c r="G282" s="14">
        <f t="shared" ca="1" si="89"/>
        <v>207</v>
      </c>
      <c r="H282" s="17">
        <v>399</v>
      </c>
      <c r="I282" s="17">
        <v>205</v>
      </c>
      <c r="J282" s="75">
        <f t="shared" si="90"/>
        <v>840</v>
      </c>
      <c r="K282" s="17">
        <v>1000</v>
      </c>
      <c r="L282" s="85">
        <v>160</v>
      </c>
      <c r="M282" s="86">
        <f t="shared" ca="1" si="91"/>
        <v>0.77294685990338163</v>
      </c>
      <c r="N282" s="86">
        <f t="shared" si="92"/>
        <v>0.80451009251471861</v>
      </c>
      <c r="O282" s="86">
        <f t="shared" si="93"/>
        <v>0.48780487804878048</v>
      </c>
      <c r="P282" s="87">
        <f t="shared" si="94"/>
        <v>40</v>
      </c>
      <c r="Q282" s="104">
        <f t="shared" si="95"/>
        <v>21</v>
      </c>
      <c r="R282" s="88">
        <f t="shared" si="96"/>
        <v>48.62155388471178</v>
      </c>
      <c r="S282" s="88">
        <f t="shared" si="97"/>
        <v>16</v>
      </c>
      <c r="T282" s="13">
        <f t="shared" si="98"/>
        <v>1</v>
      </c>
      <c r="U282" s="13">
        <f t="shared" si="99"/>
        <v>1</v>
      </c>
      <c r="V282" s="13">
        <f t="shared" si="100"/>
        <v>2</v>
      </c>
      <c r="W282" s="13">
        <f t="shared" ca="1" si="101"/>
        <v>3</v>
      </c>
      <c r="X282" s="13">
        <f t="shared" ca="1" si="102"/>
        <v>7</v>
      </c>
      <c r="Y282" s="81" t="str">
        <f t="shared" ca="1" si="103"/>
        <v>MONITOR</v>
      </c>
      <c r="Z282" s="13">
        <v>14</v>
      </c>
      <c r="AA282" s="75">
        <v>46059</v>
      </c>
      <c r="AB282" s="75">
        <f t="shared" si="104"/>
        <v>45920</v>
      </c>
      <c r="AC282" s="88">
        <f t="shared" si="105"/>
        <v>19.857142857142858</v>
      </c>
      <c r="AD282" s="89" t="str">
        <f t="shared" ca="1" si="106"/>
        <v>STABLE</v>
      </c>
      <c r="AE282" s="89" t="str">
        <f t="shared" si="110"/>
        <v>SLOW SELLING</v>
      </c>
      <c r="AF282" s="89" t="str">
        <f t="shared" si="107"/>
        <v>AT RISK</v>
      </c>
      <c r="AG282" s="89" t="str">
        <f t="shared" si="108"/>
        <v>FEASIBLE</v>
      </c>
      <c r="AH282" s="81" t="str">
        <f t="shared" ca="1" si="109"/>
        <v>MONITOR</v>
      </c>
      <c r="AI282" s="75"/>
      <c r="AJ282" s="75"/>
      <c r="AK282" s="13"/>
      <c r="AL282" s="79"/>
      <c r="AM282" s="79"/>
      <c r="AN282" s="79"/>
      <c r="AO282" s="79"/>
      <c r="AP282" s="79"/>
      <c r="AQ282" s="75"/>
      <c r="AR282" s="75"/>
      <c r="AS282" s="75"/>
      <c r="AT282" s="75"/>
      <c r="AU282" s="75"/>
      <c r="AV282" s="13"/>
      <c r="AW282" s="13"/>
      <c r="AX282" s="13"/>
      <c r="AY282" s="13"/>
      <c r="AZ282" s="13"/>
      <c r="BA282" s="105"/>
      <c r="BB282" s="13"/>
      <c r="BC282" s="13"/>
      <c r="BD282" s="13"/>
      <c r="BE282" s="13"/>
      <c r="BF282" s="88"/>
      <c r="BG282" s="88"/>
      <c r="BH282" s="88"/>
      <c r="BI282" s="88"/>
      <c r="BJ282" s="88"/>
      <c r="BK282" s="105"/>
      <c r="BL282" s="105"/>
      <c r="BM282" s="105"/>
      <c r="BN282" s="105"/>
      <c r="BO282" s="105"/>
      <c r="BP282" s="105"/>
      <c r="BQ282" s="79"/>
      <c r="BR282" s="79"/>
      <c r="BS282" s="79"/>
      <c r="BT282" s="79"/>
      <c r="BU282" s="79"/>
      <c r="BV282" s="90"/>
      <c r="BW282" s="106"/>
      <c r="BX282" s="106"/>
      <c r="BY282" s="106"/>
      <c r="BZ282" s="106"/>
      <c r="CA282" s="106"/>
    </row>
    <row r="283" spans="1:79" x14ac:dyDescent="0.35">
      <c r="A283" s="25" t="s">
        <v>296</v>
      </c>
      <c r="B283" s="10" t="s">
        <v>335</v>
      </c>
      <c r="C283" s="10" t="s">
        <v>342</v>
      </c>
      <c r="D283" s="10" t="s">
        <v>346</v>
      </c>
      <c r="E283" s="11">
        <v>45920</v>
      </c>
      <c r="F283" s="17">
        <v>45892</v>
      </c>
      <c r="G283" s="14">
        <f t="shared" ca="1" si="89"/>
        <v>207</v>
      </c>
      <c r="H283" s="17">
        <v>399</v>
      </c>
      <c r="I283" s="17">
        <v>295</v>
      </c>
      <c r="J283" s="75">
        <f t="shared" si="90"/>
        <v>603</v>
      </c>
      <c r="K283" s="17">
        <v>1000</v>
      </c>
      <c r="L283" s="85">
        <v>397</v>
      </c>
      <c r="M283" s="86">
        <f t="shared" ca="1" si="91"/>
        <v>1.9178743961352658</v>
      </c>
      <c r="N283" s="86">
        <f t="shared" si="92"/>
        <v>0.80451009251471861</v>
      </c>
      <c r="O283" s="86">
        <f t="shared" si="93"/>
        <v>1.2103658536585367</v>
      </c>
      <c r="P283" s="87">
        <f t="shared" si="94"/>
        <v>99.25</v>
      </c>
      <c r="Q283" s="104">
        <f t="shared" si="95"/>
        <v>6.0755667506297231</v>
      </c>
      <c r="R283" s="88">
        <f t="shared" si="96"/>
        <v>26.065162907268167</v>
      </c>
      <c r="S283" s="88">
        <f t="shared" si="97"/>
        <v>39.700000000000003</v>
      </c>
      <c r="T283" s="13">
        <f t="shared" si="98"/>
        <v>3</v>
      </c>
      <c r="U283" s="13">
        <f t="shared" si="99"/>
        <v>1</v>
      </c>
      <c r="V283" s="13">
        <f t="shared" si="100"/>
        <v>1</v>
      </c>
      <c r="W283" s="13">
        <f t="shared" ca="1" si="101"/>
        <v>3</v>
      </c>
      <c r="X283" s="13">
        <f t="shared" ca="1" si="102"/>
        <v>8</v>
      </c>
      <c r="Y283" s="81" t="str">
        <f t="shared" ca="1" si="103"/>
        <v>MONITOR</v>
      </c>
      <c r="Z283" s="13">
        <v>14</v>
      </c>
      <c r="AA283" s="75">
        <v>46059</v>
      </c>
      <c r="AB283" s="75">
        <f t="shared" si="104"/>
        <v>45920</v>
      </c>
      <c r="AC283" s="88">
        <f t="shared" si="105"/>
        <v>19.857142857142858</v>
      </c>
      <c r="AD283" s="89" t="str">
        <f t="shared" ca="1" si="106"/>
        <v>STABLE</v>
      </c>
      <c r="AE283" s="89" t="str">
        <f t="shared" si="110"/>
        <v>FAST SELLING</v>
      </c>
      <c r="AF283" s="89" t="str">
        <f t="shared" si="107"/>
        <v>AT RISK</v>
      </c>
      <c r="AG283" s="89" t="str">
        <f t="shared" si="108"/>
        <v>FEASIBLE</v>
      </c>
      <c r="AH283" s="81" t="str">
        <f t="shared" ca="1" si="109"/>
        <v>MONITOR</v>
      </c>
      <c r="AI283" s="75"/>
      <c r="AJ283" s="75"/>
      <c r="AK283" s="13"/>
      <c r="AL283" s="79"/>
      <c r="AM283" s="79"/>
      <c r="AN283" s="79"/>
      <c r="AO283" s="79"/>
      <c r="AP283" s="79"/>
      <c r="AQ283" s="75"/>
      <c r="AR283" s="75"/>
      <c r="AS283" s="75"/>
      <c r="AT283" s="75"/>
      <c r="AU283" s="75"/>
      <c r="AV283" s="13"/>
      <c r="AW283" s="13"/>
      <c r="AX283" s="13"/>
      <c r="AY283" s="13"/>
      <c r="AZ283" s="13"/>
      <c r="BA283" s="105"/>
      <c r="BB283" s="13"/>
      <c r="BC283" s="13"/>
      <c r="BD283" s="13"/>
      <c r="BE283" s="13"/>
      <c r="BF283" s="88"/>
      <c r="BG283" s="88"/>
      <c r="BH283" s="88"/>
      <c r="BI283" s="88"/>
      <c r="BJ283" s="88"/>
      <c r="BK283" s="105"/>
      <c r="BL283" s="105"/>
      <c r="BM283" s="105"/>
      <c r="BN283" s="105"/>
      <c r="BO283" s="105"/>
      <c r="BP283" s="105"/>
      <c r="BQ283" s="79"/>
      <c r="BR283" s="79"/>
      <c r="BS283" s="79"/>
      <c r="BT283" s="79"/>
      <c r="BU283" s="79"/>
      <c r="BV283" s="90"/>
      <c r="BW283" s="106"/>
      <c r="BX283" s="106"/>
      <c r="BY283" s="106"/>
      <c r="BZ283" s="106"/>
      <c r="CA283" s="106"/>
    </row>
    <row r="284" spans="1:79" x14ac:dyDescent="0.35">
      <c r="A284" s="25" t="s">
        <v>297</v>
      </c>
      <c r="B284" s="10" t="s">
        <v>335</v>
      </c>
      <c r="C284" s="10" t="s">
        <v>345</v>
      </c>
      <c r="D284" s="10" t="s">
        <v>346</v>
      </c>
      <c r="E284" s="11">
        <v>45892</v>
      </c>
      <c r="F284" s="17">
        <v>45892</v>
      </c>
      <c r="G284" s="14">
        <f t="shared" ca="1" si="89"/>
        <v>207</v>
      </c>
      <c r="H284" s="17">
        <v>599</v>
      </c>
      <c r="I284" s="17">
        <v>300</v>
      </c>
      <c r="J284" s="75">
        <f t="shared" si="90"/>
        <v>519</v>
      </c>
      <c r="K284" s="17">
        <v>750</v>
      </c>
      <c r="L284" s="85">
        <v>231</v>
      </c>
      <c r="M284" s="86">
        <f t="shared" ca="1" si="91"/>
        <v>1.1159420289855073</v>
      </c>
      <c r="N284" s="86">
        <f t="shared" si="92"/>
        <v>0.73224085365853642</v>
      </c>
      <c r="O284" s="86">
        <f t="shared" si="93"/>
        <v>0.70426829268292679</v>
      </c>
      <c r="P284" s="87">
        <f t="shared" si="94"/>
        <v>57.75</v>
      </c>
      <c r="Q284" s="104">
        <f t="shared" si="95"/>
        <v>8.9870129870129869</v>
      </c>
      <c r="R284" s="88">
        <f t="shared" si="96"/>
        <v>49.916527545909851</v>
      </c>
      <c r="S284" s="88">
        <f t="shared" si="97"/>
        <v>30.8</v>
      </c>
      <c r="T284" s="13">
        <f t="shared" si="98"/>
        <v>2</v>
      </c>
      <c r="U284" s="13">
        <f t="shared" si="99"/>
        <v>1</v>
      </c>
      <c r="V284" s="13">
        <f t="shared" si="100"/>
        <v>2</v>
      </c>
      <c r="W284" s="13">
        <f t="shared" ca="1" si="101"/>
        <v>3</v>
      </c>
      <c r="X284" s="13">
        <f t="shared" ca="1" si="102"/>
        <v>8</v>
      </c>
      <c r="Y284" s="81" t="str">
        <f t="shared" ca="1" si="103"/>
        <v>MONITOR</v>
      </c>
      <c r="Z284" s="13">
        <v>14</v>
      </c>
      <c r="AA284" s="75">
        <v>46059</v>
      </c>
      <c r="AB284" s="75">
        <f t="shared" si="104"/>
        <v>45920</v>
      </c>
      <c r="AC284" s="88">
        <f t="shared" si="105"/>
        <v>19.857142857142858</v>
      </c>
      <c r="AD284" s="89" t="str">
        <f t="shared" ca="1" si="106"/>
        <v>STABLE</v>
      </c>
      <c r="AE284" s="89" t="str">
        <f t="shared" si="110"/>
        <v>SLOW SELLING</v>
      </c>
      <c r="AF284" s="89" t="str">
        <f t="shared" si="107"/>
        <v>AT RISK</v>
      </c>
      <c r="AG284" s="89" t="str">
        <f t="shared" si="108"/>
        <v>FEASIBLE</v>
      </c>
      <c r="AH284" s="81" t="str">
        <f t="shared" ca="1" si="109"/>
        <v>MONITOR</v>
      </c>
      <c r="AI284" s="75"/>
      <c r="AJ284" s="75"/>
      <c r="AK284" s="13"/>
      <c r="AL284" s="79"/>
      <c r="AM284" s="79"/>
      <c r="AN284" s="79"/>
      <c r="AO284" s="79"/>
      <c r="AP284" s="79"/>
      <c r="AQ284" s="75"/>
      <c r="AR284" s="75"/>
      <c r="AS284" s="75"/>
      <c r="AT284" s="75"/>
      <c r="AU284" s="75"/>
      <c r="AV284" s="13"/>
      <c r="AW284" s="13"/>
      <c r="AX284" s="13"/>
      <c r="AY284" s="13"/>
      <c r="AZ284" s="13"/>
      <c r="BA284" s="105"/>
      <c r="BB284" s="13"/>
      <c r="BC284" s="13"/>
      <c r="BD284" s="13"/>
      <c r="BE284" s="13"/>
      <c r="BF284" s="88"/>
      <c r="BG284" s="88"/>
      <c r="BH284" s="88"/>
      <c r="BI284" s="88"/>
      <c r="BJ284" s="88"/>
      <c r="BK284" s="105"/>
      <c r="BL284" s="105"/>
      <c r="BM284" s="105"/>
      <c r="BN284" s="105"/>
      <c r="BO284" s="105"/>
      <c r="BP284" s="105"/>
      <c r="BQ284" s="79"/>
      <c r="BR284" s="79"/>
      <c r="BS284" s="79"/>
      <c r="BT284" s="79"/>
      <c r="BU284" s="79"/>
      <c r="BV284" s="90"/>
      <c r="BW284" s="106"/>
      <c r="BX284" s="106"/>
      <c r="BY284" s="106"/>
      <c r="BZ284" s="106"/>
      <c r="CA284" s="106"/>
    </row>
    <row r="285" spans="1:79" x14ac:dyDescent="0.35">
      <c r="A285" s="25" t="s">
        <v>298</v>
      </c>
      <c r="B285" s="10" t="s">
        <v>337</v>
      </c>
      <c r="C285" s="10" t="s">
        <v>345</v>
      </c>
      <c r="D285" s="10" t="s">
        <v>346</v>
      </c>
      <c r="E285" s="11">
        <v>45864</v>
      </c>
      <c r="F285" s="17">
        <v>45892</v>
      </c>
      <c r="G285" s="14">
        <f t="shared" ca="1" si="89"/>
        <v>207</v>
      </c>
      <c r="H285" s="17">
        <v>599</v>
      </c>
      <c r="I285" s="17">
        <v>300</v>
      </c>
      <c r="J285" s="75">
        <f t="shared" si="90"/>
        <v>1328</v>
      </c>
      <c r="K285" s="17">
        <v>1450</v>
      </c>
      <c r="L285" s="85">
        <v>122</v>
      </c>
      <c r="M285" s="86">
        <f t="shared" ca="1" si="91"/>
        <v>0.58937198067632846</v>
      </c>
      <c r="N285" s="86">
        <f t="shared" si="92"/>
        <v>0.73224085365853642</v>
      </c>
      <c r="O285" s="86">
        <f t="shared" si="93"/>
        <v>0.37195121951219512</v>
      </c>
      <c r="P285" s="87">
        <f t="shared" si="94"/>
        <v>30.5</v>
      </c>
      <c r="Q285" s="104">
        <f t="shared" si="95"/>
        <v>43.540983606557376</v>
      </c>
      <c r="R285" s="88">
        <f t="shared" si="96"/>
        <v>49.916527545909851</v>
      </c>
      <c r="S285" s="88">
        <f t="shared" si="97"/>
        <v>8.4137931034482758</v>
      </c>
      <c r="T285" s="13">
        <f t="shared" si="98"/>
        <v>1</v>
      </c>
      <c r="U285" s="13">
        <f t="shared" si="99"/>
        <v>1</v>
      </c>
      <c r="V285" s="13">
        <f t="shared" si="100"/>
        <v>2</v>
      </c>
      <c r="W285" s="13">
        <f t="shared" ca="1" si="101"/>
        <v>3</v>
      </c>
      <c r="X285" s="13">
        <f t="shared" ca="1" si="102"/>
        <v>7</v>
      </c>
      <c r="Y285" s="81" t="str">
        <f t="shared" ca="1" si="103"/>
        <v>MONITOR</v>
      </c>
      <c r="Z285" s="13">
        <v>14</v>
      </c>
      <c r="AA285" s="75">
        <v>46059</v>
      </c>
      <c r="AB285" s="75">
        <f t="shared" si="104"/>
        <v>45920</v>
      </c>
      <c r="AC285" s="88">
        <f t="shared" si="105"/>
        <v>19.857142857142858</v>
      </c>
      <c r="AD285" s="89" t="str">
        <f t="shared" ca="1" si="106"/>
        <v>STABLE</v>
      </c>
      <c r="AE285" s="89" t="str">
        <f t="shared" si="110"/>
        <v>SLOW SELLING</v>
      </c>
      <c r="AF285" s="89" t="str">
        <f t="shared" si="107"/>
        <v>AT RISK</v>
      </c>
      <c r="AG285" s="89" t="str">
        <f t="shared" si="108"/>
        <v>FEASIBLE</v>
      </c>
      <c r="AH285" s="81" t="str">
        <f t="shared" ca="1" si="109"/>
        <v>MONITOR</v>
      </c>
      <c r="AI285" s="75"/>
      <c r="AJ285" s="75"/>
      <c r="AK285" s="13"/>
      <c r="AL285" s="79"/>
      <c r="AM285" s="79"/>
      <c r="AN285" s="79"/>
      <c r="AO285" s="79"/>
      <c r="AP285" s="79"/>
      <c r="AQ285" s="75"/>
      <c r="AR285" s="75"/>
      <c r="AS285" s="75"/>
      <c r="AT285" s="75"/>
      <c r="AU285" s="75"/>
      <c r="AV285" s="13"/>
      <c r="AW285" s="13"/>
      <c r="AX285" s="13"/>
      <c r="AY285" s="13"/>
      <c r="AZ285" s="13"/>
      <c r="BA285" s="105"/>
      <c r="BB285" s="13"/>
      <c r="BC285" s="13"/>
      <c r="BD285" s="13"/>
      <c r="BE285" s="13"/>
      <c r="BF285" s="88"/>
      <c r="BG285" s="88"/>
      <c r="BH285" s="88"/>
      <c r="BI285" s="88"/>
      <c r="BJ285" s="88"/>
      <c r="BK285" s="105"/>
      <c r="BL285" s="105"/>
      <c r="BM285" s="105"/>
      <c r="BN285" s="105"/>
      <c r="BO285" s="105"/>
      <c r="BP285" s="105"/>
      <c r="BQ285" s="79"/>
      <c r="BR285" s="79"/>
      <c r="BS285" s="79"/>
      <c r="BT285" s="79"/>
      <c r="BU285" s="79"/>
      <c r="BV285" s="90"/>
      <c r="BW285" s="106"/>
      <c r="BX285" s="106"/>
      <c r="BY285" s="106"/>
      <c r="BZ285" s="106"/>
      <c r="CA285" s="106"/>
    </row>
    <row r="286" spans="1:79" x14ac:dyDescent="0.35">
      <c r="A286" s="25" t="s">
        <v>299</v>
      </c>
      <c r="B286" s="10" t="s">
        <v>337</v>
      </c>
      <c r="C286" s="10" t="s">
        <v>345</v>
      </c>
      <c r="D286" s="10" t="s">
        <v>346</v>
      </c>
      <c r="E286" s="11">
        <v>45864</v>
      </c>
      <c r="F286" s="17">
        <v>45892</v>
      </c>
      <c r="G286" s="14">
        <f t="shared" ca="1" si="89"/>
        <v>207</v>
      </c>
      <c r="H286" s="17">
        <v>599</v>
      </c>
      <c r="I286" s="17">
        <v>300</v>
      </c>
      <c r="J286" s="75">
        <f t="shared" si="90"/>
        <v>1309</v>
      </c>
      <c r="K286" s="17">
        <v>1450</v>
      </c>
      <c r="L286" s="85">
        <v>141</v>
      </c>
      <c r="M286" s="86">
        <f t="shared" ca="1" si="91"/>
        <v>0.6811594202898551</v>
      </c>
      <c r="N286" s="86">
        <f t="shared" si="92"/>
        <v>0.73224085365853642</v>
      </c>
      <c r="O286" s="86">
        <f t="shared" si="93"/>
        <v>0.4298780487804878</v>
      </c>
      <c r="P286" s="87">
        <f t="shared" si="94"/>
        <v>35.25</v>
      </c>
      <c r="Q286" s="104">
        <f t="shared" si="95"/>
        <v>37.134751773049643</v>
      </c>
      <c r="R286" s="88">
        <f t="shared" si="96"/>
        <v>49.916527545909851</v>
      </c>
      <c r="S286" s="88">
        <f t="shared" si="97"/>
        <v>9.7241379310344822</v>
      </c>
      <c r="T286" s="13">
        <f t="shared" si="98"/>
        <v>1</v>
      </c>
      <c r="U286" s="13">
        <f t="shared" si="99"/>
        <v>1</v>
      </c>
      <c r="V286" s="13">
        <f t="shared" si="100"/>
        <v>2</v>
      </c>
      <c r="W286" s="13">
        <f t="shared" ca="1" si="101"/>
        <v>3</v>
      </c>
      <c r="X286" s="13">
        <f t="shared" ca="1" si="102"/>
        <v>7</v>
      </c>
      <c r="Y286" s="81" t="str">
        <f t="shared" ca="1" si="103"/>
        <v>MONITOR</v>
      </c>
      <c r="Z286" s="13">
        <v>14</v>
      </c>
      <c r="AA286" s="75">
        <v>46059</v>
      </c>
      <c r="AB286" s="75">
        <f t="shared" si="104"/>
        <v>45920</v>
      </c>
      <c r="AC286" s="88">
        <f t="shared" si="105"/>
        <v>19.857142857142858</v>
      </c>
      <c r="AD286" s="89" t="str">
        <f t="shared" ca="1" si="106"/>
        <v>STABLE</v>
      </c>
      <c r="AE286" s="89" t="str">
        <f t="shared" si="110"/>
        <v>SLOW SELLING</v>
      </c>
      <c r="AF286" s="89" t="str">
        <f t="shared" si="107"/>
        <v>AT RISK</v>
      </c>
      <c r="AG286" s="89" t="str">
        <f t="shared" si="108"/>
        <v>FEASIBLE</v>
      </c>
      <c r="AH286" s="81" t="str">
        <f t="shared" ca="1" si="109"/>
        <v>MONITOR</v>
      </c>
      <c r="AI286" s="75"/>
      <c r="AJ286" s="75"/>
      <c r="AK286" s="13"/>
      <c r="AL286" s="79"/>
      <c r="AM286" s="79"/>
      <c r="AN286" s="79"/>
      <c r="AO286" s="79"/>
      <c r="AP286" s="79"/>
      <c r="AQ286" s="75"/>
      <c r="AR286" s="75"/>
      <c r="AS286" s="75"/>
      <c r="AT286" s="75"/>
      <c r="AU286" s="75"/>
      <c r="AV286" s="13"/>
      <c r="AW286" s="13"/>
      <c r="AX286" s="13"/>
      <c r="AY286" s="13"/>
      <c r="AZ286" s="13"/>
      <c r="BA286" s="105"/>
      <c r="BB286" s="13"/>
      <c r="BC286" s="13"/>
      <c r="BD286" s="13"/>
      <c r="BE286" s="13"/>
      <c r="BF286" s="88"/>
      <c r="BG286" s="88"/>
      <c r="BH286" s="88"/>
      <c r="BI286" s="88"/>
      <c r="BJ286" s="88"/>
      <c r="BK286" s="105"/>
      <c r="BL286" s="105"/>
      <c r="BM286" s="105"/>
      <c r="BN286" s="105"/>
      <c r="BO286" s="105"/>
      <c r="BP286" s="105"/>
      <c r="BQ286" s="79"/>
      <c r="BR286" s="79"/>
      <c r="BS286" s="79"/>
      <c r="BT286" s="79"/>
      <c r="BU286" s="79"/>
      <c r="BV286" s="90"/>
      <c r="BW286" s="106"/>
      <c r="BX286" s="106"/>
      <c r="BY286" s="106"/>
      <c r="BZ286" s="106"/>
      <c r="CA286" s="106"/>
    </row>
    <row r="287" spans="1:79" x14ac:dyDescent="0.35">
      <c r="A287" s="25" t="s">
        <v>300</v>
      </c>
      <c r="B287" s="10" t="s">
        <v>337</v>
      </c>
      <c r="C287" s="10" t="s">
        <v>345</v>
      </c>
      <c r="D287" s="10" t="s">
        <v>346</v>
      </c>
      <c r="E287" s="11">
        <v>45864</v>
      </c>
      <c r="F287" s="17">
        <v>45892</v>
      </c>
      <c r="G287" s="14">
        <f t="shared" ca="1" si="89"/>
        <v>207</v>
      </c>
      <c r="H287" s="17">
        <v>599</v>
      </c>
      <c r="I287" s="17">
        <v>300</v>
      </c>
      <c r="J287" s="75">
        <f t="shared" si="90"/>
        <v>1212</v>
      </c>
      <c r="K287" s="17">
        <v>1450</v>
      </c>
      <c r="L287" s="85">
        <v>238</v>
      </c>
      <c r="M287" s="86">
        <f t="shared" ca="1" si="91"/>
        <v>1.1497584541062802</v>
      </c>
      <c r="N287" s="86">
        <f t="shared" si="92"/>
        <v>0.73224085365853642</v>
      </c>
      <c r="O287" s="86">
        <f t="shared" si="93"/>
        <v>0.72560975609756095</v>
      </c>
      <c r="P287" s="87">
        <f t="shared" si="94"/>
        <v>59.5</v>
      </c>
      <c r="Q287" s="104">
        <f t="shared" si="95"/>
        <v>20.369747899159663</v>
      </c>
      <c r="R287" s="88">
        <f t="shared" si="96"/>
        <v>49.916527545909851</v>
      </c>
      <c r="S287" s="88">
        <f t="shared" si="97"/>
        <v>16.413793103448278</v>
      </c>
      <c r="T287" s="13">
        <f t="shared" si="98"/>
        <v>2</v>
      </c>
      <c r="U287" s="13">
        <f t="shared" si="99"/>
        <v>1</v>
      </c>
      <c r="V287" s="13">
        <f t="shared" si="100"/>
        <v>2</v>
      </c>
      <c r="W287" s="13">
        <f t="shared" ca="1" si="101"/>
        <v>3</v>
      </c>
      <c r="X287" s="13">
        <f t="shared" ca="1" si="102"/>
        <v>8</v>
      </c>
      <c r="Y287" s="81" t="str">
        <f t="shared" ca="1" si="103"/>
        <v>MONITOR</v>
      </c>
      <c r="Z287" s="13">
        <v>14</v>
      </c>
      <c r="AA287" s="75">
        <v>46059</v>
      </c>
      <c r="AB287" s="75">
        <f t="shared" si="104"/>
        <v>45920</v>
      </c>
      <c r="AC287" s="88">
        <f t="shared" si="105"/>
        <v>19.857142857142858</v>
      </c>
      <c r="AD287" s="89" t="str">
        <f t="shared" ca="1" si="106"/>
        <v>STABLE</v>
      </c>
      <c r="AE287" s="89" t="str">
        <f t="shared" si="110"/>
        <v>SLOW SELLING</v>
      </c>
      <c r="AF287" s="89" t="str">
        <f t="shared" si="107"/>
        <v>AT RISK</v>
      </c>
      <c r="AG287" s="89" t="str">
        <f t="shared" si="108"/>
        <v>FEASIBLE</v>
      </c>
      <c r="AH287" s="81" t="str">
        <f t="shared" ca="1" si="109"/>
        <v>MONITOR</v>
      </c>
      <c r="AI287" s="75"/>
      <c r="AJ287" s="75"/>
      <c r="AK287" s="13"/>
      <c r="AL287" s="79"/>
      <c r="AM287" s="79"/>
      <c r="AN287" s="79"/>
      <c r="AO287" s="79"/>
      <c r="AP287" s="79"/>
      <c r="AQ287" s="75"/>
      <c r="AR287" s="75"/>
      <c r="AS287" s="75"/>
      <c r="AT287" s="75"/>
      <c r="AU287" s="75"/>
      <c r="AV287" s="13"/>
      <c r="AW287" s="13"/>
      <c r="AX287" s="13"/>
      <c r="AY287" s="13"/>
      <c r="AZ287" s="13"/>
      <c r="BA287" s="105"/>
      <c r="BB287" s="13"/>
      <c r="BC287" s="13"/>
      <c r="BD287" s="13"/>
      <c r="BE287" s="13"/>
      <c r="BF287" s="88"/>
      <c r="BG287" s="88"/>
      <c r="BH287" s="88"/>
      <c r="BI287" s="88"/>
      <c r="BJ287" s="88"/>
      <c r="BK287" s="105"/>
      <c r="BL287" s="105"/>
      <c r="BM287" s="105"/>
      <c r="BN287" s="105"/>
      <c r="BO287" s="105"/>
      <c r="BP287" s="105"/>
      <c r="BQ287" s="79"/>
      <c r="BR287" s="79"/>
      <c r="BS287" s="79"/>
      <c r="BT287" s="79"/>
      <c r="BU287" s="79"/>
      <c r="BV287" s="90"/>
      <c r="BW287" s="106"/>
      <c r="BX287" s="106"/>
      <c r="BY287" s="106"/>
      <c r="BZ287" s="106"/>
      <c r="CA287" s="106"/>
    </row>
    <row r="288" spans="1:79" x14ac:dyDescent="0.35">
      <c r="A288" s="25" t="s">
        <v>301</v>
      </c>
      <c r="B288" s="10" t="s">
        <v>337</v>
      </c>
      <c r="C288" s="10" t="s">
        <v>345</v>
      </c>
      <c r="D288" s="10" t="s">
        <v>346</v>
      </c>
      <c r="E288" s="11">
        <v>45864</v>
      </c>
      <c r="F288" s="17">
        <v>45892</v>
      </c>
      <c r="G288" s="14">
        <f t="shared" ca="1" si="89"/>
        <v>207</v>
      </c>
      <c r="H288" s="17">
        <v>599</v>
      </c>
      <c r="I288" s="17">
        <v>275</v>
      </c>
      <c r="J288" s="75">
        <f t="shared" si="90"/>
        <v>1152</v>
      </c>
      <c r="K288" s="17">
        <v>1450</v>
      </c>
      <c r="L288" s="85">
        <v>298</v>
      </c>
      <c r="M288" s="86">
        <f t="shared" ca="1" si="91"/>
        <v>1.4396135265700483</v>
      </c>
      <c r="N288" s="86">
        <f t="shared" si="92"/>
        <v>0.73224085365853642</v>
      </c>
      <c r="O288" s="86">
        <f t="shared" si="93"/>
        <v>0.90853658536585369</v>
      </c>
      <c r="P288" s="87">
        <f t="shared" si="94"/>
        <v>74.5</v>
      </c>
      <c r="Q288" s="104">
        <f t="shared" si="95"/>
        <v>15.463087248322148</v>
      </c>
      <c r="R288" s="88">
        <f t="shared" si="96"/>
        <v>54.090150250417359</v>
      </c>
      <c r="S288" s="88">
        <f t="shared" si="97"/>
        <v>20.551724137931036</v>
      </c>
      <c r="T288" s="13">
        <f t="shared" si="98"/>
        <v>3</v>
      </c>
      <c r="U288" s="13">
        <f t="shared" si="99"/>
        <v>1</v>
      </c>
      <c r="V288" s="13">
        <f t="shared" si="100"/>
        <v>2</v>
      </c>
      <c r="W288" s="13">
        <f t="shared" ca="1" si="101"/>
        <v>3</v>
      </c>
      <c r="X288" s="13">
        <f t="shared" ca="1" si="102"/>
        <v>9</v>
      </c>
      <c r="Y288" s="81" t="str">
        <f t="shared" ca="1" si="103"/>
        <v>RE-BUY</v>
      </c>
      <c r="Z288" s="13">
        <v>14</v>
      </c>
      <c r="AA288" s="75">
        <v>46059</v>
      </c>
      <c r="AB288" s="75">
        <f t="shared" si="104"/>
        <v>45920</v>
      </c>
      <c r="AC288" s="88">
        <f t="shared" si="105"/>
        <v>19.857142857142858</v>
      </c>
      <c r="AD288" s="89" t="str">
        <f t="shared" ca="1" si="106"/>
        <v>STABLE</v>
      </c>
      <c r="AE288" s="89" t="str">
        <f t="shared" si="110"/>
        <v>FAST SELLING</v>
      </c>
      <c r="AF288" s="89" t="str">
        <f t="shared" si="107"/>
        <v>AT RISK</v>
      </c>
      <c r="AG288" s="89" t="str">
        <f t="shared" si="108"/>
        <v>FEASIBLE</v>
      </c>
      <c r="AH288" s="81" t="str">
        <f t="shared" ca="1" si="109"/>
        <v>IMMEDIATE REBUY</v>
      </c>
      <c r="AI288" s="75"/>
      <c r="AJ288" s="75"/>
      <c r="AK288" s="13"/>
      <c r="AL288" s="79"/>
      <c r="AM288" s="79"/>
      <c r="AN288" s="79"/>
      <c r="AO288" s="79"/>
      <c r="AP288" s="79"/>
      <c r="AQ288" s="75"/>
      <c r="AR288" s="75"/>
      <c r="AS288" s="75"/>
      <c r="AT288" s="75"/>
      <c r="AU288" s="75"/>
      <c r="AV288" s="13"/>
      <c r="AW288" s="13"/>
      <c r="AX288" s="13"/>
      <c r="AY288" s="13"/>
      <c r="AZ288" s="13"/>
      <c r="BA288" s="105"/>
      <c r="BB288" s="13"/>
      <c r="BC288" s="13"/>
      <c r="BD288" s="13"/>
      <c r="BE288" s="13"/>
      <c r="BF288" s="88"/>
      <c r="BG288" s="88"/>
      <c r="BH288" s="88"/>
      <c r="BI288" s="88"/>
      <c r="BJ288" s="88"/>
      <c r="BK288" s="105"/>
      <c r="BL288" s="105"/>
      <c r="BM288" s="105"/>
      <c r="BN288" s="105"/>
      <c r="BO288" s="105"/>
      <c r="BP288" s="105"/>
      <c r="BQ288" s="79"/>
      <c r="BR288" s="79"/>
      <c r="BS288" s="79"/>
      <c r="BT288" s="79"/>
      <c r="BU288" s="79"/>
      <c r="BV288" s="90"/>
      <c r="BW288" s="106"/>
      <c r="BX288" s="106"/>
      <c r="BY288" s="106"/>
      <c r="BZ288" s="106"/>
      <c r="CA288" s="106"/>
    </row>
    <row r="289" spans="1:79" x14ac:dyDescent="0.35">
      <c r="A289" s="25" t="s">
        <v>302</v>
      </c>
      <c r="B289" s="10" t="s">
        <v>339</v>
      </c>
      <c r="C289" s="10" t="s">
        <v>345</v>
      </c>
      <c r="D289" s="10" t="s">
        <v>346</v>
      </c>
      <c r="E289" s="11">
        <v>45892</v>
      </c>
      <c r="F289" s="17">
        <v>45892</v>
      </c>
      <c r="G289" s="14">
        <f t="shared" ca="1" si="89"/>
        <v>207</v>
      </c>
      <c r="H289" s="17">
        <v>499</v>
      </c>
      <c r="I289" s="17">
        <v>275</v>
      </c>
      <c r="J289" s="75">
        <f t="shared" si="90"/>
        <v>1409</v>
      </c>
      <c r="K289" s="17">
        <v>1600</v>
      </c>
      <c r="L289" s="85">
        <v>191</v>
      </c>
      <c r="M289" s="86">
        <f t="shared" ca="1" si="91"/>
        <v>0.92270531400966183</v>
      </c>
      <c r="N289" s="86">
        <f t="shared" si="92"/>
        <v>0.73224085365853642</v>
      </c>
      <c r="O289" s="86">
        <f t="shared" si="93"/>
        <v>0.58231707317073167</v>
      </c>
      <c r="P289" s="87">
        <f t="shared" si="94"/>
        <v>47.75</v>
      </c>
      <c r="Q289" s="104">
        <f t="shared" si="95"/>
        <v>29.507853403141361</v>
      </c>
      <c r="R289" s="88">
        <f t="shared" si="96"/>
        <v>44.889779559118239</v>
      </c>
      <c r="S289" s="88">
        <f t="shared" si="97"/>
        <v>11.9375</v>
      </c>
      <c r="T289" s="13">
        <f t="shared" si="98"/>
        <v>1</v>
      </c>
      <c r="U289" s="13">
        <f t="shared" si="99"/>
        <v>1</v>
      </c>
      <c r="V289" s="13">
        <f t="shared" si="100"/>
        <v>1</v>
      </c>
      <c r="W289" s="13">
        <f t="shared" ca="1" si="101"/>
        <v>3</v>
      </c>
      <c r="X289" s="13">
        <f t="shared" ca="1" si="102"/>
        <v>6</v>
      </c>
      <c r="Y289" s="81" t="str">
        <f t="shared" ca="1" si="103"/>
        <v>MONITOR</v>
      </c>
      <c r="Z289" s="13">
        <v>14</v>
      </c>
      <c r="AA289" s="75">
        <v>46059</v>
      </c>
      <c r="AB289" s="75">
        <f t="shared" si="104"/>
        <v>45920</v>
      </c>
      <c r="AC289" s="88">
        <f t="shared" si="105"/>
        <v>19.857142857142858</v>
      </c>
      <c r="AD289" s="89" t="str">
        <f t="shared" ca="1" si="106"/>
        <v>STABLE</v>
      </c>
      <c r="AE289" s="89" t="str">
        <f t="shared" si="110"/>
        <v>SLOW SELLING</v>
      </c>
      <c r="AF289" s="89" t="str">
        <f t="shared" si="107"/>
        <v>AT RISK</v>
      </c>
      <c r="AG289" s="89" t="str">
        <f t="shared" si="108"/>
        <v>FEASIBLE</v>
      </c>
      <c r="AH289" s="81" t="str">
        <f t="shared" ca="1" si="109"/>
        <v>MONITOR</v>
      </c>
      <c r="AI289" s="75"/>
      <c r="AJ289" s="75"/>
      <c r="AK289" s="13"/>
      <c r="AL289" s="79"/>
      <c r="AM289" s="79"/>
      <c r="AN289" s="79"/>
      <c r="AO289" s="79"/>
      <c r="AP289" s="79"/>
      <c r="AQ289" s="75"/>
      <c r="AR289" s="75"/>
      <c r="AS289" s="75"/>
      <c r="AT289" s="75"/>
      <c r="AU289" s="75"/>
      <c r="AV289" s="13"/>
      <c r="AW289" s="13"/>
      <c r="AX289" s="13"/>
      <c r="AY289" s="13"/>
      <c r="AZ289" s="13"/>
      <c r="BA289" s="105"/>
      <c r="BB289" s="13"/>
      <c r="BC289" s="13"/>
      <c r="BD289" s="13"/>
      <c r="BE289" s="13"/>
      <c r="BF289" s="88"/>
      <c r="BG289" s="88"/>
      <c r="BH289" s="88"/>
      <c r="BI289" s="88"/>
      <c r="BJ289" s="88"/>
      <c r="BK289" s="105"/>
      <c r="BL289" s="105"/>
      <c r="BM289" s="105"/>
      <c r="BN289" s="105"/>
      <c r="BO289" s="105"/>
      <c r="BP289" s="105"/>
      <c r="BQ289" s="79"/>
      <c r="BR289" s="79"/>
      <c r="BS289" s="79"/>
      <c r="BT289" s="79"/>
      <c r="BU289" s="79"/>
      <c r="BV289" s="90"/>
      <c r="BW289" s="106"/>
      <c r="BX289" s="106"/>
      <c r="BY289" s="106"/>
      <c r="BZ289" s="106"/>
      <c r="CA289" s="106"/>
    </row>
    <row r="290" spans="1:79" x14ac:dyDescent="0.35">
      <c r="A290" s="25" t="s">
        <v>303</v>
      </c>
      <c r="B290" s="10" t="s">
        <v>339</v>
      </c>
      <c r="C290" s="10" t="s">
        <v>345</v>
      </c>
      <c r="D290" s="10" t="s">
        <v>346</v>
      </c>
      <c r="E290" s="11">
        <v>45892</v>
      </c>
      <c r="F290" s="17">
        <v>45892</v>
      </c>
      <c r="G290" s="14">
        <f t="shared" ca="1" si="89"/>
        <v>207</v>
      </c>
      <c r="H290" s="17">
        <v>499</v>
      </c>
      <c r="I290" s="17">
        <v>230</v>
      </c>
      <c r="J290" s="75">
        <f t="shared" si="90"/>
        <v>1378</v>
      </c>
      <c r="K290" s="17">
        <v>1600</v>
      </c>
      <c r="L290" s="85">
        <v>222</v>
      </c>
      <c r="M290" s="86">
        <f t="shared" ca="1" si="91"/>
        <v>1.0724637681159421</v>
      </c>
      <c r="N290" s="86">
        <f t="shared" si="92"/>
        <v>0.73224085365853642</v>
      </c>
      <c r="O290" s="86">
        <f t="shared" si="93"/>
        <v>0.67682926829268297</v>
      </c>
      <c r="P290" s="87">
        <f t="shared" si="94"/>
        <v>55.500000000000007</v>
      </c>
      <c r="Q290" s="104">
        <f t="shared" si="95"/>
        <v>24.828828828828826</v>
      </c>
      <c r="R290" s="88">
        <f t="shared" si="96"/>
        <v>53.907815631262523</v>
      </c>
      <c r="S290" s="88">
        <f t="shared" si="97"/>
        <v>13.875000000000002</v>
      </c>
      <c r="T290" s="13">
        <f t="shared" si="98"/>
        <v>2</v>
      </c>
      <c r="U290" s="13">
        <f t="shared" si="99"/>
        <v>1</v>
      </c>
      <c r="V290" s="13">
        <f t="shared" si="100"/>
        <v>2</v>
      </c>
      <c r="W290" s="13">
        <f t="shared" ca="1" si="101"/>
        <v>3</v>
      </c>
      <c r="X290" s="13">
        <f t="shared" ca="1" si="102"/>
        <v>8</v>
      </c>
      <c r="Y290" s="81" t="str">
        <f t="shared" ca="1" si="103"/>
        <v>MONITOR</v>
      </c>
      <c r="Z290" s="13">
        <v>14</v>
      </c>
      <c r="AA290" s="75">
        <v>46059</v>
      </c>
      <c r="AB290" s="75">
        <f t="shared" si="104"/>
        <v>45920</v>
      </c>
      <c r="AC290" s="88">
        <f t="shared" si="105"/>
        <v>19.857142857142858</v>
      </c>
      <c r="AD290" s="89" t="str">
        <f t="shared" ca="1" si="106"/>
        <v>STABLE</v>
      </c>
      <c r="AE290" s="89" t="str">
        <f t="shared" si="110"/>
        <v>SLOW SELLING</v>
      </c>
      <c r="AF290" s="89" t="str">
        <f t="shared" si="107"/>
        <v>AT RISK</v>
      </c>
      <c r="AG290" s="89" t="str">
        <f t="shared" si="108"/>
        <v>FEASIBLE</v>
      </c>
      <c r="AH290" s="81" t="str">
        <f t="shared" ca="1" si="109"/>
        <v>MONITOR</v>
      </c>
      <c r="AI290" s="75"/>
      <c r="AJ290" s="75"/>
      <c r="AK290" s="13"/>
      <c r="AL290" s="79"/>
      <c r="AM290" s="79"/>
      <c r="AN290" s="79"/>
      <c r="AO290" s="79"/>
      <c r="AP290" s="79"/>
      <c r="AQ290" s="75"/>
      <c r="AR290" s="75"/>
      <c r="AS290" s="75"/>
      <c r="AT290" s="75"/>
      <c r="AU290" s="75"/>
      <c r="AV290" s="13"/>
      <c r="AW290" s="13"/>
      <c r="AX290" s="13"/>
      <c r="AY290" s="13"/>
      <c r="AZ290" s="13"/>
      <c r="BA290" s="105"/>
      <c r="BB290" s="13"/>
      <c r="BC290" s="13"/>
      <c r="BD290" s="13"/>
      <c r="BE290" s="13"/>
      <c r="BF290" s="88"/>
      <c r="BG290" s="88"/>
      <c r="BH290" s="88"/>
      <c r="BI290" s="88"/>
      <c r="BJ290" s="88"/>
      <c r="BK290" s="105"/>
      <c r="BL290" s="105"/>
      <c r="BM290" s="105"/>
      <c r="BN290" s="105"/>
      <c r="BO290" s="105"/>
      <c r="BP290" s="105"/>
      <c r="BQ290" s="79"/>
      <c r="BR290" s="79"/>
      <c r="BS290" s="79"/>
      <c r="BT290" s="79"/>
      <c r="BU290" s="79"/>
      <c r="BV290" s="90"/>
      <c r="BW290" s="106"/>
      <c r="BX290" s="106"/>
      <c r="BY290" s="106"/>
      <c r="BZ290" s="106"/>
      <c r="CA290" s="106"/>
    </row>
    <row r="291" spans="1:79" x14ac:dyDescent="0.35">
      <c r="A291" s="25" t="s">
        <v>304</v>
      </c>
      <c r="B291" s="10" t="s">
        <v>340</v>
      </c>
      <c r="C291" s="10" t="s">
        <v>342</v>
      </c>
      <c r="D291" s="10" t="s">
        <v>346</v>
      </c>
      <c r="E291" s="11">
        <v>45990</v>
      </c>
      <c r="F291" s="17">
        <v>45892</v>
      </c>
      <c r="G291" s="14">
        <f t="shared" ca="1" si="89"/>
        <v>207</v>
      </c>
      <c r="H291" s="10">
        <v>199</v>
      </c>
      <c r="I291" s="10">
        <v>135</v>
      </c>
      <c r="J291" s="75">
        <f t="shared" si="90"/>
        <v>2000</v>
      </c>
      <c r="K291" s="10">
        <v>2000</v>
      </c>
      <c r="L291" s="89">
        <v>0</v>
      </c>
      <c r="M291" s="86">
        <f t="shared" ca="1" si="91"/>
        <v>0</v>
      </c>
      <c r="N291" s="86">
        <f t="shared" si="92"/>
        <v>0.80451009251471861</v>
      </c>
      <c r="O291" s="86">
        <f t="shared" si="93"/>
        <v>0</v>
      </c>
      <c r="P291" s="87">
        <f t="shared" si="94"/>
        <v>0</v>
      </c>
      <c r="Q291" s="104" t="e">
        <f t="shared" si="95"/>
        <v>#DIV/0!</v>
      </c>
      <c r="R291" s="88">
        <f t="shared" si="96"/>
        <v>32.1608040201005</v>
      </c>
      <c r="S291" s="88">
        <f t="shared" si="97"/>
        <v>0</v>
      </c>
      <c r="T291" s="13">
        <f t="shared" si="98"/>
        <v>1</v>
      </c>
      <c r="U291" s="13" t="e">
        <f t="shared" si="99"/>
        <v>#DIV/0!</v>
      </c>
      <c r="V291" s="13">
        <f t="shared" si="100"/>
        <v>1</v>
      </c>
      <c r="W291" s="13">
        <f t="shared" ca="1" si="101"/>
        <v>3</v>
      </c>
      <c r="X291" s="13" t="e">
        <f t="shared" ca="1" si="102"/>
        <v>#DIV/0!</v>
      </c>
      <c r="Y291" s="81" t="str">
        <f t="shared" ca="1" si="103"/>
        <v>EXIT</v>
      </c>
      <c r="Z291" s="13">
        <v>14</v>
      </c>
      <c r="AA291" s="75">
        <v>46059</v>
      </c>
      <c r="AB291" s="75">
        <f t="shared" si="104"/>
        <v>45920</v>
      </c>
      <c r="AC291" s="88">
        <f t="shared" si="105"/>
        <v>19.857142857142858</v>
      </c>
      <c r="AD291" s="89" t="str">
        <f t="shared" ca="1" si="106"/>
        <v>STABLE</v>
      </c>
      <c r="AE291" s="89" t="str">
        <f t="shared" si="110"/>
        <v>SLOW SELLING</v>
      </c>
      <c r="AF291" s="89" t="e">
        <f t="shared" si="107"/>
        <v>#DIV/0!</v>
      </c>
      <c r="AG291" s="89" t="str">
        <f t="shared" si="108"/>
        <v>FEASIBLE</v>
      </c>
      <c r="AH291" s="81" t="str">
        <f t="shared" ca="1" si="109"/>
        <v>MONITOR</v>
      </c>
      <c r="AI291" s="75"/>
      <c r="AJ291" s="75"/>
      <c r="AK291" s="13"/>
      <c r="AL291" s="79"/>
      <c r="AM291" s="79"/>
      <c r="AN291" s="79"/>
      <c r="AO291" s="79"/>
      <c r="AP291" s="79"/>
      <c r="AQ291" s="75"/>
      <c r="AR291" s="75"/>
      <c r="AS291" s="75"/>
      <c r="AT291" s="75"/>
      <c r="AU291" s="75"/>
      <c r="AV291" s="13"/>
      <c r="AW291" s="13"/>
      <c r="AX291" s="13"/>
      <c r="AY291" s="13"/>
      <c r="AZ291" s="13"/>
      <c r="BA291" s="105"/>
      <c r="BB291" s="13"/>
      <c r="BC291" s="13"/>
      <c r="BD291" s="13"/>
      <c r="BE291" s="13"/>
      <c r="BF291" s="88"/>
      <c r="BG291" s="88"/>
      <c r="BH291" s="88"/>
      <c r="BI291" s="88"/>
      <c r="BJ291" s="88"/>
      <c r="BK291" s="105"/>
      <c r="BL291" s="105"/>
      <c r="BM291" s="105"/>
      <c r="BN291" s="105"/>
      <c r="BO291" s="105"/>
      <c r="BP291" s="105"/>
      <c r="BQ291" s="79"/>
      <c r="BR291" s="79"/>
      <c r="BS291" s="79"/>
      <c r="BT291" s="79"/>
      <c r="BU291" s="79"/>
      <c r="BV291" s="90"/>
      <c r="BW291" s="106"/>
      <c r="BX291" s="106"/>
      <c r="BY291" s="106"/>
      <c r="BZ291" s="106"/>
      <c r="CA291" s="106"/>
    </row>
    <row r="292" spans="1:79" x14ac:dyDescent="0.35">
      <c r="A292" s="25" t="s">
        <v>305</v>
      </c>
      <c r="B292" s="10" t="s">
        <v>340</v>
      </c>
      <c r="C292" s="10" t="s">
        <v>342</v>
      </c>
      <c r="D292" s="10" t="s">
        <v>346</v>
      </c>
      <c r="E292" s="11">
        <v>45990</v>
      </c>
      <c r="F292" s="17">
        <v>45892</v>
      </c>
      <c r="G292" s="14">
        <f t="shared" ca="1" si="89"/>
        <v>207</v>
      </c>
      <c r="H292" s="10">
        <v>199</v>
      </c>
      <c r="I292" s="10">
        <v>135</v>
      </c>
      <c r="J292" s="75">
        <f t="shared" si="90"/>
        <v>2000</v>
      </c>
      <c r="K292" s="10">
        <v>2000</v>
      </c>
      <c r="L292" s="89">
        <v>0</v>
      </c>
      <c r="M292" s="86">
        <f t="shared" ca="1" si="91"/>
        <v>0</v>
      </c>
      <c r="N292" s="86">
        <f t="shared" si="92"/>
        <v>0.80451009251471861</v>
      </c>
      <c r="O292" s="86">
        <f t="shared" si="93"/>
        <v>0</v>
      </c>
      <c r="P292" s="87">
        <f t="shared" si="94"/>
        <v>0</v>
      </c>
      <c r="Q292" s="104" t="e">
        <f t="shared" si="95"/>
        <v>#DIV/0!</v>
      </c>
      <c r="R292" s="88">
        <f t="shared" si="96"/>
        <v>32.1608040201005</v>
      </c>
      <c r="S292" s="88">
        <f t="shared" si="97"/>
        <v>0</v>
      </c>
      <c r="T292" s="13">
        <f t="shared" si="98"/>
        <v>1</v>
      </c>
      <c r="U292" s="13" t="e">
        <f t="shared" si="99"/>
        <v>#DIV/0!</v>
      </c>
      <c r="V292" s="13">
        <f t="shared" si="100"/>
        <v>1</v>
      </c>
      <c r="W292" s="13">
        <f t="shared" ca="1" si="101"/>
        <v>3</v>
      </c>
      <c r="X292" s="13" t="e">
        <f t="shared" ca="1" si="102"/>
        <v>#DIV/0!</v>
      </c>
      <c r="Y292" s="81" t="str">
        <f t="shared" ca="1" si="103"/>
        <v>EXIT</v>
      </c>
      <c r="Z292" s="13">
        <v>14</v>
      </c>
      <c r="AA292" s="75">
        <v>46059</v>
      </c>
      <c r="AB292" s="75">
        <f t="shared" si="104"/>
        <v>45920</v>
      </c>
      <c r="AC292" s="88">
        <f t="shared" si="105"/>
        <v>19.857142857142858</v>
      </c>
      <c r="AD292" s="89" t="str">
        <f t="shared" ca="1" si="106"/>
        <v>STABLE</v>
      </c>
      <c r="AE292" s="89" t="str">
        <f t="shared" si="110"/>
        <v>SLOW SELLING</v>
      </c>
      <c r="AF292" s="89" t="e">
        <f t="shared" si="107"/>
        <v>#DIV/0!</v>
      </c>
      <c r="AG292" s="89" t="str">
        <f t="shared" si="108"/>
        <v>FEASIBLE</v>
      </c>
      <c r="AH292" s="81" t="str">
        <f t="shared" ca="1" si="109"/>
        <v>MONITOR</v>
      </c>
      <c r="AI292" s="75"/>
      <c r="AJ292" s="75"/>
      <c r="AK292" s="13"/>
      <c r="AL292" s="79"/>
      <c r="AM292" s="79"/>
      <c r="AN292" s="79"/>
      <c r="AO292" s="79"/>
      <c r="AP292" s="79"/>
      <c r="AQ292" s="75"/>
      <c r="AR292" s="75"/>
      <c r="AS292" s="75"/>
      <c r="AT292" s="75"/>
      <c r="AU292" s="75"/>
      <c r="AV292" s="13"/>
      <c r="AW292" s="13"/>
      <c r="AX292" s="13"/>
      <c r="AY292" s="13"/>
      <c r="AZ292" s="13"/>
      <c r="BA292" s="105"/>
      <c r="BB292" s="13"/>
      <c r="BC292" s="13"/>
      <c r="BD292" s="13"/>
      <c r="BE292" s="13"/>
      <c r="BF292" s="88"/>
      <c r="BG292" s="88"/>
      <c r="BH292" s="88"/>
      <c r="BI292" s="88"/>
      <c r="BJ292" s="88"/>
      <c r="BK292" s="105"/>
      <c r="BL292" s="105"/>
      <c r="BM292" s="105"/>
      <c r="BN292" s="105"/>
      <c r="BO292" s="105"/>
      <c r="BP292" s="105"/>
      <c r="BQ292" s="79"/>
      <c r="BR292" s="79"/>
      <c r="BS292" s="79"/>
      <c r="BT292" s="79"/>
      <c r="BU292" s="79"/>
      <c r="BV292" s="90"/>
      <c r="BW292" s="106"/>
      <c r="BX292" s="106"/>
      <c r="BY292" s="106"/>
      <c r="BZ292" s="106"/>
      <c r="CA292" s="106"/>
    </row>
    <row r="293" spans="1:79" x14ac:dyDescent="0.35">
      <c r="A293" s="25" t="s">
        <v>306</v>
      </c>
      <c r="B293" s="10" t="s">
        <v>340</v>
      </c>
      <c r="C293" s="10" t="s">
        <v>342</v>
      </c>
      <c r="D293" s="10" t="s">
        <v>346</v>
      </c>
      <c r="E293" s="11">
        <v>45990</v>
      </c>
      <c r="F293" s="17">
        <v>45892</v>
      </c>
      <c r="G293" s="14">
        <f t="shared" ca="1" si="89"/>
        <v>207</v>
      </c>
      <c r="H293" s="10">
        <v>199</v>
      </c>
      <c r="I293" s="10">
        <v>135</v>
      </c>
      <c r="J293" s="75">
        <f t="shared" si="90"/>
        <v>2000</v>
      </c>
      <c r="K293" s="10">
        <v>2000</v>
      </c>
      <c r="L293" s="89">
        <v>0</v>
      </c>
      <c r="M293" s="86">
        <f t="shared" ca="1" si="91"/>
        <v>0</v>
      </c>
      <c r="N293" s="86">
        <f t="shared" si="92"/>
        <v>0.80451009251471861</v>
      </c>
      <c r="O293" s="86">
        <f t="shared" si="93"/>
        <v>0</v>
      </c>
      <c r="P293" s="87">
        <f t="shared" si="94"/>
        <v>0</v>
      </c>
      <c r="Q293" s="104" t="e">
        <f t="shared" si="95"/>
        <v>#DIV/0!</v>
      </c>
      <c r="R293" s="88">
        <f t="shared" si="96"/>
        <v>32.1608040201005</v>
      </c>
      <c r="S293" s="88">
        <f t="shared" si="97"/>
        <v>0</v>
      </c>
      <c r="T293" s="13">
        <f t="shared" si="98"/>
        <v>1</v>
      </c>
      <c r="U293" s="13" t="e">
        <f t="shared" si="99"/>
        <v>#DIV/0!</v>
      </c>
      <c r="V293" s="13">
        <f t="shared" si="100"/>
        <v>1</v>
      </c>
      <c r="W293" s="13">
        <f t="shared" ca="1" si="101"/>
        <v>3</v>
      </c>
      <c r="X293" s="13" t="e">
        <f t="shared" ca="1" si="102"/>
        <v>#DIV/0!</v>
      </c>
      <c r="Y293" s="81" t="str">
        <f t="shared" ca="1" si="103"/>
        <v>EXIT</v>
      </c>
      <c r="Z293" s="13">
        <v>14</v>
      </c>
      <c r="AA293" s="75">
        <v>46059</v>
      </c>
      <c r="AB293" s="75">
        <f t="shared" si="104"/>
        <v>45920</v>
      </c>
      <c r="AC293" s="88">
        <f t="shared" si="105"/>
        <v>19.857142857142858</v>
      </c>
      <c r="AD293" s="89" t="str">
        <f t="shared" ca="1" si="106"/>
        <v>STABLE</v>
      </c>
      <c r="AE293" s="89" t="str">
        <f t="shared" si="110"/>
        <v>SLOW SELLING</v>
      </c>
      <c r="AF293" s="89" t="e">
        <f t="shared" si="107"/>
        <v>#DIV/0!</v>
      </c>
      <c r="AG293" s="89" t="str">
        <f t="shared" si="108"/>
        <v>FEASIBLE</v>
      </c>
      <c r="AH293" s="81" t="str">
        <f t="shared" ca="1" si="109"/>
        <v>MONITOR</v>
      </c>
      <c r="AI293" s="75"/>
      <c r="AJ293" s="75"/>
      <c r="AK293" s="13"/>
      <c r="AL293" s="79"/>
      <c r="AM293" s="79"/>
      <c r="AN293" s="79"/>
      <c r="AO293" s="79"/>
      <c r="AP293" s="79"/>
      <c r="AQ293" s="75"/>
      <c r="AR293" s="75"/>
      <c r="AS293" s="75"/>
      <c r="AT293" s="75"/>
      <c r="AU293" s="75"/>
      <c r="AV293" s="13"/>
      <c r="AW293" s="13"/>
      <c r="AX293" s="13"/>
      <c r="AY293" s="13"/>
      <c r="AZ293" s="13"/>
      <c r="BA293" s="105"/>
      <c r="BB293" s="13"/>
      <c r="BC293" s="13"/>
      <c r="BD293" s="13"/>
      <c r="BE293" s="13"/>
      <c r="BF293" s="88"/>
      <c r="BG293" s="88"/>
      <c r="BH293" s="88"/>
      <c r="BI293" s="88"/>
      <c r="BJ293" s="88"/>
      <c r="BK293" s="105"/>
      <c r="BL293" s="105"/>
      <c r="BM293" s="105"/>
      <c r="BN293" s="105"/>
      <c r="BO293" s="105"/>
      <c r="BP293" s="105"/>
      <c r="BQ293" s="79"/>
      <c r="BR293" s="79"/>
      <c r="BS293" s="79"/>
      <c r="BT293" s="79"/>
      <c r="BU293" s="79"/>
      <c r="BV293" s="90"/>
      <c r="BW293" s="106"/>
      <c r="BX293" s="106"/>
      <c r="BY293" s="106"/>
      <c r="BZ293" s="106"/>
      <c r="CA293" s="106"/>
    </row>
    <row r="294" spans="1:79" x14ac:dyDescent="0.35">
      <c r="A294" s="25" t="s">
        <v>307</v>
      </c>
      <c r="B294" s="10" t="s">
        <v>340</v>
      </c>
      <c r="C294" s="10" t="s">
        <v>342</v>
      </c>
      <c r="D294" s="10" t="s">
        <v>346</v>
      </c>
      <c r="E294" s="11">
        <v>45990</v>
      </c>
      <c r="F294" s="17">
        <v>45892</v>
      </c>
      <c r="G294" s="14">
        <f t="shared" ca="1" si="89"/>
        <v>207</v>
      </c>
      <c r="H294" s="10">
        <v>199</v>
      </c>
      <c r="I294" s="10">
        <v>135</v>
      </c>
      <c r="J294" s="75">
        <f t="shared" si="90"/>
        <v>2000</v>
      </c>
      <c r="K294" s="10">
        <v>2000</v>
      </c>
      <c r="L294" s="89">
        <v>0</v>
      </c>
      <c r="M294" s="86">
        <f t="shared" ca="1" si="91"/>
        <v>0</v>
      </c>
      <c r="N294" s="86">
        <f t="shared" si="92"/>
        <v>0.80451009251471861</v>
      </c>
      <c r="O294" s="86">
        <f t="shared" si="93"/>
        <v>0</v>
      </c>
      <c r="P294" s="87">
        <f t="shared" si="94"/>
        <v>0</v>
      </c>
      <c r="Q294" s="104" t="e">
        <f t="shared" si="95"/>
        <v>#DIV/0!</v>
      </c>
      <c r="R294" s="88">
        <f t="shared" si="96"/>
        <v>32.1608040201005</v>
      </c>
      <c r="S294" s="88">
        <f t="shared" si="97"/>
        <v>0</v>
      </c>
      <c r="T294" s="13">
        <f t="shared" si="98"/>
        <v>1</v>
      </c>
      <c r="U294" s="13" t="e">
        <f t="shared" si="99"/>
        <v>#DIV/0!</v>
      </c>
      <c r="V294" s="13">
        <f t="shared" si="100"/>
        <v>1</v>
      </c>
      <c r="W294" s="13">
        <f t="shared" ca="1" si="101"/>
        <v>3</v>
      </c>
      <c r="X294" s="13" t="e">
        <f t="shared" ca="1" si="102"/>
        <v>#DIV/0!</v>
      </c>
      <c r="Y294" s="81" t="str">
        <f t="shared" ca="1" si="103"/>
        <v>EXIT</v>
      </c>
      <c r="Z294" s="13">
        <v>14</v>
      </c>
      <c r="AA294" s="75">
        <v>46059</v>
      </c>
      <c r="AB294" s="75">
        <f t="shared" si="104"/>
        <v>45920</v>
      </c>
      <c r="AC294" s="88">
        <f t="shared" si="105"/>
        <v>19.857142857142858</v>
      </c>
      <c r="AD294" s="89" t="str">
        <f t="shared" ca="1" si="106"/>
        <v>STABLE</v>
      </c>
      <c r="AE294" s="89" t="str">
        <f t="shared" si="110"/>
        <v>SLOW SELLING</v>
      </c>
      <c r="AF294" s="89" t="e">
        <f t="shared" si="107"/>
        <v>#DIV/0!</v>
      </c>
      <c r="AG294" s="89" t="str">
        <f t="shared" si="108"/>
        <v>FEASIBLE</v>
      </c>
      <c r="AH294" s="81" t="str">
        <f t="shared" ca="1" si="109"/>
        <v>MONITOR</v>
      </c>
      <c r="AI294" s="75"/>
      <c r="AJ294" s="75"/>
      <c r="AK294" s="13"/>
      <c r="AL294" s="79"/>
      <c r="AM294" s="79"/>
      <c r="AN294" s="79"/>
      <c r="AO294" s="79"/>
      <c r="AP294" s="79"/>
      <c r="AQ294" s="75"/>
      <c r="AR294" s="75"/>
      <c r="AS294" s="75"/>
      <c r="AT294" s="75"/>
      <c r="AU294" s="75"/>
      <c r="AV294" s="13"/>
      <c r="AW294" s="13"/>
      <c r="AX294" s="13"/>
      <c r="AY294" s="13"/>
      <c r="AZ294" s="13"/>
      <c r="BA294" s="105"/>
      <c r="BB294" s="13"/>
      <c r="BC294" s="13"/>
      <c r="BD294" s="13"/>
      <c r="BE294" s="13"/>
      <c r="BF294" s="88"/>
      <c r="BG294" s="88"/>
      <c r="BH294" s="88"/>
      <c r="BI294" s="88"/>
      <c r="BJ294" s="88"/>
      <c r="BK294" s="105"/>
      <c r="BL294" s="105"/>
      <c r="BM294" s="105"/>
      <c r="BN294" s="105"/>
      <c r="BO294" s="105"/>
      <c r="BP294" s="105"/>
      <c r="BQ294" s="79"/>
      <c r="BR294" s="79"/>
      <c r="BS294" s="79"/>
      <c r="BT294" s="79"/>
      <c r="BU294" s="79"/>
      <c r="BV294" s="90"/>
      <c r="BW294" s="106"/>
      <c r="BX294" s="106"/>
      <c r="BY294" s="106"/>
      <c r="BZ294" s="106"/>
      <c r="CA294" s="106"/>
    </row>
    <row r="295" spans="1:79" x14ac:dyDescent="0.35">
      <c r="A295" s="25" t="s">
        <v>308</v>
      </c>
      <c r="B295" s="10" t="s">
        <v>340</v>
      </c>
      <c r="C295" s="10" t="s">
        <v>342</v>
      </c>
      <c r="D295" s="10" t="s">
        <v>346</v>
      </c>
      <c r="E295" s="11">
        <v>45990</v>
      </c>
      <c r="F295" s="17">
        <v>45892</v>
      </c>
      <c r="G295" s="14">
        <f t="shared" ca="1" si="89"/>
        <v>207</v>
      </c>
      <c r="H295" s="10">
        <v>199</v>
      </c>
      <c r="I295" s="10">
        <v>135</v>
      </c>
      <c r="J295" s="75">
        <f t="shared" si="90"/>
        <v>2000</v>
      </c>
      <c r="K295" s="10">
        <v>2000</v>
      </c>
      <c r="L295" s="89">
        <v>0</v>
      </c>
      <c r="M295" s="86">
        <f t="shared" ca="1" si="91"/>
        <v>0</v>
      </c>
      <c r="N295" s="86">
        <f t="shared" si="92"/>
        <v>0.80451009251471861</v>
      </c>
      <c r="O295" s="86">
        <f t="shared" si="93"/>
        <v>0</v>
      </c>
      <c r="P295" s="87">
        <f t="shared" si="94"/>
        <v>0</v>
      </c>
      <c r="Q295" s="104" t="e">
        <f t="shared" si="95"/>
        <v>#DIV/0!</v>
      </c>
      <c r="R295" s="88">
        <f t="shared" si="96"/>
        <v>32.1608040201005</v>
      </c>
      <c r="S295" s="88">
        <f t="shared" si="97"/>
        <v>0</v>
      </c>
      <c r="T295" s="13">
        <f t="shared" si="98"/>
        <v>1</v>
      </c>
      <c r="U295" s="13" t="e">
        <f t="shared" si="99"/>
        <v>#DIV/0!</v>
      </c>
      <c r="V295" s="13">
        <f t="shared" si="100"/>
        <v>1</v>
      </c>
      <c r="W295" s="13">
        <f t="shared" ca="1" si="101"/>
        <v>3</v>
      </c>
      <c r="X295" s="13" t="e">
        <f t="shared" ca="1" si="102"/>
        <v>#DIV/0!</v>
      </c>
      <c r="Y295" s="81" t="str">
        <f t="shared" ca="1" si="103"/>
        <v>EXIT</v>
      </c>
      <c r="Z295" s="13">
        <v>14</v>
      </c>
      <c r="AA295" s="75">
        <v>46059</v>
      </c>
      <c r="AB295" s="75">
        <f t="shared" si="104"/>
        <v>45920</v>
      </c>
      <c r="AC295" s="88">
        <f t="shared" si="105"/>
        <v>19.857142857142858</v>
      </c>
      <c r="AD295" s="89" t="str">
        <f t="shared" ca="1" si="106"/>
        <v>STABLE</v>
      </c>
      <c r="AE295" s="89" t="str">
        <f t="shared" si="110"/>
        <v>SLOW SELLING</v>
      </c>
      <c r="AF295" s="89" t="e">
        <f t="shared" si="107"/>
        <v>#DIV/0!</v>
      </c>
      <c r="AG295" s="89" t="str">
        <f t="shared" si="108"/>
        <v>FEASIBLE</v>
      </c>
      <c r="AH295" s="81" t="str">
        <f t="shared" ca="1" si="109"/>
        <v>MONITOR</v>
      </c>
      <c r="AI295" s="75"/>
      <c r="AJ295" s="75"/>
      <c r="AK295" s="13"/>
      <c r="AL295" s="79"/>
      <c r="AM295" s="79"/>
      <c r="AN295" s="79"/>
      <c r="AO295" s="79"/>
      <c r="AP295" s="79"/>
      <c r="AQ295" s="75"/>
      <c r="AR295" s="75"/>
      <c r="AS295" s="75"/>
      <c r="AT295" s="75"/>
      <c r="AU295" s="75"/>
      <c r="AV295" s="13"/>
      <c r="AW295" s="13"/>
      <c r="AX295" s="13"/>
      <c r="AY295" s="13"/>
      <c r="AZ295" s="13"/>
      <c r="BA295" s="105"/>
      <c r="BB295" s="13"/>
      <c r="BC295" s="13"/>
      <c r="BD295" s="13"/>
      <c r="BE295" s="13"/>
      <c r="BF295" s="88"/>
      <c r="BG295" s="88"/>
      <c r="BH295" s="88"/>
      <c r="BI295" s="88"/>
      <c r="BJ295" s="88"/>
      <c r="BK295" s="105"/>
      <c r="BL295" s="105"/>
      <c r="BM295" s="105"/>
      <c r="BN295" s="105"/>
      <c r="BO295" s="105"/>
      <c r="BP295" s="105"/>
      <c r="BQ295" s="79"/>
      <c r="BR295" s="79"/>
      <c r="BS295" s="79"/>
      <c r="BT295" s="79"/>
      <c r="BU295" s="79"/>
      <c r="BV295" s="90"/>
      <c r="BW295" s="106"/>
      <c r="BX295" s="106"/>
      <c r="BY295" s="106"/>
      <c r="BZ295" s="106"/>
      <c r="CA295" s="106"/>
    </row>
    <row r="296" spans="1:79" x14ac:dyDescent="0.35">
      <c r="A296" s="25" t="s">
        <v>309</v>
      </c>
      <c r="B296" s="10" t="s">
        <v>340</v>
      </c>
      <c r="C296" s="10" t="s">
        <v>342</v>
      </c>
      <c r="D296" s="10" t="s">
        <v>346</v>
      </c>
      <c r="E296" s="11">
        <v>45990</v>
      </c>
      <c r="F296" s="17">
        <v>45892</v>
      </c>
      <c r="G296" s="14">
        <f t="shared" ca="1" si="89"/>
        <v>207</v>
      </c>
      <c r="H296" s="10">
        <v>199</v>
      </c>
      <c r="I296" s="10">
        <v>135</v>
      </c>
      <c r="J296" s="75">
        <f t="shared" si="90"/>
        <v>2000</v>
      </c>
      <c r="K296" s="10">
        <v>2000</v>
      </c>
      <c r="L296" s="89">
        <v>0</v>
      </c>
      <c r="M296" s="86">
        <f t="shared" ca="1" si="91"/>
        <v>0</v>
      </c>
      <c r="N296" s="86">
        <f t="shared" si="92"/>
        <v>0.80451009251471861</v>
      </c>
      <c r="O296" s="86">
        <f t="shared" si="93"/>
        <v>0</v>
      </c>
      <c r="P296" s="87">
        <f t="shared" si="94"/>
        <v>0</v>
      </c>
      <c r="Q296" s="104" t="e">
        <f t="shared" si="95"/>
        <v>#DIV/0!</v>
      </c>
      <c r="R296" s="88">
        <f t="shared" si="96"/>
        <v>32.1608040201005</v>
      </c>
      <c r="S296" s="88">
        <f t="shared" si="97"/>
        <v>0</v>
      </c>
      <c r="T296" s="13">
        <f t="shared" si="98"/>
        <v>1</v>
      </c>
      <c r="U296" s="13" t="e">
        <f t="shared" si="99"/>
        <v>#DIV/0!</v>
      </c>
      <c r="V296" s="13">
        <f t="shared" si="100"/>
        <v>1</v>
      </c>
      <c r="W296" s="13">
        <f t="shared" ca="1" si="101"/>
        <v>3</v>
      </c>
      <c r="X296" s="13" t="e">
        <f t="shared" ca="1" si="102"/>
        <v>#DIV/0!</v>
      </c>
      <c r="Y296" s="81" t="str">
        <f t="shared" ca="1" si="103"/>
        <v>EXIT</v>
      </c>
      <c r="Z296" s="13">
        <v>14</v>
      </c>
      <c r="AA296" s="75">
        <v>46059</v>
      </c>
      <c r="AB296" s="75">
        <f t="shared" si="104"/>
        <v>45920</v>
      </c>
      <c r="AC296" s="88">
        <f t="shared" si="105"/>
        <v>19.857142857142858</v>
      </c>
      <c r="AD296" s="89" t="str">
        <f t="shared" ca="1" si="106"/>
        <v>STABLE</v>
      </c>
      <c r="AE296" s="89" t="str">
        <f t="shared" si="110"/>
        <v>SLOW SELLING</v>
      </c>
      <c r="AF296" s="89" t="e">
        <f t="shared" si="107"/>
        <v>#DIV/0!</v>
      </c>
      <c r="AG296" s="89" t="str">
        <f t="shared" si="108"/>
        <v>FEASIBLE</v>
      </c>
      <c r="AH296" s="81" t="str">
        <f t="shared" ca="1" si="109"/>
        <v>MONITOR</v>
      </c>
      <c r="AI296" s="75"/>
      <c r="AJ296" s="75"/>
      <c r="AK296" s="13"/>
      <c r="AL296" s="79"/>
      <c r="AM296" s="79"/>
      <c r="AN296" s="79"/>
      <c r="AO296" s="79"/>
      <c r="AP296" s="79"/>
      <c r="AQ296" s="75"/>
      <c r="AR296" s="75"/>
      <c r="AS296" s="75"/>
      <c r="AT296" s="75"/>
      <c r="AU296" s="75"/>
      <c r="AV296" s="13"/>
      <c r="AW296" s="13"/>
      <c r="AX296" s="13"/>
      <c r="AY296" s="13"/>
      <c r="AZ296" s="13"/>
      <c r="BA296" s="105"/>
      <c r="BB296" s="13"/>
      <c r="BC296" s="13"/>
      <c r="BD296" s="13"/>
      <c r="BE296" s="13"/>
      <c r="BF296" s="88"/>
      <c r="BG296" s="88"/>
      <c r="BH296" s="88"/>
      <c r="BI296" s="88"/>
      <c r="BJ296" s="88"/>
      <c r="BK296" s="105"/>
      <c r="BL296" s="105"/>
      <c r="BM296" s="105"/>
      <c r="BN296" s="105"/>
      <c r="BO296" s="105"/>
      <c r="BP296" s="105"/>
      <c r="BQ296" s="79"/>
      <c r="BR296" s="79"/>
      <c r="BS296" s="79"/>
      <c r="BT296" s="79"/>
      <c r="BU296" s="79"/>
      <c r="BV296" s="90"/>
      <c r="BW296" s="106"/>
      <c r="BX296" s="106"/>
      <c r="BY296" s="106"/>
      <c r="BZ296" s="106"/>
      <c r="CA296" s="106"/>
    </row>
    <row r="297" spans="1:79" x14ac:dyDescent="0.35">
      <c r="A297" s="25" t="s">
        <v>310</v>
      </c>
      <c r="B297" s="10" t="s">
        <v>340</v>
      </c>
      <c r="C297" s="10" t="s">
        <v>342</v>
      </c>
      <c r="D297" s="10" t="s">
        <v>346</v>
      </c>
      <c r="E297" s="11">
        <v>45990</v>
      </c>
      <c r="F297" s="17">
        <v>45892</v>
      </c>
      <c r="G297" s="14">
        <f t="shared" ca="1" si="89"/>
        <v>207</v>
      </c>
      <c r="H297" s="10">
        <v>199</v>
      </c>
      <c r="I297" s="10">
        <v>135</v>
      </c>
      <c r="J297" s="75">
        <f t="shared" si="90"/>
        <v>2000</v>
      </c>
      <c r="K297" s="10">
        <v>2000</v>
      </c>
      <c r="L297" s="89">
        <v>0</v>
      </c>
      <c r="M297" s="86">
        <f t="shared" ca="1" si="91"/>
        <v>0</v>
      </c>
      <c r="N297" s="86">
        <f t="shared" si="92"/>
        <v>0.80451009251471861</v>
      </c>
      <c r="O297" s="86">
        <f t="shared" si="93"/>
        <v>0</v>
      </c>
      <c r="P297" s="87">
        <f t="shared" si="94"/>
        <v>0</v>
      </c>
      <c r="Q297" s="104" t="e">
        <f t="shared" si="95"/>
        <v>#DIV/0!</v>
      </c>
      <c r="R297" s="88">
        <f t="shared" si="96"/>
        <v>32.1608040201005</v>
      </c>
      <c r="S297" s="88">
        <f t="shared" si="97"/>
        <v>0</v>
      </c>
      <c r="T297" s="13">
        <f t="shared" si="98"/>
        <v>1</v>
      </c>
      <c r="U297" s="13" t="e">
        <f t="shared" si="99"/>
        <v>#DIV/0!</v>
      </c>
      <c r="V297" s="13">
        <f t="shared" si="100"/>
        <v>1</v>
      </c>
      <c r="W297" s="13">
        <f t="shared" ca="1" si="101"/>
        <v>3</v>
      </c>
      <c r="X297" s="13" t="e">
        <f t="shared" ca="1" si="102"/>
        <v>#DIV/0!</v>
      </c>
      <c r="Y297" s="81" t="str">
        <f t="shared" ca="1" si="103"/>
        <v>EXIT</v>
      </c>
      <c r="Z297" s="13">
        <v>14</v>
      </c>
      <c r="AA297" s="75">
        <v>46059</v>
      </c>
      <c r="AB297" s="75">
        <f t="shared" si="104"/>
        <v>45920</v>
      </c>
      <c r="AC297" s="88">
        <f t="shared" si="105"/>
        <v>19.857142857142858</v>
      </c>
      <c r="AD297" s="89" t="str">
        <f t="shared" ca="1" si="106"/>
        <v>STABLE</v>
      </c>
      <c r="AE297" s="89" t="str">
        <f t="shared" si="110"/>
        <v>SLOW SELLING</v>
      </c>
      <c r="AF297" s="89" t="e">
        <f t="shared" si="107"/>
        <v>#DIV/0!</v>
      </c>
      <c r="AG297" s="89" t="str">
        <f t="shared" si="108"/>
        <v>FEASIBLE</v>
      </c>
      <c r="AH297" s="81" t="str">
        <f t="shared" ca="1" si="109"/>
        <v>MONITOR</v>
      </c>
      <c r="AI297" s="75"/>
      <c r="AJ297" s="75"/>
      <c r="AK297" s="13"/>
      <c r="AL297" s="79"/>
      <c r="AM297" s="79"/>
      <c r="AN297" s="79"/>
      <c r="AO297" s="79"/>
      <c r="AP297" s="79"/>
      <c r="AQ297" s="75"/>
      <c r="AR297" s="75"/>
      <c r="AS297" s="75"/>
      <c r="AT297" s="75"/>
      <c r="AU297" s="75"/>
      <c r="AV297" s="13"/>
      <c r="AW297" s="13"/>
      <c r="AX297" s="13"/>
      <c r="AY297" s="13"/>
      <c r="AZ297" s="13"/>
      <c r="BA297" s="105"/>
      <c r="BB297" s="13"/>
      <c r="BC297" s="13"/>
      <c r="BD297" s="13"/>
      <c r="BE297" s="13"/>
      <c r="BF297" s="88"/>
      <c r="BG297" s="88"/>
      <c r="BH297" s="88"/>
      <c r="BI297" s="88"/>
      <c r="BJ297" s="88"/>
      <c r="BK297" s="105"/>
      <c r="BL297" s="105"/>
      <c r="BM297" s="105"/>
      <c r="BN297" s="105"/>
      <c r="BO297" s="105"/>
      <c r="BP297" s="105"/>
      <c r="BQ297" s="79"/>
      <c r="BR297" s="79"/>
      <c r="BS297" s="79"/>
      <c r="BT297" s="79"/>
      <c r="BU297" s="79"/>
      <c r="BV297" s="90"/>
      <c r="BW297" s="106"/>
      <c r="BX297" s="106"/>
      <c r="BY297" s="106"/>
      <c r="BZ297" s="106"/>
      <c r="CA297" s="106"/>
    </row>
    <row r="298" spans="1:79" x14ac:dyDescent="0.35">
      <c r="A298" s="25" t="s">
        <v>311</v>
      </c>
      <c r="B298" s="10" t="s">
        <v>340</v>
      </c>
      <c r="C298" s="10" t="s">
        <v>342</v>
      </c>
      <c r="D298" s="10" t="s">
        <v>346</v>
      </c>
      <c r="E298" s="11">
        <v>45990</v>
      </c>
      <c r="F298" s="17">
        <v>45892</v>
      </c>
      <c r="G298" s="14">
        <f t="shared" ca="1" si="89"/>
        <v>207</v>
      </c>
      <c r="H298" s="10">
        <v>199</v>
      </c>
      <c r="I298" s="10">
        <v>135</v>
      </c>
      <c r="J298" s="75">
        <f t="shared" si="90"/>
        <v>2000</v>
      </c>
      <c r="K298" s="10">
        <v>2000</v>
      </c>
      <c r="L298" s="89">
        <v>0</v>
      </c>
      <c r="M298" s="86">
        <f t="shared" ca="1" si="91"/>
        <v>0</v>
      </c>
      <c r="N298" s="86">
        <f t="shared" si="92"/>
        <v>0.80451009251471861</v>
      </c>
      <c r="O298" s="86">
        <f t="shared" si="93"/>
        <v>0</v>
      </c>
      <c r="P298" s="87">
        <f t="shared" si="94"/>
        <v>0</v>
      </c>
      <c r="Q298" s="104" t="e">
        <f t="shared" si="95"/>
        <v>#DIV/0!</v>
      </c>
      <c r="R298" s="88">
        <f t="shared" si="96"/>
        <v>32.1608040201005</v>
      </c>
      <c r="S298" s="88">
        <f t="shared" si="97"/>
        <v>0</v>
      </c>
      <c r="T298" s="13">
        <f t="shared" si="98"/>
        <v>1</v>
      </c>
      <c r="U298" s="13" t="e">
        <f t="shared" si="99"/>
        <v>#DIV/0!</v>
      </c>
      <c r="V298" s="13">
        <f t="shared" si="100"/>
        <v>1</v>
      </c>
      <c r="W298" s="13">
        <f t="shared" ca="1" si="101"/>
        <v>3</v>
      </c>
      <c r="X298" s="13" t="e">
        <f t="shared" ca="1" si="102"/>
        <v>#DIV/0!</v>
      </c>
      <c r="Y298" s="81" t="str">
        <f t="shared" ca="1" si="103"/>
        <v>EXIT</v>
      </c>
      <c r="Z298" s="13">
        <v>14</v>
      </c>
      <c r="AA298" s="75">
        <v>46059</v>
      </c>
      <c r="AB298" s="75">
        <f t="shared" si="104"/>
        <v>45920</v>
      </c>
      <c r="AC298" s="88">
        <f t="shared" si="105"/>
        <v>19.857142857142858</v>
      </c>
      <c r="AD298" s="89" t="str">
        <f t="shared" ca="1" si="106"/>
        <v>STABLE</v>
      </c>
      <c r="AE298" s="89" t="str">
        <f t="shared" si="110"/>
        <v>SLOW SELLING</v>
      </c>
      <c r="AF298" s="89" t="e">
        <f t="shared" si="107"/>
        <v>#DIV/0!</v>
      </c>
      <c r="AG298" s="89" t="str">
        <f t="shared" si="108"/>
        <v>FEASIBLE</v>
      </c>
      <c r="AH298" s="81" t="str">
        <f t="shared" ca="1" si="109"/>
        <v>MONITOR</v>
      </c>
      <c r="AI298" s="75"/>
      <c r="AJ298" s="75"/>
      <c r="AK298" s="13"/>
      <c r="AL298" s="79"/>
      <c r="AM298" s="79"/>
      <c r="AN298" s="79"/>
      <c r="AO298" s="79"/>
      <c r="AP298" s="79"/>
      <c r="AQ298" s="75"/>
      <c r="AR298" s="75"/>
      <c r="AS298" s="75"/>
      <c r="AT298" s="75"/>
      <c r="AU298" s="75"/>
      <c r="AV298" s="13"/>
      <c r="AW298" s="13"/>
      <c r="AX298" s="13"/>
      <c r="AY298" s="13"/>
      <c r="AZ298" s="13"/>
      <c r="BA298" s="105"/>
      <c r="BB298" s="13"/>
      <c r="BC298" s="13"/>
      <c r="BD298" s="13"/>
      <c r="BE298" s="13"/>
      <c r="BF298" s="88"/>
      <c r="BG298" s="88"/>
      <c r="BH298" s="88"/>
      <c r="BI298" s="88"/>
      <c r="BJ298" s="88"/>
      <c r="BK298" s="105"/>
      <c r="BL298" s="105"/>
      <c r="BM298" s="105"/>
      <c r="BN298" s="105"/>
      <c r="BO298" s="105"/>
      <c r="BP298" s="105"/>
      <c r="BQ298" s="79"/>
      <c r="BR298" s="79"/>
      <c r="BS298" s="79"/>
      <c r="BT298" s="79"/>
      <c r="BU298" s="79"/>
      <c r="BV298" s="90"/>
      <c r="BW298" s="106"/>
      <c r="BX298" s="106"/>
      <c r="BY298" s="106"/>
      <c r="BZ298" s="106"/>
      <c r="CA298" s="106"/>
    </row>
    <row r="299" spans="1:79" x14ac:dyDescent="0.35">
      <c r="A299" s="28" t="s">
        <v>312</v>
      </c>
      <c r="B299" s="29" t="s">
        <v>340</v>
      </c>
      <c r="C299" s="29" t="s">
        <v>342</v>
      </c>
      <c r="D299" s="29" t="s">
        <v>346</v>
      </c>
      <c r="E299" s="91">
        <v>45990</v>
      </c>
      <c r="F299" s="17">
        <v>45892</v>
      </c>
      <c r="G299" s="30">
        <f t="shared" ca="1" si="89"/>
        <v>207</v>
      </c>
      <c r="H299" s="29">
        <v>199</v>
      </c>
      <c r="I299" s="29">
        <v>135</v>
      </c>
      <c r="J299" s="75">
        <f t="shared" si="90"/>
        <v>2000</v>
      </c>
      <c r="K299" s="29">
        <v>2000</v>
      </c>
      <c r="L299" s="89">
        <v>0</v>
      </c>
      <c r="M299" s="86">
        <f t="shared" ca="1" si="91"/>
        <v>0</v>
      </c>
      <c r="N299" s="86">
        <f t="shared" si="92"/>
        <v>0.80451009251471861</v>
      </c>
      <c r="O299" s="86">
        <f t="shared" si="93"/>
        <v>0</v>
      </c>
      <c r="P299" s="87">
        <f t="shared" si="94"/>
        <v>0</v>
      </c>
      <c r="Q299" s="104" t="e">
        <f t="shared" si="95"/>
        <v>#DIV/0!</v>
      </c>
      <c r="R299" s="88">
        <f t="shared" si="96"/>
        <v>32.1608040201005</v>
      </c>
      <c r="S299" s="88">
        <f t="shared" si="97"/>
        <v>0</v>
      </c>
      <c r="T299" s="13">
        <f t="shared" si="98"/>
        <v>1</v>
      </c>
      <c r="U299" s="13" t="e">
        <f t="shared" si="99"/>
        <v>#DIV/0!</v>
      </c>
      <c r="V299" s="13">
        <f t="shared" si="100"/>
        <v>1</v>
      </c>
      <c r="W299" s="13">
        <f t="shared" ca="1" si="101"/>
        <v>3</v>
      </c>
      <c r="X299" s="13" t="e">
        <f t="shared" ca="1" si="102"/>
        <v>#DIV/0!</v>
      </c>
      <c r="Y299" s="81" t="str">
        <f t="shared" ca="1" si="103"/>
        <v>EXIT</v>
      </c>
      <c r="Z299" s="13">
        <v>14</v>
      </c>
      <c r="AA299" s="75">
        <v>46059</v>
      </c>
      <c r="AB299" s="75">
        <f t="shared" si="104"/>
        <v>45920</v>
      </c>
      <c r="AC299" s="88">
        <f t="shared" si="105"/>
        <v>19.857142857142858</v>
      </c>
      <c r="AD299" s="89" t="str">
        <f t="shared" ca="1" si="106"/>
        <v>STABLE</v>
      </c>
      <c r="AE299" s="89" t="str">
        <f t="shared" si="110"/>
        <v>SLOW SELLING</v>
      </c>
      <c r="AF299" s="89" t="e">
        <f t="shared" si="107"/>
        <v>#DIV/0!</v>
      </c>
      <c r="AG299" s="89" t="str">
        <f t="shared" si="108"/>
        <v>FEASIBLE</v>
      </c>
      <c r="AH299" s="81" t="str">
        <f t="shared" ca="1" si="109"/>
        <v>MONITOR</v>
      </c>
      <c r="AI299" s="75"/>
      <c r="AJ299" s="75"/>
      <c r="AK299" s="13"/>
      <c r="AL299" s="79"/>
      <c r="AM299" s="79"/>
      <c r="AN299" s="79"/>
      <c r="AO299" s="79"/>
      <c r="AP299" s="79"/>
      <c r="AQ299" s="75"/>
      <c r="AR299" s="75"/>
      <c r="AS299" s="75"/>
      <c r="AT299" s="75"/>
      <c r="AU299" s="75"/>
      <c r="AV299" s="13"/>
      <c r="AW299" s="13"/>
      <c r="AX299" s="13"/>
      <c r="AY299" s="13"/>
      <c r="AZ299" s="13"/>
      <c r="BA299" s="105"/>
      <c r="BB299" s="13"/>
      <c r="BC299" s="13"/>
      <c r="BD299" s="13"/>
      <c r="BE299" s="13"/>
      <c r="BF299" s="88"/>
      <c r="BG299" s="88"/>
      <c r="BH299" s="88"/>
      <c r="BI299" s="88"/>
      <c r="BJ299" s="88"/>
      <c r="BK299" s="105"/>
      <c r="BL299" s="105"/>
      <c r="BM299" s="105"/>
      <c r="BN299" s="105"/>
      <c r="BO299" s="105"/>
      <c r="BP299" s="105"/>
      <c r="BQ299" s="79"/>
      <c r="BR299" s="79"/>
      <c r="BS299" s="79"/>
      <c r="BT299" s="79"/>
      <c r="BU299" s="79"/>
      <c r="BV299" s="90"/>
      <c r="BW299" s="106"/>
      <c r="BX299" s="106"/>
      <c r="BY299" s="106"/>
      <c r="BZ299" s="106"/>
      <c r="CA299" s="106"/>
    </row>
    <row r="300" spans="1:79" x14ac:dyDescent="0.35">
      <c r="A300" s="25" t="s">
        <v>313</v>
      </c>
      <c r="B300" s="10" t="s">
        <v>340</v>
      </c>
      <c r="C300" s="10" t="s">
        <v>342</v>
      </c>
      <c r="D300" s="10" t="s">
        <v>346</v>
      </c>
      <c r="E300" s="11">
        <v>45990</v>
      </c>
      <c r="F300" s="17">
        <v>45892</v>
      </c>
      <c r="G300" s="14">
        <f t="shared" ca="1" si="89"/>
        <v>207</v>
      </c>
      <c r="H300" s="10">
        <v>199</v>
      </c>
      <c r="I300" s="10">
        <v>135</v>
      </c>
      <c r="J300" s="75">
        <f t="shared" si="90"/>
        <v>2000</v>
      </c>
      <c r="K300" s="10">
        <v>2000</v>
      </c>
      <c r="L300" s="89">
        <v>0</v>
      </c>
      <c r="M300" s="86">
        <f t="shared" ca="1" si="91"/>
        <v>0</v>
      </c>
      <c r="N300" s="86">
        <f t="shared" si="92"/>
        <v>0.80451009251471861</v>
      </c>
      <c r="O300" s="86">
        <f t="shared" si="93"/>
        <v>0</v>
      </c>
      <c r="P300" s="87">
        <f t="shared" si="94"/>
        <v>0</v>
      </c>
      <c r="Q300" s="104" t="e">
        <f t="shared" si="95"/>
        <v>#DIV/0!</v>
      </c>
      <c r="R300" s="88">
        <f t="shared" si="96"/>
        <v>32.1608040201005</v>
      </c>
      <c r="S300" s="88">
        <f>L300/K300*100</f>
        <v>0</v>
      </c>
      <c r="T300" s="13">
        <f t="shared" si="98"/>
        <v>1</v>
      </c>
      <c r="U300" s="13" t="e">
        <f t="shared" si="99"/>
        <v>#DIV/0!</v>
      </c>
      <c r="V300" s="13">
        <f t="shared" si="100"/>
        <v>1</v>
      </c>
      <c r="W300" s="13">
        <f t="shared" ca="1" si="101"/>
        <v>3</v>
      </c>
      <c r="X300" s="13" t="e">
        <f t="shared" ca="1" si="102"/>
        <v>#DIV/0!</v>
      </c>
      <c r="Y300" s="81" t="str">
        <f t="shared" ca="1" si="103"/>
        <v>EXIT</v>
      </c>
      <c r="Z300" s="13">
        <v>14</v>
      </c>
      <c r="AA300" s="75">
        <v>46059</v>
      </c>
      <c r="AB300" s="75">
        <f t="shared" si="104"/>
        <v>45920</v>
      </c>
      <c r="AC300" s="88">
        <f t="shared" si="105"/>
        <v>19.857142857142858</v>
      </c>
      <c r="AD300" s="89" t="str">
        <f t="shared" ca="1" si="106"/>
        <v>STABLE</v>
      </c>
      <c r="AE300" s="89" t="str">
        <f t="shared" si="110"/>
        <v>SLOW SELLING</v>
      </c>
      <c r="AF300" s="89" t="e">
        <f t="shared" si="107"/>
        <v>#DIV/0!</v>
      </c>
      <c r="AG300" s="89" t="str">
        <f t="shared" si="108"/>
        <v>FEASIBLE</v>
      </c>
      <c r="AH300" s="81" t="str">
        <f t="shared" ca="1" si="109"/>
        <v>MONITOR</v>
      </c>
      <c r="AI300" s="75"/>
      <c r="AJ300" s="75"/>
      <c r="AK300" s="13"/>
      <c r="AL300" s="79"/>
      <c r="AM300" s="79"/>
      <c r="AN300" s="79"/>
      <c r="AO300" s="79"/>
      <c r="AP300" s="79"/>
      <c r="AQ300" s="75"/>
      <c r="AR300" s="75"/>
      <c r="AS300" s="75"/>
      <c r="AT300" s="75"/>
      <c r="AU300" s="75"/>
      <c r="AV300" s="13"/>
      <c r="AW300" s="13"/>
      <c r="AX300" s="13"/>
      <c r="AY300" s="13"/>
      <c r="AZ300" s="13"/>
      <c r="BA300" s="105"/>
      <c r="BB300" s="13"/>
      <c r="BC300" s="13"/>
      <c r="BD300" s="13"/>
      <c r="BE300" s="13"/>
      <c r="BF300" s="88"/>
      <c r="BG300" s="88"/>
      <c r="BH300" s="88"/>
      <c r="BI300" s="88"/>
      <c r="BJ300" s="88"/>
      <c r="BK300" s="105"/>
      <c r="BL300" s="105"/>
      <c r="BM300" s="105"/>
      <c r="BN300" s="105"/>
      <c r="BO300" s="105"/>
      <c r="BP300" s="105"/>
      <c r="BQ300" s="79"/>
      <c r="BR300" s="79"/>
      <c r="BS300" s="79"/>
      <c r="BT300" s="79"/>
      <c r="BU300" s="79"/>
      <c r="BV300" s="90"/>
      <c r="BW300" s="106"/>
      <c r="BX300" s="106"/>
      <c r="BY300" s="106"/>
      <c r="BZ300" s="106"/>
      <c r="CA300" s="106"/>
    </row>
  </sheetData>
  <conditionalFormatting sqref="A2:A98">
    <cfRule type="duplicateValues" dxfId="392" priority="57"/>
  </conditionalFormatting>
  <conditionalFormatting sqref="A2:A241">
    <cfRule type="duplicateValues" dxfId="391" priority="60"/>
    <cfRule type="duplicateValues" dxfId="390" priority="59"/>
    <cfRule type="duplicateValues" dxfId="389" priority="58"/>
    <cfRule type="duplicateValues" dxfId="388" priority="55"/>
    <cfRule type="duplicateValues" dxfId="387" priority="54"/>
  </conditionalFormatting>
  <conditionalFormatting sqref="A2:A242">
    <cfRule type="duplicateValues" dxfId="386" priority="61"/>
    <cfRule type="duplicateValues" dxfId="385" priority="56"/>
  </conditionalFormatting>
  <conditionalFormatting sqref="A2:A290">
    <cfRule type="duplicateValues" dxfId="384" priority="53"/>
  </conditionalFormatting>
  <conditionalFormatting sqref="A3:A88">
    <cfRule type="duplicateValues" dxfId="383" priority="52"/>
  </conditionalFormatting>
  <conditionalFormatting sqref="A113:A115">
    <cfRule type="duplicateValues" dxfId="382" priority="51"/>
    <cfRule type="duplicateValues" dxfId="381" priority="50"/>
    <cfRule type="duplicateValues" dxfId="380" priority="49"/>
  </conditionalFormatting>
  <conditionalFormatting sqref="A113:A148">
    <cfRule type="duplicateValues" dxfId="379" priority="48"/>
  </conditionalFormatting>
  <conditionalFormatting sqref="A118">
    <cfRule type="duplicateValues" dxfId="378" priority="41"/>
    <cfRule type="duplicateValues" dxfId="377" priority="40"/>
    <cfRule type="duplicateValues" dxfId="376" priority="39"/>
  </conditionalFormatting>
  <conditionalFormatting sqref="A119">
    <cfRule type="duplicateValues" dxfId="375" priority="44"/>
    <cfRule type="duplicateValues" dxfId="374" priority="43"/>
    <cfRule type="duplicateValues" dxfId="373" priority="42"/>
  </conditionalFormatting>
  <conditionalFormatting sqref="A122">
    <cfRule type="duplicateValues" dxfId="372" priority="35"/>
    <cfRule type="duplicateValues" dxfId="371" priority="34"/>
    <cfRule type="duplicateValues" dxfId="370" priority="33"/>
  </conditionalFormatting>
  <conditionalFormatting sqref="A123">
    <cfRule type="duplicateValues" dxfId="369" priority="38"/>
    <cfRule type="duplicateValues" dxfId="368" priority="37"/>
    <cfRule type="duplicateValues" dxfId="367" priority="36"/>
  </conditionalFormatting>
  <conditionalFormatting sqref="A126">
    <cfRule type="duplicateValues" dxfId="366" priority="30"/>
    <cfRule type="duplicateValues" dxfId="365" priority="31"/>
    <cfRule type="duplicateValues" dxfId="364" priority="32"/>
  </conditionalFormatting>
  <conditionalFormatting sqref="A127 A124:A125 A116:A117 A120:A121">
    <cfRule type="duplicateValues" dxfId="363" priority="45"/>
    <cfRule type="duplicateValues" dxfId="362" priority="46"/>
    <cfRule type="duplicateValues" dxfId="361" priority="47"/>
  </conditionalFormatting>
  <conditionalFormatting sqref="A129">
    <cfRule type="duplicateValues" dxfId="360" priority="26"/>
    <cfRule type="duplicateValues" dxfId="359" priority="25"/>
    <cfRule type="duplicateValues" dxfId="358" priority="24"/>
  </conditionalFormatting>
  <conditionalFormatting sqref="A130:A134">
    <cfRule type="duplicateValues" dxfId="357" priority="29"/>
    <cfRule type="duplicateValues" dxfId="356" priority="28"/>
    <cfRule type="duplicateValues" dxfId="355" priority="27"/>
  </conditionalFormatting>
  <conditionalFormatting sqref="A149:A183">
    <cfRule type="duplicateValues" dxfId="354" priority="23"/>
  </conditionalFormatting>
  <conditionalFormatting sqref="A243">
    <cfRule type="duplicateValues" dxfId="353" priority="19"/>
    <cfRule type="duplicateValues" dxfId="352" priority="18"/>
    <cfRule type="duplicateValues" dxfId="351" priority="17"/>
  </conditionalFormatting>
  <conditionalFormatting sqref="A243:A290">
    <cfRule type="duplicateValues" dxfId="350" priority="22"/>
    <cfRule type="duplicateValues" dxfId="349" priority="21"/>
    <cfRule type="duplicateValues" dxfId="348" priority="20"/>
    <cfRule type="duplicateValues" dxfId="347" priority="16"/>
  </conditionalFormatting>
  <conditionalFormatting sqref="A244:A275">
    <cfRule type="duplicateValues" dxfId="346" priority="15"/>
    <cfRule type="duplicateValues" dxfId="345" priority="14"/>
  </conditionalFormatting>
  <conditionalFormatting sqref="A244:A290">
    <cfRule type="duplicateValues" dxfId="344" priority="13"/>
    <cfRule type="duplicateValues" dxfId="343" priority="12"/>
  </conditionalFormatting>
  <conditionalFormatting sqref="A276">
    <cfRule type="duplicateValues" dxfId="342" priority="2"/>
    <cfRule type="duplicateValues" dxfId="341" priority="3"/>
    <cfRule type="duplicateValues" dxfId="340" priority="4"/>
  </conditionalFormatting>
  <conditionalFormatting sqref="A276:A279">
    <cfRule type="duplicateValues" dxfId="339" priority="11"/>
  </conditionalFormatting>
  <conditionalFormatting sqref="A277:A278">
    <cfRule type="duplicateValues" dxfId="338" priority="7"/>
    <cfRule type="duplicateValues" dxfId="337" priority="6"/>
    <cfRule type="duplicateValues" dxfId="336" priority="5"/>
  </conditionalFormatting>
  <conditionalFormatting sqref="A279">
    <cfRule type="duplicateValues" dxfId="335" priority="8"/>
    <cfRule type="duplicateValues" dxfId="334" priority="10"/>
    <cfRule type="duplicateValues" dxfId="333" priority="9"/>
  </conditionalFormatting>
  <conditionalFormatting sqref="A280">
    <cfRule type="duplicateValues" dxfId="33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9F8B-52B5-4DD7-A893-5217B829D1B6}">
  <dimension ref="A1:AI1264"/>
  <sheetViews>
    <sheetView topLeftCell="Z1" zoomScale="66" zoomScaleNormal="70" workbookViewId="0">
      <selection activeCell="V22" sqref="V22"/>
    </sheetView>
  </sheetViews>
  <sheetFormatPr defaultRowHeight="14.5" x14ac:dyDescent="0.35"/>
  <cols>
    <col min="1" max="1" width="21.08984375" style="26" customWidth="1"/>
    <col min="2" max="2" width="21.26953125" style="7" customWidth="1"/>
    <col min="3" max="3" width="15.1796875" customWidth="1"/>
    <col min="4" max="4" width="11.81640625" customWidth="1"/>
    <col min="5" max="6" width="14.81640625" style="8" bestFit="1" customWidth="1"/>
    <col min="7" max="7" width="14.7265625" style="13" customWidth="1"/>
    <col min="8" max="8" width="12.26953125" bestFit="1" customWidth="1"/>
    <col min="9" max="9" width="12.90625" customWidth="1"/>
    <col min="10" max="10" width="18.1796875" style="51" bestFit="1" customWidth="1"/>
    <col min="11" max="11" width="16.90625" style="6" customWidth="1"/>
    <col min="12" max="12" width="16.26953125" style="64" customWidth="1"/>
    <col min="13" max="13" width="11.81640625" style="6" customWidth="1"/>
    <col min="14" max="14" width="20.36328125" bestFit="1" customWidth="1"/>
    <col min="15" max="16" width="21.453125" style="6" customWidth="1"/>
    <col min="17" max="17" width="15.1796875" customWidth="1"/>
    <col min="18" max="18" width="13.7265625" customWidth="1"/>
    <col min="19" max="19" width="18" customWidth="1"/>
    <col min="20" max="20" width="21.453125" customWidth="1"/>
    <col min="21" max="21" width="14.26953125" customWidth="1"/>
    <col min="22" max="22" width="16.453125" customWidth="1"/>
    <col min="23" max="23" width="19.36328125" bestFit="1" customWidth="1"/>
    <col min="24" max="24" width="21.81640625" bestFit="1" customWidth="1"/>
    <col min="25" max="25" width="20.6328125" style="62" customWidth="1"/>
    <col min="26" max="26" width="25.36328125" bestFit="1" customWidth="1"/>
    <col min="27" max="27" width="17" customWidth="1"/>
    <col min="28" max="28" width="12.7265625" customWidth="1"/>
    <col min="29" max="29" width="23.36328125" bestFit="1" customWidth="1"/>
    <col min="30" max="30" width="16.54296875" style="59" bestFit="1" customWidth="1"/>
    <col min="31" max="31" width="18.81640625" style="59" customWidth="1"/>
    <col min="32" max="32" width="14.453125" style="59" customWidth="1"/>
    <col min="33" max="33" width="22.54296875" style="59" customWidth="1"/>
    <col min="34" max="34" width="24.54296875" style="62" customWidth="1"/>
  </cols>
  <sheetData>
    <row r="1" spans="1:34" s="1" customFormat="1" ht="13" x14ac:dyDescent="0.3">
      <c r="A1" s="9" t="s">
        <v>4</v>
      </c>
      <c r="B1" s="9" t="s">
        <v>15</v>
      </c>
      <c r="C1" s="9" t="s">
        <v>2</v>
      </c>
      <c r="D1" s="9" t="s">
        <v>3</v>
      </c>
      <c r="E1" s="19" t="s">
        <v>12</v>
      </c>
      <c r="F1" s="19" t="s">
        <v>363</v>
      </c>
      <c r="G1" s="20" t="s">
        <v>5</v>
      </c>
      <c r="H1" s="4" t="s">
        <v>0</v>
      </c>
      <c r="I1" s="21" t="s">
        <v>7</v>
      </c>
      <c r="J1" s="2" t="s">
        <v>14</v>
      </c>
      <c r="K1" s="4" t="s">
        <v>13</v>
      </c>
      <c r="L1" s="65" t="s">
        <v>6</v>
      </c>
      <c r="M1" s="2" t="s">
        <v>1</v>
      </c>
      <c r="N1" s="22" t="s">
        <v>8</v>
      </c>
      <c r="O1" s="3" t="s">
        <v>347</v>
      </c>
      <c r="P1" s="3" t="s">
        <v>348</v>
      </c>
      <c r="Q1" s="22" t="s">
        <v>9</v>
      </c>
      <c r="R1" s="23" t="s">
        <v>10</v>
      </c>
      <c r="S1" s="24" t="s">
        <v>11</v>
      </c>
      <c r="T1" s="60" t="s">
        <v>349</v>
      </c>
      <c r="U1" s="60" t="s">
        <v>350</v>
      </c>
      <c r="V1" s="60" t="s">
        <v>351</v>
      </c>
      <c r="W1" s="60" t="s">
        <v>352</v>
      </c>
      <c r="X1" s="60" t="s">
        <v>353</v>
      </c>
      <c r="Y1" s="63" t="s">
        <v>354</v>
      </c>
      <c r="Z1" s="68" t="s">
        <v>361</v>
      </c>
      <c r="AA1" s="68" t="s">
        <v>355</v>
      </c>
      <c r="AB1" s="68" t="s">
        <v>362</v>
      </c>
      <c r="AC1" s="68" t="s">
        <v>356</v>
      </c>
      <c r="AD1" s="69" t="s">
        <v>357</v>
      </c>
      <c r="AE1" s="70" t="s">
        <v>358</v>
      </c>
      <c r="AF1" s="69" t="s">
        <v>359</v>
      </c>
      <c r="AG1" s="69" t="s">
        <v>360</v>
      </c>
      <c r="AH1" s="71" t="s">
        <v>364</v>
      </c>
    </row>
    <row r="2" spans="1:34" x14ac:dyDescent="0.35">
      <c r="A2" s="25" t="s">
        <v>16</v>
      </c>
      <c r="B2" s="10" t="s">
        <v>314</v>
      </c>
      <c r="C2" s="10" t="s">
        <v>341</v>
      </c>
      <c r="D2" s="10" t="s">
        <v>346</v>
      </c>
      <c r="E2" s="11">
        <v>45892</v>
      </c>
      <c r="F2" s="17">
        <v>45892</v>
      </c>
      <c r="G2" s="14">
        <f ca="1">TODAY()-F2</f>
        <v>207</v>
      </c>
      <c r="H2" s="17">
        <v>399</v>
      </c>
      <c r="I2" s="17">
        <v>230</v>
      </c>
      <c r="J2" s="53">
        <f>K2-L2</f>
        <v>1518</v>
      </c>
      <c r="K2" s="17">
        <v>3200</v>
      </c>
      <c r="L2" s="66">
        <v>1682</v>
      </c>
      <c r="M2" s="52">
        <f ca="1">L2/G2</f>
        <v>8.1256038647343001</v>
      </c>
      <c r="N2" s="50">
        <f>AVERAGEIFS(O:O,C:C,C2)</f>
        <v>0.92883099285538351</v>
      </c>
      <c r="O2" s="52">
        <f>L2/328</f>
        <v>5.1280487804878048</v>
      </c>
      <c r="P2" s="56">
        <f>O2*82</f>
        <v>420.5</v>
      </c>
      <c r="Q2" s="54">
        <f>J2/P2</f>
        <v>3.6099881093935791</v>
      </c>
      <c r="R2" s="55">
        <f>(H2-I2)/H2*100</f>
        <v>42.355889724310778</v>
      </c>
      <c r="S2" s="55">
        <f>L2/K2*100</f>
        <v>52.5625</v>
      </c>
      <c r="T2" s="13">
        <f>IF(O2&gt;=N2,3,IF(O2&gt;=0.8*N2,2,1))</f>
        <v>3</v>
      </c>
      <c r="U2" s="13">
        <f t="shared" ref="U2:U66" si="0">IF(Q2&lt;=4,3,IF(Q2&lt;=6,2,1))</f>
        <v>3</v>
      </c>
      <c r="V2" s="13">
        <f>IF(R2&gt;=60,3,IF(R2&gt;=45,2,1))</f>
        <v>1</v>
      </c>
      <c r="W2" s="13">
        <f ca="1">IF(M2&lt;=10,3,IF(M2&lt;=25,2,1))</f>
        <v>3</v>
      </c>
      <c r="X2" s="13">
        <f ca="1">T2+U2+V2+W2</f>
        <v>10</v>
      </c>
      <c r="Y2" s="61" t="str">
        <f ca="1">IFERROR(IF(X2&gt;=9,"RE-BUY",IF(X2&gt;=6,"MONITOR","EXIT")),"EXIT")</f>
        <v>RE-BUY</v>
      </c>
      <c r="Z2" s="51">
        <v>14</v>
      </c>
      <c r="AA2" s="53">
        <v>46059</v>
      </c>
      <c r="AB2" s="53">
        <f>F2+28</f>
        <v>45920</v>
      </c>
      <c r="AC2" s="72">
        <f>(AA2-AB2)/7</f>
        <v>19.857142857142858</v>
      </c>
      <c r="AD2" s="67" t="str">
        <f ca="1">IF(G2&gt;=21,"STABLE","TOO EARLY")</f>
        <v>STABLE</v>
      </c>
      <c r="AE2" s="67" t="str">
        <f>IF(O2&gt;=N2,"FAST SELLING","SLOW SELLING")</f>
        <v>FAST SELLING</v>
      </c>
      <c r="AF2" s="67" t="str">
        <f>IF(U2&lt;=Z2,"AT RISK","SAFE")</f>
        <v>AT RISK</v>
      </c>
      <c r="AG2" s="67" t="str">
        <f>IF(Z2&lt;=AC2,"FEASIBLE","NOT FEASIBLE")</f>
        <v>FEASIBLE</v>
      </c>
      <c r="AH2" s="73" t="str">
        <f ca="1">IF(AND(Y2="RE-BUY",AD2="STABLE",AE2="FAST SELLING",AG2="FEASIBLE"),"IMMEDIATE REBUY","MONITOR")</f>
        <v>IMMEDIATE REBUY</v>
      </c>
    </row>
    <row r="3" spans="1:34" x14ac:dyDescent="0.35">
      <c r="A3" s="25" t="s">
        <v>17</v>
      </c>
      <c r="B3" s="10" t="s">
        <v>314</v>
      </c>
      <c r="C3" s="10" t="s">
        <v>341</v>
      </c>
      <c r="D3" s="10" t="s">
        <v>346</v>
      </c>
      <c r="E3" s="11">
        <v>45892</v>
      </c>
      <c r="F3" s="17">
        <v>45892</v>
      </c>
      <c r="G3" s="14">
        <f t="shared" ref="G3:G66" ca="1" si="1">TODAY()-F3</f>
        <v>207</v>
      </c>
      <c r="H3" s="17">
        <v>399</v>
      </c>
      <c r="I3" s="17">
        <v>230</v>
      </c>
      <c r="J3" s="53">
        <f t="shared" ref="J3:J66" si="2">K3-L3</f>
        <v>2153</v>
      </c>
      <c r="K3" s="17">
        <v>3200</v>
      </c>
      <c r="L3" s="66">
        <v>1047</v>
      </c>
      <c r="M3" s="52">
        <f t="shared" ref="M3:M66" ca="1" si="3">L3/G3</f>
        <v>5.0579710144927539</v>
      </c>
      <c r="N3" s="50">
        <f t="shared" ref="N3:N66" si="4">AVERAGEIFS(O:O,C:C,C3)</f>
        <v>0.92883099285538351</v>
      </c>
      <c r="O3" s="52">
        <f t="shared" ref="O3:O66" si="5">L3/328</f>
        <v>3.1920731707317072</v>
      </c>
      <c r="P3" s="56">
        <f t="shared" ref="P3:P66" si="6">O3*82</f>
        <v>261.75</v>
      </c>
      <c r="Q3" s="54">
        <f t="shared" ref="Q3:Q66" si="7">J3/P3</f>
        <v>8.2254059216809932</v>
      </c>
      <c r="R3" s="55">
        <f t="shared" ref="R3:R66" si="8">(H3-I3)/H3*100</f>
        <v>42.355889724310778</v>
      </c>
      <c r="S3" s="55">
        <f t="shared" ref="S3:S66" si="9">L3/K3*100</f>
        <v>32.71875</v>
      </c>
      <c r="T3" s="13">
        <f t="shared" ref="T3:T66" si="10">IF(O3&gt;=N3,3,IF(O3&gt;=0.8*N3,2,1))</f>
        <v>3</v>
      </c>
      <c r="U3" s="13">
        <f t="shared" si="0"/>
        <v>1</v>
      </c>
      <c r="V3" s="13">
        <f t="shared" ref="V3:V66" si="11">IF(R3&gt;=60,3,IF(R3&gt;=45,2,1))</f>
        <v>1</v>
      </c>
      <c r="W3" s="13">
        <f t="shared" ref="W3:W66" ca="1" si="12">IF(M3&lt;=10,3,IF(M3&lt;=25,2,1))</f>
        <v>3</v>
      </c>
      <c r="X3" s="13">
        <f t="shared" ref="X3:X66" ca="1" si="13">T3+U3+V3+W3</f>
        <v>8</v>
      </c>
      <c r="Y3" s="61" t="str">
        <f t="shared" ref="Y3:Y66" ca="1" si="14">IFERROR(IF(X3&gt;=9,"RE-BUY",IF(X3&gt;=6,"MONITOR","EXIT")),"EXIT")</f>
        <v>MONITOR</v>
      </c>
      <c r="Z3" s="51">
        <v>14</v>
      </c>
      <c r="AA3" s="53">
        <v>46059</v>
      </c>
      <c r="AB3" s="53">
        <f t="shared" ref="AB3:AB66" si="15">F3+28</f>
        <v>45920</v>
      </c>
      <c r="AC3" s="72">
        <f t="shared" ref="AC3:AC66" si="16">(AA3-AB3)/7</f>
        <v>19.857142857142858</v>
      </c>
      <c r="AD3" s="67" t="str">
        <f t="shared" ref="AD3:AD66" ca="1" si="17">IF(G3&gt;=21,"STABLE","TOO EARLY")</f>
        <v>STABLE</v>
      </c>
      <c r="AE3" s="67" t="str">
        <f t="shared" ref="AE3:AE66" si="18">IF(O3&gt;=N3,"FAST SELLING","SLOW SELLING")</f>
        <v>FAST SELLING</v>
      </c>
      <c r="AF3" s="67" t="str">
        <f t="shared" ref="AF3:AF66" si="19">IF(U3&lt;=Z3,"AT RISK","SAFE")</f>
        <v>AT RISK</v>
      </c>
      <c r="AG3" s="67" t="str">
        <f t="shared" ref="AG3:AG66" si="20">IF(Z3&lt;=AC3,"FEASIBLE","NOT FEASIBLE")</f>
        <v>FEASIBLE</v>
      </c>
      <c r="AH3" s="73" t="str">
        <f t="shared" ref="AH3:AH66" ca="1" si="21">IF(AND(Y3="RE-BUY",AD3="STABLE",AE3="FAST SELLING",AG3="FEASIBLE"),"IMMEDIATE REBUY","MONITOR")</f>
        <v>MONITOR</v>
      </c>
    </row>
    <row r="4" spans="1:34" x14ac:dyDescent="0.35">
      <c r="A4" s="25" t="s">
        <v>18</v>
      </c>
      <c r="B4" s="10" t="s">
        <v>314</v>
      </c>
      <c r="C4" s="10" t="s">
        <v>341</v>
      </c>
      <c r="D4" s="10" t="s">
        <v>346</v>
      </c>
      <c r="E4" s="11">
        <v>45920</v>
      </c>
      <c r="F4" s="17">
        <v>45892</v>
      </c>
      <c r="G4" s="14">
        <f t="shared" ca="1" si="1"/>
        <v>207</v>
      </c>
      <c r="H4" s="17">
        <v>799</v>
      </c>
      <c r="I4" s="17">
        <v>400</v>
      </c>
      <c r="J4" s="53">
        <f t="shared" si="2"/>
        <v>505</v>
      </c>
      <c r="K4" s="17">
        <v>900</v>
      </c>
      <c r="L4" s="66">
        <v>395</v>
      </c>
      <c r="M4" s="52">
        <f t="shared" ca="1" si="3"/>
        <v>1.9082125603864735</v>
      </c>
      <c r="N4" s="50">
        <f t="shared" si="4"/>
        <v>0.92883099285538351</v>
      </c>
      <c r="O4" s="52">
        <f t="shared" si="5"/>
        <v>1.2042682926829269</v>
      </c>
      <c r="P4" s="56">
        <f t="shared" si="6"/>
        <v>98.75</v>
      </c>
      <c r="Q4" s="54">
        <f t="shared" si="7"/>
        <v>5.1139240506329111</v>
      </c>
      <c r="R4" s="55">
        <f t="shared" si="8"/>
        <v>49.937421777221523</v>
      </c>
      <c r="S4" s="55">
        <f t="shared" si="9"/>
        <v>43.888888888888886</v>
      </c>
      <c r="T4" s="13">
        <f t="shared" si="10"/>
        <v>3</v>
      </c>
      <c r="U4" s="13">
        <f t="shared" si="0"/>
        <v>2</v>
      </c>
      <c r="V4" s="13">
        <f t="shared" si="11"/>
        <v>2</v>
      </c>
      <c r="W4" s="13">
        <f t="shared" ca="1" si="12"/>
        <v>3</v>
      </c>
      <c r="X4" s="13">
        <f t="shared" ca="1" si="13"/>
        <v>10</v>
      </c>
      <c r="Y4" s="61" t="str">
        <f t="shared" ca="1" si="14"/>
        <v>RE-BUY</v>
      </c>
      <c r="Z4" s="51">
        <v>14</v>
      </c>
      <c r="AA4" s="53">
        <v>46059</v>
      </c>
      <c r="AB4" s="53">
        <f t="shared" si="15"/>
        <v>45920</v>
      </c>
      <c r="AC4" s="72">
        <f t="shared" si="16"/>
        <v>19.857142857142858</v>
      </c>
      <c r="AD4" s="67" t="str">
        <f t="shared" ca="1" si="17"/>
        <v>STABLE</v>
      </c>
      <c r="AE4" s="67" t="str">
        <f t="shared" si="18"/>
        <v>FAST SELLING</v>
      </c>
      <c r="AF4" s="67" t="str">
        <f t="shared" si="19"/>
        <v>AT RISK</v>
      </c>
      <c r="AG4" s="67" t="str">
        <f t="shared" si="20"/>
        <v>FEASIBLE</v>
      </c>
      <c r="AH4" s="73" t="str">
        <f t="shared" ca="1" si="21"/>
        <v>IMMEDIATE REBUY</v>
      </c>
    </row>
    <row r="5" spans="1:34" x14ac:dyDescent="0.35">
      <c r="A5" s="25" t="s">
        <v>19</v>
      </c>
      <c r="B5" s="10" t="s">
        <v>315</v>
      </c>
      <c r="C5" s="10" t="s">
        <v>341</v>
      </c>
      <c r="D5" s="10" t="s">
        <v>346</v>
      </c>
      <c r="E5" s="11">
        <v>45920</v>
      </c>
      <c r="F5" s="17">
        <v>45892</v>
      </c>
      <c r="G5" s="14">
        <f t="shared" ca="1" si="1"/>
        <v>207</v>
      </c>
      <c r="H5" s="17">
        <v>999</v>
      </c>
      <c r="I5" s="17">
        <v>520</v>
      </c>
      <c r="J5" s="53">
        <f t="shared" si="2"/>
        <v>1163</v>
      </c>
      <c r="K5" s="17">
        <v>1200</v>
      </c>
      <c r="L5" s="66">
        <v>37</v>
      </c>
      <c r="M5" s="52">
        <f t="shared" ca="1" si="3"/>
        <v>0.17874396135265699</v>
      </c>
      <c r="N5" s="50">
        <f t="shared" si="4"/>
        <v>0.92883099285538351</v>
      </c>
      <c r="O5" s="52">
        <f t="shared" si="5"/>
        <v>0.11280487804878049</v>
      </c>
      <c r="P5" s="56">
        <f t="shared" si="6"/>
        <v>9.25</v>
      </c>
      <c r="Q5" s="54">
        <f t="shared" si="7"/>
        <v>125.72972972972973</v>
      </c>
      <c r="R5" s="55">
        <f t="shared" si="8"/>
        <v>47.947947947947952</v>
      </c>
      <c r="S5" s="55">
        <f t="shared" si="9"/>
        <v>3.0833333333333335</v>
      </c>
      <c r="T5" s="13">
        <f t="shared" si="10"/>
        <v>1</v>
      </c>
      <c r="U5" s="13">
        <f t="shared" si="0"/>
        <v>1</v>
      </c>
      <c r="V5" s="13">
        <f t="shared" si="11"/>
        <v>2</v>
      </c>
      <c r="W5" s="13">
        <f t="shared" ca="1" si="12"/>
        <v>3</v>
      </c>
      <c r="X5" s="13">
        <f t="shared" ca="1" si="13"/>
        <v>7</v>
      </c>
      <c r="Y5" s="61" t="str">
        <f t="shared" ca="1" si="14"/>
        <v>MONITOR</v>
      </c>
      <c r="Z5" s="51">
        <v>14</v>
      </c>
      <c r="AA5" s="53">
        <v>46059</v>
      </c>
      <c r="AB5" s="53">
        <f t="shared" si="15"/>
        <v>45920</v>
      </c>
      <c r="AC5" s="72">
        <f t="shared" si="16"/>
        <v>19.857142857142858</v>
      </c>
      <c r="AD5" s="67" t="str">
        <f t="shared" ca="1" si="17"/>
        <v>STABLE</v>
      </c>
      <c r="AE5" s="67" t="str">
        <f t="shared" si="18"/>
        <v>SLOW SELLING</v>
      </c>
      <c r="AF5" s="67" t="str">
        <f t="shared" si="19"/>
        <v>AT RISK</v>
      </c>
      <c r="AG5" s="67" t="str">
        <f t="shared" si="20"/>
        <v>FEASIBLE</v>
      </c>
      <c r="AH5" s="73" t="str">
        <f t="shared" ca="1" si="21"/>
        <v>MONITOR</v>
      </c>
    </row>
    <row r="6" spans="1:34" x14ac:dyDescent="0.35">
      <c r="A6" s="25" t="s">
        <v>20</v>
      </c>
      <c r="B6" s="10" t="s">
        <v>316</v>
      </c>
      <c r="C6" s="10" t="s">
        <v>341</v>
      </c>
      <c r="D6" s="10" t="s">
        <v>346</v>
      </c>
      <c r="E6" s="11">
        <v>45871</v>
      </c>
      <c r="F6" s="17">
        <v>45892</v>
      </c>
      <c r="G6" s="14">
        <f t="shared" ca="1" si="1"/>
        <v>207</v>
      </c>
      <c r="H6" s="17">
        <v>999</v>
      </c>
      <c r="I6" s="17">
        <v>450</v>
      </c>
      <c r="J6" s="53">
        <f t="shared" si="2"/>
        <v>785</v>
      </c>
      <c r="K6" s="17">
        <v>1000</v>
      </c>
      <c r="L6" s="66">
        <v>215</v>
      </c>
      <c r="M6" s="52">
        <f t="shared" ca="1" si="3"/>
        <v>1.038647342995169</v>
      </c>
      <c r="N6" s="50">
        <f t="shared" si="4"/>
        <v>0.92883099285538351</v>
      </c>
      <c r="O6" s="52">
        <f t="shared" si="5"/>
        <v>0.65548780487804881</v>
      </c>
      <c r="P6" s="56">
        <f t="shared" si="6"/>
        <v>53.75</v>
      </c>
      <c r="Q6" s="54">
        <f t="shared" si="7"/>
        <v>14.604651162790697</v>
      </c>
      <c r="R6" s="55">
        <f t="shared" si="8"/>
        <v>54.954954954954957</v>
      </c>
      <c r="S6" s="55">
        <f t="shared" si="9"/>
        <v>21.5</v>
      </c>
      <c r="T6" s="13">
        <f t="shared" si="10"/>
        <v>1</v>
      </c>
      <c r="U6" s="13">
        <f t="shared" si="0"/>
        <v>1</v>
      </c>
      <c r="V6" s="13">
        <f t="shared" si="11"/>
        <v>2</v>
      </c>
      <c r="W6" s="13">
        <f t="shared" ca="1" si="12"/>
        <v>3</v>
      </c>
      <c r="X6" s="13">
        <f t="shared" ca="1" si="13"/>
        <v>7</v>
      </c>
      <c r="Y6" s="61" t="str">
        <f t="shared" ca="1" si="14"/>
        <v>MONITOR</v>
      </c>
      <c r="Z6" s="51">
        <v>14</v>
      </c>
      <c r="AA6" s="53">
        <v>46059</v>
      </c>
      <c r="AB6" s="53">
        <f t="shared" si="15"/>
        <v>45920</v>
      </c>
      <c r="AC6" s="72">
        <f t="shared" si="16"/>
        <v>19.857142857142858</v>
      </c>
      <c r="AD6" s="67" t="str">
        <f t="shared" ca="1" si="17"/>
        <v>STABLE</v>
      </c>
      <c r="AE6" s="67" t="str">
        <f t="shared" si="18"/>
        <v>SLOW SELLING</v>
      </c>
      <c r="AF6" s="67" t="str">
        <f t="shared" si="19"/>
        <v>AT RISK</v>
      </c>
      <c r="AG6" s="67" t="str">
        <f t="shared" si="20"/>
        <v>FEASIBLE</v>
      </c>
      <c r="AH6" s="73" t="str">
        <f t="shared" ca="1" si="21"/>
        <v>MONITOR</v>
      </c>
    </row>
    <row r="7" spans="1:34" x14ac:dyDescent="0.35">
      <c r="A7" s="25" t="s">
        <v>21</v>
      </c>
      <c r="B7" s="10" t="s">
        <v>315</v>
      </c>
      <c r="C7" s="10" t="s">
        <v>341</v>
      </c>
      <c r="D7" s="10" t="s">
        <v>346</v>
      </c>
      <c r="E7" s="11">
        <v>45920</v>
      </c>
      <c r="F7" s="17">
        <v>45892</v>
      </c>
      <c r="G7" s="14">
        <f t="shared" ca="1" si="1"/>
        <v>207</v>
      </c>
      <c r="H7" s="17">
        <v>999</v>
      </c>
      <c r="I7" s="17">
        <v>475</v>
      </c>
      <c r="J7" s="53">
        <f t="shared" si="2"/>
        <v>794</v>
      </c>
      <c r="K7" s="17">
        <v>1100</v>
      </c>
      <c r="L7" s="66">
        <v>306</v>
      </c>
      <c r="M7" s="52">
        <f t="shared" ca="1" si="3"/>
        <v>1.4782608695652173</v>
      </c>
      <c r="N7" s="50">
        <f t="shared" si="4"/>
        <v>0.92883099285538351</v>
      </c>
      <c r="O7" s="52">
        <f t="shared" si="5"/>
        <v>0.93292682926829273</v>
      </c>
      <c r="P7" s="56">
        <f t="shared" si="6"/>
        <v>76.5</v>
      </c>
      <c r="Q7" s="54">
        <f t="shared" si="7"/>
        <v>10.379084967320262</v>
      </c>
      <c r="R7" s="55">
        <f t="shared" si="8"/>
        <v>52.452452452452448</v>
      </c>
      <c r="S7" s="55">
        <f t="shared" si="9"/>
        <v>27.81818181818182</v>
      </c>
      <c r="T7" s="13">
        <f t="shared" si="10"/>
        <v>3</v>
      </c>
      <c r="U7" s="13">
        <f t="shared" si="0"/>
        <v>1</v>
      </c>
      <c r="V7" s="13">
        <f t="shared" si="11"/>
        <v>2</v>
      </c>
      <c r="W7" s="13">
        <f t="shared" ca="1" si="12"/>
        <v>3</v>
      </c>
      <c r="X7" s="13">
        <f t="shared" ca="1" si="13"/>
        <v>9</v>
      </c>
      <c r="Y7" s="61" t="str">
        <f t="shared" ca="1" si="14"/>
        <v>RE-BUY</v>
      </c>
      <c r="Z7" s="51">
        <v>14</v>
      </c>
      <c r="AA7" s="53">
        <v>46059</v>
      </c>
      <c r="AB7" s="53">
        <f t="shared" si="15"/>
        <v>45920</v>
      </c>
      <c r="AC7" s="72">
        <f t="shared" si="16"/>
        <v>19.857142857142858</v>
      </c>
      <c r="AD7" s="67" t="str">
        <f t="shared" ca="1" si="17"/>
        <v>STABLE</v>
      </c>
      <c r="AE7" s="67" t="str">
        <f t="shared" si="18"/>
        <v>FAST SELLING</v>
      </c>
      <c r="AF7" s="67" t="str">
        <f t="shared" si="19"/>
        <v>AT RISK</v>
      </c>
      <c r="AG7" s="67" t="str">
        <f t="shared" si="20"/>
        <v>FEASIBLE</v>
      </c>
      <c r="AH7" s="73" t="str">
        <f t="shared" ca="1" si="21"/>
        <v>IMMEDIATE REBUY</v>
      </c>
    </row>
    <row r="8" spans="1:34" x14ac:dyDescent="0.35">
      <c r="A8" s="25" t="s">
        <v>22</v>
      </c>
      <c r="B8" s="10" t="s">
        <v>315</v>
      </c>
      <c r="C8" s="10" t="s">
        <v>341</v>
      </c>
      <c r="D8" s="10" t="s">
        <v>346</v>
      </c>
      <c r="E8" s="11">
        <v>45920</v>
      </c>
      <c r="F8" s="17">
        <v>45892</v>
      </c>
      <c r="G8" s="14">
        <f t="shared" ca="1" si="1"/>
        <v>207</v>
      </c>
      <c r="H8" s="17">
        <v>999</v>
      </c>
      <c r="I8" s="17">
        <v>475</v>
      </c>
      <c r="J8" s="53">
        <f t="shared" si="2"/>
        <v>866</v>
      </c>
      <c r="K8" s="17">
        <v>1100</v>
      </c>
      <c r="L8" s="66">
        <v>234</v>
      </c>
      <c r="M8" s="52">
        <f t="shared" ca="1" si="3"/>
        <v>1.1304347826086956</v>
      </c>
      <c r="N8" s="50">
        <f t="shared" si="4"/>
        <v>0.92883099285538351</v>
      </c>
      <c r="O8" s="52">
        <f t="shared" si="5"/>
        <v>0.71341463414634143</v>
      </c>
      <c r="P8" s="56">
        <f t="shared" si="6"/>
        <v>58.5</v>
      </c>
      <c r="Q8" s="54">
        <f t="shared" si="7"/>
        <v>14.803418803418804</v>
      </c>
      <c r="R8" s="55">
        <f t="shared" si="8"/>
        <v>52.452452452452448</v>
      </c>
      <c r="S8" s="55">
        <f t="shared" si="9"/>
        <v>21.272727272727273</v>
      </c>
      <c r="T8" s="13">
        <f t="shared" si="10"/>
        <v>1</v>
      </c>
      <c r="U8" s="13">
        <f t="shared" si="0"/>
        <v>1</v>
      </c>
      <c r="V8" s="13">
        <f t="shared" si="11"/>
        <v>2</v>
      </c>
      <c r="W8" s="13">
        <f t="shared" ca="1" si="12"/>
        <v>3</v>
      </c>
      <c r="X8" s="13">
        <f t="shared" ca="1" si="13"/>
        <v>7</v>
      </c>
      <c r="Y8" s="61" t="str">
        <f t="shared" ca="1" si="14"/>
        <v>MONITOR</v>
      </c>
      <c r="Z8" s="51">
        <v>14</v>
      </c>
      <c r="AA8" s="53">
        <v>46059</v>
      </c>
      <c r="AB8" s="53">
        <f t="shared" si="15"/>
        <v>45920</v>
      </c>
      <c r="AC8" s="72">
        <f t="shared" si="16"/>
        <v>19.857142857142858</v>
      </c>
      <c r="AD8" s="67" t="str">
        <f t="shared" ca="1" si="17"/>
        <v>STABLE</v>
      </c>
      <c r="AE8" s="67" t="str">
        <f t="shared" si="18"/>
        <v>SLOW SELLING</v>
      </c>
      <c r="AF8" s="67" t="str">
        <f t="shared" si="19"/>
        <v>AT RISK</v>
      </c>
      <c r="AG8" s="67" t="str">
        <f t="shared" si="20"/>
        <v>FEASIBLE</v>
      </c>
      <c r="AH8" s="73" t="str">
        <f t="shared" ca="1" si="21"/>
        <v>MONITOR</v>
      </c>
    </row>
    <row r="9" spans="1:34" x14ac:dyDescent="0.35">
      <c r="A9" s="25" t="s">
        <v>23</v>
      </c>
      <c r="B9" s="10" t="s">
        <v>317</v>
      </c>
      <c r="C9" s="10" t="s">
        <v>341</v>
      </c>
      <c r="D9" s="10" t="s">
        <v>346</v>
      </c>
      <c r="E9" s="11">
        <v>45871</v>
      </c>
      <c r="F9" s="17">
        <v>45892</v>
      </c>
      <c r="G9" s="14">
        <f t="shared" ca="1" si="1"/>
        <v>207</v>
      </c>
      <c r="H9" s="17">
        <v>999</v>
      </c>
      <c r="I9" s="17">
        <v>550</v>
      </c>
      <c r="J9" s="53">
        <f t="shared" si="2"/>
        <v>836</v>
      </c>
      <c r="K9" s="17">
        <v>1000</v>
      </c>
      <c r="L9" s="66">
        <v>164</v>
      </c>
      <c r="M9" s="52">
        <f t="shared" ca="1" si="3"/>
        <v>0.79227053140096615</v>
      </c>
      <c r="N9" s="50">
        <f t="shared" si="4"/>
        <v>0.92883099285538351</v>
      </c>
      <c r="O9" s="52">
        <f t="shared" si="5"/>
        <v>0.5</v>
      </c>
      <c r="P9" s="56">
        <f t="shared" si="6"/>
        <v>41</v>
      </c>
      <c r="Q9" s="54">
        <f t="shared" si="7"/>
        <v>20.390243902439025</v>
      </c>
      <c r="R9" s="55">
        <f t="shared" si="8"/>
        <v>44.944944944944943</v>
      </c>
      <c r="S9" s="55">
        <f t="shared" si="9"/>
        <v>16.400000000000002</v>
      </c>
      <c r="T9" s="13">
        <f t="shared" si="10"/>
        <v>1</v>
      </c>
      <c r="U9" s="13">
        <f t="shared" si="0"/>
        <v>1</v>
      </c>
      <c r="V9" s="13">
        <f t="shared" si="11"/>
        <v>1</v>
      </c>
      <c r="W9" s="13">
        <f t="shared" ca="1" si="12"/>
        <v>3</v>
      </c>
      <c r="X9" s="13">
        <f t="shared" ca="1" si="13"/>
        <v>6</v>
      </c>
      <c r="Y9" s="61" t="str">
        <f t="shared" ca="1" si="14"/>
        <v>MONITOR</v>
      </c>
      <c r="Z9" s="51">
        <v>14</v>
      </c>
      <c r="AA9" s="53">
        <v>46059</v>
      </c>
      <c r="AB9" s="53">
        <f t="shared" si="15"/>
        <v>45920</v>
      </c>
      <c r="AC9" s="72">
        <f t="shared" si="16"/>
        <v>19.857142857142858</v>
      </c>
      <c r="AD9" s="67" t="str">
        <f t="shared" ca="1" si="17"/>
        <v>STABLE</v>
      </c>
      <c r="AE9" s="67" t="str">
        <f t="shared" si="18"/>
        <v>SLOW SELLING</v>
      </c>
      <c r="AF9" s="67" t="str">
        <f t="shared" si="19"/>
        <v>AT RISK</v>
      </c>
      <c r="AG9" s="67" t="str">
        <f t="shared" si="20"/>
        <v>FEASIBLE</v>
      </c>
      <c r="AH9" s="73" t="str">
        <f t="shared" ca="1" si="21"/>
        <v>MONITOR</v>
      </c>
    </row>
    <row r="10" spans="1:34" x14ac:dyDescent="0.35">
      <c r="A10" s="25" t="s">
        <v>24</v>
      </c>
      <c r="B10" s="10" t="s">
        <v>317</v>
      </c>
      <c r="C10" s="10" t="s">
        <v>341</v>
      </c>
      <c r="D10" s="10" t="s">
        <v>346</v>
      </c>
      <c r="E10" s="11">
        <v>45871</v>
      </c>
      <c r="F10" s="17">
        <v>45892</v>
      </c>
      <c r="G10" s="14">
        <f t="shared" ca="1" si="1"/>
        <v>207</v>
      </c>
      <c r="H10" s="17">
        <v>999</v>
      </c>
      <c r="I10" s="17">
        <v>550</v>
      </c>
      <c r="J10" s="53">
        <f t="shared" si="2"/>
        <v>904</v>
      </c>
      <c r="K10" s="17">
        <v>1000</v>
      </c>
      <c r="L10" s="66">
        <v>96</v>
      </c>
      <c r="M10" s="52">
        <f t="shared" ca="1" si="3"/>
        <v>0.46376811594202899</v>
      </c>
      <c r="N10" s="50">
        <f t="shared" si="4"/>
        <v>0.92883099285538351</v>
      </c>
      <c r="O10" s="52">
        <f t="shared" si="5"/>
        <v>0.29268292682926828</v>
      </c>
      <c r="P10" s="56">
        <f t="shared" si="6"/>
        <v>24</v>
      </c>
      <c r="Q10" s="54">
        <f t="shared" si="7"/>
        <v>37.666666666666664</v>
      </c>
      <c r="R10" s="55">
        <f t="shared" si="8"/>
        <v>44.944944944944943</v>
      </c>
      <c r="S10" s="55">
        <f t="shared" si="9"/>
        <v>9.6</v>
      </c>
      <c r="T10" s="13">
        <f t="shared" si="10"/>
        <v>1</v>
      </c>
      <c r="U10" s="13">
        <f t="shared" si="0"/>
        <v>1</v>
      </c>
      <c r="V10" s="13">
        <f t="shared" si="11"/>
        <v>1</v>
      </c>
      <c r="W10" s="13">
        <f t="shared" ca="1" si="12"/>
        <v>3</v>
      </c>
      <c r="X10" s="13">
        <f t="shared" ca="1" si="13"/>
        <v>6</v>
      </c>
      <c r="Y10" s="61" t="str">
        <f t="shared" ca="1" si="14"/>
        <v>MONITOR</v>
      </c>
      <c r="Z10" s="51">
        <v>14</v>
      </c>
      <c r="AA10" s="53">
        <v>46059</v>
      </c>
      <c r="AB10" s="53">
        <f t="shared" si="15"/>
        <v>45920</v>
      </c>
      <c r="AC10" s="72">
        <f t="shared" si="16"/>
        <v>19.857142857142858</v>
      </c>
      <c r="AD10" s="67" t="str">
        <f t="shared" ca="1" si="17"/>
        <v>STABLE</v>
      </c>
      <c r="AE10" s="67" t="str">
        <f t="shared" si="18"/>
        <v>SLOW SELLING</v>
      </c>
      <c r="AF10" s="67" t="str">
        <f t="shared" si="19"/>
        <v>AT RISK</v>
      </c>
      <c r="AG10" s="67" t="str">
        <f t="shared" si="20"/>
        <v>FEASIBLE</v>
      </c>
      <c r="AH10" s="73" t="str">
        <f t="shared" ca="1" si="21"/>
        <v>MONITOR</v>
      </c>
    </row>
    <row r="11" spans="1:34" x14ac:dyDescent="0.35">
      <c r="A11" s="25" t="s">
        <v>25</v>
      </c>
      <c r="B11" s="10" t="s">
        <v>317</v>
      </c>
      <c r="C11" s="10" t="s">
        <v>341</v>
      </c>
      <c r="D11" s="10" t="s">
        <v>346</v>
      </c>
      <c r="E11" s="11">
        <v>45976</v>
      </c>
      <c r="F11" s="17">
        <v>45892</v>
      </c>
      <c r="G11" s="14">
        <f t="shared" ca="1" si="1"/>
        <v>207</v>
      </c>
      <c r="H11" s="17">
        <v>999</v>
      </c>
      <c r="I11" s="17">
        <v>540</v>
      </c>
      <c r="J11" s="53">
        <f t="shared" si="2"/>
        <v>857</v>
      </c>
      <c r="K11" s="17">
        <v>1000</v>
      </c>
      <c r="L11" s="66">
        <v>143</v>
      </c>
      <c r="M11" s="52">
        <f t="shared" ca="1" si="3"/>
        <v>0.6908212560386473</v>
      </c>
      <c r="N11" s="50">
        <f t="shared" si="4"/>
        <v>0.92883099285538351</v>
      </c>
      <c r="O11" s="52">
        <f t="shared" si="5"/>
        <v>0.43597560975609756</v>
      </c>
      <c r="P11" s="56">
        <f t="shared" si="6"/>
        <v>35.75</v>
      </c>
      <c r="Q11" s="54">
        <f t="shared" si="7"/>
        <v>23.972027972027973</v>
      </c>
      <c r="R11" s="55">
        <f t="shared" si="8"/>
        <v>45.945945945945951</v>
      </c>
      <c r="S11" s="55">
        <f t="shared" si="9"/>
        <v>14.299999999999999</v>
      </c>
      <c r="T11" s="13">
        <f t="shared" si="10"/>
        <v>1</v>
      </c>
      <c r="U11" s="13">
        <f t="shared" si="0"/>
        <v>1</v>
      </c>
      <c r="V11" s="13">
        <f t="shared" si="11"/>
        <v>2</v>
      </c>
      <c r="W11" s="13">
        <f t="shared" ca="1" si="12"/>
        <v>3</v>
      </c>
      <c r="X11" s="13">
        <f t="shared" ca="1" si="13"/>
        <v>7</v>
      </c>
      <c r="Y11" s="61" t="str">
        <f t="shared" ca="1" si="14"/>
        <v>MONITOR</v>
      </c>
      <c r="Z11" s="51">
        <v>14</v>
      </c>
      <c r="AA11" s="53">
        <v>46059</v>
      </c>
      <c r="AB11" s="53">
        <f t="shared" si="15"/>
        <v>45920</v>
      </c>
      <c r="AC11" s="72">
        <f t="shared" si="16"/>
        <v>19.857142857142858</v>
      </c>
      <c r="AD11" s="67" t="str">
        <f t="shared" ca="1" si="17"/>
        <v>STABLE</v>
      </c>
      <c r="AE11" s="67" t="str">
        <f t="shared" si="18"/>
        <v>SLOW SELLING</v>
      </c>
      <c r="AF11" s="67" t="str">
        <f t="shared" si="19"/>
        <v>AT RISK</v>
      </c>
      <c r="AG11" s="67" t="str">
        <f t="shared" si="20"/>
        <v>FEASIBLE</v>
      </c>
      <c r="AH11" s="73" t="str">
        <f t="shared" ca="1" si="21"/>
        <v>MONITOR</v>
      </c>
    </row>
    <row r="12" spans="1:34" x14ac:dyDescent="0.35">
      <c r="A12" s="25" t="s">
        <v>26</v>
      </c>
      <c r="B12" s="10" t="s">
        <v>317</v>
      </c>
      <c r="C12" s="10" t="s">
        <v>341</v>
      </c>
      <c r="D12" s="10" t="s">
        <v>346</v>
      </c>
      <c r="E12" s="11">
        <v>45976</v>
      </c>
      <c r="F12" s="17">
        <v>45892</v>
      </c>
      <c r="G12" s="14">
        <f t="shared" ca="1" si="1"/>
        <v>207</v>
      </c>
      <c r="H12" s="17">
        <v>999</v>
      </c>
      <c r="I12" s="17">
        <v>540</v>
      </c>
      <c r="J12" s="53">
        <f t="shared" si="2"/>
        <v>820</v>
      </c>
      <c r="K12" s="17">
        <v>1000</v>
      </c>
      <c r="L12" s="66">
        <v>180</v>
      </c>
      <c r="M12" s="52">
        <f t="shared" ca="1" si="3"/>
        <v>0.86956521739130432</v>
      </c>
      <c r="N12" s="50">
        <f t="shared" si="4"/>
        <v>0.92883099285538351</v>
      </c>
      <c r="O12" s="52">
        <f t="shared" si="5"/>
        <v>0.54878048780487809</v>
      </c>
      <c r="P12" s="56">
        <f t="shared" si="6"/>
        <v>45</v>
      </c>
      <c r="Q12" s="54">
        <f t="shared" si="7"/>
        <v>18.222222222222221</v>
      </c>
      <c r="R12" s="55">
        <f t="shared" si="8"/>
        <v>45.945945945945951</v>
      </c>
      <c r="S12" s="55">
        <f t="shared" si="9"/>
        <v>18</v>
      </c>
      <c r="T12" s="13">
        <f t="shared" si="10"/>
        <v>1</v>
      </c>
      <c r="U12" s="13">
        <f t="shared" si="0"/>
        <v>1</v>
      </c>
      <c r="V12" s="13">
        <f t="shared" si="11"/>
        <v>2</v>
      </c>
      <c r="W12" s="13">
        <f t="shared" ca="1" si="12"/>
        <v>3</v>
      </c>
      <c r="X12" s="13">
        <f t="shared" ca="1" si="13"/>
        <v>7</v>
      </c>
      <c r="Y12" s="61" t="str">
        <f t="shared" ca="1" si="14"/>
        <v>MONITOR</v>
      </c>
      <c r="Z12" s="51">
        <v>14</v>
      </c>
      <c r="AA12" s="53">
        <v>46059</v>
      </c>
      <c r="AB12" s="53">
        <f t="shared" si="15"/>
        <v>45920</v>
      </c>
      <c r="AC12" s="72">
        <f t="shared" si="16"/>
        <v>19.857142857142858</v>
      </c>
      <c r="AD12" s="67" t="str">
        <f t="shared" ca="1" si="17"/>
        <v>STABLE</v>
      </c>
      <c r="AE12" s="67" t="str">
        <f t="shared" si="18"/>
        <v>SLOW SELLING</v>
      </c>
      <c r="AF12" s="67" t="str">
        <f t="shared" si="19"/>
        <v>AT RISK</v>
      </c>
      <c r="AG12" s="67" t="str">
        <f t="shared" si="20"/>
        <v>FEASIBLE</v>
      </c>
      <c r="AH12" s="73" t="str">
        <f t="shared" ca="1" si="21"/>
        <v>MONITOR</v>
      </c>
    </row>
    <row r="13" spans="1:34" x14ac:dyDescent="0.35">
      <c r="A13" s="25" t="s">
        <v>27</v>
      </c>
      <c r="B13" s="10" t="s">
        <v>314</v>
      </c>
      <c r="C13" s="10" t="s">
        <v>341</v>
      </c>
      <c r="D13" s="10" t="s">
        <v>346</v>
      </c>
      <c r="E13" s="11">
        <v>45941</v>
      </c>
      <c r="F13" s="17">
        <v>45892</v>
      </c>
      <c r="G13" s="14">
        <f t="shared" ca="1" si="1"/>
        <v>207</v>
      </c>
      <c r="H13" s="17">
        <v>999</v>
      </c>
      <c r="I13" s="17">
        <v>500</v>
      </c>
      <c r="J13" s="53">
        <f t="shared" si="2"/>
        <v>242</v>
      </c>
      <c r="K13" s="17">
        <v>700</v>
      </c>
      <c r="L13" s="66">
        <v>458</v>
      </c>
      <c r="M13" s="52">
        <f t="shared" ca="1" si="3"/>
        <v>2.21256038647343</v>
      </c>
      <c r="N13" s="50">
        <f t="shared" si="4"/>
        <v>0.92883099285538351</v>
      </c>
      <c r="O13" s="52">
        <f t="shared" si="5"/>
        <v>1.3963414634146341</v>
      </c>
      <c r="P13" s="56">
        <f t="shared" si="6"/>
        <v>114.49999999999999</v>
      </c>
      <c r="Q13" s="54">
        <f t="shared" si="7"/>
        <v>2.1135371179039302</v>
      </c>
      <c r="R13" s="55">
        <f t="shared" si="8"/>
        <v>49.949949949949954</v>
      </c>
      <c r="S13" s="55">
        <f t="shared" si="9"/>
        <v>65.428571428571431</v>
      </c>
      <c r="T13" s="13">
        <f t="shared" si="10"/>
        <v>3</v>
      </c>
      <c r="U13" s="13">
        <f t="shared" si="0"/>
        <v>3</v>
      </c>
      <c r="V13" s="13">
        <f t="shared" si="11"/>
        <v>2</v>
      </c>
      <c r="W13" s="13">
        <f t="shared" ca="1" si="12"/>
        <v>3</v>
      </c>
      <c r="X13" s="13">
        <f t="shared" ca="1" si="13"/>
        <v>11</v>
      </c>
      <c r="Y13" s="61" t="str">
        <f t="shared" ca="1" si="14"/>
        <v>RE-BUY</v>
      </c>
      <c r="Z13" s="51">
        <v>14</v>
      </c>
      <c r="AA13" s="53">
        <v>46059</v>
      </c>
      <c r="AB13" s="53">
        <f t="shared" si="15"/>
        <v>45920</v>
      </c>
      <c r="AC13" s="72">
        <f t="shared" si="16"/>
        <v>19.857142857142858</v>
      </c>
      <c r="AD13" s="67" t="str">
        <f t="shared" ca="1" si="17"/>
        <v>STABLE</v>
      </c>
      <c r="AE13" s="67" t="str">
        <f t="shared" si="18"/>
        <v>FAST SELLING</v>
      </c>
      <c r="AF13" s="67" t="str">
        <f t="shared" si="19"/>
        <v>AT RISK</v>
      </c>
      <c r="AG13" s="67" t="str">
        <f t="shared" si="20"/>
        <v>FEASIBLE</v>
      </c>
      <c r="AH13" s="73" t="str">
        <f t="shared" ca="1" si="21"/>
        <v>IMMEDIATE REBUY</v>
      </c>
    </row>
    <row r="14" spans="1:34" x14ac:dyDescent="0.35">
      <c r="A14" s="25" t="s">
        <v>28</v>
      </c>
      <c r="B14" s="10" t="s">
        <v>314</v>
      </c>
      <c r="C14" s="10" t="s">
        <v>341</v>
      </c>
      <c r="D14" s="10" t="s">
        <v>346</v>
      </c>
      <c r="E14" s="11">
        <v>45941</v>
      </c>
      <c r="F14" s="17">
        <v>45892</v>
      </c>
      <c r="G14" s="14">
        <f t="shared" ca="1" si="1"/>
        <v>207</v>
      </c>
      <c r="H14" s="17">
        <v>999</v>
      </c>
      <c r="I14" s="17">
        <v>500</v>
      </c>
      <c r="J14" s="53">
        <f t="shared" si="2"/>
        <v>293</v>
      </c>
      <c r="K14" s="17">
        <v>700</v>
      </c>
      <c r="L14" s="66">
        <v>407</v>
      </c>
      <c r="M14" s="52">
        <f t="shared" ca="1" si="3"/>
        <v>1.9661835748792271</v>
      </c>
      <c r="N14" s="50">
        <f t="shared" si="4"/>
        <v>0.92883099285538351</v>
      </c>
      <c r="O14" s="52">
        <f t="shared" si="5"/>
        <v>1.2408536585365855</v>
      </c>
      <c r="P14" s="56">
        <f t="shared" si="6"/>
        <v>101.75000000000001</v>
      </c>
      <c r="Q14" s="54">
        <f t="shared" si="7"/>
        <v>2.8796068796068792</v>
      </c>
      <c r="R14" s="55">
        <f t="shared" si="8"/>
        <v>49.949949949949954</v>
      </c>
      <c r="S14" s="55">
        <f t="shared" si="9"/>
        <v>58.142857142857139</v>
      </c>
      <c r="T14" s="13">
        <f t="shared" si="10"/>
        <v>3</v>
      </c>
      <c r="U14" s="13">
        <f t="shared" si="0"/>
        <v>3</v>
      </c>
      <c r="V14" s="13">
        <f t="shared" si="11"/>
        <v>2</v>
      </c>
      <c r="W14" s="13">
        <f t="shared" ca="1" si="12"/>
        <v>3</v>
      </c>
      <c r="X14" s="13">
        <f t="shared" ca="1" si="13"/>
        <v>11</v>
      </c>
      <c r="Y14" s="61" t="str">
        <f t="shared" ca="1" si="14"/>
        <v>RE-BUY</v>
      </c>
      <c r="Z14" s="51">
        <v>14</v>
      </c>
      <c r="AA14" s="53">
        <v>46059</v>
      </c>
      <c r="AB14" s="53">
        <f t="shared" si="15"/>
        <v>45920</v>
      </c>
      <c r="AC14" s="72">
        <f t="shared" si="16"/>
        <v>19.857142857142858</v>
      </c>
      <c r="AD14" s="67" t="str">
        <f t="shared" ca="1" si="17"/>
        <v>STABLE</v>
      </c>
      <c r="AE14" s="67" t="str">
        <f t="shared" si="18"/>
        <v>FAST SELLING</v>
      </c>
      <c r="AF14" s="67" t="str">
        <f t="shared" si="19"/>
        <v>AT RISK</v>
      </c>
      <c r="AG14" s="67" t="str">
        <f t="shared" si="20"/>
        <v>FEASIBLE</v>
      </c>
      <c r="AH14" s="73" t="str">
        <f t="shared" ca="1" si="21"/>
        <v>IMMEDIATE REBUY</v>
      </c>
    </row>
    <row r="15" spans="1:34" x14ac:dyDescent="0.35">
      <c r="A15" s="25" t="s">
        <v>29</v>
      </c>
      <c r="B15" s="10" t="s">
        <v>314</v>
      </c>
      <c r="C15" s="10" t="s">
        <v>341</v>
      </c>
      <c r="D15" s="10" t="s">
        <v>346</v>
      </c>
      <c r="E15" s="11">
        <v>45941</v>
      </c>
      <c r="F15" s="17">
        <v>45892</v>
      </c>
      <c r="G15" s="14">
        <f t="shared" ca="1" si="1"/>
        <v>207</v>
      </c>
      <c r="H15" s="17">
        <v>999</v>
      </c>
      <c r="I15" s="17">
        <v>500</v>
      </c>
      <c r="J15" s="53">
        <f t="shared" si="2"/>
        <v>303</v>
      </c>
      <c r="K15" s="17">
        <v>700</v>
      </c>
      <c r="L15" s="66">
        <v>397</v>
      </c>
      <c r="M15" s="52">
        <f t="shared" ca="1" si="3"/>
        <v>1.9178743961352658</v>
      </c>
      <c r="N15" s="50">
        <f t="shared" si="4"/>
        <v>0.92883099285538351</v>
      </c>
      <c r="O15" s="52">
        <f t="shared" si="5"/>
        <v>1.2103658536585367</v>
      </c>
      <c r="P15" s="56">
        <f t="shared" si="6"/>
        <v>99.25</v>
      </c>
      <c r="Q15" s="54">
        <f t="shared" si="7"/>
        <v>3.0528967254408061</v>
      </c>
      <c r="R15" s="55">
        <f t="shared" si="8"/>
        <v>49.949949949949954</v>
      </c>
      <c r="S15" s="55">
        <f t="shared" si="9"/>
        <v>56.714285714285715</v>
      </c>
      <c r="T15" s="13">
        <f t="shared" si="10"/>
        <v>3</v>
      </c>
      <c r="U15" s="13">
        <f t="shared" si="0"/>
        <v>3</v>
      </c>
      <c r="V15" s="13">
        <f t="shared" si="11"/>
        <v>2</v>
      </c>
      <c r="W15" s="13">
        <f t="shared" ca="1" si="12"/>
        <v>3</v>
      </c>
      <c r="X15" s="13">
        <f t="shared" ca="1" si="13"/>
        <v>11</v>
      </c>
      <c r="Y15" s="61" t="str">
        <f t="shared" ca="1" si="14"/>
        <v>RE-BUY</v>
      </c>
      <c r="Z15" s="51">
        <v>14</v>
      </c>
      <c r="AA15" s="53">
        <v>46059</v>
      </c>
      <c r="AB15" s="53">
        <f t="shared" si="15"/>
        <v>45920</v>
      </c>
      <c r="AC15" s="72">
        <f t="shared" si="16"/>
        <v>19.857142857142858</v>
      </c>
      <c r="AD15" s="67" t="str">
        <f t="shared" ca="1" si="17"/>
        <v>STABLE</v>
      </c>
      <c r="AE15" s="67" t="str">
        <f t="shared" si="18"/>
        <v>FAST SELLING</v>
      </c>
      <c r="AF15" s="67" t="str">
        <f t="shared" si="19"/>
        <v>AT RISK</v>
      </c>
      <c r="AG15" s="67" t="str">
        <f t="shared" si="20"/>
        <v>FEASIBLE</v>
      </c>
      <c r="AH15" s="73" t="str">
        <f t="shared" ca="1" si="21"/>
        <v>IMMEDIATE REBUY</v>
      </c>
    </row>
    <row r="16" spans="1:34" x14ac:dyDescent="0.35">
      <c r="A16" s="25" t="s">
        <v>30</v>
      </c>
      <c r="B16" s="10" t="s">
        <v>319</v>
      </c>
      <c r="C16" s="10" t="s">
        <v>341</v>
      </c>
      <c r="D16" s="10" t="s">
        <v>346</v>
      </c>
      <c r="E16" s="11">
        <v>45878</v>
      </c>
      <c r="F16" s="17">
        <v>45892</v>
      </c>
      <c r="G16" s="14">
        <f t="shared" ca="1" si="1"/>
        <v>207</v>
      </c>
      <c r="H16" s="17">
        <v>499</v>
      </c>
      <c r="I16" s="17">
        <v>292</v>
      </c>
      <c r="J16" s="53">
        <f t="shared" si="2"/>
        <v>914</v>
      </c>
      <c r="K16" s="17">
        <v>1500</v>
      </c>
      <c r="L16" s="66">
        <v>586</v>
      </c>
      <c r="M16" s="52">
        <f t="shared" ca="1" si="3"/>
        <v>2.8309178743961354</v>
      </c>
      <c r="N16" s="50">
        <f t="shared" si="4"/>
        <v>0.92883099285538351</v>
      </c>
      <c r="O16" s="52">
        <f t="shared" si="5"/>
        <v>1.7865853658536586</v>
      </c>
      <c r="P16" s="56">
        <f t="shared" si="6"/>
        <v>146.5</v>
      </c>
      <c r="Q16" s="54">
        <f t="shared" si="7"/>
        <v>6.2389078498293511</v>
      </c>
      <c r="R16" s="55">
        <f t="shared" si="8"/>
        <v>41.482965931863731</v>
      </c>
      <c r="S16" s="55">
        <f t="shared" si="9"/>
        <v>39.066666666666663</v>
      </c>
      <c r="T16" s="13">
        <f t="shared" si="10"/>
        <v>3</v>
      </c>
      <c r="U16" s="13">
        <f t="shared" si="0"/>
        <v>1</v>
      </c>
      <c r="V16" s="13">
        <f t="shared" si="11"/>
        <v>1</v>
      </c>
      <c r="W16" s="13">
        <f t="shared" ca="1" si="12"/>
        <v>3</v>
      </c>
      <c r="X16" s="13">
        <f t="shared" ca="1" si="13"/>
        <v>8</v>
      </c>
      <c r="Y16" s="61" t="str">
        <f t="shared" ca="1" si="14"/>
        <v>MONITOR</v>
      </c>
      <c r="Z16" s="51">
        <v>14</v>
      </c>
      <c r="AA16" s="53">
        <v>46059</v>
      </c>
      <c r="AB16" s="53">
        <f t="shared" si="15"/>
        <v>45920</v>
      </c>
      <c r="AC16" s="72">
        <f t="shared" si="16"/>
        <v>19.857142857142858</v>
      </c>
      <c r="AD16" s="67" t="str">
        <f t="shared" ca="1" si="17"/>
        <v>STABLE</v>
      </c>
      <c r="AE16" s="67" t="str">
        <f t="shared" si="18"/>
        <v>FAST SELLING</v>
      </c>
      <c r="AF16" s="67" t="str">
        <f t="shared" si="19"/>
        <v>AT RISK</v>
      </c>
      <c r="AG16" s="67" t="str">
        <f t="shared" si="20"/>
        <v>FEASIBLE</v>
      </c>
      <c r="AH16" s="73" t="str">
        <f t="shared" ca="1" si="21"/>
        <v>MONITOR</v>
      </c>
    </row>
    <row r="17" spans="1:34" x14ac:dyDescent="0.35">
      <c r="A17" s="25" t="s">
        <v>31</v>
      </c>
      <c r="B17" s="10" t="s">
        <v>319</v>
      </c>
      <c r="C17" s="10" t="s">
        <v>341</v>
      </c>
      <c r="D17" s="10" t="s">
        <v>346</v>
      </c>
      <c r="E17" s="11">
        <v>45878</v>
      </c>
      <c r="F17" s="17">
        <v>45892</v>
      </c>
      <c r="G17" s="14">
        <f t="shared" ca="1" si="1"/>
        <v>207</v>
      </c>
      <c r="H17" s="17">
        <v>499</v>
      </c>
      <c r="I17" s="17">
        <v>292</v>
      </c>
      <c r="J17" s="53">
        <f t="shared" si="2"/>
        <v>1335</v>
      </c>
      <c r="K17" s="17">
        <v>1500</v>
      </c>
      <c r="L17" s="66">
        <v>165</v>
      </c>
      <c r="M17" s="52">
        <f t="shared" ca="1" si="3"/>
        <v>0.79710144927536231</v>
      </c>
      <c r="N17" s="50">
        <f t="shared" si="4"/>
        <v>0.92883099285538351</v>
      </c>
      <c r="O17" s="52">
        <f t="shared" si="5"/>
        <v>0.50304878048780488</v>
      </c>
      <c r="P17" s="56">
        <f t="shared" si="6"/>
        <v>41.25</v>
      </c>
      <c r="Q17" s="54">
        <f t="shared" si="7"/>
        <v>32.363636363636367</v>
      </c>
      <c r="R17" s="55">
        <f t="shared" si="8"/>
        <v>41.482965931863731</v>
      </c>
      <c r="S17" s="55">
        <f t="shared" si="9"/>
        <v>11</v>
      </c>
      <c r="T17" s="13">
        <f t="shared" si="10"/>
        <v>1</v>
      </c>
      <c r="U17" s="13">
        <f t="shared" si="0"/>
        <v>1</v>
      </c>
      <c r="V17" s="13">
        <f t="shared" si="11"/>
        <v>1</v>
      </c>
      <c r="W17" s="13">
        <f t="shared" ca="1" si="12"/>
        <v>3</v>
      </c>
      <c r="X17" s="13">
        <f t="shared" ca="1" si="13"/>
        <v>6</v>
      </c>
      <c r="Y17" s="61" t="str">
        <f t="shared" ca="1" si="14"/>
        <v>MONITOR</v>
      </c>
      <c r="Z17" s="51">
        <v>14</v>
      </c>
      <c r="AA17" s="53">
        <v>46059</v>
      </c>
      <c r="AB17" s="53">
        <f t="shared" si="15"/>
        <v>45920</v>
      </c>
      <c r="AC17" s="72">
        <f t="shared" si="16"/>
        <v>19.857142857142858</v>
      </c>
      <c r="AD17" s="67" t="str">
        <f t="shared" ca="1" si="17"/>
        <v>STABLE</v>
      </c>
      <c r="AE17" s="67" t="str">
        <f t="shared" si="18"/>
        <v>SLOW SELLING</v>
      </c>
      <c r="AF17" s="67" t="str">
        <f t="shared" si="19"/>
        <v>AT RISK</v>
      </c>
      <c r="AG17" s="67" t="str">
        <f t="shared" si="20"/>
        <v>FEASIBLE</v>
      </c>
      <c r="AH17" s="73" t="str">
        <f t="shared" ca="1" si="21"/>
        <v>MONITOR</v>
      </c>
    </row>
    <row r="18" spans="1:34" x14ac:dyDescent="0.35">
      <c r="A18" s="25" t="s">
        <v>32</v>
      </c>
      <c r="B18" s="10" t="s">
        <v>319</v>
      </c>
      <c r="C18" s="10" t="s">
        <v>341</v>
      </c>
      <c r="D18" s="10" t="s">
        <v>346</v>
      </c>
      <c r="E18" s="11">
        <v>45850</v>
      </c>
      <c r="F18" s="17">
        <v>45892</v>
      </c>
      <c r="G18" s="14">
        <f t="shared" ca="1" si="1"/>
        <v>207</v>
      </c>
      <c r="H18" s="17">
        <v>499</v>
      </c>
      <c r="I18" s="17">
        <v>292</v>
      </c>
      <c r="J18" s="53">
        <f t="shared" si="2"/>
        <v>1310</v>
      </c>
      <c r="K18" s="17">
        <v>1500</v>
      </c>
      <c r="L18" s="66">
        <v>190</v>
      </c>
      <c r="M18" s="52">
        <f t="shared" ca="1" si="3"/>
        <v>0.91787439613526567</v>
      </c>
      <c r="N18" s="50">
        <f t="shared" si="4"/>
        <v>0.92883099285538351</v>
      </c>
      <c r="O18" s="52">
        <f t="shared" si="5"/>
        <v>0.57926829268292679</v>
      </c>
      <c r="P18" s="56">
        <f t="shared" si="6"/>
        <v>47.5</v>
      </c>
      <c r="Q18" s="54">
        <f t="shared" si="7"/>
        <v>27.578947368421051</v>
      </c>
      <c r="R18" s="55">
        <f t="shared" si="8"/>
        <v>41.482965931863731</v>
      </c>
      <c r="S18" s="55">
        <f t="shared" si="9"/>
        <v>12.666666666666668</v>
      </c>
      <c r="T18" s="13">
        <f t="shared" si="10"/>
        <v>1</v>
      </c>
      <c r="U18" s="13">
        <f t="shared" si="0"/>
        <v>1</v>
      </c>
      <c r="V18" s="13">
        <f t="shared" si="11"/>
        <v>1</v>
      </c>
      <c r="W18" s="13">
        <f t="shared" ca="1" si="12"/>
        <v>3</v>
      </c>
      <c r="X18" s="13">
        <f t="shared" ca="1" si="13"/>
        <v>6</v>
      </c>
      <c r="Y18" s="61" t="str">
        <f t="shared" ca="1" si="14"/>
        <v>MONITOR</v>
      </c>
      <c r="Z18" s="51">
        <v>14</v>
      </c>
      <c r="AA18" s="53">
        <v>46059</v>
      </c>
      <c r="AB18" s="53">
        <f t="shared" si="15"/>
        <v>45920</v>
      </c>
      <c r="AC18" s="72">
        <f t="shared" si="16"/>
        <v>19.857142857142858</v>
      </c>
      <c r="AD18" s="67" t="str">
        <f t="shared" ca="1" si="17"/>
        <v>STABLE</v>
      </c>
      <c r="AE18" s="67" t="str">
        <f t="shared" si="18"/>
        <v>SLOW SELLING</v>
      </c>
      <c r="AF18" s="67" t="str">
        <f t="shared" si="19"/>
        <v>AT RISK</v>
      </c>
      <c r="AG18" s="67" t="str">
        <f t="shared" si="20"/>
        <v>FEASIBLE</v>
      </c>
      <c r="AH18" s="73" t="str">
        <f t="shared" ca="1" si="21"/>
        <v>MONITOR</v>
      </c>
    </row>
    <row r="19" spans="1:34" x14ac:dyDescent="0.35">
      <c r="A19" s="25" t="s">
        <v>33</v>
      </c>
      <c r="B19" s="10" t="s">
        <v>319</v>
      </c>
      <c r="C19" s="10" t="s">
        <v>341</v>
      </c>
      <c r="D19" s="10" t="s">
        <v>346</v>
      </c>
      <c r="E19" s="11">
        <v>45850</v>
      </c>
      <c r="F19" s="17">
        <v>45892</v>
      </c>
      <c r="G19" s="14">
        <f t="shared" ca="1" si="1"/>
        <v>207</v>
      </c>
      <c r="H19" s="17">
        <v>499</v>
      </c>
      <c r="I19" s="17">
        <v>292</v>
      </c>
      <c r="J19" s="53">
        <f t="shared" si="2"/>
        <v>1133</v>
      </c>
      <c r="K19" s="17">
        <v>1500</v>
      </c>
      <c r="L19" s="66">
        <v>367</v>
      </c>
      <c r="M19" s="52">
        <f t="shared" ca="1" si="3"/>
        <v>1.7729468599033817</v>
      </c>
      <c r="N19" s="50">
        <f t="shared" si="4"/>
        <v>0.92883099285538351</v>
      </c>
      <c r="O19" s="52">
        <f t="shared" si="5"/>
        <v>1.1189024390243902</v>
      </c>
      <c r="P19" s="56">
        <f t="shared" si="6"/>
        <v>91.75</v>
      </c>
      <c r="Q19" s="54">
        <f t="shared" si="7"/>
        <v>12.348773841961853</v>
      </c>
      <c r="R19" s="55">
        <f t="shared" si="8"/>
        <v>41.482965931863731</v>
      </c>
      <c r="S19" s="55">
        <f t="shared" si="9"/>
        <v>24.466666666666669</v>
      </c>
      <c r="T19" s="13">
        <f t="shared" si="10"/>
        <v>3</v>
      </c>
      <c r="U19" s="13">
        <f t="shared" si="0"/>
        <v>1</v>
      </c>
      <c r="V19" s="13">
        <f t="shared" si="11"/>
        <v>1</v>
      </c>
      <c r="W19" s="13">
        <f t="shared" ca="1" si="12"/>
        <v>3</v>
      </c>
      <c r="X19" s="13">
        <f t="shared" ca="1" si="13"/>
        <v>8</v>
      </c>
      <c r="Y19" s="61" t="str">
        <f t="shared" ca="1" si="14"/>
        <v>MONITOR</v>
      </c>
      <c r="Z19" s="51">
        <v>14</v>
      </c>
      <c r="AA19" s="53">
        <v>46059</v>
      </c>
      <c r="AB19" s="53">
        <f t="shared" si="15"/>
        <v>45920</v>
      </c>
      <c r="AC19" s="72">
        <f t="shared" si="16"/>
        <v>19.857142857142858</v>
      </c>
      <c r="AD19" s="67" t="str">
        <f t="shared" ca="1" si="17"/>
        <v>STABLE</v>
      </c>
      <c r="AE19" s="67" t="str">
        <f t="shared" si="18"/>
        <v>FAST SELLING</v>
      </c>
      <c r="AF19" s="67" t="str">
        <f t="shared" si="19"/>
        <v>AT RISK</v>
      </c>
      <c r="AG19" s="67" t="str">
        <f t="shared" si="20"/>
        <v>FEASIBLE</v>
      </c>
      <c r="AH19" s="73" t="str">
        <f t="shared" ca="1" si="21"/>
        <v>MONITOR</v>
      </c>
    </row>
    <row r="20" spans="1:34" x14ac:dyDescent="0.35">
      <c r="A20" s="25" t="s">
        <v>34</v>
      </c>
      <c r="B20" s="15" t="s">
        <v>318</v>
      </c>
      <c r="C20" s="10" t="s">
        <v>341</v>
      </c>
      <c r="D20" s="10" t="s">
        <v>346</v>
      </c>
      <c r="E20" s="11">
        <v>45920</v>
      </c>
      <c r="F20" s="17">
        <v>45892</v>
      </c>
      <c r="G20" s="14">
        <f t="shared" ca="1" si="1"/>
        <v>207</v>
      </c>
      <c r="H20" s="17">
        <v>399</v>
      </c>
      <c r="I20" s="17">
        <v>225</v>
      </c>
      <c r="J20" s="53">
        <f t="shared" si="2"/>
        <v>1274</v>
      </c>
      <c r="K20" s="17">
        <v>1500</v>
      </c>
      <c r="L20" s="66">
        <v>226</v>
      </c>
      <c r="M20" s="52">
        <f t="shared" ca="1" si="3"/>
        <v>1.0917874396135265</v>
      </c>
      <c r="N20" s="50">
        <f t="shared" si="4"/>
        <v>0.92883099285538351</v>
      </c>
      <c r="O20" s="52">
        <f t="shared" si="5"/>
        <v>0.68902439024390238</v>
      </c>
      <c r="P20" s="56">
        <f t="shared" si="6"/>
        <v>56.499999999999993</v>
      </c>
      <c r="Q20" s="54">
        <f t="shared" si="7"/>
        <v>22.548672566371685</v>
      </c>
      <c r="R20" s="55">
        <f t="shared" si="8"/>
        <v>43.609022556390975</v>
      </c>
      <c r="S20" s="55">
        <f t="shared" si="9"/>
        <v>15.066666666666666</v>
      </c>
      <c r="T20" s="13">
        <f t="shared" si="10"/>
        <v>1</v>
      </c>
      <c r="U20" s="13">
        <f t="shared" si="0"/>
        <v>1</v>
      </c>
      <c r="V20" s="13">
        <f t="shared" si="11"/>
        <v>1</v>
      </c>
      <c r="W20" s="13">
        <f t="shared" ca="1" si="12"/>
        <v>3</v>
      </c>
      <c r="X20" s="13">
        <f t="shared" ca="1" si="13"/>
        <v>6</v>
      </c>
      <c r="Y20" s="61" t="str">
        <f t="shared" ca="1" si="14"/>
        <v>MONITOR</v>
      </c>
      <c r="Z20" s="51">
        <v>14</v>
      </c>
      <c r="AA20" s="53">
        <v>46059</v>
      </c>
      <c r="AB20" s="53">
        <f t="shared" si="15"/>
        <v>45920</v>
      </c>
      <c r="AC20" s="72">
        <f t="shared" si="16"/>
        <v>19.857142857142858</v>
      </c>
      <c r="AD20" s="67" t="str">
        <f t="shared" ca="1" si="17"/>
        <v>STABLE</v>
      </c>
      <c r="AE20" s="67" t="str">
        <f t="shared" si="18"/>
        <v>SLOW SELLING</v>
      </c>
      <c r="AF20" s="67" t="str">
        <f t="shared" si="19"/>
        <v>AT RISK</v>
      </c>
      <c r="AG20" s="67" t="str">
        <f t="shared" si="20"/>
        <v>FEASIBLE</v>
      </c>
      <c r="AH20" s="73" t="str">
        <f t="shared" ca="1" si="21"/>
        <v>MONITOR</v>
      </c>
    </row>
    <row r="21" spans="1:34" x14ac:dyDescent="0.35">
      <c r="A21" s="25" t="s">
        <v>35</v>
      </c>
      <c r="B21" s="15" t="s">
        <v>318</v>
      </c>
      <c r="C21" s="10" t="s">
        <v>341</v>
      </c>
      <c r="D21" s="10" t="s">
        <v>346</v>
      </c>
      <c r="E21" s="11">
        <v>45920</v>
      </c>
      <c r="F21" s="17">
        <v>45892</v>
      </c>
      <c r="G21" s="14">
        <f t="shared" ca="1" si="1"/>
        <v>207</v>
      </c>
      <c r="H21" s="17">
        <v>399</v>
      </c>
      <c r="I21" s="17">
        <v>225</v>
      </c>
      <c r="J21" s="53">
        <f t="shared" si="2"/>
        <v>1289</v>
      </c>
      <c r="K21" s="17">
        <v>1500</v>
      </c>
      <c r="L21" s="66">
        <v>211</v>
      </c>
      <c r="M21" s="52">
        <f t="shared" ca="1" si="3"/>
        <v>1.0193236714975846</v>
      </c>
      <c r="N21" s="50">
        <f t="shared" si="4"/>
        <v>0.92883099285538351</v>
      </c>
      <c r="O21" s="52">
        <f t="shared" si="5"/>
        <v>0.64329268292682928</v>
      </c>
      <c r="P21" s="56">
        <f t="shared" si="6"/>
        <v>52.75</v>
      </c>
      <c r="Q21" s="54">
        <f t="shared" si="7"/>
        <v>24.436018957345972</v>
      </c>
      <c r="R21" s="55">
        <f t="shared" si="8"/>
        <v>43.609022556390975</v>
      </c>
      <c r="S21" s="55">
        <f t="shared" si="9"/>
        <v>14.066666666666666</v>
      </c>
      <c r="T21" s="13">
        <f t="shared" si="10"/>
        <v>1</v>
      </c>
      <c r="U21" s="13">
        <f t="shared" si="0"/>
        <v>1</v>
      </c>
      <c r="V21" s="13">
        <f t="shared" si="11"/>
        <v>1</v>
      </c>
      <c r="W21" s="13">
        <f t="shared" ca="1" si="12"/>
        <v>3</v>
      </c>
      <c r="X21" s="13">
        <f t="shared" ca="1" si="13"/>
        <v>6</v>
      </c>
      <c r="Y21" s="61" t="str">
        <f t="shared" ca="1" si="14"/>
        <v>MONITOR</v>
      </c>
      <c r="Z21" s="51">
        <v>14</v>
      </c>
      <c r="AA21" s="53">
        <v>46059</v>
      </c>
      <c r="AB21" s="53">
        <f t="shared" si="15"/>
        <v>45920</v>
      </c>
      <c r="AC21" s="72">
        <f t="shared" si="16"/>
        <v>19.857142857142858</v>
      </c>
      <c r="AD21" s="67" t="str">
        <f t="shared" ca="1" si="17"/>
        <v>STABLE</v>
      </c>
      <c r="AE21" s="67" t="str">
        <f t="shared" si="18"/>
        <v>SLOW SELLING</v>
      </c>
      <c r="AF21" s="67" t="str">
        <f t="shared" si="19"/>
        <v>AT RISK</v>
      </c>
      <c r="AG21" s="67" t="str">
        <f t="shared" si="20"/>
        <v>FEASIBLE</v>
      </c>
      <c r="AH21" s="73" t="str">
        <f t="shared" ca="1" si="21"/>
        <v>MONITOR</v>
      </c>
    </row>
    <row r="22" spans="1:34" x14ac:dyDescent="0.35">
      <c r="A22" s="25" t="s">
        <v>36</v>
      </c>
      <c r="B22" s="15" t="s">
        <v>318</v>
      </c>
      <c r="C22" s="10" t="s">
        <v>341</v>
      </c>
      <c r="D22" s="10" t="s">
        <v>346</v>
      </c>
      <c r="E22" s="11">
        <v>45920</v>
      </c>
      <c r="F22" s="17">
        <v>45892</v>
      </c>
      <c r="G22" s="14">
        <f t="shared" ca="1" si="1"/>
        <v>207</v>
      </c>
      <c r="H22" s="17">
        <v>399</v>
      </c>
      <c r="I22" s="17">
        <v>225</v>
      </c>
      <c r="J22" s="53">
        <f t="shared" si="2"/>
        <v>1284</v>
      </c>
      <c r="K22" s="17">
        <v>1500</v>
      </c>
      <c r="L22" s="66">
        <v>216</v>
      </c>
      <c r="M22" s="52">
        <f t="shared" ca="1" si="3"/>
        <v>1.0434782608695652</v>
      </c>
      <c r="N22" s="50">
        <f t="shared" si="4"/>
        <v>0.92883099285538351</v>
      </c>
      <c r="O22" s="52">
        <f t="shared" si="5"/>
        <v>0.65853658536585369</v>
      </c>
      <c r="P22" s="56">
        <f t="shared" si="6"/>
        <v>54</v>
      </c>
      <c r="Q22" s="54">
        <f t="shared" si="7"/>
        <v>23.777777777777779</v>
      </c>
      <c r="R22" s="55">
        <f t="shared" si="8"/>
        <v>43.609022556390975</v>
      </c>
      <c r="S22" s="55">
        <f t="shared" si="9"/>
        <v>14.399999999999999</v>
      </c>
      <c r="T22" s="13">
        <f t="shared" si="10"/>
        <v>1</v>
      </c>
      <c r="U22" s="13">
        <f t="shared" si="0"/>
        <v>1</v>
      </c>
      <c r="V22" s="13">
        <f t="shared" si="11"/>
        <v>1</v>
      </c>
      <c r="W22" s="13">
        <f t="shared" ca="1" si="12"/>
        <v>3</v>
      </c>
      <c r="X22" s="13">
        <f t="shared" ca="1" si="13"/>
        <v>6</v>
      </c>
      <c r="Y22" s="61" t="str">
        <f t="shared" ca="1" si="14"/>
        <v>MONITOR</v>
      </c>
      <c r="Z22" s="51">
        <v>14</v>
      </c>
      <c r="AA22" s="53">
        <v>46059</v>
      </c>
      <c r="AB22" s="53">
        <f t="shared" si="15"/>
        <v>45920</v>
      </c>
      <c r="AC22" s="72">
        <f t="shared" si="16"/>
        <v>19.857142857142858</v>
      </c>
      <c r="AD22" s="67" t="str">
        <f t="shared" ca="1" si="17"/>
        <v>STABLE</v>
      </c>
      <c r="AE22" s="67" t="str">
        <f t="shared" si="18"/>
        <v>SLOW SELLING</v>
      </c>
      <c r="AF22" s="67" t="str">
        <f t="shared" si="19"/>
        <v>AT RISK</v>
      </c>
      <c r="AG22" s="67" t="str">
        <f t="shared" si="20"/>
        <v>FEASIBLE</v>
      </c>
      <c r="AH22" s="73" t="str">
        <f t="shared" ca="1" si="21"/>
        <v>MONITOR</v>
      </c>
    </row>
    <row r="23" spans="1:34" x14ac:dyDescent="0.35">
      <c r="A23" s="25" t="s">
        <v>37</v>
      </c>
      <c r="B23" s="15" t="s">
        <v>318</v>
      </c>
      <c r="C23" s="10" t="s">
        <v>341</v>
      </c>
      <c r="D23" s="10" t="s">
        <v>346</v>
      </c>
      <c r="E23" s="11">
        <v>45920</v>
      </c>
      <c r="F23" s="17">
        <v>45892</v>
      </c>
      <c r="G23" s="14">
        <f t="shared" ca="1" si="1"/>
        <v>207</v>
      </c>
      <c r="H23" s="17">
        <v>399</v>
      </c>
      <c r="I23" s="17">
        <v>225</v>
      </c>
      <c r="J23" s="53">
        <f t="shared" si="2"/>
        <v>1499</v>
      </c>
      <c r="K23" s="17">
        <v>1500</v>
      </c>
      <c r="L23" s="66">
        <v>1</v>
      </c>
      <c r="M23" s="52">
        <f t="shared" ca="1" si="3"/>
        <v>4.830917874396135E-3</v>
      </c>
      <c r="N23" s="50">
        <f t="shared" si="4"/>
        <v>0.92883099285538351</v>
      </c>
      <c r="O23" s="52">
        <f t="shared" si="5"/>
        <v>3.0487804878048782E-3</v>
      </c>
      <c r="P23" s="56">
        <f t="shared" si="6"/>
        <v>0.25</v>
      </c>
      <c r="Q23" s="54">
        <f t="shared" si="7"/>
        <v>5996</v>
      </c>
      <c r="R23" s="55">
        <f t="shared" si="8"/>
        <v>43.609022556390975</v>
      </c>
      <c r="S23" s="55">
        <f t="shared" si="9"/>
        <v>6.6666666666666666E-2</v>
      </c>
      <c r="T23" s="13">
        <f t="shared" si="10"/>
        <v>1</v>
      </c>
      <c r="U23" s="13">
        <f t="shared" si="0"/>
        <v>1</v>
      </c>
      <c r="V23" s="13">
        <f t="shared" si="11"/>
        <v>1</v>
      </c>
      <c r="W23" s="13">
        <f t="shared" ca="1" si="12"/>
        <v>3</v>
      </c>
      <c r="X23" s="13">
        <f t="shared" ca="1" si="13"/>
        <v>6</v>
      </c>
      <c r="Y23" s="61" t="str">
        <f t="shared" ca="1" si="14"/>
        <v>MONITOR</v>
      </c>
      <c r="Z23" s="51">
        <v>14</v>
      </c>
      <c r="AA23" s="53">
        <v>46059</v>
      </c>
      <c r="AB23" s="53">
        <f t="shared" si="15"/>
        <v>45920</v>
      </c>
      <c r="AC23" s="72">
        <f t="shared" si="16"/>
        <v>19.857142857142858</v>
      </c>
      <c r="AD23" s="67" t="str">
        <f t="shared" ca="1" si="17"/>
        <v>STABLE</v>
      </c>
      <c r="AE23" s="67" t="str">
        <f t="shared" si="18"/>
        <v>SLOW SELLING</v>
      </c>
      <c r="AF23" s="67" t="str">
        <f t="shared" si="19"/>
        <v>AT RISK</v>
      </c>
      <c r="AG23" s="67" t="str">
        <f t="shared" si="20"/>
        <v>FEASIBLE</v>
      </c>
      <c r="AH23" s="73" t="str">
        <f t="shared" ca="1" si="21"/>
        <v>MONITOR</v>
      </c>
    </row>
    <row r="24" spans="1:34" x14ac:dyDescent="0.35">
      <c r="A24" s="25" t="s">
        <v>38</v>
      </c>
      <c r="B24" s="10" t="s">
        <v>320</v>
      </c>
      <c r="C24" s="10" t="s">
        <v>341</v>
      </c>
      <c r="D24" s="10" t="s">
        <v>346</v>
      </c>
      <c r="E24" s="11">
        <v>45927</v>
      </c>
      <c r="F24" s="17">
        <v>45892</v>
      </c>
      <c r="G24" s="14">
        <f t="shared" ca="1" si="1"/>
        <v>207</v>
      </c>
      <c r="H24" s="17">
        <v>399</v>
      </c>
      <c r="I24" s="17">
        <v>265</v>
      </c>
      <c r="J24" s="53">
        <f t="shared" si="2"/>
        <v>1812</v>
      </c>
      <c r="K24" s="17">
        <v>2500</v>
      </c>
      <c r="L24" s="66">
        <v>688</v>
      </c>
      <c r="M24" s="52">
        <f t="shared" ca="1" si="3"/>
        <v>3.3236714975845412</v>
      </c>
      <c r="N24" s="50">
        <f t="shared" si="4"/>
        <v>0.92883099285538351</v>
      </c>
      <c r="O24" s="52">
        <f t="shared" si="5"/>
        <v>2.0975609756097562</v>
      </c>
      <c r="P24" s="56">
        <f t="shared" si="6"/>
        <v>172</v>
      </c>
      <c r="Q24" s="54">
        <f t="shared" si="7"/>
        <v>10.534883720930232</v>
      </c>
      <c r="R24" s="55">
        <f t="shared" si="8"/>
        <v>33.583959899749374</v>
      </c>
      <c r="S24" s="55">
        <f t="shared" si="9"/>
        <v>27.52</v>
      </c>
      <c r="T24" s="13">
        <f t="shared" si="10"/>
        <v>3</v>
      </c>
      <c r="U24" s="13">
        <f t="shared" si="0"/>
        <v>1</v>
      </c>
      <c r="V24" s="13">
        <f t="shared" si="11"/>
        <v>1</v>
      </c>
      <c r="W24" s="13">
        <f t="shared" ca="1" si="12"/>
        <v>3</v>
      </c>
      <c r="X24" s="13">
        <f t="shared" ca="1" si="13"/>
        <v>8</v>
      </c>
      <c r="Y24" s="61" t="str">
        <f t="shared" ca="1" si="14"/>
        <v>MONITOR</v>
      </c>
      <c r="Z24" s="51">
        <v>14</v>
      </c>
      <c r="AA24" s="53">
        <v>46059</v>
      </c>
      <c r="AB24" s="53">
        <f t="shared" si="15"/>
        <v>45920</v>
      </c>
      <c r="AC24" s="72">
        <f t="shared" si="16"/>
        <v>19.857142857142858</v>
      </c>
      <c r="AD24" s="67" t="str">
        <f t="shared" ca="1" si="17"/>
        <v>STABLE</v>
      </c>
      <c r="AE24" s="67" t="str">
        <f t="shared" si="18"/>
        <v>FAST SELLING</v>
      </c>
      <c r="AF24" s="67" t="str">
        <f t="shared" si="19"/>
        <v>AT RISK</v>
      </c>
      <c r="AG24" s="67" t="str">
        <f t="shared" si="20"/>
        <v>FEASIBLE</v>
      </c>
      <c r="AH24" s="73" t="str">
        <f t="shared" ca="1" si="21"/>
        <v>MONITOR</v>
      </c>
    </row>
    <row r="25" spans="1:34" x14ac:dyDescent="0.35">
      <c r="A25" s="25" t="s">
        <v>39</v>
      </c>
      <c r="B25" s="10" t="s">
        <v>320</v>
      </c>
      <c r="C25" s="10" t="s">
        <v>341</v>
      </c>
      <c r="D25" s="10" t="s">
        <v>346</v>
      </c>
      <c r="E25" s="11">
        <v>45878</v>
      </c>
      <c r="F25" s="17">
        <v>45892</v>
      </c>
      <c r="G25" s="14">
        <f t="shared" ca="1" si="1"/>
        <v>207</v>
      </c>
      <c r="H25" s="17">
        <v>399</v>
      </c>
      <c r="I25" s="17">
        <v>265</v>
      </c>
      <c r="J25" s="53">
        <f t="shared" si="2"/>
        <v>1483</v>
      </c>
      <c r="K25" s="17">
        <v>2000</v>
      </c>
      <c r="L25" s="66">
        <v>517</v>
      </c>
      <c r="M25" s="52">
        <f t="shared" ca="1" si="3"/>
        <v>2.4975845410628019</v>
      </c>
      <c r="N25" s="50">
        <f t="shared" si="4"/>
        <v>0.92883099285538351</v>
      </c>
      <c r="O25" s="52">
        <f t="shared" si="5"/>
        <v>1.5762195121951219</v>
      </c>
      <c r="P25" s="56">
        <f t="shared" si="6"/>
        <v>129.25</v>
      </c>
      <c r="Q25" s="54">
        <f t="shared" si="7"/>
        <v>11.473887814313347</v>
      </c>
      <c r="R25" s="55">
        <f t="shared" si="8"/>
        <v>33.583959899749374</v>
      </c>
      <c r="S25" s="55">
        <f t="shared" si="9"/>
        <v>25.85</v>
      </c>
      <c r="T25" s="13">
        <f t="shared" si="10"/>
        <v>3</v>
      </c>
      <c r="U25" s="13">
        <f t="shared" si="0"/>
        <v>1</v>
      </c>
      <c r="V25" s="13">
        <f t="shared" si="11"/>
        <v>1</v>
      </c>
      <c r="W25" s="13">
        <f t="shared" ca="1" si="12"/>
        <v>3</v>
      </c>
      <c r="X25" s="13">
        <f t="shared" ca="1" si="13"/>
        <v>8</v>
      </c>
      <c r="Y25" s="61" t="str">
        <f t="shared" ca="1" si="14"/>
        <v>MONITOR</v>
      </c>
      <c r="Z25" s="51">
        <v>14</v>
      </c>
      <c r="AA25" s="53">
        <v>46059</v>
      </c>
      <c r="AB25" s="53">
        <f t="shared" si="15"/>
        <v>45920</v>
      </c>
      <c r="AC25" s="72">
        <f t="shared" si="16"/>
        <v>19.857142857142858</v>
      </c>
      <c r="AD25" s="67" t="str">
        <f t="shared" ca="1" si="17"/>
        <v>STABLE</v>
      </c>
      <c r="AE25" s="67" t="str">
        <f t="shared" si="18"/>
        <v>FAST SELLING</v>
      </c>
      <c r="AF25" s="67" t="str">
        <f t="shared" si="19"/>
        <v>AT RISK</v>
      </c>
      <c r="AG25" s="67" t="str">
        <f t="shared" si="20"/>
        <v>FEASIBLE</v>
      </c>
      <c r="AH25" s="73" t="str">
        <f t="shared" ca="1" si="21"/>
        <v>MONITOR</v>
      </c>
    </row>
    <row r="26" spans="1:34" x14ac:dyDescent="0.35">
      <c r="A26" s="25" t="s">
        <v>40</v>
      </c>
      <c r="B26" s="10" t="s">
        <v>320</v>
      </c>
      <c r="C26" s="10" t="s">
        <v>341</v>
      </c>
      <c r="D26" s="10" t="s">
        <v>346</v>
      </c>
      <c r="E26" s="11">
        <v>45948</v>
      </c>
      <c r="F26" s="17">
        <v>45892</v>
      </c>
      <c r="G26" s="14">
        <f t="shared" ca="1" si="1"/>
        <v>207</v>
      </c>
      <c r="H26" s="17">
        <v>399</v>
      </c>
      <c r="I26" s="17">
        <v>265</v>
      </c>
      <c r="J26" s="53">
        <f t="shared" si="2"/>
        <v>1761</v>
      </c>
      <c r="K26" s="17">
        <v>2500</v>
      </c>
      <c r="L26" s="66">
        <v>739</v>
      </c>
      <c r="M26" s="52">
        <f t="shared" ca="1" si="3"/>
        <v>3.5700483091787438</v>
      </c>
      <c r="N26" s="50">
        <f t="shared" si="4"/>
        <v>0.92883099285538351</v>
      </c>
      <c r="O26" s="52">
        <f t="shared" si="5"/>
        <v>2.2530487804878048</v>
      </c>
      <c r="P26" s="56">
        <f t="shared" si="6"/>
        <v>184.75</v>
      </c>
      <c r="Q26" s="54">
        <f t="shared" si="7"/>
        <v>9.5317997293640051</v>
      </c>
      <c r="R26" s="55">
        <f t="shared" si="8"/>
        <v>33.583959899749374</v>
      </c>
      <c r="S26" s="55">
        <f t="shared" si="9"/>
        <v>29.56</v>
      </c>
      <c r="T26" s="13">
        <f t="shared" si="10"/>
        <v>3</v>
      </c>
      <c r="U26" s="13">
        <f t="shared" si="0"/>
        <v>1</v>
      </c>
      <c r="V26" s="13">
        <f t="shared" si="11"/>
        <v>1</v>
      </c>
      <c r="W26" s="13">
        <f t="shared" ca="1" si="12"/>
        <v>3</v>
      </c>
      <c r="X26" s="13">
        <f t="shared" ca="1" si="13"/>
        <v>8</v>
      </c>
      <c r="Y26" s="61" t="str">
        <f t="shared" ca="1" si="14"/>
        <v>MONITOR</v>
      </c>
      <c r="Z26" s="51">
        <v>14</v>
      </c>
      <c r="AA26" s="53">
        <v>46059</v>
      </c>
      <c r="AB26" s="53">
        <f t="shared" si="15"/>
        <v>45920</v>
      </c>
      <c r="AC26" s="72">
        <f t="shared" si="16"/>
        <v>19.857142857142858</v>
      </c>
      <c r="AD26" s="67" t="str">
        <f t="shared" ca="1" si="17"/>
        <v>STABLE</v>
      </c>
      <c r="AE26" s="67" t="str">
        <f t="shared" si="18"/>
        <v>FAST SELLING</v>
      </c>
      <c r="AF26" s="67" t="str">
        <f t="shared" si="19"/>
        <v>AT RISK</v>
      </c>
      <c r="AG26" s="67" t="str">
        <f t="shared" si="20"/>
        <v>FEASIBLE</v>
      </c>
      <c r="AH26" s="73" t="str">
        <f t="shared" ca="1" si="21"/>
        <v>MONITOR</v>
      </c>
    </row>
    <row r="27" spans="1:34" x14ac:dyDescent="0.35">
      <c r="A27" s="25" t="s">
        <v>41</v>
      </c>
      <c r="B27" s="10" t="s">
        <v>320</v>
      </c>
      <c r="C27" s="10" t="s">
        <v>341</v>
      </c>
      <c r="D27" s="10" t="s">
        <v>346</v>
      </c>
      <c r="E27" s="11">
        <v>45948</v>
      </c>
      <c r="F27" s="17">
        <v>45892</v>
      </c>
      <c r="G27" s="14">
        <f t="shared" ca="1" si="1"/>
        <v>207</v>
      </c>
      <c r="H27" s="17">
        <v>399</v>
      </c>
      <c r="I27" s="17">
        <v>265</v>
      </c>
      <c r="J27" s="53">
        <f t="shared" si="2"/>
        <v>1722</v>
      </c>
      <c r="K27" s="17">
        <v>2000</v>
      </c>
      <c r="L27" s="66">
        <v>278</v>
      </c>
      <c r="M27" s="52">
        <f t="shared" ca="1" si="3"/>
        <v>1.3429951690821256</v>
      </c>
      <c r="N27" s="50">
        <f t="shared" si="4"/>
        <v>0.92883099285538351</v>
      </c>
      <c r="O27" s="52">
        <f t="shared" si="5"/>
        <v>0.84756097560975607</v>
      </c>
      <c r="P27" s="56">
        <f t="shared" si="6"/>
        <v>69.5</v>
      </c>
      <c r="Q27" s="54">
        <f t="shared" si="7"/>
        <v>24.776978417266186</v>
      </c>
      <c r="R27" s="55">
        <f t="shared" si="8"/>
        <v>33.583959899749374</v>
      </c>
      <c r="S27" s="55">
        <f t="shared" si="9"/>
        <v>13.900000000000002</v>
      </c>
      <c r="T27" s="13">
        <f t="shared" si="10"/>
        <v>2</v>
      </c>
      <c r="U27" s="13">
        <f t="shared" si="0"/>
        <v>1</v>
      </c>
      <c r="V27" s="13">
        <f t="shared" si="11"/>
        <v>1</v>
      </c>
      <c r="W27" s="13">
        <f t="shared" ca="1" si="12"/>
        <v>3</v>
      </c>
      <c r="X27" s="13">
        <f t="shared" ca="1" si="13"/>
        <v>7</v>
      </c>
      <c r="Y27" s="61" t="str">
        <f t="shared" ca="1" si="14"/>
        <v>MONITOR</v>
      </c>
      <c r="Z27" s="51">
        <v>14</v>
      </c>
      <c r="AA27" s="53">
        <v>46059</v>
      </c>
      <c r="AB27" s="53">
        <f t="shared" si="15"/>
        <v>45920</v>
      </c>
      <c r="AC27" s="72">
        <f t="shared" si="16"/>
        <v>19.857142857142858</v>
      </c>
      <c r="AD27" s="67" t="str">
        <f t="shared" ca="1" si="17"/>
        <v>STABLE</v>
      </c>
      <c r="AE27" s="67" t="str">
        <f t="shared" si="18"/>
        <v>SLOW SELLING</v>
      </c>
      <c r="AF27" s="67" t="str">
        <f t="shared" si="19"/>
        <v>AT RISK</v>
      </c>
      <c r="AG27" s="67" t="str">
        <f t="shared" si="20"/>
        <v>FEASIBLE</v>
      </c>
      <c r="AH27" s="73" t="str">
        <f t="shared" ca="1" si="21"/>
        <v>MONITOR</v>
      </c>
    </row>
    <row r="28" spans="1:34" x14ac:dyDescent="0.35">
      <c r="A28" s="25" t="s">
        <v>42</v>
      </c>
      <c r="B28" s="10" t="s">
        <v>320</v>
      </c>
      <c r="C28" s="10" t="s">
        <v>341</v>
      </c>
      <c r="D28" s="10" t="s">
        <v>346</v>
      </c>
      <c r="E28" s="11">
        <v>45878</v>
      </c>
      <c r="F28" s="17">
        <v>45892</v>
      </c>
      <c r="G28" s="14">
        <f t="shared" ca="1" si="1"/>
        <v>207</v>
      </c>
      <c r="H28" s="17">
        <v>399</v>
      </c>
      <c r="I28" s="17">
        <v>265</v>
      </c>
      <c r="J28" s="53">
        <f t="shared" si="2"/>
        <v>1514</v>
      </c>
      <c r="K28" s="17">
        <v>2000</v>
      </c>
      <c r="L28" s="66">
        <v>486</v>
      </c>
      <c r="M28" s="52">
        <f t="shared" ca="1" si="3"/>
        <v>2.347826086956522</v>
      </c>
      <c r="N28" s="50">
        <f t="shared" si="4"/>
        <v>0.92883099285538351</v>
      </c>
      <c r="O28" s="52">
        <f t="shared" si="5"/>
        <v>1.4817073170731707</v>
      </c>
      <c r="P28" s="56">
        <f t="shared" si="6"/>
        <v>121.5</v>
      </c>
      <c r="Q28" s="54">
        <f t="shared" si="7"/>
        <v>12.460905349794238</v>
      </c>
      <c r="R28" s="55">
        <f t="shared" si="8"/>
        <v>33.583959899749374</v>
      </c>
      <c r="S28" s="55">
        <f t="shared" si="9"/>
        <v>24.3</v>
      </c>
      <c r="T28" s="13">
        <f t="shared" si="10"/>
        <v>3</v>
      </c>
      <c r="U28" s="13">
        <f t="shared" si="0"/>
        <v>1</v>
      </c>
      <c r="V28" s="13">
        <f t="shared" si="11"/>
        <v>1</v>
      </c>
      <c r="W28" s="13">
        <f t="shared" ca="1" si="12"/>
        <v>3</v>
      </c>
      <c r="X28" s="13">
        <f t="shared" ca="1" si="13"/>
        <v>8</v>
      </c>
      <c r="Y28" s="61" t="str">
        <f t="shared" ca="1" si="14"/>
        <v>MONITOR</v>
      </c>
      <c r="Z28" s="51">
        <v>14</v>
      </c>
      <c r="AA28" s="53">
        <v>46059</v>
      </c>
      <c r="AB28" s="53">
        <f t="shared" si="15"/>
        <v>45920</v>
      </c>
      <c r="AC28" s="72">
        <f t="shared" si="16"/>
        <v>19.857142857142858</v>
      </c>
      <c r="AD28" s="67" t="str">
        <f t="shared" ca="1" si="17"/>
        <v>STABLE</v>
      </c>
      <c r="AE28" s="67" t="str">
        <f t="shared" si="18"/>
        <v>FAST SELLING</v>
      </c>
      <c r="AF28" s="67" t="str">
        <f t="shared" si="19"/>
        <v>AT RISK</v>
      </c>
      <c r="AG28" s="67" t="str">
        <f t="shared" si="20"/>
        <v>FEASIBLE</v>
      </c>
      <c r="AH28" s="73" t="str">
        <f t="shared" ca="1" si="21"/>
        <v>MONITOR</v>
      </c>
    </row>
    <row r="29" spans="1:34" x14ac:dyDescent="0.35">
      <c r="A29" s="25" t="s">
        <v>43</v>
      </c>
      <c r="B29" s="10" t="s">
        <v>320</v>
      </c>
      <c r="C29" s="10" t="s">
        <v>341</v>
      </c>
      <c r="D29" s="10" t="s">
        <v>346</v>
      </c>
      <c r="E29" s="11">
        <v>45878</v>
      </c>
      <c r="F29" s="17">
        <v>45892</v>
      </c>
      <c r="G29" s="14">
        <f t="shared" ca="1" si="1"/>
        <v>207</v>
      </c>
      <c r="H29" s="17">
        <v>399</v>
      </c>
      <c r="I29" s="17">
        <v>265</v>
      </c>
      <c r="J29" s="53">
        <f t="shared" si="2"/>
        <v>1518</v>
      </c>
      <c r="K29" s="17">
        <v>2000</v>
      </c>
      <c r="L29" s="66">
        <v>482</v>
      </c>
      <c r="M29" s="52">
        <f t="shared" ca="1" si="3"/>
        <v>2.3285024154589373</v>
      </c>
      <c r="N29" s="50">
        <f t="shared" si="4"/>
        <v>0.92883099285538351</v>
      </c>
      <c r="O29" s="52">
        <f t="shared" si="5"/>
        <v>1.4695121951219512</v>
      </c>
      <c r="P29" s="56">
        <f t="shared" si="6"/>
        <v>120.5</v>
      </c>
      <c r="Q29" s="54">
        <f t="shared" si="7"/>
        <v>12.597510373443983</v>
      </c>
      <c r="R29" s="55">
        <f t="shared" si="8"/>
        <v>33.583959899749374</v>
      </c>
      <c r="S29" s="55">
        <f t="shared" si="9"/>
        <v>24.099999999999998</v>
      </c>
      <c r="T29" s="13">
        <f t="shared" si="10"/>
        <v>3</v>
      </c>
      <c r="U29" s="13">
        <f t="shared" si="0"/>
        <v>1</v>
      </c>
      <c r="V29" s="13">
        <f t="shared" si="11"/>
        <v>1</v>
      </c>
      <c r="W29" s="13">
        <f t="shared" ca="1" si="12"/>
        <v>3</v>
      </c>
      <c r="X29" s="13">
        <f t="shared" ca="1" si="13"/>
        <v>8</v>
      </c>
      <c r="Y29" s="61" t="str">
        <f t="shared" ca="1" si="14"/>
        <v>MONITOR</v>
      </c>
      <c r="Z29" s="51">
        <v>14</v>
      </c>
      <c r="AA29" s="53">
        <v>46059</v>
      </c>
      <c r="AB29" s="53">
        <f t="shared" si="15"/>
        <v>45920</v>
      </c>
      <c r="AC29" s="72">
        <f t="shared" si="16"/>
        <v>19.857142857142858</v>
      </c>
      <c r="AD29" s="67" t="str">
        <f t="shared" ca="1" si="17"/>
        <v>STABLE</v>
      </c>
      <c r="AE29" s="67" t="str">
        <f t="shared" si="18"/>
        <v>FAST SELLING</v>
      </c>
      <c r="AF29" s="67" t="str">
        <f t="shared" si="19"/>
        <v>AT RISK</v>
      </c>
      <c r="AG29" s="67" t="str">
        <f t="shared" si="20"/>
        <v>FEASIBLE</v>
      </c>
      <c r="AH29" s="73" t="str">
        <f t="shared" ca="1" si="21"/>
        <v>MONITOR</v>
      </c>
    </row>
    <row r="30" spans="1:34" x14ac:dyDescent="0.35">
      <c r="A30" s="25" t="s">
        <v>44</v>
      </c>
      <c r="B30" s="10" t="s">
        <v>320</v>
      </c>
      <c r="C30" s="10" t="s">
        <v>341</v>
      </c>
      <c r="D30" s="10" t="s">
        <v>346</v>
      </c>
      <c r="E30" s="11">
        <v>45948</v>
      </c>
      <c r="F30" s="17">
        <v>45892</v>
      </c>
      <c r="G30" s="14">
        <f t="shared" ca="1" si="1"/>
        <v>207</v>
      </c>
      <c r="H30" s="17">
        <v>399</v>
      </c>
      <c r="I30" s="17">
        <v>265</v>
      </c>
      <c r="J30" s="53">
        <f t="shared" si="2"/>
        <v>1142</v>
      </c>
      <c r="K30" s="17">
        <v>2000</v>
      </c>
      <c r="L30" s="66">
        <v>858</v>
      </c>
      <c r="M30" s="52">
        <f t="shared" ca="1" si="3"/>
        <v>4.1449275362318838</v>
      </c>
      <c r="N30" s="50">
        <f t="shared" si="4"/>
        <v>0.92883099285538351</v>
      </c>
      <c r="O30" s="52">
        <f t="shared" si="5"/>
        <v>2.6158536585365852</v>
      </c>
      <c r="P30" s="56">
        <f t="shared" si="6"/>
        <v>214.5</v>
      </c>
      <c r="Q30" s="54">
        <f t="shared" si="7"/>
        <v>5.3240093240093236</v>
      </c>
      <c r="R30" s="55">
        <f t="shared" si="8"/>
        <v>33.583959899749374</v>
      </c>
      <c r="S30" s="55">
        <f t="shared" si="9"/>
        <v>42.9</v>
      </c>
      <c r="T30" s="13">
        <f t="shared" si="10"/>
        <v>3</v>
      </c>
      <c r="U30" s="13">
        <f t="shared" si="0"/>
        <v>2</v>
      </c>
      <c r="V30" s="13">
        <f t="shared" si="11"/>
        <v>1</v>
      </c>
      <c r="W30" s="13">
        <f t="shared" ca="1" si="12"/>
        <v>3</v>
      </c>
      <c r="X30" s="13">
        <f t="shared" ca="1" si="13"/>
        <v>9</v>
      </c>
      <c r="Y30" s="61" t="str">
        <f t="shared" ca="1" si="14"/>
        <v>RE-BUY</v>
      </c>
      <c r="Z30" s="51">
        <v>14</v>
      </c>
      <c r="AA30" s="53">
        <v>46059</v>
      </c>
      <c r="AB30" s="53">
        <f t="shared" si="15"/>
        <v>45920</v>
      </c>
      <c r="AC30" s="72">
        <f t="shared" si="16"/>
        <v>19.857142857142858</v>
      </c>
      <c r="AD30" s="67" t="str">
        <f t="shared" ca="1" si="17"/>
        <v>STABLE</v>
      </c>
      <c r="AE30" s="67" t="str">
        <f t="shared" si="18"/>
        <v>FAST SELLING</v>
      </c>
      <c r="AF30" s="67" t="str">
        <f t="shared" si="19"/>
        <v>AT RISK</v>
      </c>
      <c r="AG30" s="67" t="str">
        <f t="shared" si="20"/>
        <v>FEASIBLE</v>
      </c>
      <c r="AH30" s="73" t="str">
        <f t="shared" ca="1" si="21"/>
        <v>IMMEDIATE REBUY</v>
      </c>
    </row>
    <row r="31" spans="1:34" x14ac:dyDescent="0.35">
      <c r="A31" s="25" t="s">
        <v>45</v>
      </c>
      <c r="B31" s="10" t="s">
        <v>320</v>
      </c>
      <c r="C31" s="10" t="s">
        <v>341</v>
      </c>
      <c r="D31" s="10" t="s">
        <v>346</v>
      </c>
      <c r="E31" s="11">
        <v>45878</v>
      </c>
      <c r="F31" s="17">
        <v>45892</v>
      </c>
      <c r="G31" s="14">
        <f t="shared" ca="1" si="1"/>
        <v>207</v>
      </c>
      <c r="H31" s="17">
        <v>399</v>
      </c>
      <c r="I31" s="17">
        <v>265</v>
      </c>
      <c r="J31" s="53">
        <f t="shared" si="2"/>
        <v>1642</v>
      </c>
      <c r="K31" s="17">
        <v>2000</v>
      </c>
      <c r="L31" s="66">
        <v>358</v>
      </c>
      <c r="M31" s="52">
        <f t="shared" ca="1" si="3"/>
        <v>1.7294685990338163</v>
      </c>
      <c r="N31" s="50">
        <f t="shared" si="4"/>
        <v>0.92883099285538351</v>
      </c>
      <c r="O31" s="52">
        <f t="shared" si="5"/>
        <v>1.0914634146341464</v>
      </c>
      <c r="P31" s="56">
        <f t="shared" si="6"/>
        <v>89.5</v>
      </c>
      <c r="Q31" s="54">
        <f t="shared" si="7"/>
        <v>18.346368715083798</v>
      </c>
      <c r="R31" s="55">
        <f t="shared" si="8"/>
        <v>33.583959899749374</v>
      </c>
      <c r="S31" s="55">
        <f t="shared" si="9"/>
        <v>17.899999999999999</v>
      </c>
      <c r="T31" s="13">
        <f t="shared" si="10"/>
        <v>3</v>
      </c>
      <c r="U31" s="13">
        <f t="shared" si="0"/>
        <v>1</v>
      </c>
      <c r="V31" s="13">
        <f t="shared" si="11"/>
        <v>1</v>
      </c>
      <c r="W31" s="13">
        <f t="shared" ca="1" si="12"/>
        <v>3</v>
      </c>
      <c r="X31" s="13">
        <f t="shared" ca="1" si="13"/>
        <v>8</v>
      </c>
      <c r="Y31" s="61" t="str">
        <f t="shared" ca="1" si="14"/>
        <v>MONITOR</v>
      </c>
      <c r="Z31" s="51">
        <v>14</v>
      </c>
      <c r="AA31" s="53">
        <v>46059</v>
      </c>
      <c r="AB31" s="53">
        <f t="shared" si="15"/>
        <v>45920</v>
      </c>
      <c r="AC31" s="72">
        <f t="shared" si="16"/>
        <v>19.857142857142858</v>
      </c>
      <c r="AD31" s="67" t="str">
        <f t="shared" ca="1" si="17"/>
        <v>STABLE</v>
      </c>
      <c r="AE31" s="67" t="str">
        <f t="shared" si="18"/>
        <v>FAST SELLING</v>
      </c>
      <c r="AF31" s="67" t="str">
        <f t="shared" si="19"/>
        <v>AT RISK</v>
      </c>
      <c r="AG31" s="67" t="str">
        <f t="shared" si="20"/>
        <v>FEASIBLE</v>
      </c>
      <c r="AH31" s="73" t="str">
        <f t="shared" ca="1" si="21"/>
        <v>MONITOR</v>
      </c>
    </row>
    <row r="32" spans="1:34" x14ac:dyDescent="0.35">
      <c r="A32" s="25" t="s">
        <v>46</v>
      </c>
      <c r="B32" s="10" t="s">
        <v>320</v>
      </c>
      <c r="C32" s="10" t="s">
        <v>341</v>
      </c>
      <c r="D32" s="10" t="s">
        <v>346</v>
      </c>
      <c r="E32" s="11">
        <v>45878</v>
      </c>
      <c r="F32" s="17">
        <v>45892</v>
      </c>
      <c r="G32" s="14">
        <f t="shared" ca="1" si="1"/>
        <v>207</v>
      </c>
      <c r="H32" s="17">
        <v>399</v>
      </c>
      <c r="I32" s="17">
        <v>265</v>
      </c>
      <c r="J32" s="53">
        <f t="shared" si="2"/>
        <v>1579</v>
      </c>
      <c r="K32" s="17">
        <v>2000</v>
      </c>
      <c r="L32" s="66">
        <v>421</v>
      </c>
      <c r="M32" s="52">
        <f t="shared" ca="1" si="3"/>
        <v>2.0338164251207731</v>
      </c>
      <c r="N32" s="50">
        <f t="shared" si="4"/>
        <v>0.92883099285538351</v>
      </c>
      <c r="O32" s="52">
        <f t="shared" si="5"/>
        <v>1.2835365853658536</v>
      </c>
      <c r="P32" s="56">
        <f t="shared" si="6"/>
        <v>105.25</v>
      </c>
      <c r="Q32" s="54">
        <f t="shared" si="7"/>
        <v>15.002375296912113</v>
      </c>
      <c r="R32" s="55">
        <f t="shared" si="8"/>
        <v>33.583959899749374</v>
      </c>
      <c r="S32" s="55">
        <f t="shared" si="9"/>
        <v>21.05</v>
      </c>
      <c r="T32" s="13">
        <f t="shared" si="10"/>
        <v>3</v>
      </c>
      <c r="U32" s="13">
        <f t="shared" si="0"/>
        <v>1</v>
      </c>
      <c r="V32" s="13">
        <f t="shared" si="11"/>
        <v>1</v>
      </c>
      <c r="W32" s="13">
        <f t="shared" ca="1" si="12"/>
        <v>3</v>
      </c>
      <c r="X32" s="13">
        <f t="shared" ca="1" si="13"/>
        <v>8</v>
      </c>
      <c r="Y32" s="61" t="str">
        <f t="shared" ca="1" si="14"/>
        <v>MONITOR</v>
      </c>
      <c r="Z32" s="51">
        <v>14</v>
      </c>
      <c r="AA32" s="53">
        <v>46059</v>
      </c>
      <c r="AB32" s="53">
        <f t="shared" si="15"/>
        <v>45920</v>
      </c>
      <c r="AC32" s="72">
        <f t="shared" si="16"/>
        <v>19.857142857142858</v>
      </c>
      <c r="AD32" s="67" t="str">
        <f t="shared" ca="1" si="17"/>
        <v>STABLE</v>
      </c>
      <c r="AE32" s="67" t="str">
        <f t="shared" si="18"/>
        <v>FAST SELLING</v>
      </c>
      <c r="AF32" s="67" t="str">
        <f t="shared" si="19"/>
        <v>AT RISK</v>
      </c>
      <c r="AG32" s="67" t="str">
        <f t="shared" si="20"/>
        <v>FEASIBLE</v>
      </c>
      <c r="AH32" s="73" t="str">
        <f t="shared" ca="1" si="21"/>
        <v>MONITOR</v>
      </c>
    </row>
    <row r="33" spans="1:34" x14ac:dyDescent="0.35">
      <c r="A33" s="25" t="s">
        <v>47</v>
      </c>
      <c r="B33" s="10" t="s">
        <v>320</v>
      </c>
      <c r="C33" s="10" t="s">
        <v>341</v>
      </c>
      <c r="D33" s="10" t="s">
        <v>346</v>
      </c>
      <c r="E33" s="11">
        <v>45927</v>
      </c>
      <c r="F33" s="17">
        <v>45892</v>
      </c>
      <c r="G33" s="14">
        <f t="shared" ca="1" si="1"/>
        <v>207</v>
      </c>
      <c r="H33" s="17">
        <v>399</v>
      </c>
      <c r="I33" s="17">
        <v>265</v>
      </c>
      <c r="J33" s="53">
        <f t="shared" si="2"/>
        <v>1446</v>
      </c>
      <c r="K33" s="17">
        <v>2000</v>
      </c>
      <c r="L33" s="66">
        <v>554</v>
      </c>
      <c r="M33" s="52">
        <f t="shared" ca="1" si="3"/>
        <v>2.6763285024154588</v>
      </c>
      <c r="N33" s="50">
        <f t="shared" si="4"/>
        <v>0.92883099285538351</v>
      </c>
      <c r="O33" s="52">
        <f t="shared" si="5"/>
        <v>1.6890243902439024</v>
      </c>
      <c r="P33" s="56">
        <f t="shared" si="6"/>
        <v>138.5</v>
      </c>
      <c r="Q33" s="54">
        <f t="shared" si="7"/>
        <v>10.440433212996389</v>
      </c>
      <c r="R33" s="55">
        <f t="shared" si="8"/>
        <v>33.583959899749374</v>
      </c>
      <c r="S33" s="55">
        <f t="shared" si="9"/>
        <v>27.700000000000003</v>
      </c>
      <c r="T33" s="13">
        <f t="shared" si="10"/>
        <v>3</v>
      </c>
      <c r="U33" s="13">
        <f t="shared" si="0"/>
        <v>1</v>
      </c>
      <c r="V33" s="13">
        <f t="shared" si="11"/>
        <v>1</v>
      </c>
      <c r="W33" s="13">
        <f t="shared" ca="1" si="12"/>
        <v>3</v>
      </c>
      <c r="X33" s="13">
        <f t="shared" ca="1" si="13"/>
        <v>8</v>
      </c>
      <c r="Y33" s="61" t="str">
        <f t="shared" ca="1" si="14"/>
        <v>MONITOR</v>
      </c>
      <c r="Z33" s="51">
        <v>14</v>
      </c>
      <c r="AA33" s="53">
        <v>46059</v>
      </c>
      <c r="AB33" s="53">
        <f t="shared" si="15"/>
        <v>45920</v>
      </c>
      <c r="AC33" s="72">
        <f t="shared" si="16"/>
        <v>19.857142857142858</v>
      </c>
      <c r="AD33" s="67" t="str">
        <f t="shared" ca="1" si="17"/>
        <v>STABLE</v>
      </c>
      <c r="AE33" s="67" t="str">
        <f t="shared" si="18"/>
        <v>FAST SELLING</v>
      </c>
      <c r="AF33" s="67" t="str">
        <f t="shared" si="19"/>
        <v>AT RISK</v>
      </c>
      <c r="AG33" s="67" t="str">
        <f t="shared" si="20"/>
        <v>FEASIBLE</v>
      </c>
      <c r="AH33" s="73" t="str">
        <f t="shared" ca="1" si="21"/>
        <v>MONITOR</v>
      </c>
    </row>
    <row r="34" spans="1:34" x14ac:dyDescent="0.35">
      <c r="A34" s="25" t="s">
        <v>48</v>
      </c>
      <c r="B34" s="10" t="s">
        <v>320</v>
      </c>
      <c r="C34" s="10" t="s">
        <v>341</v>
      </c>
      <c r="D34" s="10" t="s">
        <v>346</v>
      </c>
      <c r="E34" s="11">
        <v>45878</v>
      </c>
      <c r="F34" s="17">
        <v>45892</v>
      </c>
      <c r="G34" s="14">
        <f t="shared" ca="1" si="1"/>
        <v>207</v>
      </c>
      <c r="H34" s="17">
        <v>399</v>
      </c>
      <c r="I34" s="17">
        <v>265</v>
      </c>
      <c r="J34" s="53">
        <f t="shared" si="2"/>
        <v>1395</v>
      </c>
      <c r="K34" s="17">
        <v>2000</v>
      </c>
      <c r="L34" s="66">
        <v>605</v>
      </c>
      <c r="M34" s="52">
        <f t="shared" ca="1" si="3"/>
        <v>2.9227053140096619</v>
      </c>
      <c r="N34" s="50">
        <f t="shared" si="4"/>
        <v>0.92883099285538351</v>
      </c>
      <c r="O34" s="52">
        <f t="shared" si="5"/>
        <v>1.8445121951219512</v>
      </c>
      <c r="P34" s="56">
        <f t="shared" si="6"/>
        <v>151.25</v>
      </c>
      <c r="Q34" s="54">
        <f t="shared" si="7"/>
        <v>9.223140495867769</v>
      </c>
      <c r="R34" s="55">
        <f t="shared" si="8"/>
        <v>33.583959899749374</v>
      </c>
      <c r="S34" s="55">
        <f t="shared" si="9"/>
        <v>30.25</v>
      </c>
      <c r="T34" s="13">
        <f t="shared" si="10"/>
        <v>3</v>
      </c>
      <c r="U34" s="13">
        <f t="shared" si="0"/>
        <v>1</v>
      </c>
      <c r="V34" s="13">
        <f t="shared" si="11"/>
        <v>1</v>
      </c>
      <c r="W34" s="13">
        <f t="shared" ca="1" si="12"/>
        <v>3</v>
      </c>
      <c r="X34" s="13">
        <f t="shared" ca="1" si="13"/>
        <v>8</v>
      </c>
      <c r="Y34" s="61" t="str">
        <f t="shared" ca="1" si="14"/>
        <v>MONITOR</v>
      </c>
      <c r="Z34" s="51">
        <v>14</v>
      </c>
      <c r="AA34" s="53">
        <v>46059</v>
      </c>
      <c r="AB34" s="53">
        <f t="shared" si="15"/>
        <v>45920</v>
      </c>
      <c r="AC34" s="72">
        <f t="shared" si="16"/>
        <v>19.857142857142858</v>
      </c>
      <c r="AD34" s="67" t="str">
        <f t="shared" ca="1" si="17"/>
        <v>STABLE</v>
      </c>
      <c r="AE34" s="67" t="str">
        <f t="shared" si="18"/>
        <v>FAST SELLING</v>
      </c>
      <c r="AF34" s="67" t="str">
        <f t="shared" si="19"/>
        <v>AT RISK</v>
      </c>
      <c r="AG34" s="67" t="str">
        <f t="shared" si="20"/>
        <v>FEASIBLE</v>
      </c>
      <c r="AH34" s="73" t="str">
        <f t="shared" ca="1" si="21"/>
        <v>MONITOR</v>
      </c>
    </row>
    <row r="35" spans="1:34" x14ac:dyDescent="0.35">
      <c r="A35" s="25" t="s">
        <v>49</v>
      </c>
      <c r="B35" s="10" t="s">
        <v>320</v>
      </c>
      <c r="C35" s="10" t="s">
        <v>341</v>
      </c>
      <c r="D35" s="10" t="s">
        <v>346</v>
      </c>
      <c r="E35" s="11">
        <v>45927</v>
      </c>
      <c r="F35" s="17">
        <v>45892</v>
      </c>
      <c r="G35" s="14">
        <f t="shared" ca="1" si="1"/>
        <v>207</v>
      </c>
      <c r="H35" s="17">
        <v>399</v>
      </c>
      <c r="I35" s="17">
        <v>265</v>
      </c>
      <c r="J35" s="53">
        <f t="shared" si="2"/>
        <v>1402</v>
      </c>
      <c r="K35" s="17">
        <v>2200</v>
      </c>
      <c r="L35" s="66">
        <v>798</v>
      </c>
      <c r="M35" s="52">
        <f t="shared" ca="1" si="3"/>
        <v>3.8550724637681157</v>
      </c>
      <c r="N35" s="50">
        <f t="shared" si="4"/>
        <v>0.92883099285538351</v>
      </c>
      <c r="O35" s="52">
        <f t="shared" si="5"/>
        <v>2.4329268292682928</v>
      </c>
      <c r="P35" s="56">
        <f t="shared" si="6"/>
        <v>199.5</v>
      </c>
      <c r="Q35" s="54">
        <f t="shared" si="7"/>
        <v>7.0275689223057647</v>
      </c>
      <c r="R35" s="55">
        <f t="shared" si="8"/>
        <v>33.583959899749374</v>
      </c>
      <c r="S35" s="55">
        <f t="shared" si="9"/>
        <v>36.272727272727273</v>
      </c>
      <c r="T35" s="13">
        <f t="shared" si="10"/>
        <v>3</v>
      </c>
      <c r="U35" s="13">
        <f t="shared" si="0"/>
        <v>1</v>
      </c>
      <c r="V35" s="13">
        <f t="shared" si="11"/>
        <v>1</v>
      </c>
      <c r="W35" s="13">
        <f t="shared" ca="1" si="12"/>
        <v>3</v>
      </c>
      <c r="X35" s="13">
        <f t="shared" ca="1" si="13"/>
        <v>8</v>
      </c>
      <c r="Y35" s="61" t="str">
        <f t="shared" ca="1" si="14"/>
        <v>MONITOR</v>
      </c>
      <c r="Z35" s="51">
        <v>14</v>
      </c>
      <c r="AA35" s="53">
        <v>46059</v>
      </c>
      <c r="AB35" s="53">
        <f t="shared" si="15"/>
        <v>45920</v>
      </c>
      <c r="AC35" s="72">
        <f t="shared" si="16"/>
        <v>19.857142857142858</v>
      </c>
      <c r="AD35" s="67" t="str">
        <f t="shared" ca="1" si="17"/>
        <v>STABLE</v>
      </c>
      <c r="AE35" s="67" t="str">
        <f t="shared" si="18"/>
        <v>FAST SELLING</v>
      </c>
      <c r="AF35" s="67" t="str">
        <f t="shared" si="19"/>
        <v>AT RISK</v>
      </c>
      <c r="AG35" s="67" t="str">
        <f t="shared" si="20"/>
        <v>FEASIBLE</v>
      </c>
      <c r="AH35" s="73" t="str">
        <f t="shared" ca="1" si="21"/>
        <v>MONITOR</v>
      </c>
    </row>
    <row r="36" spans="1:34" x14ac:dyDescent="0.35">
      <c r="A36" s="25" t="s">
        <v>50</v>
      </c>
      <c r="B36" s="10" t="s">
        <v>320</v>
      </c>
      <c r="C36" s="10" t="s">
        <v>341</v>
      </c>
      <c r="D36" s="10" t="s">
        <v>346</v>
      </c>
      <c r="E36" s="11">
        <v>45976</v>
      </c>
      <c r="F36" s="17">
        <v>45892</v>
      </c>
      <c r="G36" s="14">
        <f t="shared" ca="1" si="1"/>
        <v>207</v>
      </c>
      <c r="H36" s="17">
        <v>399</v>
      </c>
      <c r="I36" s="17">
        <v>265</v>
      </c>
      <c r="J36" s="53">
        <f t="shared" si="2"/>
        <v>1538</v>
      </c>
      <c r="K36" s="17">
        <v>2000</v>
      </c>
      <c r="L36" s="66">
        <v>462</v>
      </c>
      <c r="M36" s="52">
        <f t="shared" ca="1" si="3"/>
        <v>2.2318840579710146</v>
      </c>
      <c r="N36" s="50">
        <f t="shared" si="4"/>
        <v>0.92883099285538351</v>
      </c>
      <c r="O36" s="52">
        <f t="shared" si="5"/>
        <v>1.4085365853658536</v>
      </c>
      <c r="P36" s="56">
        <f t="shared" si="6"/>
        <v>115.5</v>
      </c>
      <c r="Q36" s="54">
        <f t="shared" si="7"/>
        <v>13.316017316017316</v>
      </c>
      <c r="R36" s="55">
        <f t="shared" si="8"/>
        <v>33.583959899749374</v>
      </c>
      <c r="S36" s="55">
        <f t="shared" si="9"/>
        <v>23.1</v>
      </c>
      <c r="T36" s="13">
        <f t="shared" si="10"/>
        <v>3</v>
      </c>
      <c r="U36" s="13">
        <f t="shared" si="0"/>
        <v>1</v>
      </c>
      <c r="V36" s="13">
        <f t="shared" si="11"/>
        <v>1</v>
      </c>
      <c r="W36" s="13">
        <f t="shared" ca="1" si="12"/>
        <v>3</v>
      </c>
      <c r="X36" s="13">
        <f t="shared" ca="1" si="13"/>
        <v>8</v>
      </c>
      <c r="Y36" s="61" t="str">
        <f t="shared" ca="1" si="14"/>
        <v>MONITOR</v>
      </c>
      <c r="Z36" s="51">
        <v>14</v>
      </c>
      <c r="AA36" s="53">
        <v>46059</v>
      </c>
      <c r="AB36" s="53">
        <f t="shared" si="15"/>
        <v>45920</v>
      </c>
      <c r="AC36" s="72">
        <f t="shared" si="16"/>
        <v>19.857142857142858</v>
      </c>
      <c r="AD36" s="67" t="str">
        <f t="shared" ca="1" si="17"/>
        <v>STABLE</v>
      </c>
      <c r="AE36" s="67" t="str">
        <f t="shared" si="18"/>
        <v>FAST SELLING</v>
      </c>
      <c r="AF36" s="67" t="str">
        <f t="shared" si="19"/>
        <v>AT RISK</v>
      </c>
      <c r="AG36" s="67" t="str">
        <f t="shared" si="20"/>
        <v>FEASIBLE</v>
      </c>
      <c r="AH36" s="73" t="str">
        <f t="shared" ca="1" si="21"/>
        <v>MONITOR</v>
      </c>
    </row>
    <row r="37" spans="1:34" x14ac:dyDescent="0.35">
      <c r="A37" s="25" t="s">
        <v>51</v>
      </c>
      <c r="B37" s="10" t="s">
        <v>320</v>
      </c>
      <c r="C37" s="10" t="s">
        <v>341</v>
      </c>
      <c r="D37" s="10" t="s">
        <v>346</v>
      </c>
      <c r="E37" s="11">
        <v>45878</v>
      </c>
      <c r="F37" s="17">
        <v>45892</v>
      </c>
      <c r="G37" s="14">
        <f t="shared" ca="1" si="1"/>
        <v>207</v>
      </c>
      <c r="H37" s="17">
        <v>399</v>
      </c>
      <c r="I37" s="17">
        <v>265</v>
      </c>
      <c r="J37" s="53">
        <f t="shared" si="2"/>
        <v>1907</v>
      </c>
      <c r="K37" s="17">
        <v>2000</v>
      </c>
      <c r="L37" s="66">
        <v>93</v>
      </c>
      <c r="M37" s="52">
        <f t="shared" ca="1" si="3"/>
        <v>0.44927536231884058</v>
      </c>
      <c r="N37" s="50">
        <f t="shared" si="4"/>
        <v>0.92883099285538351</v>
      </c>
      <c r="O37" s="52">
        <f t="shared" si="5"/>
        <v>0.28353658536585363</v>
      </c>
      <c r="P37" s="56">
        <f t="shared" si="6"/>
        <v>23.249999999999996</v>
      </c>
      <c r="Q37" s="54">
        <f t="shared" si="7"/>
        <v>82.021505376344095</v>
      </c>
      <c r="R37" s="55">
        <f t="shared" si="8"/>
        <v>33.583959899749374</v>
      </c>
      <c r="S37" s="55">
        <f t="shared" si="9"/>
        <v>4.6500000000000004</v>
      </c>
      <c r="T37" s="13">
        <f t="shared" si="10"/>
        <v>1</v>
      </c>
      <c r="U37" s="13">
        <f t="shared" si="0"/>
        <v>1</v>
      </c>
      <c r="V37" s="13">
        <f t="shared" si="11"/>
        <v>1</v>
      </c>
      <c r="W37" s="13">
        <f t="shared" ca="1" si="12"/>
        <v>3</v>
      </c>
      <c r="X37" s="13">
        <f t="shared" ca="1" si="13"/>
        <v>6</v>
      </c>
      <c r="Y37" s="61" t="str">
        <f t="shared" ca="1" si="14"/>
        <v>MONITOR</v>
      </c>
      <c r="Z37" s="51">
        <v>14</v>
      </c>
      <c r="AA37" s="53">
        <v>46059</v>
      </c>
      <c r="AB37" s="53">
        <f t="shared" si="15"/>
        <v>45920</v>
      </c>
      <c r="AC37" s="72">
        <f t="shared" si="16"/>
        <v>19.857142857142858</v>
      </c>
      <c r="AD37" s="67" t="str">
        <f t="shared" ca="1" si="17"/>
        <v>STABLE</v>
      </c>
      <c r="AE37" s="67" t="str">
        <f t="shared" si="18"/>
        <v>SLOW SELLING</v>
      </c>
      <c r="AF37" s="67" t="str">
        <f t="shared" si="19"/>
        <v>AT RISK</v>
      </c>
      <c r="AG37" s="67" t="str">
        <f t="shared" si="20"/>
        <v>FEASIBLE</v>
      </c>
      <c r="AH37" s="73" t="str">
        <f t="shared" ca="1" si="21"/>
        <v>MONITOR</v>
      </c>
    </row>
    <row r="38" spans="1:34" x14ac:dyDescent="0.35">
      <c r="A38" s="25" t="s">
        <v>52</v>
      </c>
      <c r="B38" s="10" t="s">
        <v>320</v>
      </c>
      <c r="C38" s="10" t="s">
        <v>341</v>
      </c>
      <c r="D38" s="10" t="s">
        <v>346</v>
      </c>
      <c r="E38" s="11">
        <v>45906</v>
      </c>
      <c r="F38" s="17">
        <v>45892</v>
      </c>
      <c r="G38" s="14">
        <f t="shared" ca="1" si="1"/>
        <v>207</v>
      </c>
      <c r="H38" s="17">
        <v>399</v>
      </c>
      <c r="I38" s="17">
        <v>265</v>
      </c>
      <c r="J38" s="53">
        <f t="shared" si="2"/>
        <v>1542</v>
      </c>
      <c r="K38" s="17">
        <v>2200</v>
      </c>
      <c r="L38" s="66">
        <v>658</v>
      </c>
      <c r="M38" s="52">
        <f t="shared" ca="1" si="3"/>
        <v>3.1787439613526569</v>
      </c>
      <c r="N38" s="50">
        <f t="shared" si="4"/>
        <v>0.92883099285538351</v>
      </c>
      <c r="O38" s="52">
        <f t="shared" si="5"/>
        <v>2.0060975609756095</v>
      </c>
      <c r="P38" s="56">
        <f t="shared" si="6"/>
        <v>164.49999999999997</v>
      </c>
      <c r="Q38" s="54">
        <f t="shared" si="7"/>
        <v>9.373860182370823</v>
      </c>
      <c r="R38" s="55">
        <f t="shared" si="8"/>
        <v>33.583959899749374</v>
      </c>
      <c r="S38" s="55">
        <f t="shared" si="9"/>
        <v>29.909090909090907</v>
      </c>
      <c r="T38" s="13">
        <f t="shared" si="10"/>
        <v>3</v>
      </c>
      <c r="U38" s="13">
        <f t="shared" si="0"/>
        <v>1</v>
      </c>
      <c r="V38" s="13">
        <f t="shared" si="11"/>
        <v>1</v>
      </c>
      <c r="W38" s="13">
        <f t="shared" ca="1" si="12"/>
        <v>3</v>
      </c>
      <c r="X38" s="13">
        <f t="shared" ca="1" si="13"/>
        <v>8</v>
      </c>
      <c r="Y38" s="61" t="str">
        <f t="shared" ca="1" si="14"/>
        <v>MONITOR</v>
      </c>
      <c r="Z38" s="51">
        <v>14</v>
      </c>
      <c r="AA38" s="53">
        <v>46059</v>
      </c>
      <c r="AB38" s="53">
        <f t="shared" si="15"/>
        <v>45920</v>
      </c>
      <c r="AC38" s="72">
        <f t="shared" si="16"/>
        <v>19.857142857142858</v>
      </c>
      <c r="AD38" s="67" t="str">
        <f t="shared" ca="1" si="17"/>
        <v>STABLE</v>
      </c>
      <c r="AE38" s="67" t="str">
        <f t="shared" si="18"/>
        <v>FAST SELLING</v>
      </c>
      <c r="AF38" s="67" t="str">
        <f t="shared" si="19"/>
        <v>AT RISK</v>
      </c>
      <c r="AG38" s="67" t="str">
        <f t="shared" si="20"/>
        <v>FEASIBLE</v>
      </c>
      <c r="AH38" s="73" t="str">
        <f t="shared" ca="1" si="21"/>
        <v>MONITOR</v>
      </c>
    </row>
    <row r="39" spans="1:34" x14ac:dyDescent="0.35">
      <c r="A39" s="25" t="s">
        <v>53</v>
      </c>
      <c r="B39" s="10" t="s">
        <v>320</v>
      </c>
      <c r="C39" s="10" t="s">
        <v>341</v>
      </c>
      <c r="D39" s="10" t="s">
        <v>346</v>
      </c>
      <c r="E39" s="11">
        <v>45906</v>
      </c>
      <c r="F39" s="17">
        <v>45892</v>
      </c>
      <c r="G39" s="14">
        <f t="shared" ca="1" si="1"/>
        <v>207</v>
      </c>
      <c r="H39" s="17">
        <v>399</v>
      </c>
      <c r="I39" s="17">
        <v>265</v>
      </c>
      <c r="J39" s="53">
        <f t="shared" si="2"/>
        <v>966</v>
      </c>
      <c r="K39" s="17">
        <v>2000</v>
      </c>
      <c r="L39" s="66">
        <v>1034</v>
      </c>
      <c r="M39" s="52">
        <f t="shared" ca="1" si="3"/>
        <v>4.9951690821256038</v>
      </c>
      <c r="N39" s="50">
        <f t="shared" si="4"/>
        <v>0.92883099285538351</v>
      </c>
      <c r="O39" s="52">
        <f t="shared" si="5"/>
        <v>3.1524390243902438</v>
      </c>
      <c r="P39" s="56">
        <f t="shared" si="6"/>
        <v>258.5</v>
      </c>
      <c r="Q39" s="54">
        <f t="shared" si="7"/>
        <v>3.736943907156673</v>
      </c>
      <c r="R39" s="55">
        <f t="shared" si="8"/>
        <v>33.583959899749374</v>
      </c>
      <c r="S39" s="55">
        <f t="shared" si="9"/>
        <v>51.7</v>
      </c>
      <c r="T39" s="13">
        <f t="shared" si="10"/>
        <v>3</v>
      </c>
      <c r="U39" s="13">
        <f t="shared" si="0"/>
        <v>3</v>
      </c>
      <c r="V39" s="13">
        <f t="shared" si="11"/>
        <v>1</v>
      </c>
      <c r="W39" s="13">
        <f t="shared" ca="1" si="12"/>
        <v>3</v>
      </c>
      <c r="X39" s="13">
        <f t="shared" ca="1" si="13"/>
        <v>10</v>
      </c>
      <c r="Y39" s="61" t="str">
        <f t="shared" ca="1" si="14"/>
        <v>RE-BUY</v>
      </c>
      <c r="Z39" s="51">
        <v>14</v>
      </c>
      <c r="AA39" s="53">
        <v>46059</v>
      </c>
      <c r="AB39" s="53">
        <f t="shared" si="15"/>
        <v>45920</v>
      </c>
      <c r="AC39" s="72">
        <f t="shared" si="16"/>
        <v>19.857142857142858</v>
      </c>
      <c r="AD39" s="67" t="str">
        <f t="shared" ca="1" si="17"/>
        <v>STABLE</v>
      </c>
      <c r="AE39" s="67" t="str">
        <f t="shared" si="18"/>
        <v>FAST SELLING</v>
      </c>
      <c r="AF39" s="67" t="str">
        <f t="shared" si="19"/>
        <v>AT RISK</v>
      </c>
      <c r="AG39" s="67" t="str">
        <f t="shared" si="20"/>
        <v>FEASIBLE</v>
      </c>
      <c r="AH39" s="73" t="str">
        <f t="shared" ca="1" si="21"/>
        <v>IMMEDIATE REBUY</v>
      </c>
    </row>
    <row r="40" spans="1:34" x14ac:dyDescent="0.35">
      <c r="A40" s="25" t="s">
        <v>54</v>
      </c>
      <c r="B40" s="10" t="s">
        <v>320</v>
      </c>
      <c r="C40" s="10" t="s">
        <v>341</v>
      </c>
      <c r="D40" s="10" t="s">
        <v>346</v>
      </c>
      <c r="E40" s="11">
        <v>45906</v>
      </c>
      <c r="F40" s="17">
        <v>45892</v>
      </c>
      <c r="G40" s="14">
        <f t="shared" ca="1" si="1"/>
        <v>207</v>
      </c>
      <c r="H40" s="17">
        <v>399</v>
      </c>
      <c r="I40" s="17">
        <v>265</v>
      </c>
      <c r="J40" s="53">
        <f t="shared" si="2"/>
        <v>1426</v>
      </c>
      <c r="K40" s="17">
        <v>2200</v>
      </c>
      <c r="L40" s="66">
        <v>774</v>
      </c>
      <c r="M40" s="52">
        <f t="shared" ca="1" si="3"/>
        <v>3.7391304347826089</v>
      </c>
      <c r="N40" s="50">
        <f t="shared" si="4"/>
        <v>0.92883099285538351</v>
      </c>
      <c r="O40" s="52">
        <f t="shared" si="5"/>
        <v>2.3597560975609757</v>
      </c>
      <c r="P40" s="56">
        <f t="shared" si="6"/>
        <v>193.5</v>
      </c>
      <c r="Q40" s="54">
        <f t="shared" si="7"/>
        <v>7.3695090439276489</v>
      </c>
      <c r="R40" s="55">
        <f t="shared" si="8"/>
        <v>33.583959899749374</v>
      </c>
      <c r="S40" s="55">
        <f t="shared" si="9"/>
        <v>35.18181818181818</v>
      </c>
      <c r="T40" s="13">
        <f t="shared" si="10"/>
        <v>3</v>
      </c>
      <c r="U40" s="13">
        <f t="shared" si="0"/>
        <v>1</v>
      </c>
      <c r="V40" s="13">
        <f t="shared" si="11"/>
        <v>1</v>
      </c>
      <c r="W40" s="13">
        <f t="shared" ca="1" si="12"/>
        <v>3</v>
      </c>
      <c r="X40" s="13">
        <f t="shared" ca="1" si="13"/>
        <v>8</v>
      </c>
      <c r="Y40" s="61" t="str">
        <f t="shared" ca="1" si="14"/>
        <v>MONITOR</v>
      </c>
      <c r="Z40" s="51">
        <v>14</v>
      </c>
      <c r="AA40" s="53">
        <v>46059</v>
      </c>
      <c r="AB40" s="53">
        <f t="shared" si="15"/>
        <v>45920</v>
      </c>
      <c r="AC40" s="72">
        <f t="shared" si="16"/>
        <v>19.857142857142858</v>
      </c>
      <c r="AD40" s="67" t="str">
        <f t="shared" ca="1" si="17"/>
        <v>STABLE</v>
      </c>
      <c r="AE40" s="67" t="str">
        <f t="shared" si="18"/>
        <v>FAST SELLING</v>
      </c>
      <c r="AF40" s="67" t="str">
        <f t="shared" si="19"/>
        <v>AT RISK</v>
      </c>
      <c r="AG40" s="67" t="str">
        <f t="shared" si="20"/>
        <v>FEASIBLE</v>
      </c>
      <c r="AH40" s="73" t="str">
        <f t="shared" ca="1" si="21"/>
        <v>MONITOR</v>
      </c>
    </row>
    <row r="41" spans="1:34" x14ac:dyDescent="0.35">
      <c r="A41" s="25" t="s">
        <v>55</v>
      </c>
      <c r="B41" s="10" t="s">
        <v>320</v>
      </c>
      <c r="C41" s="10" t="s">
        <v>341</v>
      </c>
      <c r="D41" s="10" t="s">
        <v>346</v>
      </c>
      <c r="E41" s="11">
        <v>45906</v>
      </c>
      <c r="F41" s="17">
        <v>45892</v>
      </c>
      <c r="G41" s="14">
        <f t="shared" ca="1" si="1"/>
        <v>207</v>
      </c>
      <c r="H41" s="17">
        <v>399</v>
      </c>
      <c r="I41" s="17">
        <v>265</v>
      </c>
      <c r="J41" s="53">
        <f t="shared" si="2"/>
        <v>1606</v>
      </c>
      <c r="K41" s="17">
        <v>2200</v>
      </c>
      <c r="L41" s="66">
        <v>594</v>
      </c>
      <c r="M41" s="52">
        <f t="shared" ca="1" si="3"/>
        <v>2.8695652173913042</v>
      </c>
      <c r="N41" s="50">
        <f t="shared" si="4"/>
        <v>0.92883099285538351</v>
      </c>
      <c r="O41" s="52">
        <f t="shared" si="5"/>
        <v>1.8109756097560976</v>
      </c>
      <c r="P41" s="56">
        <f t="shared" si="6"/>
        <v>148.5</v>
      </c>
      <c r="Q41" s="54">
        <f t="shared" si="7"/>
        <v>10.814814814814815</v>
      </c>
      <c r="R41" s="55">
        <f t="shared" si="8"/>
        <v>33.583959899749374</v>
      </c>
      <c r="S41" s="55">
        <f t="shared" si="9"/>
        <v>27</v>
      </c>
      <c r="T41" s="13">
        <f t="shared" si="10"/>
        <v>3</v>
      </c>
      <c r="U41" s="13">
        <f t="shared" si="0"/>
        <v>1</v>
      </c>
      <c r="V41" s="13">
        <f t="shared" si="11"/>
        <v>1</v>
      </c>
      <c r="W41" s="13">
        <f t="shared" ca="1" si="12"/>
        <v>3</v>
      </c>
      <c r="X41" s="13">
        <f t="shared" ca="1" si="13"/>
        <v>8</v>
      </c>
      <c r="Y41" s="61" t="str">
        <f t="shared" ca="1" si="14"/>
        <v>MONITOR</v>
      </c>
      <c r="Z41" s="51">
        <v>14</v>
      </c>
      <c r="AA41" s="53">
        <v>46059</v>
      </c>
      <c r="AB41" s="53">
        <f t="shared" si="15"/>
        <v>45920</v>
      </c>
      <c r="AC41" s="72">
        <f t="shared" si="16"/>
        <v>19.857142857142858</v>
      </c>
      <c r="AD41" s="67" t="str">
        <f t="shared" ca="1" si="17"/>
        <v>STABLE</v>
      </c>
      <c r="AE41" s="67" t="str">
        <f t="shared" si="18"/>
        <v>FAST SELLING</v>
      </c>
      <c r="AF41" s="67" t="str">
        <f t="shared" si="19"/>
        <v>AT RISK</v>
      </c>
      <c r="AG41" s="67" t="str">
        <f t="shared" si="20"/>
        <v>FEASIBLE</v>
      </c>
      <c r="AH41" s="73" t="str">
        <f t="shared" ca="1" si="21"/>
        <v>MONITOR</v>
      </c>
    </row>
    <row r="42" spans="1:34" x14ac:dyDescent="0.35">
      <c r="A42" s="25" t="s">
        <v>56</v>
      </c>
      <c r="B42" s="10" t="s">
        <v>316</v>
      </c>
      <c r="C42" s="10" t="s">
        <v>341</v>
      </c>
      <c r="D42" s="10" t="s">
        <v>346</v>
      </c>
      <c r="E42" s="11">
        <v>45850</v>
      </c>
      <c r="F42" s="17">
        <v>45892</v>
      </c>
      <c r="G42" s="14">
        <f t="shared" ca="1" si="1"/>
        <v>207</v>
      </c>
      <c r="H42" s="17">
        <v>599</v>
      </c>
      <c r="I42" s="17">
        <v>317</v>
      </c>
      <c r="J42" s="53">
        <f t="shared" si="2"/>
        <v>1245</v>
      </c>
      <c r="K42" s="17">
        <v>1300</v>
      </c>
      <c r="L42" s="66">
        <v>55</v>
      </c>
      <c r="M42" s="52">
        <f t="shared" ca="1" si="3"/>
        <v>0.26570048309178745</v>
      </c>
      <c r="N42" s="50">
        <f t="shared" si="4"/>
        <v>0.92883099285538351</v>
      </c>
      <c r="O42" s="52">
        <f t="shared" si="5"/>
        <v>0.1676829268292683</v>
      </c>
      <c r="P42" s="56">
        <f t="shared" si="6"/>
        <v>13.75</v>
      </c>
      <c r="Q42" s="54">
        <f t="shared" si="7"/>
        <v>90.545454545454547</v>
      </c>
      <c r="R42" s="55">
        <f t="shared" si="8"/>
        <v>47.078464106844741</v>
      </c>
      <c r="S42" s="55">
        <f t="shared" si="9"/>
        <v>4.2307692307692308</v>
      </c>
      <c r="T42" s="13">
        <f t="shared" si="10"/>
        <v>1</v>
      </c>
      <c r="U42" s="13">
        <f t="shared" si="0"/>
        <v>1</v>
      </c>
      <c r="V42" s="13">
        <f t="shared" si="11"/>
        <v>2</v>
      </c>
      <c r="W42" s="13">
        <f t="shared" ca="1" si="12"/>
        <v>3</v>
      </c>
      <c r="X42" s="13">
        <f t="shared" ca="1" si="13"/>
        <v>7</v>
      </c>
      <c r="Y42" s="61" t="str">
        <f t="shared" ca="1" si="14"/>
        <v>MONITOR</v>
      </c>
      <c r="Z42" s="51">
        <v>14</v>
      </c>
      <c r="AA42" s="53">
        <v>46059</v>
      </c>
      <c r="AB42" s="53">
        <f t="shared" si="15"/>
        <v>45920</v>
      </c>
      <c r="AC42" s="72">
        <f t="shared" si="16"/>
        <v>19.857142857142858</v>
      </c>
      <c r="AD42" s="67" t="str">
        <f t="shared" ca="1" si="17"/>
        <v>STABLE</v>
      </c>
      <c r="AE42" s="67" t="str">
        <f t="shared" si="18"/>
        <v>SLOW SELLING</v>
      </c>
      <c r="AF42" s="67" t="str">
        <f t="shared" si="19"/>
        <v>AT RISK</v>
      </c>
      <c r="AG42" s="67" t="str">
        <f t="shared" si="20"/>
        <v>FEASIBLE</v>
      </c>
      <c r="AH42" s="73" t="str">
        <f t="shared" ca="1" si="21"/>
        <v>MONITOR</v>
      </c>
    </row>
    <row r="43" spans="1:34" x14ac:dyDescent="0.35">
      <c r="A43" s="25" t="s">
        <v>57</v>
      </c>
      <c r="B43" s="10" t="s">
        <v>316</v>
      </c>
      <c r="C43" s="10" t="s">
        <v>341</v>
      </c>
      <c r="D43" s="10" t="s">
        <v>346</v>
      </c>
      <c r="E43" s="11">
        <v>45850</v>
      </c>
      <c r="F43" s="17">
        <v>45892</v>
      </c>
      <c r="G43" s="14">
        <f t="shared" ca="1" si="1"/>
        <v>207</v>
      </c>
      <c r="H43" s="17">
        <v>599</v>
      </c>
      <c r="I43" s="17">
        <v>317</v>
      </c>
      <c r="J43" s="53">
        <f t="shared" si="2"/>
        <v>1224</v>
      </c>
      <c r="K43" s="17">
        <v>1300</v>
      </c>
      <c r="L43" s="66">
        <v>76</v>
      </c>
      <c r="M43" s="52">
        <f t="shared" ca="1" si="3"/>
        <v>0.3671497584541063</v>
      </c>
      <c r="N43" s="50">
        <f t="shared" si="4"/>
        <v>0.92883099285538351</v>
      </c>
      <c r="O43" s="52">
        <f t="shared" si="5"/>
        <v>0.23170731707317074</v>
      </c>
      <c r="P43" s="56">
        <f t="shared" si="6"/>
        <v>19</v>
      </c>
      <c r="Q43" s="54">
        <f t="shared" si="7"/>
        <v>64.421052631578945</v>
      </c>
      <c r="R43" s="55">
        <f t="shared" si="8"/>
        <v>47.078464106844741</v>
      </c>
      <c r="S43" s="55">
        <f t="shared" si="9"/>
        <v>5.8461538461538458</v>
      </c>
      <c r="T43" s="13">
        <f t="shared" si="10"/>
        <v>1</v>
      </c>
      <c r="U43" s="13">
        <f t="shared" si="0"/>
        <v>1</v>
      </c>
      <c r="V43" s="13">
        <f t="shared" si="11"/>
        <v>2</v>
      </c>
      <c r="W43" s="13">
        <f t="shared" ca="1" si="12"/>
        <v>3</v>
      </c>
      <c r="X43" s="13">
        <f t="shared" ca="1" si="13"/>
        <v>7</v>
      </c>
      <c r="Y43" s="61" t="str">
        <f t="shared" ca="1" si="14"/>
        <v>MONITOR</v>
      </c>
      <c r="Z43" s="51">
        <v>14</v>
      </c>
      <c r="AA43" s="53">
        <v>46059</v>
      </c>
      <c r="AB43" s="53">
        <f t="shared" si="15"/>
        <v>45920</v>
      </c>
      <c r="AC43" s="72">
        <f t="shared" si="16"/>
        <v>19.857142857142858</v>
      </c>
      <c r="AD43" s="67" t="str">
        <f t="shared" ca="1" si="17"/>
        <v>STABLE</v>
      </c>
      <c r="AE43" s="67" t="str">
        <f t="shared" si="18"/>
        <v>SLOW SELLING</v>
      </c>
      <c r="AF43" s="67" t="str">
        <f t="shared" si="19"/>
        <v>AT RISK</v>
      </c>
      <c r="AG43" s="67" t="str">
        <f t="shared" si="20"/>
        <v>FEASIBLE</v>
      </c>
      <c r="AH43" s="73" t="str">
        <f t="shared" ca="1" si="21"/>
        <v>MONITOR</v>
      </c>
    </row>
    <row r="44" spans="1:34" x14ac:dyDescent="0.35">
      <c r="A44" s="25" t="s">
        <v>58</v>
      </c>
      <c r="B44" s="10" t="s">
        <v>316</v>
      </c>
      <c r="C44" s="10" t="s">
        <v>341</v>
      </c>
      <c r="D44" s="10" t="s">
        <v>346</v>
      </c>
      <c r="E44" s="11">
        <v>45850</v>
      </c>
      <c r="F44" s="17">
        <v>45892</v>
      </c>
      <c r="G44" s="14">
        <f t="shared" ca="1" si="1"/>
        <v>207</v>
      </c>
      <c r="H44" s="17">
        <v>599</v>
      </c>
      <c r="I44" s="17">
        <v>317</v>
      </c>
      <c r="J44" s="53">
        <f t="shared" si="2"/>
        <v>1430</v>
      </c>
      <c r="K44" s="17">
        <v>1500</v>
      </c>
      <c r="L44" s="66">
        <v>70</v>
      </c>
      <c r="M44" s="52">
        <f t="shared" ca="1" si="3"/>
        <v>0.33816425120772947</v>
      </c>
      <c r="N44" s="50">
        <f t="shared" si="4"/>
        <v>0.92883099285538351</v>
      </c>
      <c r="O44" s="52">
        <f t="shared" si="5"/>
        <v>0.21341463414634146</v>
      </c>
      <c r="P44" s="56">
        <f t="shared" si="6"/>
        <v>17.5</v>
      </c>
      <c r="Q44" s="54">
        <f t="shared" si="7"/>
        <v>81.714285714285708</v>
      </c>
      <c r="R44" s="55">
        <f t="shared" si="8"/>
        <v>47.078464106844741</v>
      </c>
      <c r="S44" s="55">
        <f t="shared" si="9"/>
        <v>4.666666666666667</v>
      </c>
      <c r="T44" s="13">
        <f t="shared" si="10"/>
        <v>1</v>
      </c>
      <c r="U44" s="13">
        <f t="shared" si="0"/>
        <v>1</v>
      </c>
      <c r="V44" s="13">
        <f t="shared" si="11"/>
        <v>2</v>
      </c>
      <c r="W44" s="13">
        <f t="shared" ca="1" si="12"/>
        <v>3</v>
      </c>
      <c r="X44" s="13">
        <f t="shared" ca="1" si="13"/>
        <v>7</v>
      </c>
      <c r="Y44" s="61" t="str">
        <f t="shared" ca="1" si="14"/>
        <v>MONITOR</v>
      </c>
      <c r="Z44" s="51">
        <v>14</v>
      </c>
      <c r="AA44" s="53">
        <v>46059</v>
      </c>
      <c r="AB44" s="53">
        <f t="shared" si="15"/>
        <v>45920</v>
      </c>
      <c r="AC44" s="72">
        <f t="shared" si="16"/>
        <v>19.857142857142858</v>
      </c>
      <c r="AD44" s="67" t="str">
        <f t="shared" ca="1" si="17"/>
        <v>STABLE</v>
      </c>
      <c r="AE44" s="67" t="str">
        <f t="shared" si="18"/>
        <v>SLOW SELLING</v>
      </c>
      <c r="AF44" s="67" t="str">
        <f t="shared" si="19"/>
        <v>AT RISK</v>
      </c>
      <c r="AG44" s="67" t="str">
        <f t="shared" si="20"/>
        <v>FEASIBLE</v>
      </c>
      <c r="AH44" s="73" t="str">
        <f t="shared" ca="1" si="21"/>
        <v>MONITOR</v>
      </c>
    </row>
    <row r="45" spans="1:34" x14ac:dyDescent="0.35">
      <c r="A45" s="25" t="s">
        <v>59</v>
      </c>
      <c r="B45" s="10" t="s">
        <v>316</v>
      </c>
      <c r="C45" s="10" t="s">
        <v>341</v>
      </c>
      <c r="D45" s="10" t="s">
        <v>346</v>
      </c>
      <c r="E45" s="11">
        <v>45850</v>
      </c>
      <c r="F45" s="17">
        <v>45892</v>
      </c>
      <c r="G45" s="14">
        <f t="shared" ca="1" si="1"/>
        <v>207</v>
      </c>
      <c r="H45" s="17">
        <v>599</v>
      </c>
      <c r="I45" s="17">
        <v>317</v>
      </c>
      <c r="J45" s="53">
        <f t="shared" si="2"/>
        <v>1480</v>
      </c>
      <c r="K45" s="17">
        <v>1500</v>
      </c>
      <c r="L45" s="66">
        <v>20</v>
      </c>
      <c r="M45" s="52">
        <f t="shared" ca="1" si="3"/>
        <v>9.6618357487922704E-2</v>
      </c>
      <c r="N45" s="50">
        <f t="shared" si="4"/>
        <v>0.92883099285538351</v>
      </c>
      <c r="O45" s="52">
        <f t="shared" si="5"/>
        <v>6.097560975609756E-2</v>
      </c>
      <c r="P45" s="56">
        <f t="shared" si="6"/>
        <v>5</v>
      </c>
      <c r="Q45" s="54">
        <f t="shared" si="7"/>
        <v>296</v>
      </c>
      <c r="R45" s="55">
        <f t="shared" si="8"/>
        <v>47.078464106844741</v>
      </c>
      <c r="S45" s="55">
        <f t="shared" si="9"/>
        <v>1.3333333333333335</v>
      </c>
      <c r="T45" s="13">
        <f t="shared" si="10"/>
        <v>1</v>
      </c>
      <c r="U45" s="13">
        <f t="shared" si="0"/>
        <v>1</v>
      </c>
      <c r="V45" s="13">
        <f t="shared" si="11"/>
        <v>2</v>
      </c>
      <c r="W45" s="13">
        <f t="shared" ca="1" si="12"/>
        <v>3</v>
      </c>
      <c r="X45" s="13">
        <f t="shared" ca="1" si="13"/>
        <v>7</v>
      </c>
      <c r="Y45" s="61" t="str">
        <f t="shared" ca="1" si="14"/>
        <v>MONITOR</v>
      </c>
      <c r="Z45" s="51">
        <v>14</v>
      </c>
      <c r="AA45" s="53">
        <v>46059</v>
      </c>
      <c r="AB45" s="53">
        <f t="shared" si="15"/>
        <v>45920</v>
      </c>
      <c r="AC45" s="72">
        <f t="shared" si="16"/>
        <v>19.857142857142858</v>
      </c>
      <c r="AD45" s="67" t="str">
        <f t="shared" ca="1" si="17"/>
        <v>STABLE</v>
      </c>
      <c r="AE45" s="67" t="str">
        <f t="shared" si="18"/>
        <v>SLOW SELLING</v>
      </c>
      <c r="AF45" s="67" t="str">
        <f t="shared" si="19"/>
        <v>AT RISK</v>
      </c>
      <c r="AG45" s="67" t="str">
        <f t="shared" si="20"/>
        <v>FEASIBLE</v>
      </c>
      <c r="AH45" s="73" t="str">
        <f t="shared" ca="1" si="21"/>
        <v>MONITOR</v>
      </c>
    </row>
    <row r="46" spans="1:34" x14ac:dyDescent="0.35">
      <c r="A46" s="25" t="s">
        <v>60</v>
      </c>
      <c r="B46" s="10" t="s">
        <v>316</v>
      </c>
      <c r="C46" s="10" t="s">
        <v>341</v>
      </c>
      <c r="D46" s="10" t="s">
        <v>346</v>
      </c>
      <c r="E46" s="11">
        <v>45878</v>
      </c>
      <c r="F46" s="17">
        <v>45892</v>
      </c>
      <c r="G46" s="14">
        <f t="shared" ca="1" si="1"/>
        <v>207</v>
      </c>
      <c r="H46" s="17">
        <v>599</v>
      </c>
      <c r="I46" s="17">
        <v>317</v>
      </c>
      <c r="J46" s="53">
        <f t="shared" si="2"/>
        <v>821</v>
      </c>
      <c r="K46" s="17">
        <v>1100</v>
      </c>
      <c r="L46" s="66">
        <v>279</v>
      </c>
      <c r="M46" s="52">
        <f t="shared" ca="1" si="3"/>
        <v>1.3478260869565217</v>
      </c>
      <c r="N46" s="50">
        <f t="shared" si="4"/>
        <v>0.92883099285538351</v>
      </c>
      <c r="O46" s="52">
        <f t="shared" si="5"/>
        <v>0.85060975609756095</v>
      </c>
      <c r="P46" s="56">
        <f t="shared" si="6"/>
        <v>69.75</v>
      </c>
      <c r="Q46" s="54">
        <f t="shared" si="7"/>
        <v>11.770609318996415</v>
      </c>
      <c r="R46" s="55">
        <f t="shared" si="8"/>
        <v>47.078464106844741</v>
      </c>
      <c r="S46" s="55">
        <f t="shared" si="9"/>
        <v>25.363636363636367</v>
      </c>
      <c r="T46" s="13">
        <f t="shared" si="10"/>
        <v>2</v>
      </c>
      <c r="U46" s="13">
        <f t="shared" si="0"/>
        <v>1</v>
      </c>
      <c r="V46" s="13">
        <f t="shared" si="11"/>
        <v>2</v>
      </c>
      <c r="W46" s="13">
        <f t="shared" ca="1" si="12"/>
        <v>3</v>
      </c>
      <c r="X46" s="13">
        <f t="shared" ca="1" si="13"/>
        <v>8</v>
      </c>
      <c r="Y46" s="61" t="str">
        <f t="shared" ca="1" si="14"/>
        <v>MONITOR</v>
      </c>
      <c r="Z46" s="51">
        <v>14</v>
      </c>
      <c r="AA46" s="53">
        <v>46059</v>
      </c>
      <c r="AB46" s="53">
        <f t="shared" si="15"/>
        <v>45920</v>
      </c>
      <c r="AC46" s="72">
        <f t="shared" si="16"/>
        <v>19.857142857142858</v>
      </c>
      <c r="AD46" s="67" t="str">
        <f t="shared" ca="1" si="17"/>
        <v>STABLE</v>
      </c>
      <c r="AE46" s="67" t="str">
        <f t="shared" si="18"/>
        <v>SLOW SELLING</v>
      </c>
      <c r="AF46" s="67" t="str">
        <f t="shared" si="19"/>
        <v>AT RISK</v>
      </c>
      <c r="AG46" s="67" t="str">
        <f t="shared" si="20"/>
        <v>FEASIBLE</v>
      </c>
      <c r="AH46" s="73" t="str">
        <f t="shared" ca="1" si="21"/>
        <v>MONITOR</v>
      </c>
    </row>
    <row r="47" spans="1:34" x14ac:dyDescent="0.35">
      <c r="A47" s="25" t="s">
        <v>61</v>
      </c>
      <c r="B47" s="10" t="s">
        <v>316</v>
      </c>
      <c r="C47" s="10" t="s">
        <v>341</v>
      </c>
      <c r="D47" s="10" t="s">
        <v>346</v>
      </c>
      <c r="E47" s="11">
        <v>45878</v>
      </c>
      <c r="F47" s="17">
        <v>45892</v>
      </c>
      <c r="G47" s="14">
        <f t="shared" ca="1" si="1"/>
        <v>207</v>
      </c>
      <c r="H47" s="17">
        <v>599</v>
      </c>
      <c r="I47" s="17">
        <v>317</v>
      </c>
      <c r="J47" s="53">
        <f t="shared" si="2"/>
        <v>975</v>
      </c>
      <c r="K47" s="17">
        <v>1100</v>
      </c>
      <c r="L47" s="66">
        <v>125</v>
      </c>
      <c r="M47" s="52">
        <f t="shared" ca="1" si="3"/>
        <v>0.60386473429951693</v>
      </c>
      <c r="N47" s="50">
        <f t="shared" si="4"/>
        <v>0.92883099285538351</v>
      </c>
      <c r="O47" s="52">
        <f t="shared" si="5"/>
        <v>0.38109756097560976</v>
      </c>
      <c r="P47" s="56">
        <f t="shared" si="6"/>
        <v>31.25</v>
      </c>
      <c r="Q47" s="54">
        <f t="shared" si="7"/>
        <v>31.2</v>
      </c>
      <c r="R47" s="55">
        <f t="shared" si="8"/>
        <v>47.078464106844741</v>
      </c>
      <c r="S47" s="55">
        <f t="shared" si="9"/>
        <v>11.363636363636363</v>
      </c>
      <c r="T47" s="13">
        <f t="shared" si="10"/>
        <v>1</v>
      </c>
      <c r="U47" s="13">
        <f t="shared" si="0"/>
        <v>1</v>
      </c>
      <c r="V47" s="13">
        <f t="shared" si="11"/>
        <v>2</v>
      </c>
      <c r="W47" s="13">
        <f t="shared" ca="1" si="12"/>
        <v>3</v>
      </c>
      <c r="X47" s="13">
        <f t="shared" ca="1" si="13"/>
        <v>7</v>
      </c>
      <c r="Y47" s="61" t="str">
        <f t="shared" ca="1" si="14"/>
        <v>MONITOR</v>
      </c>
      <c r="Z47" s="51">
        <v>14</v>
      </c>
      <c r="AA47" s="53">
        <v>46059</v>
      </c>
      <c r="AB47" s="53">
        <f t="shared" si="15"/>
        <v>45920</v>
      </c>
      <c r="AC47" s="72">
        <f t="shared" si="16"/>
        <v>19.857142857142858</v>
      </c>
      <c r="AD47" s="67" t="str">
        <f t="shared" ca="1" si="17"/>
        <v>STABLE</v>
      </c>
      <c r="AE47" s="67" t="str">
        <f t="shared" si="18"/>
        <v>SLOW SELLING</v>
      </c>
      <c r="AF47" s="67" t="str">
        <f t="shared" si="19"/>
        <v>AT RISK</v>
      </c>
      <c r="AG47" s="67" t="str">
        <f t="shared" si="20"/>
        <v>FEASIBLE</v>
      </c>
      <c r="AH47" s="73" t="str">
        <f t="shared" ca="1" si="21"/>
        <v>MONITOR</v>
      </c>
    </row>
    <row r="48" spans="1:34" x14ac:dyDescent="0.35">
      <c r="A48" s="25" t="s">
        <v>62</v>
      </c>
      <c r="B48" s="10" t="s">
        <v>316</v>
      </c>
      <c r="C48" s="10" t="s">
        <v>341</v>
      </c>
      <c r="D48" s="10" t="s">
        <v>346</v>
      </c>
      <c r="E48" s="11">
        <v>45976</v>
      </c>
      <c r="F48" s="17">
        <v>45892</v>
      </c>
      <c r="G48" s="14">
        <f t="shared" ca="1" si="1"/>
        <v>207</v>
      </c>
      <c r="H48" s="17">
        <v>799</v>
      </c>
      <c r="I48" s="17">
        <v>455</v>
      </c>
      <c r="J48" s="53">
        <f t="shared" si="2"/>
        <v>594</v>
      </c>
      <c r="K48" s="17">
        <v>750</v>
      </c>
      <c r="L48" s="66">
        <v>156</v>
      </c>
      <c r="M48" s="52">
        <f t="shared" ca="1" si="3"/>
        <v>0.75362318840579712</v>
      </c>
      <c r="N48" s="50">
        <f t="shared" si="4"/>
        <v>0.92883099285538351</v>
      </c>
      <c r="O48" s="52">
        <f t="shared" si="5"/>
        <v>0.47560975609756095</v>
      </c>
      <c r="P48" s="56">
        <f t="shared" si="6"/>
        <v>39</v>
      </c>
      <c r="Q48" s="54">
        <f t="shared" si="7"/>
        <v>15.23076923076923</v>
      </c>
      <c r="R48" s="55">
        <f t="shared" si="8"/>
        <v>43.053817271589487</v>
      </c>
      <c r="S48" s="55">
        <f t="shared" si="9"/>
        <v>20.8</v>
      </c>
      <c r="T48" s="13">
        <f t="shared" si="10"/>
        <v>1</v>
      </c>
      <c r="U48" s="13">
        <f t="shared" si="0"/>
        <v>1</v>
      </c>
      <c r="V48" s="13">
        <f t="shared" si="11"/>
        <v>1</v>
      </c>
      <c r="W48" s="13">
        <f t="shared" ca="1" si="12"/>
        <v>3</v>
      </c>
      <c r="X48" s="13">
        <f t="shared" ca="1" si="13"/>
        <v>6</v>
      </c>
      <c r="Y48" s="61" t="str">
        <f t="shared" ca="1" si="14"/>
        <v>MONITOR</v>
      </c>
      <c r="Z48" s="51">
        <v>14</v>
      </c>
      <c r="AA48" s="53">
        <v>46059</v>
      </c>
      <c r="AB48" s="53">
        <f t="shared" si="15"/>
        <v>45920</v>
      </c>
      <c r="AC48" s="72">
        <f t="shared" si="16"/>
        <v>19.857142857142858</v>
      </c>
      <c r="AD48" s="67" t="str">
        <f t="shared" ca="1" si="17"/>
        <v>STABLE</v>
      </c>
      <c r="AE48" s="67" t="str">
        <f t="shared" si="18"/>
        <v>SLOW SELLING</v>
      </c>
      <c r="AF48" s="67" t="str">
        <f t="shared" si="19"/>
        <v>AT RISK</v>
      </c>
      <c r="AG48" s="67" t="str">
        <f t="shared" si="20"/>
        <v>FEASIBLE</v>
      </c>
      <c r="AH48" s="73" t="str">
        <f t="shared" ca="1" si="21"/>
        <v>MONITOR</v>
      </c>
    </row>
    <row r="49" spans="1:34" x14ac:dyDescent="0.35">
      <c r="A49" s="25" t="s">
        <v>63</v>
      </c>
      <c r="B49" s="10" t="s">
        <v>316</v>
      </c>
      <c r="C49" s="10" t="s">
        <v>341</v>
      </c>
      <c r="D49" s="10" t="s">
        <v>346</v>
      </c>
      <c r="E49" s="11">
        <v>45878</v>
      </c>
      <c r="F49" s="17">
        <v>45892</v>
      </c>
      <c r="G49" s="14">
        <f t="shared" ca="1" si="1"/>
        <v>207</v>
      </c>
      <c r="H49" s="17">
        <v>599</v>
      </c>
      <c r="I49" s="17">
        <v>317</v>
      </c>
      <c r="J49" s="53">
        <f t="shared" si="2"/>
        <v>912</v>
      </c>
      <c r="K49" s="17">
        <v>1200</v>
      </c>
      <c r="L49" s="66">
        <v>288</v>
      </c>
      <c r="M49" s="52">
        <f t="shared" ca="1" si="3"/>
        <v>1.3913043478260869</v>
      </c>
      <c r="N49" s="50">
        <f t="shared" si="4"/>
        <v>0.92883099285538351</v>
      </c>
      <c r="O49" s="52">
        <f t="shared" si="5"/>
        <v>0.87804878048780488</v>
      </c>
      <c r="P49" s="56">
        <f t="shared" si="6"/>
        <v>72</v>
      </c>
      <c r="Q49" s="54">
        <f t="shared" si="7"/>
        <v>12.666666666666666</v>
      </c>
      <c r="R49" s="55">
        <f t="shared" si="8"/>
        <v>47.078464106844741</v>
      </c>
      <c r="S49" s="55">
        <f t="shared" si="9"/>
        <v>24</v>
      </c>
      <c r="T49" s="13">
        <f t="shared" si="10"/>
        <v>2</v>
      </c>
      <c r="U49" s="13">
        <f t="shared" si="0"/>
        <v>1</v>
      </c>
      <c r="V49" s="13">
        <f t="shared" si="11"/>
        <v>2</v>
      </c>
      <c r="W49" s="13">
        <f t="shared" ca="1" si="12"/>
        <v>3</v>
      </c>
      <c r="X49" s="13">
        <f t="shared" ca="1" si="13"/>
        <v>8</v>
      </c>
      <c r="Y49" s="61" t="str">
        <f t="shared" ca="1" si="14"/>
        <v>MONITOR</v>
      </c>
      <c r="Z49" s="51">
        <v>14</v>
      </c>
      <c r="AA49" s="53">
        <v>46059</v>
      </c>
      <c r="AB49" s="53">
        <f t="shared" si="15"/>
        <v>45920</v>
      </c>
      <c r="AC49" s="72">
        <f t="shared" si="16"/>
        <v>19.857142857142858</v>
      </c>
      <c r="AD49" s="67" t="str">
        <f t="shared" ca="1" si="17"/>
        <v>STABLE</v>
      </c>
      <c r="AE49" s="67" t="str">
        <f t="shared" si="18"/>
        <v>SLOW SELLING</v>
      </c>
      <c r="AF49" s="67" t="str">
        <f t="shared" si="19"/>
        <v>AT RISK</v>
      </c>
      <c r="AG49" s="67" t="str">
        <f t="shared" si="20"/>
        <v>FEASIBLE</v>
      </c>
      <c r="AH49" s="73" t="str">
        <f t="shared" ca="1" si="21"/>
        <v>MONITOR</v>
      </c>
    </row>
    <row r="50" spans="1:34" x14ac:dyDescent="0.35">
      <c r="A50" s="25" t="s">
        <v>64</v>
      </c>
      <c r="B50" s="10" t="s">
        <v>316</v>
      </c>
      <c r="C50" s="10" t="s">
        <v>341</v>
      </c>
      <c r="D50" s="10" t="s">
        <v>346</v>
      </c>
      <c r="E50" s="11">
        <v>45906</v>
      </c>
      <c r="F50" s="17">
        <v>45892</v>
      </c>
      <c r="G50" s="14">
        <f t="shared" ca="1" si="1"/>
        <v>207</v>
      </c>
      <c r="H50" s="17">
        <v>599</v>
      </c>
      <c r="I50" s="17">
        <v>317</v>
      </c>
      <c r="J50" s="53">
        <f t="shared" si="2"/>
        <v>806</v>
      </c>
      <c r="K50" s="17">
        <v>1000</v>
      </c>
      <c r="L50" s="66">
        <v>194</v>
      </c>
      <c r="M50" s="52">
        <f t="shared" ca="1" si="3"/>
        <v>0.9371980676328503</v>
      </c>
      <c r="N50" s="50">
        <f t="shared" si="4"/>
        <v>0.92883099285538351</v>
      </c>
      <c r="O50" s="52">
        <f t="shared" si="5"/>
        <v>0.59146341463414631</v>
      </c>
      <c r="P50" s="56">
        <f t="shared" si="6"/>
        <v>48.5</v>
      </c>
      <c r="Q50" s="54">
        <f t="shared" si="7"/>
        <v>16.618556701030929</v>
      </c>
      <c r="R50" s="55">
        <f t="shared" si="8"/>
        <v>47.078464106844741</v>
      </c>
      <c r="S50" s="55">
        <f t="shared" si="9"/>
        <v>19.400000000000002</v>
      </c>
      <c r="T50" s="13">
        <f t="shared" si="10"/>
        <v>1</v>
      </c>
      <c r="U50" s="13">
        <f t="shared" si="0"/>
        <v>1</v>
      </c>
      <c r="V50" s="13">
        <f t="shared" si="11"/>
        <v>2</v>
      </c>
      <c r="W50" s="13">
        <f t="shared" ca="1" si="12"/>
        <v>3</v>
      </c>
      <c r="X50" s="13">
        <f t="shared" ca="1" si="13"/>
        <v>7</v>
      </c>
      <c r="Y50" s="61" t="str">
        <f t="shared" ca="1" si="14"/>
        <v>MONITOR</v>
      </c>
      <c r="Z50" s="51">
        <v>14</v>
      </c>
      <c r="AA50" s="53">
        <v>46059</v>
      </c>
      <c r="AB50" s="53">
        <f t="shared" si="15"/>
        <v>45920</v>
      </c>
      <c r="AC50" s="72">
        <f t="shared" si="16"/>
        <v>19.857142857142858</v>
      </c>
      <c r="AD50" s="67" t="str">
        <f t="shared" ca="1" si="17"/>
        <v>STABLE</v>
      </c>
      <c r="AE50" s="67" t="str">
        <f t="shared" si="18"/>
        <v>SLOW SELLING</v>
      </c>
      <c r="AF50" s="67" t="str">
        <f t="shared" si="19"/>
        <v>AT RISK</v>
      </c>
      <c r="AG50" s="67" t="str">
        <f t="shared" si="20"/>
        <v>FEASIBLE</v>
      </c>
      <c r="AH50" s="73" t="str">
        <f t="shared" ca="1" si="21"/>
        <v>MONITOR</v>
      </c>
    </row>
    <row r="51" spans="1:34" x14ac:dyDescent="0.35">
      <c r="A51" s="25" t="s">
        <v>65</v>
      </c>
      <c r="B51" s="10" t="s">
        <v>316</v>
      </c>
      <c r="C51" s="10" t="s">
        <v>341</v>
      </c>
      <c r="D51" s="10" t="s">
        <v>346</v>
      </c>
      <c r="E51" s="11">
        <v>45906</v>
      </c>
      <c r="F51" s="17">
        <v>45892</v>
      </c>
      <c r="G51" s="14">
        <f t="shared" ca="1" si="1"/>
        <v>207</v>
      </c>
      <c r="H51" s="17">
        <v>599</v>
      </c>
      <c r="I51" s="17">
        <v>317</v>
      </c>
      <c r="J51" s="53">
        <f t="shared" si="2"/>
        <v>823</v>
      </c>
      <c r="K51" s="17">
        <v>1100</v>
      </c>
      <c r="L51" s="66">
        <v>277</v>
      </c>
      <c r="M51" s="52">
        <f t="shared" ca="1" si="3"/>
        <v>1.3381642512077294</v>
      </c>
      <c r="N51" s="50">
        <f t="shared" si="4"/>
        <v>0.92883099285538351</v>
      </c>
      <c r="O51" s="52">
        <f t="shared" si="5"/>
        <v>0.84451219512195119</v>
      </c>
      <c r="P51" s="56">
        <f t="shared" si="6"/>
        <v>69.25</v>
      </c>
      <c r="Q51" s="54">
        <f t="shared" si="7"/>
        <v>11.884476534296029</v>
      </c>
      <c r="R51" s="55">
        <f t="shared" si="8"/>
        <v>47.078464106844741</v>
      </c>
      <c r="S51" s="55">
        <f t="shared" si="9"/>
        <v>25.181818181818183</v>
      </c>
      <c r="T51" s="13">
        <f t="shared" si="10"/>
        <v>2</v>
      </c>
      <c r="U51" s="13">
        <f t="shared" si="0"/>
        <v>1</v>
      </c>
      <c r="V51" s="13">
        <f t="shared" si="11"/>
        <v>2</v>
      </c>
      <c r="W51" s="13">
        <f t="shared" ca="1" si="12"/>
        <v>3</v>
      </c>
      <c r="X51" s="13">
        <f t="shared" ca="1" si="13"/>
        <v>8</v>
      </c>
      <c r="Y51" s="61" t="str">
        <f t="shared" ca="1" si="14"/>
        <v>MONITOR</v>
      </c>
      <c r="Z51" s="51">
        <v>14</v>
      </c>
      <c r="AA51" s="53">
        <v>46059</v>
      </c>
      <c r="AB51" s="53">
        <f t="shared" si="15"/>
        <v>45920</v>
      </c>
      <c r="AC51" s="72">
        <f t="shared" si="16"/>
        <v>19.857142857142858</v>
      </c>
      <c r="AD51" s="67" t="str">
        <f t="shared" ca="1" si="17"/>
        <v>STABLE</v>
      </c>
      <c r="AE51" s="67" t="str">
        <f t="shared" si="18"/>
        <v>SLOW SELLING</v>
      </c>
      <c r="AF51" s="67" t="str">
        <f t="shared" si="19"/>
        <v>AT RISK</v>
      </c>
      <c r="AG51" s="67" t="str">
        <f t="shared" si="20"/>
        <v>FEASIBLE</v>
      </c>
      <c r="AH51" s="73" t="str">
        <f t="shared" ca="1" si="21"/>
        <v>MONITOR</v>
      </c>
    </row>
    <row r="52" spans="1:34" x14ac:dyDescent="0.35">
      <c r="A52" s="25" t="s">
        <v>66</v>
      </c>
      <c r="B52" s="10" t="s">
        <v>316</v>
      </c>
      <c r="C52" s="10" t="s">
        <v>341</v>
      </c>
      <c r="D52" s="10" t="s">
        <v>346</v>
      </c>
      <c r="E52" s="11">
        <v>45906</v>
      </c>
      <c r="F52" s="17">
        <v>45892</v>
      </c>
      <c r="G52" s="14">
        <f t="shared" ca="1" si="1"/>
        <v>207</v>
      </c>
      <c r="H52" s="17">
        <v>599</v>
      </c>
      <c r="I52" s="17">
        <v>317</v>
      </c>
      <c r="J52" s="53">
        <f t="shared" si="2"/>
        <v>920</v>
      </c>
      <c r="K52" s="17">
        <v>1000</v>
      </c>
      <c r="L52" s="66">
        <v>80</v>
      </c>
      <c r="M52" s="52">
        <f t="shared" ca="1" si="3"/>
        <v>0.38647342995169082</v>
      </c>
      <c r="N52" s="50">
        <f t="shared" si="4"/>
        <v>0.92883099285538351</v>
      </c>
      <c r="O52" s="52">
        <f t="shared" si="5"/>
        <v>0.24390243902439024</v>
      </c>
      <c r="P52" s="56">
        <f t="shared" si="6"/>
        <v>20</v>
      </c>
      <c r="Q52" s="54">
        <f t="shared" si="7"/>
        <v>46</v>
      </c>
      <c r="R52" s="55">
        <f t="shared" si="8"/>
        <v>47.078464106844741</v>
      </c>
      <c r="S52" s="55">
        <f t="shared" si="9"/>
        <v>8</v>
      </c>
      <c r="T52" s="13">
        <f t="shared" si="10"/>
        <v>1</v>
      </c>
      <c r="U52" s="13">
        <f t="shared" si="0"/>
        <v>1</v>
      </c>
      <c r="V52" s="13">
        <f t="shared" si="11"/>
        <v>2</v>
      </c>
      <c r="W52" s="13">
        <f t="shared" ca="1" si="12"/>
        <v>3</v>
      </c>
      <c r="X52" s="13">
        <f t="shared" ca="1" si="13"/>
        <v>7</v>
      </c>
      <c r="Y52" s="61" t="str">
        <f t="shared" ca="1" si="14"/>
        <v>MONITOR</v>
      </c>
      <c r="Z52" s="51">
        <v>14</v>
      </c>
      <c r="AA52" s="53">
        <v>46059</v>
      </c>
      <c r="AB52" s="53">
        <f t="shared" si="15"/>
        <v>45920</v>
      </c>
      <c r="AC52" s="72">
        <f t="shared" si="16"/>
        <v>19.857142857142858</v>
      </c>
      <c r="AD52" s="67" t="str">
        <f t="shared" ca="1" si="17"/>
        <v>STABLE</v>
      </c>
      <c r="AE52" s="67" t="str">
        <f t="shared" si="18"/>
        <v>SLOW SELLING</v>
      </c>
      <c r="AF52" s="67" t="str">
        <f t="shared" si="19"/>
        <v>AT RISK</v>
      </c>
      <c r="AG52" s="67" t="str">
        <f t="shared" si="20"/>
        <v>FEASIBLE</v>
      </c>
      <c r="AH52" s="73" t="str">
        <f t="shared" ca="1" si="21"/>
        <v>MONITOR</v>
      </c>
    </row>
    <row r="53" spans="1:34" x14ac:dyDescent="0.35">
      <c r="A53" s="25" t="s">
        <v>67</v>
      </c>
      <c r="B53" s="10" t="s">
        <v>316</v>
      </c>
      <c r="C53" s="10" t="s">
        <v>341</v>
      </c>
      <c r="D53" s="10" t="s">
        <v>346</v>
      </c>
      <c r="E53" s="11">
        <v>45906</v>
      </c>
      <c r="F53" s="17">
        <v>45892</v>
      </c>
      <c r="G53" s="14">
        <f t="shared" ca="1" si="1"/>
        <v>207</v>
      </c>
      <c r="H53" s="17">
        <v>599</v>
      </c>
      <c r="I53" s="17">
        <v>317</v>
      </c>
      <c r="J53" s="53">
        <f t="shared" si="2"/>
        <v>677</v>
      </c>
      <c r="K53" s="17">
        <v>1100</v>
      </c>
      <c r="L53" s="66">
        <v>423</v>
      </c>
      <c r="M53" s="52">
        <f t="shared" ca="1" si="3"/>
        <v>2.0434782608695654</v>
      </c>
      <c r="N53" s="50">
        <f t="shared" si="4"/>
        <v>0.92883099285538351</v>
      </c>
      <c r="O53" s="52">
        <f t="shared" si="5"/>
        <v>1.2896341463414633</v>
      </c>
      <c r="P53" s="56">
        <f t="shared" si="6"/>
        <v>105.75</v>
      </c>
      <c r="Q53" s="54">
        <f t="shared" si="7"/>
        <v>6.4018912529550827</v>
      </c>
      <c r="R53" s="55">
        <f t="shared" si="8"/>
        <v>47.078464106844741</v>
      </c>
      <c r="S53" s="55">
        <f t="shared" si="9"/>
        <v>38.454545454545453</v>
      </c>
      <c r="T53" s="13">
        <f t="shared" si="10"/>
        <v>3</v>
      </c>
      <c r="U53" s="13">
        <f t="shared" si="0"/>
        <v>1</v>
      </c>
      <c r="V53" s="13">
        <f t="shared" si="11"/>
        <v>2</v>
      </c>
      <c r="W53" s="13">
        <f t="shared" ca="1" si="12"/>
        <v>3</v>
      </c>
      <c r="X53" s="13">
        <f t="shared" ca="1" si="13"/>
        <v>9</v>
      </c>
      <c r="Y53" s="61" t="str">
        <f t="shared" ca="1" si="14"/>
        <v>RE-BUY</v>
      </c>
      <c r="Z53" s="51">
        <v>14</v>
      </c>
      <c r="AA53" s="53">
        <v>46059</v>
      </c>
      <c r="AB53" s="53">
        <f t="shared" si="15"/>
        <v>45920</v>
      </c>
      <c r="AC53" s="72">
        <f t="shared" si="16"/>
        <v>19.857142857142858</v>
      </c>
      <c r="AD53" s="67" t="str">
        <f t="shared" ca="1" si="17"/>
        <v>STABLE</v>
      </c>
      <c r="AE53" s="67" t="str">
        <f t="shared" si="18"/>
        <v>FAST SELLING</v>
      </c>
      <c r="AF53" s="67" t="str">
        <f t="shared" si="19"/>
        <v>AT RISK</v>
      </c>
      <c r="AG53" s="67" t="str">
        <f t="shared" si="20"/>
        <v>FEASIBLE</v>
      </c>
      <c r="AH53" s="73" t="str">
        <f t="shared" ca="1" si="21"/>
        <v>IMMEDIATE REBUY</v>
      </c>
    </row>
    <row r="54" spans="1:34" x14ac:dyDescent="0.35">
      <c r="A54" s="25" t="s">
        <v>68</v>
      </c>
      <c r="B54" s="10" t="s">
        <v>316</v>
      </c>
      <c r="C54" s="10" t="s">
        <v>341</v>
      </c>
      <c r="D54" s="10" t="s">
        <v>346</v>
      </c>
      <c r="E54" s="11">
        <v>45927</v>
      </c>
      <c r="F54" s="17">
        <v>45892</v>
      </c>
      <c r="G54" s="14">
        <f t="shared" ca="1" si="1"/>
        <v>207</v>
      </c>
      <c r="H54" s="17">
        <v>599</v>
      </c>
      <c r="I54" s="17">
        <v>317</v>
      </c>
      <c r="J54" s="53">
        <f t="shared" si="2"/>
        <v>655</v>
      </c>
      <c r="K54" s="17">
        <v>1000</v>
      </c>
      <c r="L54" s="66">
        <v>345</v>
      </c>
      <c r="M54" s="52">
        <f t="shared" ca="1" si="3"/>
        <v>1.6666666666666667</v>
      </c>
      <c r="N54" s="50">
        <f t="shared" si="4"/>
        <v>0.92883099285538351</v>
      </c>
      <c r="O54" s="52">
        <f t="shared" si="5"/>
        <v>1.0518292682926829</v>
      </c>
      <c r="P54" s="56">
        <f t="shared" si="6"/>
        <v>86.25</v>
      </c>
      <c r="Q54" s="54">
        <f t="shared" si="7"/>
        <v>7.5942028985507246</v>
      </c>
      <c r="R54" s="55">
        <f t="shared" si="8"/>
        <v>47.078464106844741</v>
      </c>
      <c r="S54" s="55">
        <f t="shared" si="9"/>
        <v>34.5</v>
      </c>
      <c r="T54" s="13">
        <f t="shared" si="10"/>
        <v>3</v>
      </c>
      <c r="U54" s="13">
        <f t="shared" si="0"/>
        <v>1</v>
      </c>
      <c r="V54" s="13">
        <f t="shared" si="11"/>
        <v>2</v>
      </c>
      <c r="W54" s="13">
        <f t="shared" ca="1" si="12"/>
        <v>3</v>
      </c>
      <c r="X54" s="13">
        <f t="shared" ca="1" si="13"/>
        <v>9</v>
      </c>
      <c r="Y54" s="61" t="str">
        <f t="shared" ca="1" si="14"/>
        <v>RE-BUY</v>
      </c>
      <c r="Z54" s="51">
        <v>14</v>
      </c>
      <c r="AA54" s="53">
        <v>46059</v>
      </c>
      <c r="AB54" s="53">
        <f t="shared" si="15"/>
        <v>45920</v>
      </c>
      <c r="AC54" s="72">
        <f t="shared" si="16"/>
        <v>19.857142857142858</v>
      </c>
      <c r="AD54" s="67" t="str">
        <f t="shared" ca="1" si="17"/>
        <v>STABLE</v>
      </c>
      <c r="AE54" s="67" t="str">
        <f t="shared" si="18"/>
        <v>FAST SELLING</v>
      </c>
      <c r="AF54" s="67" t="str">
        <f t="shared" si="19"/>
        <v>AT RISK</v>
      </c>
      <c r="AG54" s="67" t="str">
        <f t="shared" si="20"/>
        <v>FEASIBLE</v>
      </c>
      <c r="AH54" s="73" t="str">
        <f t="shared" ca="1" si="21"/>
        <v>IMMEDIATE REBUY</v>
      </c>
    </row>
    <row r="55" spans="1:34" x14ac:dyDescent="0.35">
      <c r="A55" s="25" t="s">
        <v>69</v>
      </c>
      <c r="B55" s="10" t="s">
        <v>321</v>
      </c>
      <c r="C55" s="10" t="s">
        <v>341</v>
      </c>
      <c r="D55" s="10" t="s">
        <v>346</v>
      </c>
      <c r="E55" s="11">
        <v>45878</v>
      </c>
      <c r="F55" s="17">
        <v>45892</v>
      </c>
      <c r="G55" s="14">
        <f t="shared" ca="1" si="1"/>
        <v>207</v>
      </c>
      <c r="H55" s="17">
        <v>799</v>
      </c>
      <c r="I55" s="17">
        <v>410</v>
      </c>
      <c r="J55" s="53">
        <f t="shared" si="2"/>
        <v>886</v>
      </c>
      <c r="K55" s="17">
        <v>1100</v>
      </c>
      <c r="L55" s="66">
        <v>214</v>
      </c>
      <c r="M55" s="52">
        <f t="shared" ca="1" si="3"/>
        <v>1.0338164251207729</v>
      </c>
      <c r="N55" s="50">
        <f t="shared" si="4"/>
        <v>0.92883099285538351</v>
      </c>
      <c r="O55" s="52">
        <f t="shared" si="5"/>
        <v>0.65243902439024393</v>
      </c>
      <c r="P55" s="56">
        <f t="shared" si="6"/>
        <v>53.5</v>
      </c>
      <c r="Q55" s="54">
        <f t="shared" si="7"/>
        <v>16.560747663551403</v>
      </c>
      <c r="R55" s="55">
        <f t="shared" si="8"/>
        <v>48.685857321652065</v>
      </c>
      <c r="S55" s="55">
        <f t="shared" si="9"/>
        <v>19.454545454545453</v>
      </c>
      <c r="T55" s="13">
        <f t="shared" si="10"/>
        <v>1</v>
      </c>
      <c r="U55" s="13">
        <f t="shared" si="0"/>
        <v>1</v>
      </c>
      <c r="V55" s="13">
        <f t="shared" si="11"/>
        <v>2</v>
      </c>
      <c r="W55" s="13">
        <f t="shared" ca="1" si="12"/>
        <v>3</v>
      </c>
      <c r="X55" s="13">
        <f t="shared" ca="1" si="13"/>
        <v>7</v>
      </c>
      <c r="Y55" s="61" t="str">
        <f t="shared" ca="1" si="14"/>
        <v>MONITOR</v>
      </c>
      <c r="Z55" s="51">
        <v>14</v>
      </c>
      <c r="AA55" s="53">
        <v>46059</v>
      </c>
      <c r="AB55" s="53">
        <f t="shared" si="15"/>
        <v>45920</v>
      </c>
      <c r="AC55" s="72">
        <f t="shared" si="16"/>
        <v>19.857142857142858</v>
      </c>
      <c r="AD55" s="67" t="str">
        <f t="shared" ca="1" si="17"/>
        <v>STABLE</v>
      </c>
      <c r="AE55" s="67" t="str">
        <f t="shared" si="18"/>
        <v>SLOW SELLING</v>
      </c>
      <c r="AF55" s="67" t="str">
        <f t="shared" si="19"/>
        <v>AT RISK</v>
      </c>
      <c r="AG55" s="67" t="str">
        <f t="shared" si="20"/>
        <v>FEASIBLE</v>
      </c>
      <c r="AH55" s="73" t="str">
        <f t="shared" ca="1" si="21"/>
        <v>MONITOR</v>
      </c>
    </row>
    <row r="56" spans="1:34" x14ac:dyDescent="0.35">
      <c r="A56" s="25" t="s">
        <v>70</v>
      </c>
      <c r="B56" s="10" t="s">
        <v>321</v>
      </c>
      <c r="C56" s="10" t="s">
        <v>341</v>
      </c>
      <c r="D56" s="10" t="s">
        <v>346</v>
      </c>
      <c r="E56" s="11">
        <v>45878</v>
      </c>
      <c r="F56" s="17">
        <v>45892</v>
      </c>
      <c r="G56" s="14">
        <f t="shared" ca="1" si="1"/>
        <v>207</v>
      </c>
      <c r="H56" s="17">
        <v>799</v>
      </c>
      <c r="I56" s="17">
        <v>410</v>
      </c>
      <c r="J56" s="53">
        <f t="shared" si="2"/>
        <v>989</v>
      </c>
      <c r="K56" s="17">
        <v>1200</v>
      </c>
      <c r="L56" s="66">
        <v>211</v>
      </c>
      <c r="M56" s="52">
        <f t="shared" ca="1" si="3"/>
        <v>1.0193236714975846</v>
      </c>
      <c r="N56" s="50">
        <f t="shared" si="4"/>
        <v>0.92883099285538351</v>
      </c>
      <c r="O56" s="52">
        <f t="shared" si="5"/>
        <v>0.64329268292682928</v>
      </c>
      <c r="P56" s="56">
        <f t="shared" si="6"/>
        <v>52.75</v>
      </c>
      <c r="Q56" s="54">
        <f t="shared" si="7"/>
        <v>18.748815165876778</v>
      </c>
      <c r="R56" s="55">
        <f t="shared" si="8"/>
        <v>48.685857321652065</v>
      </c>
      <c r="S56" s="55">
        <f t="shared" si="9"/>
        <v>17.583333333333336</v>
      </c>
      <c r="T56" s="13">
        <f t="shared" si="10"/>
        <v>1</v>
      </c>
      <c r="U56" s="13">
        <f t="shared" si="0"/>
        <v>1</v>
      </c>
      <c r="V56" s="13">
        <f t="shared" si="11"/>
        <v>2</v>
      </c>
      <c r="W56" s="13">
        <f t="shared" ca="1" si="12"/>
        <v>3</v>
      </c>
      <c r="X56" s="13">
        <f t="shared" ca="1" si="13"/>
        <v>7</v>
      </c>
      <c r="Y56" s="61" t="str">
        <f t="shared" ca="1" si="14"/>
        <v>MONITOR</v>
      </c>
      <c r="Z56" s="51">
        <v>14</v>
      </c>
      <c r="AA56" s="53">
        <v>46059</v>
      </c>
      <c r="AB56" s="53">
        <f t="shared" si="15"/>
        <v>45920</v>
      </c>
      <c r="AC56" s="72">
        <f t="shared" si="16"/>
        <v>19.857142857142858</v>
      </c>
      <c r="AD56" s="67" t="str">
        <f t="shared" ca="1" si="17"/>
        <v>STABLE</v>
      </c>
      <c r="AE56" s="67" t="str">
        <f t="shared" si="18"/>
        <v>SLOW SELLING</v>
      </c>
      <c r="AF56" s="67" t="str">
        <f t="shared" si="19"/>
        <v>AT RISK</v>
      </c>
      <c r="AG56" s="67" t="str">
        <f t="shared" si="20"/>
        <v>FEASIBLE</v>
      </c>
      <c r="AH56" s="73" t="str">
        <f t="shared" ca="1" si="21"/>
        <v>MONITOR</v>
      </c>
    </row>
    <row r="57" spans="1:34" x14ac:dyDescent="0.35">
      <c r="A57" s="25" t="s">
        <v>71</v>
      </c>
      <c r="B57" s="10" t="s">
        <v>321</v>
      </c>
      <c r="C57" s="10" t="s">
        <v>341</v>
      </c>
      <c r="D57" s="10" t="s">
        <v>346</v>
      </c>
      <c r="E57" s="11">
        <v>45878</v>
      </c>
      <c r="F57" s="17">
        <v>45892</v>
      </c>
      <c r="G57" s="14">
        <f t="shared" ca="1" si="1"/>
        <v>207</v>
      </c>
      <c r="H57" s="17">
        <v>799</v>
      </c>
      <c r="I57" s="17">
        <v>410</v>
      </c>
      <c r="J57" s="53">
        <f t="shared" si="2"/>
        <v>1097</v>
      </c>
      <c r="K57" s="17">
        <v>1200</v>
      </c>
      <c r="L57" s="66">
        <v>103</v>
      </c>
      <c r="M57" s="52">
        <f t="shared" ca="1" si="3"/>
        <v>0.49758454106280192</v>
      </c>
      <c r="N57" s="50">
        <f t="shared" si="4"/>
        <v>0.92883099285538351</v>
      </c>
      <c r="O57" s="52">
        <f t="shared" si="5"/>
        <v>0.31402439024390244</v>
      </c>
      <c r="P57" s="56">
        <f t="shared" si="6"/>
        <v>25.75</v>
      </c>
      <c r="Q57" s="54">
        <f t="shared" si="7"/>
        <v>42.601941747572816</v>
      </c>
      <c r="R57" s="55">
        <f t="shared" si="8"/>
        <v>48.685857321652065</v>
      </c>
      <c r="S57" s="55">
        <f t="shared" si="9"/>
        <v>8.5833333333333339</v>
      </c>
      <c r="T57" s="13">
        <f t="shared" si="10"/>
        <v>1</v>
      </c>
      <c r="U57" s="13">
        <f t="shared" si="0"/>
        <v>1</v>
      </c>
      <c r="V57" s="13">
        <f t="shared" si="11"/>
        <v>2</v>
      </c>
      <c r="W57" s="13">
        <f t="shared" ca="1" si="12"/>
        <v>3</v>
      </c>
      <c r="X57" s="13">
        <f t="shared" ca="1" si="13"/>
        <v>7</v>
      </c>
      <c r="Y57" s="61" t="str">
        <f t="shared" ca="1" si="14"/>
        <v>MONITOR</v>
      </c>
      <c r="Z57" s="51">
        <v>14</v>
      </c>
      <c r="AA57" s="53">
        <v>46059</v>
      </c>
      <c r="AB57" s="53">
        <f t="shared" si="15"/>
        <v>45920</v>
      </c>
      <c r="AC57" s="72">
        <f t="shared" si="16"/>
        <v>19.857142857142858</v>
      </c>
      <c r="AD57" s="67" t="str">
        <f t="shared" ca="1" si="17"/>
        <v>STABLE</v>
      </c>
      <c r="AE57" s="67" t="str">
        <f t="shared" si="18"/>
        <v>SLOW SELLING</v>
      </c>
      <c r="AF57" s="67" t="str">
        <f t="shared" si="19"/>
        <v>AT RISK</v>
      </c>
      <c r="AG57" s="67" t="str">
        <f t="shared" si="20"/>
        <v>FEASIBLE</v>
      </c>
      <c r="AH57" s="73" t="str">
        <f t="shared" ca="1" si="21"/>
        <v>MONITOR</v>
      </c>
    </row>
    <row r="58" spans="1:34" x14ac:dyDescent="0.35">
      <c r="A58" s="25" t="s">
        <v>72</v>
      </c>
      <c r="B58" s="10" t="s">
        <v>321</v>
      </c>
      <c r="C58" s="10" t="s">
        <v>341</v>
      </c>
      <c r="D58" s="10" t="s">
        <v>346</v>
      </c>
      <c r="E58" s="11">
        <v>45878</v>
      </c>
      <c r="F58" s="17">
        <v>45892</v>
      </c>
      <c r="G58" s="14">
        <f t="shared" ca="1" si="1"/>
        <v>207</v>
      </c>
      <c r="H58" s="17">
        <v>799</v>
      </c>
      <c r="I58" s="17">
        <v>410</v>
      </c>
      <c r="J58" s="53">
        <f t="shared" si="2"/>
        <v>1173</v>
      </c>
      <c r="K58" s="17">
        <v>1300</v>
      </c>
      <c r="L58" s="66">
        <v>127</v>
      </c>
      <c r="M58" s="52">
        <f t="shared" ca="1" si="3"/>
        <v>0.61352657004830913</v>
      </c>
      <c r="N58" s="50">
        <f t="shared" si="4"/>
        <v>0.92883099285538351</v>
      </c>
      <c r="O58" s="52">
        <f t="shared" si="5"/>
        <v>0.38719512195121952</v>
      </c>
      <c r="P58" s="56">
        <f t="shared" si="6"/>
        <v>31.75</v>
      </c>
      <c r="Q58" s="54">
        <f t="shared" si="7"/>
        <v>36.944881889763778</v>
      </c>
      <c r="R58" s="55">
        <f t="shared" si="8"/>
        <v>48.685857321652065</v>
      </c>
      <c r="S58" s="55">
        <f t="shared" si="9"/>
        <v>9.7692307692307683</v>
      </c>
      <c r="T58" s="13">
        <f t="shared" si="10"/>
        <v>1</v>
      </c>
      <c r="U58" s="13">
        <f t="shared" si="0"/>
        <v>1</v>
      </c>
      <c r="V58" s="13">
        <f t="shared" si="11"/>
        <v>2</v>
      </c>
      <c r="W58" s="13">
        <f t="shared" ca="1" si="12"/>
        <v>3</v>
      </c>
      <c r="X58" s="13">
        <f t="shared" ca="1" si="13"/>
        <v>7</v>
      </c>
      <c r="Y58" s="61" t="str">
        <f t="shared" ca="1" si="14"/>
        <v>MONITOR</v>
      </c>
      <c r="Z58" s="51">
        <v>14</v>
      </c>
      <c r="AA58" s="53">
        <v>46059</v>
      </c>
      <c r="AB58" s="53">
        <f t="shared" si="15"/>
        <v>45920</v>
      </c>
      <c r="AC58" s="72">
        <f t="shared" si="16"/>
        <v>19.857142857142858</v>
      </c>
      <c r="AD58" s="67" t="str">
        <f t="shared" ca="1" si="17"/>
        <v>STABLE</v>
      </c>
      <c r="AE58" s="67" t="str">
        <f t="shared" si="18"/>
        <v>SLOW SELLING</v>
      </c>
      <c r="AF58" s="67" t="str">
        <f t="shared" si="19"/>
        <v>AT RISK</v>
      </c>
      <c r="AG58" s="67" t="str">
        <f t="shared" si="20"/>
        <v>FEASIBLE</v>
      </c>
      <c r="AH58" s="73" t="str">
        <f t="shared" ca="1" si="21"/>
        <v>MONITOR</v>
      </c>
    </row>
    <row r="59" spans="1:34" x14ac:dyDescent="0.35">
      <c r="A59" s="25" t="s">
        <v>73</v>
      </c>
      <c r="B59" s="10" t="s">
        <v>321</v>
      </c>
      <c r="C59" s="10" t="s">
        <v>341</v>
      </c>
      <c r="D59" s="10" t="s">
        <v>346</v>
      </c>
      <c r="E59" s="11">
        <v>45920</v>
      </c>
      <c r="F59" s="17">
        <v>45892</v>
      </c>
      <c r="G59" s="14">
        <f t="shared" ca="1" si="1"/>
        <v>207</v>
      </c>
      <c r="H59" s="17">
        <v>799</v>
      </c>
      <c r="I59" s="17">
        <v>410</v>
      </c>
      <c r="J59" s="53">
        <f t="shared" si="2"/>
        <v>958</v>
      </c>
      <c r="K59" s="17">
        <v>1300</v>
      </c>
      <c r="L59" s="66">
        <v>342</v>
      </c>
      <c r="M59" s="52">
        <f t="shared" ca="1" si="3"/>
        <v>1.6521739130434783</v>
      </c>
      <c r="N59" s="50">
        <f t="shared" si="4"/>
        <v>0.92883099285538351</v>
      </c>
      <c r="O59" s="52">
        <f t="shared" si="5"/>
        <v>1.0426829268292683</v>
      </c>
      <c r="P59" s="56">
        <f t="shared" si="6"/>
        <v>85.5</v>
      </c>
      <c r="Q59" s="54">
        <f t="shared" si="7"/>
        <v>11.2046783625731</v>
      </c>
      <c r="R59" s="55">
        <f t="shared" si="8"/>
        <v>48.685857321652065</v>
      </c>
      <c r="S59" s="55">
        <f t="shared" si="9"/>
        <v>26.30769230769231</v>
      </c>
      <c r="T59" s="13">
        <f t="shared" si="10"/>
        <v>3</v>
      </c>
      <c r="U59" s="13">
        <f t="shared" si="0"/>
        <v>1</v>
      </c>
      <c r="V59" s="13">
        <f t="shared" si="11"/>
        <v>2</v>
      </c>
      <c r="W59" s="13">
        <f t="shared" ca="1" si="12"/>
        <v>3</v>
      </c>
      <c r="X59" s="13">
        <f t="shared" ca="1" si="13"/>
        <v>9</v>
      </c>
      <c r="Y59" s="61" t="str">
        <f t="shared" ca="1" si="14"/>
        <v>RE-BUY</v>
      </c>
      <c r="Z59" s="51">
        <v>14</v>
      </c>
      <c r="AA59" s="53">
        <v>46059</v>
      </c>
      <c r="AB59" s="53">
        <f t="shared" si="15"/>
        <v>45920</v>
      </c>
      <c r="AC59" s="72">
        <f t="shared" si="16"/>
        <v>19.857142857142858</v>
      </c>
      <c r="AD59" s="67" t="str">
        <f t="shared" ca="1" si="17"/>
        <v>STABLE</v>
      </c>
      <c r="AE59" s="67" t="str">
        <f t="shared" si="18"/>
        <v>FAST SELLING</v>
      </c>
      <c r="AF59" s="67" t="str">
        <f t="shared" si="19"/>
        <v>AT RISK</v>
      </c>
      <c r="AG59" s="67" t="str">
        <f t="shared" si="20"/>
        <v>FEASIBLE</v>
      </c>
      <c r="AH59" s="73" t="str">
        <f t="shared" ca="1" si="21"/>
        <v>IMMEDIATE REBUY</v>
      </c>
    </row>
    <row r="60" spans="1:34" x14ac:dyDescent="0.35">
      <c r="A60" s="25" t="s">
        <v>74</v>
      </c>
      <c r="B60" s="10" t="s">
        <v>321</v>
      </c>
      <c r="C60" s="10" t="s">
        <v>341</v>
      </c>
      <c r="D60" s="10" t="s">
        <v>346</v>
      </c>
      <c r="E60" s="11">
        <v>45920</v>
      </c>
      <c r="F60" s="17">
        <v>45892</v>
      </c>
      <c r="G60" s="14">
        <f t="shared" ca="1" si="1"/>
        <v>207</v>
      </c>
      <c r="H60" s="17">
        <v>799</v>
      </c>
      <c r="I60" s="17">
        <v>410</v>
      </c>
      <c r="J60" s="53">
        <f t="shared" si="2"/>
        <v>793</v>
      </c>
      <c r="K60" s="17">
        <v>1100</v>
      </c>
      <c r="L60" s="66">
        <v>307</v>
      </c>
      <c r="M60" s="52">
        <f t="shared" ca="1" si="3"/>
        <v>1.4830917874396135</v>
      </c>
      <c r="N60" s="50">
        <f t="shared" si="4"/>
        <v>0.92883099285538351</v>
      </c>
      <c r="O60" s="52">
        <f t="shared" si="5"/>
        <v>0.93597560975609762</v>
      </c>
      <c r="P60" s="56">
        <f t="shared" si="6"/>
        <v>76.75</v>
      </c>
      <c r="Q60" s="54">
        <f t="shared" si="7"/>
        <v>10.332247557003257</v>
      </c>
      <c r="R60" s="55">
        <f t="shared" si="8"/>
        <v>48.685857321652065</v>
      </c>
      <c r="S60" s="55">
        <f t="shared" si="9"/>
        <v>27.90909090909091</v>
      </c>
      <c r="T60" s="13">
        <f t="shared" si="10"/>
        <v>3</v>
      </c>
      <c r="U60" s="13">
        <f t="shared" si="0"/>
        <v>1</v>
      </c>
      <c r="V60" s="13">
        <f t="shared" si="11"/>
        <v>2</v>
      </c>
      <c r="W60" s="13">
        <f t="shared" ca="1" si="12"/>
        <v>3</v>
      </c>
      <c r="X60" s="13">
        <f t="shared" ca="1" si="13"/>
        <v>9</v>
      </c>
      <c r="Y60" s="61" t="str">
        <f t="shared" ca="1" si="14"/>
        <v>RE-BUY</v>
      </c>
      <c r="Z60" s="51">
        <v>14</v>
      </c>
      <c r="AA60" s="53">
        <v>46059</v>
      </c>
      <c r="AB60" s="53">
        <f t="shared" si="15"/>
        <v>45920</v>
      </c>
      <c r="AC60" s="72">
        <f t="shared" si="16"/>
        <v>19.857142857142858</v>
      </c>
      <c r="AD60" s="67" t="str">
        <f t="shared" ca="1" si="17"/>
        <v>STABLE</v>
      </c>
      <c r="AE60" s="67" t="str">
        <f t="shared" si="18"/>
        <v>FAST SELLING</v>
      </c>
      <c r="AF60" s="67" t="str">
        <f t="shared" si="19"/>
        <v>AT RISK</v>
      </c>
      <c r="AG60" s="67" t="str">
        <f t="shared" si="20"/>
        <v>FEASIBLE</v>
      </c>
      <c r="AH60" s="73" t="str">
        <f t="shared" ca="1" si="21"/>
        <v>IMMEDIATE REBUY</v>
      </c>
    </row>
    <row r="61" spans="1:34" x14ac:dyDescent="0.35">
      <c r="A61" s="25" t="s">
        <v>75</v>
      </c>
      <c r="B61" s="10" t="s">
        <v>321</v>
      </c>
      <c r="C61" s="10" t="s">
        <v>341</v>
      </c>
      <c r="D61" s="10" t="s">
        <v>346</v>
      </c>
      <c r="E61" s="11">
        <v>45871</v>
      </c>
      <c r="F61" s="17">
        <v>45892</v>
      </c>
      <c r="G61" s="14">
        <f t="shared" ca="1" si="1"/>
        <v>207</v>
      </c>
      <c r="H61" s="17">
        <v>799</v>
      </c>
      <c r="I61" s="17">
        <v>425</v>
      </c>
      <c r="J61" s="53">
        <f t="shared" si="2"/>
        <v>1155</v>
      </c>
      <c r="K61" s="17">
        <v>1200</v>
      </c>
      <c r="L61" s="66">
        <v>45</v>
      </c>
      <c r="M61" s="52">
        <f t="shared" ca="1" si="3"/>
        <v>0.21739130434782608</v>
      </c>
      <c r="N61" s="50">
        <f t="shared" si="4"/>
        <v>0.92883099285538351</v>
      </c>
      <c r="O61" s="52">
        <f t="shared" si="5"/>
        <v>0.13719512195121952</v>
      </c>
      <c r="P61" s="56">
        <f t="shared" si="6"/>
        <v>11.25</v>
      </c>
      <c r="Q61" s="54">
        <f t="shared" si="7"/>
        <v>102.66666666666667</v>
      </c>
      <c r="R61" s="55">
        <f t="shared" si="8"/>
        <v>46.808510638297875</v>
      </c>
      <c r="S61" s="55">
        <f t="shared" si="9"/>
        <v>3.75</v>
      </c>
      <c r="T61" s="13">
        <f t="shared" si="10"/>
        <v>1</v>
      </c>
      <c r="U61" s="13">
        <f t="shared" si="0"/>
        <v>1</v>
      </c>
      <c r="V61" s="13">
        <f t="shared" si="11"/>
        <v>2</v>
      </c>
      <c r="W61" s="13">
        <f t="shared" ca="1" si="12"/>
        <v>3</v>
      </c>
      <c r="X61" s="13">
        <f t="shared" ca="1" si="13"/>
        <v>7</v>
      </c>
      <c r="Y61" s="61" t="str">
        <f t="shared" ca="1" si="14"/>
        <v>MONITOR</v>
      </c>
      <c r="Z61" s="51">
        <v>14</v>
      </c>
      <c r="AA61" s="53">
        <v>46059</v>
      </c>
      <c r="AB61" s="53">
        <f t="shared" si="15"/>
        <v>45920</v>
      </c>
      <c r="AC61" s="72">
        <f t="shared" si="16"/>
        <v>19.857142857142858</v>
      </c>
      <c r="AD61" s="67" t="str">
        <f t="shared" ca="1" si="17"/>
        <v>STABLE</v>
      </c>
      <c r="AE61" s="67" t="str">
        <f t="shared" si="18"/>
        <v>SLOW SELLING</v>
      </c>
      <c r="AF61" s="67" t="str">
        <f t="shared" si="19"/>
        <v>AT RISK</v>
      </c>
      <c r="AG61" s="67" t="str">
        <f t="shared" si="20"/>
        <v>FEASIBLE</v>
      </c>
      <c r="AH61" s="73" t="str">
        <f t="shared" ca="1" si="21"/>
        <v>MONITOR</v>
      </c>
    </row>
    <row r="62" spans="1:34" x14ac:dyDescent="0.35">
      <c r="A62" s="25" t="s">
        <v>76</v>
      </c>
      <c r="B62" s="10" t="s">
        <v>316</v>
      </c>
      <c r="C62" s="10" t="s">
        <v>341</v>
      </c>
      <c r="D62" s="10" t="s">
        <v>346</v>
      </c>
      <c r="E62" s="11">
        <v>45871</v>
      </c>
      <c r="F62" s="17">
        <v>45892</v>
      </c>
      <c r="G62" s="14">
        <f t="shared" ca="1" si="1"/>
        <v>207</v>
      </c>
      <c r="H62" s="17">
        <v>799</v>
      </c>
      <c r="I62" s="17">
        <v>410</v>
      </c>
      <c r="J62" s="53">
        <f t="shared" si="2"/>
        <v>821</v>
      </c>
      <c r="K62" s="17">
        <v>1200</v>
      </c>
      <c r="L62" s="66">
        <v>379</v>
      </c>
      <c r="M62" s="52">
        <f t="shared" ca="1" si="3"/>
        <v>1.8309178743961352</v>
      </c>
      <c r="N62" s="50">
        <f t="shared" si="4"/>
        <v>0.92883099285538351</v>
      </c>
      <c r="O62" s="52">
        <f t="shared" si="5"/>
        <v>1.1554878048780488</v>
      </c>
      <c r="P62" s="56">
        <f t="shared" si="6"/>
        <v>94.75</v>
      </c>
      <c r="Q62" s="54">
        <f t="shared" si="7"/>
        <v>8.6649076517150387</v>
      </c>
      <c r="R62" s="55">
        <f t="shared" si="8"/>
        <v>48.685857321652065</v>
      </c>
      <c r="S62" s="55">
        <f t="shared" si="9"/>
        <v>31.583333333333336</v>
      </c>
      <c r="T62" s="13">
        <f t="shared" si="10"/>
        <v>3</v>
      </c>
      <c r="U62" s="13">
        <f t="shared" si="0"/>
        <v>1</v>
      </c>
      <c r="V62" s="13">
        <f t="shared" si="11"/>
        <v>2</v>
      </c>
      <c r="W62" s="13">
        <f t="shared" ca="1" si="12"/>
        <v>3</v>
      </c>
      <c r="X62" s="13">
        <f t="shared" ca="1" si="13"/>
        <v>9</v>
      </c>
      <c r="Y62" s="61" t="str">
        <f t="shared" ca="1" si="14"/>
        <v>RE-BUY</v>
      </c>
      <c r="Z62" s="51">
        <v>14</v>
      </c>
      <c r="AA62" s="53">
        <v>46059</v>
      </c>
      <c r="AB62" s="53">
        <f t="shared" si="15"/>
        <v>45920</v>
      </c>
      <c r="AC62" s="72">
        <f t="shared" si="16"/>
        <v>19.857142857142858</v>
      </c>
      <c r="AD62" s="67" t="str">
        <f t="shared" ca="1" si="17"/>
        <v>STABLE</v>
      </c>
      <c r="AE62" s="67" t="str">
        <f t="shared" si="18"/>
        <v>FAST SELLING</v>
      </c>
      <c r="AF62" s="67" t="str">
        <f t="shared" si="19"/>
        <v>AT RISK</v>
      </c>
      <c r="AG62" s="67" t="str">
        <f t="shared" si="20"/>
        <v>FEASIBLE</v>
      </c>
      <c r="AH62" s="73" t="str">
        <f t="shared" ca="1" si="21"/>
        <v>IMMEDIATE REBUY</v>
      </c>
    </row>
    <row r="63" spans="1:34" x14ac:dyDescent="0.35">
      <c r="A63" s="25" t="s">
        <v>77</v>
      </c>
      <c r="B63" s="10" t="s">
        <v>321</v>
      </c>
      <c r="C63" s="10" t="s">
        <v>341</v>
      </c>
      <c r="D63" s="10" t="s">
        <v>346</v>
      </c>
      <c r="E63" s="11">
        <v>45871</v>
      </c>
      <c r="F63" s="17">
        <v>45892</v>
      </c>
      <c r="G63" s="14">
        <f t="shared" ca="1" si="1"/>
        <v>207</v>
      </c>
      <c r="H63" s="17">
        <v>799</v>
      </c>
      <c r="I63" s="17">
        <v>425</v>
      </c>
      <c r="J63" s="53">
        <f t="shared" si="2"/>
        <v>955</v>
      </c>
      <c r="K63" s="17">
        <v>1200</v>
      </c>
      <c r="L63" s="66">
        <v>245</v>
      </c>
      <c r="M63" s="52">
        <f t="shared" ca="1" si="3"/>
        <v>1.1835748792270531</v>
      </c>
      <c r="N63" s="50">
        <f t="shared" si="4"/>
        <v>0.92883099285538351</v>
      </c>
      <c r="O63" s="52">
        <f t="shared" si="5"/>
        <v>0.74695121951219512</v>
      </c>
      <c r="P63" s="56">
        <f t="shared" si="6"/>
        <v>61.25</v>
      </c>
      <c r="Q63" s="54">
        <f t="shared" si="7"/>
        <v>15.591836734693878</v>
      </c>
      <c r="R63" s="55">
        <f t="shared" si="8"/>
        <v>46.808510638297875</v>
      </c>
      <c r="S63" s="55">
        <f t="shared" si="9"/>
        <v>20.416666666666668</v>
      </c>
      <c r="T63" s="13">
        <f t="shared" si="10"/>
        <v>2</v>
      </c>
      <c r="U63" s="13">
        <f t="shared" si="0"/>
        <v>1</v>
      </c>
      <c r="V63" s="13">
        <f t="shared" si="11"/>
        <v>2</v>
      </c>
      <c r="W63" s="13">
        <f t="shared" ca="1" si="12"/>
        <v>3</v>
      </c>
      <c r="X63" s="13">
        <f t="shared" ca="1" si="13"/>
        <v>8</v>
      </c>
      <c r="Y63" s="61" t="str">
        <f t="shared" ca="1" si="14"/>
        <v>MONITOR</v>
      </c>
      <c r="Z63" s="51">
        <v>14</v>
      </c>
      <c r="AA63" s="53">
        <v>46059</v>
      </c>
      <c r="AB63" s="53">
        <f t="shared" si="15"/>
        <v>45920</v>
      </c>
      <c r="AC63" s="72">
        <f t="shared" si="16"/>
        <v>19.857142857142858</v>
      </c>
      <c r="AD63" s="67" t="str">
        <f t="shared" ca="1" si="17"/>
        <v>STABLE</v>
      </c>
      <c r="AE63" s="67" t="str">
        <f t="shared" si="18"/>
        <v>SLOW SELLING</v>
      </c>
      <c r="AF63" s="67" t="str">
        <f t="shared" si="19"/>
        <v>AT RISK</v>
      </c>
      <c r="AG63" s="67" t="str">
        <f t="shared" si="20"/>
        <v>FEASIBLE</v>
      </c>
      <c r="AH63" s="73" t="str">
        <f t="shared" ca="1" si="21"/>
        <v>MONITOR</v>
      </c>
    </row>
    <row r="64" spans="1:34" x14ac:dyDescent="0.35">
      <c r="A64" s="25" t="s">
        <v>78</v>
      </c>
      <c r="B64" s="10" t="s">
        <v>316</v>
      </c>
      <c r="C64" s="10" t="s">
        <v>341</v>
      </c>
      <c r="D64" s="10" t="s">
        <v>346</v>
      </c>
      <c r="E64" s="11">
        <v>45920</v>
      </c>
      <c r="F64" s="17">
        <v>45892</v>
      </c>
      <c r="G64" s="14">
        <f t="shared" ca="1" si="1"/>
        <v>207</v>
      </c>
      <c r="H64" s="17">
        <v>799</v>
      </c>
      <c r="I64" s="17">
        <v>410</v>
      </c>
      <c r="J64" s="53">
        <f t="shared" si="2"/>
        <v>1039</v>
      </c>
      <c r="K64" s="17">
        <v>1200</v>
      </c>
      <c r="L64" s="66">
        <v>161</v>
      </c>
      <c r="M64" s="52">
        <f t="shared" ca="1" si="3"/>
        <v>0.77777777777777779</v>
      </c>
      <c r="N64" s="50">
        <f t="shared" si="4"/>
        <v>0.92883099285538351</v>
      </c>
      <c r="O64" s="52">
        <f t="shared" si="5"/>
        <v>0.49085365853658536</v>
      </c>
      <c r="P64" s="56">
        <f t="shared" si="6"/>
        <v>40.25</v>
      </c>
      <c r="Q64" s="54">
        <f t="shared" si="7"/>
        <v>25.813664596273291</v>
      </c>
      <c r="R64" s="55">
        <f t="shared" si="8"/>
        <v>48.685857321652065</v>
      </c>
      <c r="S64" s="55">
        <f t="shared" si="9"/>
        <v>13.416666666666666</v>
      </c>
      <c r="T64" s="13">
        <f t="shared" si="10"/>
        <v>1</v>
      </c>
      <c r="U64" s="13">
        <f t="shared" si="0"/>
        <v>1</v>
      </c>
      <c r="V64" s="13">
        <f t="shared" si="11"/>
        <v>2</v>
      </c>
      <c r="W64" s="13">
        <f t="shared" ca="1" si="12"/>
        <v>3</v>
      </c>
      <c r="X64" s="13">
        <f t="shared" ca="1" si="13"/>
        <v>7</v>
      </c>
      <c r="Y64" s="61" t="str">
        <f t="shared" ca="1" si="14"/>
        <v>MONITOR</v>
      </c>
      <c r="Z64" s="51">
        <v>14</v>
      </c>
      <c r="AA64" s="53">
        <v>46059</v>
      </c>
      <c r="AB64" s="53">
        <f t="shared" si="15"/>
        <v>45920</v>
      </c>
      <c r="AC64" s="72">
        <f t="shared" si="16"/>
        <v>19.857142857142858</v>
      </c>
      <c r="AD64" s="67" t="str">
        <f t="shared" ca="1" si="17"/>
        <v>STABLE</v>
      </c>
      <c r="AE64" s="67" t="str">
        <f t="shared" si="18"/>
        <v>SLOW SELLING</v>
      </c>
      <c r="AF64" s="67" t="str">
        <f t="shared" si="19"/>
        <v>AT RISK</v>
      </c>
      <c r="AG64" s="67" t="str">
        <f t="shared" si="20"/>
        <v>FEASIBLE</v>
      </c>
      <c r="AH64" s="73" t="str">
        <f t="shared" ca="1" si="21"/>
        <v>MONITOR</v>
      </c>
    </row>
    <row r="65" spans="1:34" x14ac:dyDescent="0.35">
      <c r="A65" s="25" t="s">
        <v>79</v>
      </c>
      <c r="B65" s="10" t="s">
        <v>321</v>
      </c>
      <c r="C65" s="10" t="s">
        <v>341</v>
      </c>
      <c r="D65" s="10" t="s">
        <v>346</v>
      </c>
      <c r="E65" s="11">
        <v>45871</v>
      </c>
      <c r="F65" s="17">
        <v>45892</v>
      </c>
      <c r="G65" s="14">
        <f t="shared" ca="1" si="1"/>
        <v>207</v>
      </c>
      <c r="H65" s="17">
        <v>799</v>
      </c>
      <c r="I65" s="17">
        <v>425</v>
      </c>
      <c r="J65" s="53">
        <f t="shared" si="2"/>
        <v>1198</v>
      </c>
      <c r="K65" s="17">
        <v>1300</v>
      </c>
      <c r="L65" s="66">
        <v>102</v>
      </c>
      <c r="M65" s="52">
        <f t="shared" ca="1" si="3"/>
        <v>0.49275362318840582</v>
      </c>
      <c r="N65" s="50">
        <f t="shared" si="4"/>
        <v>0.92883099285538351</v>
      </c>
      <c r="O65" s="52">
        <f t="shared" si="5"/>
        <v>0.31097560975609756</v>
      </c>
      <c r="P65" s="56">
        <f t="shared" si="6"/>
        <v>25.5</v>
      </c>
      <c r="Q65" s="54">
        <f t="shared" si="7"/>
        <v>46.980392156862742</v>
      </c>
      <c r="R65" s="55">
        <f t="shared" si="8"/>
        <v>46.808510638297875</v>
      </c>
      <c r="S65" s="55">
        <f t="shared" si="9"/>
        <v>7.8461538461538458</v>
      </c>
      <c r="T65" s="13">
        <f t="shared" si="10"/>
        <v>1</v>
      </c>
      <c r="U65" s="13">
        <f t="shared" si="0"/>
        <v>1</v>
      </c>
      <c r="V65" s="13">
        <f t="shared" si="11"/>
        <v>2</v>
      </c>
      <c r="W65" s="13">
        <f t="shared" ca="1" si="12"/>
        <v>3</v>
      </c>
      <c r="X65" s="13">
        <f t="shared" ca="1" si="13"/>
        <v>7</v>
      </c>
      <c r="Y65" s="61" t="str">
        <f t="shared" ca="1" si="14"/>
        <v>MONITOR</v>
      </c>
      <c r="Z65" s="51">
        <v>14</v>
      </c>
      <c r="AA65" s="53">
        <v>46059</v>
      </c>
      <c r="AB65" s="53">
        <f t="shared" si="15"/>
        <v>45920</v>
      </c>
      <c r="AC65" s="72">
        <f t="shared" si="16"/>
        <v>19.857142857142858</v>
      </c>
      <c r="AD65" s="67" t="str">
        <f t="shared" ca="1" si="17"/>
        <v>STABLE</v>
      </c>
      <c r="AE65" s="67" t="str">
        <f t="shared" si="18"/>
        <v>SLOW SELLING</v>
      </c>
      <c r="AF65" s="67" t="str">
        <f t="shared" si="19"/>
        <v>AT RISK</v>
      </c>
      <c r="AG65" s="67" t="str">
        <f t="shared" si="20"/>
        <v>FEASIBLE</v>
      </c>
      <c r="AH65" s="73" t="str">
        <f t="shared" ca="1" si="21"/>
        <v>MONITOR</v>
      </c>
    </row>
    <row r="66" spans="1:34" x14ac:dyDescent="0.35">
      <c r="A66" s="25" t="s">
        <v>80</v>
      </c>
      <c r="B66" s="10" t="s">
        <v>321</v>
      </c>
      <c r="C66" s="10" t="s">
        <v>341</v>
      </c>
      <c r="D66" s="10" t="s">
        <v>346</v>
      </c>
      <c r="E66" s="11">
        <v>45871</v>
      </c>
      <c r="F66" s="17">
        <v>45892</v>
      </c>
      <c r="G66" s="14">
        <f t="shared" ca="1" si="1"/>
        <v>207</v>
      </c>
      <c r="H66" s="17">
        <v>799</v>
      </c>
      <c r="I66" s="17">
        <v>350</v>
      </c>
      <c r="J66" s="53">
        <f t="shared" si="2"/>
        <v>1016</v>
      </c>
      <c r="K66" s="17">
        <v>1200</v>
      </c>
      <c r="L66" s="66">
        <v>184</v>
      </c>
      <c r="M66" s="52">
        <f t="shared" ca="1" si="3"/>
        <v>0.88888888888888884</v>
      </c>
      <c r="N66" s="50">
        <f t="shared" si="4"/>
        <v>0.92883099285538351</v>
      </c>
      <c r="O66" s="52">
        <f t="shared" si="5"/>
        <v>0.56097560975609762</v>
      </c>
      <c r="P66" s="56">
        <f t="shared" si="6"/>
        <v>46.000000000000007</v>
      </c>
      <c r="Q66" s="54">
        <f t="shared" si="7"/>
        <v>22.086956521739125</v>
      </c>
      <c r="R66" s="55">
        <f t="shared" si="8"/>
        <v>56.195244055068841</v>
      </c>
      <c r="S66" s="55">
        <f t="shared" si="9"/>
        <v>15.333333333333332</v>
      </c>
      <c r="T66" s="13">
        <f t="shared" si="10"/>
        <v>1</v>
      </c>
      <c r="U66" s="13">
        <f t="shared" si="0"/>
        <v>1</v>
      </c>
      <c r="V66" s="13">
        <f t="shared" si="11"/>
        <v>2</v>
      </c>
      <c r="W66" s="13">
        <f t="shared" ca="1" si="12"/>
        <v>3</v>
      </c>
      <c r="X66" s="13">
        <f t="shared" ca="1" si="13"/>
        <v>7</v>
      </c>
      <c r="Y66" s="61" t="str">
        <f t="shared" ca="1" si="14"/>
        <v>MONITOR</v>
      </c>
      <c r="Z66" s="51">
        <v>14</v>
      </c>
      <c r="AA66" s="53">
        <v>46059</v>
      </c>
      <c r="AB66" s="53">
        <f t="shared" si="15"/>
        <v>45920</v>
      </c>
      <c r="AC66" s="72">
        <f t="shared" si="16"/>
        <v>19.857142857142858</v>
      </c>
      <c r="AD66" s="67" t="str">
        <f t="shared" ca="1" si="17"/>
        <v>STABLE</v>
      </c>
      <c r="AE66" s="67" t="str">
        <f t="shared" si="18"/>
        <v>SLOW SELLING</v>
      </c>
      <c r="AF66" s="67" t="str">
        <f t="shared" si="19"/>
        <v>AT RISK</v>
      </c>
      <c r="AG66" s="67" t="str">
        <f t="shared" si="20"/>
        <v>FEASIBLE</v>
      </c>
      <c r="AH66" s="73" t="str">
        <f t="shared" ca="1" si="21"/>
        <v>MONITOR</v>
      </c>
    </row>
    <row r="67" spans="1:34" x14ac:dyDescent="0.35">
      <c r="A67" s="25" t="s">
        <v>81</v>
      </c>
      <c r="B67" s="10" t="s">
        <v>321</v>
      </c>
      <c r="C67" s="10" t="s">
        <v>341</v>
      </c>
      <c r="D67" s="10" t="s">
        <v>346</v>
      </c>
      <c r="E67" s="11">
        <v>45920</v>
      </c>
      <c r="F67" s="17">
        <v>45892</v>
      </c>
      <c r="G67" s="14">
        <f t="shared" ref="G67:G130" ca="1" si="22">TODAY()-F67</f>
        <v>207</v>
      </c>
      <c r="H67" s="17">
        <v>799</v>
      </c>
      <c r="I67" s="17">
        <v>350</v>
      </c>
      <c r="J67" s="53">
        <f t="shared" ref="J67:J130" si="23">K67-L67</f>
        <v>1183</v>
      </c>
      <c r="K67" s="17">
        <v>1500</v>
      </c>
      <c r="L67" s="66">
        <v>317</v>
      </c>
      <c r="M67" s="52">
        <f t="shared" ref="M67:M130" ca="1" si="24">L67/G67</f>
        <v>1.5314009661835748</v>
      </c>
      <c r="N67" s="50">
        <f t="shared" ref="N67:N130" si="25">AVERAGEIFS(O:O,C:C,C67)</f>
        <v>0.92883099285538351</v>
      </c>
      <c r="O67" s="52">
        <f t="shared" ref="O67:O130" si="26">L67/328</f>
        <v>0.96646341463414631</v>
      </c>
      <c r="P67" s="56">
        <f t="shared" ref="P67:P130" si="27">O67*82</f>
        <v>79.25</v>
      </c>
      <c r="Q67" s="54">
        <f t="shared" ref="Q67:Q130" si="28">J67/P67</f>
        <v>14.927444794952681</v>
      </c>
      <c r="R67" s="55">
        <f t="shared" ref="R67:R130" si="29">(H67-I67)/H67*100</f>
        <v>56.195244055068841</v>
      </c>
      <c r="S67" s="55">
        <f t="shared" ref="S67:S130" si="30">L67/K67*100</f>
        <v>21.133333333333333</v>
      </c>
      <c r="T67" s="13">
        <f t="shared" ref="T67:T130" si="31">IF(O67&gt;=N67,3,IF(O67&gt;=0.8*N67,2,1))</f>
        <v>3</v>
      </c>
      <c r="U67" s="13">
        <f t="shared" ref="U67:U130" si="32">IF(Q67&lt;=4,3,IF(Q67&lt;=6,2,1))</f>
        <v>1</v>
      </c>
      <c r="V67" s="13">
        <f t="shared" ref="V67:V130" si="33">IF(R67&gt;=60,3,IF(R67&gt;=45,2,1))</f>
        <v>2</v>
      </c>
      <c r="W67" s="13">
        <f t="shared" ref="W67:W130" ca="1" si="34">IF(M67&lt;=10,3,IF(M67&lt;=25,2,1))</f>
        <v>3</v>
      </c>
      <c r="X67" s="13">
        <f t="shared" ref="X67:X130" ca="1" si="35">T67+U67+V67+W67</f>
        <v>9</v>
      </c>
      <c r="Y67" s="61" t="str">
        <f t="shared" ref="Y67:Y130" ca="1" si="36">IFERROR(IF(X67&gt;=9,"RE-BUY",IF(X67&gt;=6,"MONITOR","EXIT")),"EXIT")</f>
        <v>RE-BUY</v>
      </c>
      <c r="Z67" s="51">
        <v>14</v>
      </c>
      <c r="AA67" s="53">
        <v>46059</v>
      </c>
      <c r="AB67" s="53">
        <f t="shared" ref="AB67:AB130" si="37">F67+28</f>
        <v>45920</v>
      </c>
      <c r="AC67" s="72">
        <f t="shared" ref="AC67:AC130" si="38">(AA67-AB67)/7</f>
        <v>19.857142857142858</v>
      </c>
      <c r="AD67" s="67" t="str">
        <f t="shared" ref="AD67:AD130" ca="1" si="39">IF(G67&gt;=21,"STABLE","TOO EARLY")</f>
        <v>STABLE</v>
      </c>
      <c r="AE67" s="67" t="str">
        <f t="shared" ref="AE67:AE130" si="40">IF(O67&gt;=N67,"FAST SELLING","SLOW SELLING")</f>
        <v>FAST SELLING</v>
      </c>
      <c r="AF67" s="67" t="str">
        <f t="shared" ref="AF67:AF130" si="41">IF(U67&lt;=Z67,"AT RISK","SAFE")</f>
        <v>AT RISK</v>
      </c>
      <c r="AG67" s="67" t="str">
        <f t="shared" ref="AG67:AG130" si="42">IF(Z67&lt;=AC67,"FEASIBLE","NOT FEASIBLE")</f>
        <v>FEASIBLE</v>
      </c>
      <c r="AH67" s="73" t="str">
        <f t="shared" ref="AH67:AH130" ca="1" si="43">IF(AND(Y67="RE-BUY",AD67="STABLE",AE67="FAST SELLING",AG67="FEASIBLE"),"IMMEDIATE REBUY","MONITOR")</f>
        <v>IMMEDIATE REBUY</v>
      </c>
    </row>
    <row r="68" spans="1:34" x14ac:dyDescent="0.35">
      <c r="A68" s="25" t="s">
        <v>82</v>
      </c>
      <c r="B68" s="10" t="s">
        <v>321</v>
      </c>
      <c r="C68" s="10" t="s">
        <v>341</v>
      </c>
      <c r="D68" s="10" t="s">
        <v>346</v>
      </c>
      <c r="E68" s="11">
        <v>45920</v>
      </c>
      <c r="F68" s="17">
        <v>45892</v>
      </c>
      <c r="G68" s="14">
        <f t="shared" ca="1" si="22"/>
        <v>207</v>
      </c>
      <c r="H68" s="17">
        <v>799</v>
      </c>
      <c r="I68" s="17">
        <v>425</v>
      </c>
      <c r="J68" s="53">
        <f t="shared" si="23"/>
        <v>1118</v>
      </c>
      <c r="K68" s="17">
        <v>1400</v>
      </c>
      <c r="L68" s="66">
        <v>282</v>
      </c>
      <c r="M68" s="52">
        <f t="shared" ca="1" si="24"/>
        <v>1.3623188405797102</v>
      </c>
      <c r="N68" s="50">
        <f t="shared" si="25"/>
        <v>0.92883099285538351</v>
      </c>
      <c r="O68" s="52">
        <f t="shared" si="26"/>
        <v>0.8597560975609756</v>
      </c>
      <c r="P68" s="56">
        <f t="shared" si="27"/>
        <v>70.5</v>
      </c>
      <c r="Q68" s="54">
        <f t="shared" si="28"/>
        <v>15.858156028368795</v>
      </c>
      <c r="R68" s="55">
        <f t="shared" si="29"/>
        <v>46.808510638297875</v>
      </c>
      <c r="S68" s="55">
        <f t="shared" si="30"/>
        <v>20.142857142857142</v>
      </c>
      <c r="T68" s="13">
        <f t="shared" si="31"/>
        <v>2</v>
      </c>
      <c r="U68" s="13">
        <f t="shared" si="32"/>
        <v>1</v>
      </c>
      <c r="V68" s="13">
        <f t="shared" si="33"/>
        <v>2</v>
      </c>
      <c r="W68" s="13">
        <f t="shared" ca="1" si="34"/>
        <v>3</v>
      </c>
      <c r="X68" s="13">
        <f t="shared" ca="1" si="35"/>
        <v>8</v>
      </c>
      <c r="Y68" s="61" t="str">
        <f t="shared" ca="1" si="36"/>
        <v>MONITOR</v>
      </c>
      <c r="Z68" s="51">
        <v>14</v>
      </c>
      <c r="AA68" s="53">
        <v>46059</v>
      </c>
      <c r="AB68" s="53">
        <f t="shared" si="37"/>
        <v>45920</v>
      </c>
      <c r="AC68" s="72">
        <f t="shared" si="38"/>
        <v>19.857142857142858</v>
      </c>
      <c r="AD68" s="67" t="str">
        <f t="shared" ca="1" si="39"/>
        <v>STABLE</v>
      </c>
      <c r="AE68" s="67" t="str">
        <f t="shared" si="40"/>
        <v>SLOW SELLING</v>
      </c>
      <c r="AF68" s="67" t="str">
        <f t="shared" si="41"/>
        <v>AT RISK</v>
      </c>
      <c r="AG68" s="67" t="str">
        <f t="shared" si="42"/>
        <v>FEASIBLE</v>
      </c>
      <c r="AH68" s="73" t="str">
        <f t="shared" ca="1" si="43"/>
        <v>MONITOR</v>
      </c>
    </row>
    <row r="69" spans="1:34" x14ac:dyDescent="0.35">
      <c r="A69" s="25" t="s">
        <v>83</v>
      </c>
      <c r="B69" s="10" t="s">
        <v>316</v>
      </c>
      <c r="C69" s="10" t="s">
        <v>341</v>
      </c>
      <c r="D69" s="10" t="s">
        <v>346</v>
      </c>
      <c r="E69" s="11">
        <v>45871</v>
      </c>
      <c r="F69" s="17">
        <v>45892</v>
      </c>
      <c r="G69" s="14">
        <f t="shared" ca="1" si="22"/>
        <v>207</v>
      </c>
      <c r="H69" s="17">
        <v>999</v>
      </c>
      <c r="I69" s="17">
        <v>500</v>
      </c>
      <c r="J69" s="53">
        <f t="shared" si="23"/>
        <v>1131</v>
      </c>
      <c r="K69" s="17">
        <v>1200</v>
      </c>
      <c r="L69" s="66">
        <v>69</v>
      </c>
      <c r="M69" s="52">
        <f t="shared" ca="1" si="24"/>
        <v>0.33333333333333331</v>
      </c>
      <c r="N69" s="50">
        <f t="shared" si="25"/>
        <v>0.92883099285538351</v>
      </c>
      <c r="O69" s="52">
        <f t="shared" si="26"/>
        <v>0.21036585365853658</v>
      </c>
      <c r="P69" s="56">
        <f t="shared" si="27"/>
        <v>17.25</v>
      </c>
      <c r="Q69" s="54">
        <f t="shared" si="28"/>
        <v>65.565217391304344</v>
      </c>
      <c r="R69" s="55">
        <f t="shared" si="29"/>
        <v>49.949949949949954</v>
      </c>
      <c r="S69" s="55">
        <f t="shared" si="30"/>
        <v>5.75</v>
      </c>
      <c r="T69" s="13">
        <f t="shared" si="31"/>
        <v>1</v>
      </c>
      <c r="U69" s="13">
        <f t="shared" si="32"/>
        <v>1</v>
      </c>
      <c r="V69" s="13">
        <f t="shared" si="33"/>
        <v>2</v>
      </c>
      <c r="W69" s="13">
        <f t="shared" ca="1" si="34"/>
        <v>3</v>
      </c>
      <c r="X69" s="13">
        <f t="shared" ca="1" si="35"/>
        <v>7</v>
      </c>
      <c r="Y69" s="61" t="str">
        <f t="shared" ca="1" si="36"/>
        <v>MONITOR</v>
      </c>
      <c r="Z69" s="51">
        <v>14</v>
      </c>
      <c r="AA69" s="53">
        <v>46059</v>
      </c>
      <c r="AB69" s="53">
        <f t="shared" si="37"/>
        <v>45920</v>
      </c>
      <c r="AC69" s="72">
        <f t="shared" si="38"/>
        <v>19.857142857142858</v>
      </c>
      <c r="AD69" s="67" t="str">
        <f t="shared" ca="1" si="39"/>
        <v>STABLE</v>
      </c>
      <c r="AE69" s="67" t="str">
        <f t="shared" si="40"/>
        <v>SLOW SELLING</v>
      </c>
      <c r="AF69" s="67" t="str">
        <f t="shared" si="41"/>
        <v>AT RISK</v>
      </c>
      <c r="AG69" s="67" t="str">
        <f t="shared" si="42"/>
        <v>FEASIBLE</v>
      </c>
      <c r="AH69" s="73" t="str">
        <f t="shared" ca="1" si="43"/>
        <v>MONITOR</v>
      </c>
    </row>
    <row r="70" spans="1:34" x14ac:dyDescent="0.35">
      <c r="A70" s="25" t="s">
        <v>84</v>
      </c>
      <c r="B70" s="10" t="s">
        <v>321</v>
      </c>
      <c r="C70" s="10" t="s">
        <v>341</v>
      </c>
      <c r="D70" s="10" t="s">
        <v>346</v>
      </c>
      <c r="E70" s="11">
        <v>45920</v>
      </c>
      <c r="F70" s="17">
        <v>45892</v>
      </c>
      <c r="G70" s="14">
        <f t="shared" ca="1" si="22"/>
        <v>207</v>
      </c>
      <c r="H70" s="17">
        <v>799</v>
      </c>
      <c r="I70" s="17">
        <v>413</v>
      </c>
      <c r="J70" s="53">
        <f t="shared" si="23"/>
        <v>1544</v>
      </c>
      <c r="K70" s="17">
        <v>1600</v>
      </c>
      <c r="L70" s="66">
        <v>56</v>
      </c>
      <c r="M70" s="52">
        <f t="shared" ca="1" si="24"/>
        <v>0.27053140096618356</v>
      </c>
      <c r="N70" s="50">
        <f t="shared" si="25"/>
        <v>0.92883099285538351</v>
      </c>
      <c r="O70" s="52">
        <f t="shared" si="26"/>
        <v>0.17073170731707318</v>
      </c>
      <c r="P70" s="56">
        <f t="shared" si="27"/>
        <v>14.000000000000002</v>
      </c>
      <c r="Q70" s="54">
        <f t="shared" si="28"/>
        <v>110.28571428571428</v>
      </c>
      <c r="R70" s="55">
        <f t="shared" si="29"/>
        <v>48.310387984981226</v>
      </c>
      <c r="S70" s="55">
        <f t="shared" si="30"/>
        <v>3.5000000000000004</v>
      </c>
      <c r="T70" s="13">
        <f t="shared" si="31"/>
        <v>1</v>
      </c>
      <c r="U70" s="13">
        <f t="shared" si="32"/>
        <v>1</v>
      </c>
      <c r="V70" s="13">
        <f t="shared" si="33"/>
        <v>2</v>
      </c>
      <c r="W70" s="13">
        <f t="shared" ca="1" si="34"/>
        <v>3</v>
      </c>
      <c r="X70" s="13">
        <f t="shared" ca="1" si="35"/>
        <v>7</v>
      </c>
      <c r="Y70" s="61" t="str">
        <f t="shared" ca="1" si="36"/>
        <v>MONITOR</v>
      </c>
      <c r="Z70" s="51">
        <v>14</v>
      </c>
      <c r="AA70" s="53">
        <v>46059</v>
      </c>
      <c r="AB70" s="53">
        <f t="shared" si="37"/>
        <v>45920</v>
      </c>
      <c r="AC70" s="72">
        <f t="shared" si="38"/>
        <v>19.857142857142858</v>
      </c>
      <c r="AD70" s="67" t="str">
        <f t="shared" ca="1" si="39"/>
        <v>STABLE</v>
      </c>
      <c r="AE70" s="67" t="str">
        <f t="shared" si="40"/>
        <v>SLOW SELLING</v>
      </c>
      <c r="AF70" s="67" t="str">
        <f t="shared" si="41"/>
        <v>AT RISK</v>
      </c>
      <c r="AG70" s="67" t="str">
        <f t="shared" si="42"/>
        <v>FEASIBLE</v>
      </c>
      <c r="AH70" s="73" t="str">
        <f t="shared" ca="1" si="43"/>
        <v>MONITOR</v>
      </c>
    </row>
    <row r="71" spans="1:34" x14ac:dyDescent="0.35">
      <c r="A71" s="25" t="s">
        <v>85</v>
      </c>
      <c r="B71" s="10" t="s">
        <v>316</v>
      </c>
      <c r="C71" s="10" t="s">
        <v>341</v>
      </c>
      <c r="D71" s="10" t="s">
        <v>346</v>
      </c>
      <c r="E71" s="11">
        <v>45871</v>
      </c>
      <c r="F71" s="17">
        <v>45892</v>
      </c>
      <c r="G71" s="14">
        <f t="shared" ca="1" si="22"/>
        <v>207</v>
      </c>
      <c r="H71" s="17">
        <v>799</v>
      </c>
      <c r="I71" s="17">
        <v>455</v>
      </c>
      <c r="J71" s="53">
        <f t="shared" si="23"/>
        <v>1059</v>
      </c>
      <c r="K71" s="17">
        <v>1200</v>
      </c>
      <c r="L71" s="66">
        <v>141</v>
      </c>
      <c r="M71" s="52">
        <f t="shared" ca="1" si="24"/>
        <v>0.6811594202898551</v>
      </c>
      <c r="N71" s="50">
        <f t="shared" si="25"/>
        <v>0.92883099285538351</v>
      </c>
      <c r="O71" s="52">
        <f t="shared" si="26"/>
        <v>0.4298780487804878</v>
      </c>
      <c r="P71" s="56">
        <f t="shared" si="27"/>
        <v>35.25</v>
      </c>
      <c r="Q71" s="54">
        <f t="shared" si="28"/>
        <v>30.042553191489361</v>
      </c>
      <c r="R71" s="55">
        <f t="shared" si="29"/>
        <v>43.053817271589487</v>
      </c>
      <c r="S71" s="55">
        <f t="shared" si="30"/>
        <v>11.75</v>
      </c>
      <c r="T71" s="13">
        <f t="shared" si="31"/>
        <v>1</v>
      </c>
      <c r="U71" s="13">
        <f t="shared" si="32"/>
        <v>1</v>
      </c>
      <c r="V71" s="13">
        <f t="shared" si="33"/>
        <v>1</v>
      </c>
      <c r="W71" s="13">
        <f t="shared" ca="1" si="34"/>
        <v>3</v>
      </c>
      <c r="X71" s="13">
        <f t="shared" ca="1" si="35"/>
        <v>6</v>
      </c>
      <c r="Y71" s="61" t="str">
        <f t="shared" ca="1" si="36"/>
        <v>MONITOR</v>
      </c>
      <c r="Z71" s="51">
        <v>14</v>
      </c>
      <c r="AA71" s="53">
        <v>46059</v>
      </c>
      <c r="AB71" s="53">
        <f t="shared" si="37"/>
        <v>45920</v>
      </c>
      <c r="AC71" s="72">
        <f t="shared" si="38"/>
        <v>19.857142857142858</v>
      </c>
      <c r="AD71" s="67" t="str">
        <f t="shared" ca="1" si="39"/>
        <v>STABLE</v>
      </c>
      <c r="AE71" s="67" t="str">
        <f t="shared" si="40"/>
        <v>SLOW SELLING</v>
      </c>
      <c r="AF71" s="67" t="str">
        <f t="shared" si="41"/>
        <v>AT RISK</v>
      </c>
      <c r="AG71" s="67" t="str">
        <f t="shared" si="42"/>
        <v>FEASIBLE</v>
      </c>
      <c r="AH71" s="73" t="str">
        <f t="shared" ca="1" si="43"/>
        <v>MONITOR</v>
      </c>
    </row>
    <row r="72" spans="1:34" x14ac:dyDescent="0.35">
      <c r="A72" s="25" t="s">
        <v>86</v>
      </c>
      <c r="B72" s="10" t="s">
        <v>316</v>
      </c>
      <c r="C72" s="10" t="s">
        <v>341</v>
      </c>
      <c r="D72" s="10" t="s">
        <v>346</v>
      </c>
      <c r="E72" s="11">
        <v>45871</v>
      </c>
      <c r="F72" s="17">
        <v>45892</v>
      </c>
      <c r="G72" s="14">
        <f t="shared" ca="1" si="22"/>
        <v>207</v>
      </c>
      <c r="H72" s="17">
        <v>799</v>
      </c>
      <c r="I72" s="17">
        <v>455</v>
      </c>
      <c r="J72" s="53">
        <f t="shared" si="23"/>
        <v>777</v>
      </c>
      <c r="K72" s="17">
        <v>1000</v>
      </c>
      <c r="L72" s="66">
        <v>223</v>
      </c>
      <c r="M72" s="52">
        <f t="shared" ca="1" si="24"/>
        <v>1.0772946859903381</v>
      </c>
      <c r="N72" s="50">
        <f t="shared" si="25"/>
        <v>0.92883099285538351</v>
      </c>
      <c r="O72" s="52">
        <f t="shared" si="26"/>
        <v>0.67987804878048785</v>
      </c>
      <c r="P72" s="56">
        <f t="shared" si="27"/>
        <v>55.750000000000007</v>
      </c>
      <c r="Q72" s="54">
        <f t="shared" si="28"/>
        <v>13.937219730941703</v>
      </c>
      <c r="R72" s="55">
        <f t="shared" si="29"/>
        <v>43.053817271589487</v>
      </c>
      <c r="S72" s="55">
        <f t="shared" si="30"/>
        <v>22.3</v>
      </c>
      <c r="T72" s="13">
        <f t="shared" si="31"/>
        <v>1</v>
      </c>
      <c r="U72" s="13">
        <f t="shared" si="32"/>
        <v>1</v>
      </c>
      <c r="V72" s="13">
        <f t="shared" si="33"/>
        <v>1</v>
      </c>
      <c r="W72" s="13">
        <f t="shared" ca="1" si="34"/>
        <v>3</v>
      </c>
      <c r="X72" s="13">
        <f t="shared" ca="1" si="35"/>
        <v>6</v>
      </c>
      <c r="Y72" s="61" t="str">
        <f t="shared" ca="1" si="36"/>
        <v>MONITOR</v>
      </c>
      <c r="Z72" s="51">
        <v>14</v>
      </c>
      <c r="AA72" s="53">
        <v>46059</v>
      </c>
      <c r="AB72" s="53">
        <f t="shared" si="37"/>
        <v>45920</v>
      </c>
      <c r="AC72" s="72">
        <f t="shared" si="38"/>
        <v>19.857142857142858</v>
      </c>
      <c r="AD72" s="67" t="str">
        <f t="shared" ca="1" si="39"/>
        <v>STABLE</v>
      </c>
      <c r="AE72" s="67" t="str">
        <f t="shared" si="40"/>
        <v>SLOW SELLING</v>
      </c>
      <c r="AF72" s="67" t="str">
        <f t="shared" si="41"/>
        <v>AT RISK</v>
      </c>
      <c r="AG72" s="67" t="str">
        <f t="shared" si="42"/>
        <v>FEASIBLE</v>
      </c>
      <c r="AH72" s="73" t="str">
        <f t="shared" ca="1" si="43"/>
        <v>MONITOR</v>
      </c>
    </row>
    <row r="73" spans="1:34" x14ac:dyDescent="0.35">
      <c r="A73" s="25" t="s">
        <v>87</v>
      </c>
      <c r="B73" s="10" t="s">
        <v>316</v>
      </c>
      <c r="C73" s="10" t="s">
        <v>341</v>
      </c>
      <c r="D73" s="10" t="s">
        <v>346</v>
      </c>
      <c r="E73" s="11">
        <v>45871</v>
      </c>
      <c r="F73" s="17">
        <v>45892</v>
      </c>
      <c r="G73" s="14">
        <f t="shared" ca="1" si="22"/>
        <v>207</v>
      </c>
      <c r="H73" s="17">
        <v>799</v>
      </c>
      <c r="I73" s="17">
        <v>390</v>
      </c>
      <c r="J73" s="53">
        <f t="shared" si="23"/>
        <v>640</v>
      </c>
      <c r="K73" s="17">
        <v>800</v>
      </c>
      <c r="L73" s="66">
        <v>160</v>
      </c>
      <c r="M73" s="52">
        <f t="shared" ca="1" si="24"/>
        <v>0.77294685990338163</v>
      </c>
      <c r="N73" s="50">
        <f t="shared" si="25"/>
        <v>0.92883099285538351</v>
      </c>
      <c r="O73" s="52">
        <f t="shared" si="26"/>
        <v>0.48780487804878048</v>
      </c>
      <c r="P73" s="56">
        <f t="shared" si="27"/>
        <v>40</v>
      </c>
      <c r="Q73" s="54">
        <f t="shared" si="28"/>
        <v>16</v>
      </c>
      <c r="R73" s="55">
        <f t="shared" si="29"/>
        <v>51.188986232790988</v>
      </c>
      <c r="S73" s="55">
        <f t="shared" si="30"/>
        <v>20</v>
      </c>
      <c r="T73" s="13">
        <f t="shared" si="31"/>
        <v>1</v>
      </c>
      <c r="U73" s="13">
        <f t="shared" si="32"/>
        <v>1</v>
      </c>
      <c r="V73" s="13">
        <f t="shared" si="33"/>
        <v>2</v>
      </c>
      <c r="W73" s="13">
        <f t="shared" ca="1" si="34"/>
        <v>3</v>
      </c>
      <c r="X73" s="13">
        <f t="shared" ca="1" si="35"/>
        <v>7</v>
      </c>
      <c r="Y73" s="61" t="str">
        <f t="shared" ca="1" si="36"/>
        <v>MONITOR</v>
      </c>
      <c r="Z73" s="51">
        <v>14</v>
      </c>
      <c r="AA73" s="53">
        <v>46059</v>
      </c>
      <c r="AB73" s="53">
        <f t="shared" si="37"/>
        <v>45920</v>
      </c>
      <c r="AC73" s="72">
        <f t="shared" si="38"/>
        <v>19.857142857142858</v>
      </c>
      <c r="AD73" s="67" t="str">
        <f t="shared" ca="1" si="39"/>
        <v>STABLE</v>
      </c>
      <c r="AE73" s="67" t="str">
        <f t="shared" si="40"/>
        <v>SLOW SELLING</v>
      </c>
      <c r="AF73" s="67" t="str">
        <f t="shared" si="41"/>
        <v>AT RISK</v>
      </c>
      <c r="AG73" s="67" t="str">
        <f t="shared" si="42"/>
        <v>FEASIBLE</v>
      </c>
      <c r="AH73" s="73" t="str">
        <f t="shared" ca="1" si="43"/>
        <v>MONITOR</v>
      </c>
    </row>
    <row r="74" spans="1:34" x14ac:dyDescent="0.35">
      <c r="A74" s="25" t="s">
        <v>88</v>
      </c>
      <c r="B74" s="10" t="s">
        <v>316</v>
      </c>
      <c r="C74" s="10" t="s">
        <v>341</v>
      </c>
      <c r="D74" s="10" t="s">
        <v>346</v>
      </c>
      <c r="E74" s="11">
        <v>45871</v>
      </c>
      <c r="F74" s="17">
        <v>45892</v>
      </c>
      <c r="G74" s="14">
        <f t="shared" ca="1" si="22"/>
        <v>207</v>
      </c>
      <c r="H74" s="17">
        <v>799</v>
      </c>
      <c r="I74" s="17">
        <v>390</v>
      </c>
      <c r="J74" s="53">
        <f t="shared" si="23"/>
        <v>564</v>
      </c>
      <c r="K74" s="17">
        <v>800</v>
      </c>
      <c r="L74" s="66">
        <v>236</v>
      </c>
      <c r="M74" s="52">
        <f t="shared" ca="1" si="24"/>
        <v>1.1400966183574879</v>
      </c>
      <c r="N74" s="50">
        <f t="shared" si="25"/>
        <v>0.92883099285538351</v>
      </c>
      <c r="O74" s="52">
        <f t="shared" si="26"/>
        <v>0.71951219512195119</v>
      </c>
      <c r="P74" s="56">
        <f t="shared" si="27"/>
        <v>59</v>
      </c>
      <c r="Q74" s="54">
        <f t="shared" si="28"/>
        <v>9.5593220338983045</v>
      </c>
      <c r="R74" s="55">
        <f t="shared" si="29"/>
        <v>51.188986232790988</v>
      </c>
      <c r="S74" s="55">
        <f t="shared" si="30"/>
        <v>29.5</v>
      </c>
      <c r="T74" s="13">
        <f t="shared" si="31"/>
        <v>1</v>
      </c>
      <c r="U74" s="13">
        <f t="shared" si="32"/>
        <v>1</v>
      </c>
      <c r="V74" s="13">
        <f t="shared" si="33"/>
        <v>2</v>
      </c>
      <c r="W74" s="13">
        <f t="shared" ca="1" si="34"/>
        <v>3</v>
      </c>
      <c r="X74" s="13">
        <f t="shared" ca="1" si="35"/>
        <v>7</v>
      </c>
      <c r="Y74" s="61" t="str">
        <f t="shared" ca="1" si="36"/>
        <v>MONITOR</v>
      </c>
      <c r="Z74" s="51">
        <v>14</v>
      </c>
      <c r="AA74" s="53">
        <v>46059</v>
      </c>
      <c r="AB74" s="53">
        <f t="shared" si="37"/>
        <v>45920</v>
      </c>
      <c r="AC74" s="72">
        <f t="shared" si="38"/>
        <v>19.857142857142858</v>
      </c>
      <c r="AD74" s="67" t="str">
        <f t="shared" ca="1" si="39"/>
        <v>STABLE</v>
      </c>
      <c r="AE74" s="67" t="str">
        <f t="shared" si="40"/>
        <v>SLOW SELLING</v>
      </c>
      <c r="AF74" s="67" t="str">
        <f t="shared" si="41"/>
        <v>AT RISK</v>
      </c>
      <c r="AG74" s="67" t="str">
        <f t="shared" si="42"/>
        <v>FEASIBLE</v>
      </c>
      <c r="AH74" s="73" t="str">
        <f t="shared" ca="1" si="43"/>
        <v>MONITOR</v>
      </c>
    </row>
    <row r="75" spans="1:34" x14ac:dyDescent="0.35">
      <c r="A75" s="25" t="s">
        <v>89</v>
      </c>
      <c r="B75" s="10" t="s">
        <v>316</v>
      </c>
      <c r="C75" s="10" t="s">
        <v>341</v>
      </c>
      <c r="D75" s="10" t="s">
        <v>346</v>
      </c>
      <c r="E75" s="11">
        <v>45976</v>
      </c>
      <c r="F75" s="17">
        <v>45892</v>
      </c>
      <c r="G75" s="14">
        <f t="shared" ca="1" si="22"/>
        <v>207</v>
      </c>
      <c r="H75" s="17">
        <v>799</v>
      </c>
      <c r="I75" s="17">
        <v>390</v>
      </c>
      <c r="J75" s="53">
        <f t="shared" si="23"/>
        <v>500</v>
      </c>
      <c r="K75" s="17">
        <v>800</v>
      </c>
      <c r="L75" s="66">
        <v>300</v>
      </c>
      <c r="M75" s="52">
        <f t="shared" ca="1" si="24"/>
        <v>1.4492753623188406</v>
      </c>
      <c r="N75" s="50">
        <f t="shared" si="25"/>
        <v>0.92883099285538351</v>
      </c>
      <c r="O75" s="52">
        <f t="shared" si="26"/>
        <v>0.91463414634146345</v>
      </c>
      <c r="P75" s="56">
        <f t="shared" si="27"/>
        <v>75</v>
      </c>
      <c r="Q75" s="54">
        <f t="shared" si="28"/>
        <v>6.666666666666667</v>
      </c>
      <c r="R75" s="55">
        <f t="shared" si="29"/>
        <v>51.188986232790988</v>
      </c>
      <c r="S75" s="55">
        <f t="shared" si="30"/>
        <v>37.5</v>
      </c>
      <c r="T75" s="13">
        <f t="shared" si="31"/>
        <v>2</v>
      </c>
      <c r="U75" s="13">
        <f t="shared" si="32"/>
        <v>1</v>
      </c>
      <c r="V75" s="13">
        <f t="shared" si="33"/>
        <v>2</v>
      </c>
      <c r="W75" s="13">
        <f t="shared" ca="1" si="34"/>
        <v>3</v>
      </c>
      <c r="X75" s="13">
        <f t="shared" ca="1" si="35"/>
        <v>8</v>
      </c>
      <c r="Y75" s="61" t="str">
        <f t="shared" ca="1" si="36"/>
        <v>MONITOR</v>
      </c>
      <c r="Z75" s="51">
        <v>14</v>
      </c>
      <c r="AA75" s="53">
        <v>46059</v>
      </c>
      <c r="AB75" s="53">
        <f t="shared" si="37"/>
        <v>45920</v>
      </c>
      <c r="AC75" s="72">
        <f t="shared" si="38"/>
        <v>19.857142857142858</v>
      </c>
      <c r="AD75" s="67" t="str">
        <f t="shared" ca="1" si="39"/>
        <v>STABLE</v>
      </c>
      <c r="AE75" s="67" t="str">
        <f t="shared" si="40"/>
        <v>SLOW SELLING</v>
      </c>
      <c r="AF75" s="67" t="str">
        <f t="shared" si="41"/>
        <v>AT RISK</v>
      </c>
      <c r="AG75" s="67" t="str">
        <f t="shared" si="42"/>
        <v>FEASIBLE</v>
      </c>
      <c r="AH75" s="73" t="str">
        <f t="shared" ca="1" si="43"/>
        <v>MONITOR</v>
      </c>
    </row>
    <row r="76" spans="1:34" x14ac:dyDescent="0.35">
      <c r="A76" s="25" t="s">
        <v>90</v>
      </c>
      <c r="B76" s="10" t="s">
        <v>322</v>
      </c>
      <c r="C76" s="10" t="s">
        <v>341</v>
      </c>
      <c r="D76" s="10" t="s">
        <v>346</v>
      </c>
      <c r="E76" s="11">
        <v>45871</v>
      </c>
      <c r="F76" s="17">
        <v>45892</v>
      </c>
      <c r="G76" s="14">
        <f t="shared" ca="1" si="22"/>
        <v>207</v>
      </c>
      <c r="H76" s="17">
        <v>499</v>
      </c>
      <c r="I76" s="17">
        <v>261</v>
      </c>
      <c r="J76" s="53">
        <f t="shared" si="23"/>
        <v>784</v>
      </c>
      <c r="K76" s="17">
        <v>1000</v>
      </c>
      <c r="L76" s="66">
        <v>216</v>
      </c>
      <c r="M76" s="52">
        <f t="shared" ca="1" si="24"/>
        <v>1.0434782608695652</v>
      </c>
      <c r="N76" s="50">
        <f t="shared" si="25"/>
        <v>0.92883099285538351</v>
      </c>
      <c r="O76" s="52">
        <f t="shared" si="26"/>
        <v>0.65853658536585369</v>
      </c>
      <c r="P76" s="56">
        <f t="shared" si="27"/>
        <v>54</v>
      </c>
      <c r="Q76" s="54">
        <f t="shared" si="28"/>
        <v>14.518518518518519</v>
      </c>
      <c r="R76" s="55">
        <f t="shared" si="29"/>
        <v>47.695390781563127</v>
      </c>
      <c r="S76" s="55">
        <f t="shared" si="30"/>
        <v>21.6</v>
      </c>
      <c r="T76" s="13">
        <f t="shared" si="31"/>
        <v>1</v>
      </c>
      <c r="U76" s="13">
        <f t="shared" si="32"/>
        <v>1</v>
      </c>
      <c r="V76" s="13">
        <f t="shared" si="33"/>
        <v>2</v>
      </c>
      <c r="W76" s="13">
        <f t="shared" ca="1" si="34"/>
        <v>3</v>
      </c>
      <c r="X76" s="13">
        <f t="shared" ca="1" si="35"/>
        <v>7</v>
      </c>
      <c r="Y76" s="61" t="str">
        <f t="shared" ca="1" si="36"/>
        <v>MONITOR</v>
      </c>
      <c r="Z76" s="51">
        <v>14</v>
      </c>
      <c r="AA76" s="53">
        <v>46059</v>
      </c>
      <c r="AB76" s="53">
        <f t="shared" si="37"/>
        <v>45920</v>
      </c>
      <c r="AC76" s="72">
        <f t="shared" si="38"/>
        <v>19.857142857142858</v>
      </c>
      <c r="AD76" s="67" t="str">
        <f t="shared" ca="1" si="39"/>
        <v>STABLE</v>
      </c>
      <c r="AE76" s="67" t="str">
        <f t="shared" si="40"/>
        <v>SLOW SELLING</v>
      </c>
      <c r="AF76" s="67" t="str">
        <f t="shared" si="41"/>
        <v>AT RISK</v>
      </c>
      <c r="AG76" s="67" t="str">
        <f t="shared" si="42"/>
        <v>FEASIBLE</v>
      </c>
      <c r="AH76" s="73" t="str">
        <f t="shared" ca="1" si="43"/>
        <v>MONITOR</v>
      </c>
    </row>
    <row r="77" spans="1:34" x14ac:dyDescent="0.35">
      <c r="A77" s="25" t="s">
        <v>91</v>
      </c>
      <c r="B77" s="10" t="s">
        <v>322</v>
      </c>
      <c r="C77" s="10" t="s">
        <v>341</v>
      </c>
      <c r="D77" s="10" t="s">
        <v>346</v>
      </c>
      <c r="E77" s="11">
        <v>45913</v>
      </c>
      <c r="F77" s="17">
        <v>45892</v>
      </c>
      <c r="G77" s="14">
        <f t="shared" ca="1" si="22"/>
        <v>207</v>
      </c>
      <c r="H77" s="17">
        <v>499</v>
      </c>
      <c r="I77" s="17">
        <v>261</v>
      </c>
      <c r="J77" s="53">
        <f t="shared" si="23"/>
        <v>465</v>
      </c>
      <c r="K77" s="17">
        <v>1000</v>
      </c>
      <c r="L77" s="66">
        <v>535</v>
      </c>
      <c r="M77" s="52">
        <f t="shared" ca="1" si="24"/>
        <v>2.5845410628019323</v>
      </c>
      <c r="N77" s="50">
        <f t="shared" si="25"/>
        <v>0.92883099285538351</v>
      </c>
      <c r="O77" s="52">
        <f t="shared" si="26"/>
        <v>1.6310975609756098</v>
      </c>
      <c r="P77" s="56">
        <f t="shared" si="27"/>
        <v>133.75</v>
      </c>
      <c r="Q77" s="54">
        <f t="shared" si="28"/>
        <v>3.4766355140186915</v>
      </c>
      <c r="R77" s="55">
        <f t="shared" si="29"/>
        <v>47.695390781563127</v>
      </c>
      <c r="S77" s="55">
        <f t="shared" si="30"/>
        <v>53.5</v>
      </c>
      <c r="T77" s="13">
        <f t="shared" si="31"/>
        <v>3</v>
      </c>
      <c r="U77" s="13">
        <f t="shared" si="32"/>
        <v>3</v>
      </c>
      <c r="V77" s="13">
        <f t="shared" si="33"/>
        <v>2</v>
      </c>
      <c r="W77" s="13">
        <f t="shared" ca="1" si="34"/>
        <v>3</v>
      </c>
      <c r="X77" s="13">
        <f t="shared" ca="1" si="35"/>
        <v>11</v>
      </c>
      <c r="Y77" s="61" t="str">
        <f t="shared" ca="1" si="36"/>
        <v>RE-BUY</v>
      </c>
      <c r="Z77" s="51">
        <v>14</v>
      </c>
      <c r="AA77" s="53">
        <v>46059</v>
      </c>
      <c r="AB77" s="53">
        <f t="shared" si="37"/>
        <v>45920</v>
      </c>
      <c r="AC77" s="72">
        <f t="shared" si="38"/>
        <v>19.857142857142858</v>
      </c>
      <c r="AD77" s="67" t="str">
        <f t="shared" ca="1" si="39"/>
        <v>STABLE</v>
      </c>
      <c r="AE77" s="67" t="str">
        <f t="shared" si="40"/>
        <v>FAST SELLING</v>
      </c>
      <c r="AF77" s="67" t="str">
        <f t="shared" si="41"/>
        <v>AT RISK</v>
      </c>
      <c r="AG77" s="67" t="str">
        <f t="shared" si="42"/>
        <v>FEASIBLE</v>
      </c>
      <c r="AH77" s="73" t="str">
        <f t="shared" ca="1" si="43"/>
        <v>IMMEDIATE REBUY</v>
      </c>
    </row>
    <row r="78" spans="1:34" x14ac:dyDescent="0.35">
      <c r="A78" s="25" t="s">
        <v>92</v>
      </c>
      <c r="B78" s="10" t="s">
        <v>322</v>
      </c>
      <c r="C78" s="10" t="s">
        <v>341</v>
      </c>
      <c r="D78" s="10" t="s">
        <v>346</v>
      </c>
      <c r="E78" s="11">
        <v>45871</v>
      </c>
      <c r="F78" s="17">
        <v>45892</v>
      </c>
      <c r="G78" s="14">
        <f t="shared" ca="1" si="22"/>
        <v>207</v>
      </c>
      <c r="H78" s="17">
        <v>499</v>
      </c>
      <c r="I78" s="17">
        <v>261</v>
      </c>
      <c r="J78" s="53">
        <f t="shared" si="23"/>
        <v>879</v>
      </c>
      <c r="K78" s="17">
        <v>1000</v>
      </c>
      <c r="L78" s="66">
        <v>121</v>
      </c>
      <c r="M78" s="52">
        <f t="shared" ca="1" si="24"/>
        <v>0.58454106280193241</v>
      </c>
      <c r="N78" s="50">
        <f t="shared" si="25"/>
        <v>0.92883099285538351</v>
      </c>
      <c r="O78" s="52">
        <f t="shared" si="26"/>
        <v>0.36890243902439024</v>
      </c>
      <c r="P78" s="56">
        <f t="shared" si="27"/>
        <v>30.25</v>
      </c>
      <c r="Q78" s="54">
        <f t="shared" si="28"/>
        <v>29.057851239669422</v>
      </c>
      <c r="R78" s="55">
        <f t="shared" si="29"/>
        <v>47.695390781563127</v>
      </c>
      <c r="S78" s="55">
        <f t="shared" si="30"/>
        <v>12.1</v>
      </c>
      <c r="T78" s="13">
        <f t="shared" si="31"/>
        <v>1</v>
      </c>
      <c r="U78" s="13">
        <f t="shared" si="32"/>
        <v>1</v>
      </c>
      <c r="V78" s="13">
        <f t="shared" si="33"/>
        <v>2</v>
      </c>
      <c r="W78" s="13">
        <f t="shared" ca="1" si="34"/>
        <v>3</v>
      </c>
      <c r="X78" s="13">
        <f t="shared" ca="1" si="35"/>
        <v>7</v>
      </c>
      <c r="Y78" s="61" t="str">
        <f t="shared" ca="1" si="36"/>
        <v>MONITOR</v>
      </c>
      <c r="Z78" s="51">
        <v>14</v>
      </c>
      <c r="AA78" s="53">
        <v>46059</v>
      </c>
      <c r="AB78" s="53">
        <f t="shared" si="37"/>
        <v>45920</v>
      </c>
      <c r="AC78" s="72">
        <f t="shared" si="38"/>
        <v>19.857142857142858</v>
      </c>
      <c r="AD78" s="67" t="str">
        <f t="shared" ca="1" si="39"/>
        <v>STABLE</v>
      </c>
      <c r="AE78" s="67" t="str">
        <f t="shared" si="40"/>
        <v>SLOW SELLING</v>
      </c>
      <c r="AF78" s="67" t="str">
        <f t="shared" si="41"/>
        <v>AT RISK</v>
      </c>
      <c r="AG78" s="67" t="str">
        <f t="shared" si="42"/>
        <v>FEASIBLE</v>
      </c>
      <c r="AH78" s="73" t="str">
        <f t="shared" ca="1" si="43"/>
        <v>MONITOR</v>
      </c>
    </row>
    <row r="79" spans="1:34" x14ac:dyDescent="0.35">
      <c r="A79" s="25" t="s">
        <v>93</v>
      </c>
      <c r="B79" s="10" t="s">
        <v>322</v>
      </c>
      <c r="C79" s="10" t="s">
        <v>341</v>
      </c>
      <c r="D79" s="10" t="s">
        <v>346</v>
      </c>
      <c r="E79" s="11">
        <v>45913</v>
      </c>
      <c r="F79" s="17">
        <v>45892</v>
      </c>
      <c r="G79" s="14">
        <f t="shared" ca="1" si="22"/>
        <v>207</v>
      </c>
      <c r="H79" s="17">
        <v>499</v>
      </c>
      <c r="I79" s="17">
        <v>261</v>
      </c>
      <c r="J79" s="53">
        <f t="shared" si="23"/>
        <v>560</v>
      </c>
      <c r="K79" s="17">
        <v>1000</v>
      </c>
      <c r="L79" s="66">
        <v>440</v>
      </c>
      <c r="M79" s="52">
        <f t="shared" ca="1" si="24"/>
        <v>2.1256038647342996</v>
      </c>
      <c r="N79" s="50">
        <f t="shared" si="25"/>
        <v>0.92883099285538351</v>
      </c>
      <c r="O79" s="52">
        <f t="shared" si="26"/>
        <v>1.3414634146341464</v>
      </c>
      <c r="P79" s="56">
        <f t="shared" si="27"/>
        <v>110</v>
      </c>
      <c r="Q79" s="54">
        <f t="shared" si="28"/>
        <v>5.0909090909090908</v>
      </c>
      <c r="R79" s="55">
        <f t="shared" si="29"/>
        <v>47.695390781563127</v>
      </c>
      <c r="S79" s="55">
        <f t="shared" si="30"/>
        <v>44</v>
      </c>
      <c r="T79" s="13">
        <f t="shared" si="31"/>
        <v>3</v>
      </c>
      <c r="U79" s="13">
        <f t="shared" si="32"/>
        <v>2</v>
      </c>
      <c r="V79" s="13">
        <f t="shared" si="33"/>
        <v>2</v>
      </c>
      <c r="W79" s="13">
        <f t="shared" ca="1" si="34"/>
        <v>3</v>
      </c>
      <c r="X79" s="13">
        <f t="shared" ca="1" si="35"/>
        <v>10</v>
      </c>
      <c r="Y79" s="61" t="str">
        <f t="shared" ca="1" si="36"/>
        <v>RE-BUY</v>
      </c>
      <c r="Z79" s="51">
        <v>14</v>
      </c>
      <c r="AA79" s="53">
        <v>46059</v>
      </c>
      <c r="AB79" s="53">
        <f t="shared" si="37"/>
        <v>45920</v>
      </c>
      <c r="AC79" s="72">
        <f t="shared" si="38"/>
        <v>19.857142857142858</v>
      </c>
      <c r="AD79" s="67" t="str">
        <f t="shared" ca="1" si="39"/>
        <v>STABLE</v>
      </c>
      <c r="AE79" s="67" t="str">
        <f t="shared" si="40"/>
        <v>FAST SELLING</v>
      </c>
      <c r="AF79" s="67" t="str">
        <f t="shared" si="41"/>
        <v>AT RISK</v>
      </c>
      <c r="AG79" s="67" t="str">
        <f t="shared" si="42"/>
        <v>FEASIBLE</v>
      </c>
      <c r="AH79" s="73" t="str">
        <f t="shared" ca="1" si="43"/>
        <v>IMMEDIATE REBUY</v>
      </c>
    </row>
    <row r="80" spans="1:34" x14ac:dyDescent="0.35">
      <c r="A80" s="25" t="s">
        <v>94</v>
      </c>
      <c r="B80" s="10" t="s">
        <v>322</v>
      </c>
      <c r="C80" s="10" t="s">
        <v>341</v>
      </c>
      <c r="D80" s="10" t="s">
        <v>346</v>
      </c>
      <c r="E80" s="11">
        <v>45871</v>
      </c>
      <c r="F80" s="17">
        <v>45892</v>
      </c>
      <c r="G80" s="14">
        <f t="shared" ca="1" si="22"/>
        <v>207</v>
      </c>
      <c r="H80" s="17">
        <v>499</v>
      </c>
      <c r="I80" s="17">
        <v>261</v>
      </c>
      <c r="J80" s="53">
        <f t="shared" si="23"/>
        <v>771</v>
      </c>
      <c r="K80" s="17">
        <v>1000</v>
      </c>
      <c r="L80" s="66">
        <v>229</v>
      </c>
      <c r="M80" s="52">
        <f t="shared" ca="1" si="24"/>
        <v>1.106280193236715</v>
      </c>
      <c r="N80" s="50">
        <f t="shared" si="25"/>
        <v>0.92883099285538351</v>
      </c>
      <c r="O80" s="52">
        <f t="shared" si="26"/>
        <v>0.69817073170731703</v>
      </c>
      <c r="P80" s="56">
        <f t="shared" si="27"/>
        <v>57.249999999999993</v>
      </c>
      <c r="Q80" s="54">
        <f t="shared" si="28"/>
        <v>13.467248908296945</v>
      </c>
      <c r="R80" s="55">
        <f t="shared" si="29"/>
        <v>47.695390781563127</v>
      </c>
      <c r="S80" s="55">
        <f t="shared" si="30"/>
        <v>22.900000000000002</v>
      </c>
      <c r="T80" s="13">
        <f t="shared" si="31"/>
        <v>1</v>
      </c>
      <c r="U80" s="13">
        <f t="shared" si="32"/>
        <v>1</v>
      </c>
      <c r="V80" s="13">
        <f t="shared" si="33"/>
        <v>2</v>
      </c>
      <c r="W80" s="13">
        <f t="shared" ca="1" si="34"/>
        <v>3</v>
      </c>
      <c r="X80" s="13">
        <f t="shared" ca="1" si="35"/>
        <v>7</v>
      </c>
      <c r="Y80" s="61" t="str">
        <f t="shared" ca="1" si="36"/>
        <v>MONITOR</v>
      </c>
      <c r="Z80" s="51">
        <v>14</v>
      </c>
      <c r="AA80" s="53">
        <v>46059</v>
      </c>
      <c r="AB80" s="53">
        <f t="shared" si="37"/>
        <v>45920</v>
      </c>
      <c r="AC80" s="72">
        <f t="shared" si="38"/>
        <v>19.857142857142858</v>
      </c>
      <c r="AD80" s="67" t="str">
        <f t="shared" ca="1" si="39"/>
        <v>STABLE</v>
      </c>
      <c r="AE80" s="67" t="str">
        <f t="shared" si="40"/>
        <v>SLOW SELLING</v>
      </c>
      <c r="AF80" s="67" t="str">
        <f t="shared" si="41"/>
        <v>AT RISK</v>
      </c>
      <c r="AG80" s="67" t="str">
        <f t="shared" si="42"/>
        <v>FEASIBLE</v>
      </c>
      <c r="AH80" s="73" t="str">
        <f t="shared" ca="1" si="43"/>
        <v>MONITOR</v>
      </c>
    </row>
    <row r="81" spans="1:34" x14ac:dyDescent="0.35">
      <c r="A81" s="25" t="s">
        <v>95</v>
      </c>
      <c r="B81" s="10" t="s">
        <v>322</v>
      </c>
      <c r="C81" s="10" t="s">
        <v>341</v>
      </c>
      <c r="D81" s="10" t="s">
        <v>346</v>
      </c>
      <c r="E81" s="11">
        <v>45871</v>
      </c>
      <c r="F81" s="17">
        <v>45892</v>
      </c>
      <c r="G81" s="14">
        <f t="shared" ca="1" si="22"/>
        <v>207</v>
      </c>
      <c r="H81" s="17">
        <v>499</v>
      </c>
      <c r="I81" s="17">
        <v>261</v>
      </c>
      <c r="J81" s="53">
        <f t="shared" si="23"/>
        <v>750</v>
      </c>
      <c r="K81" s="17">
        <v>1000</v>
      </c>
      <c r="L81" s="66">
        <v>250</v>
      </c>
      <c r="M81" s="52">
        <f t="shared" ca="1" si="24"/>
        <v>1.2077294685990339</v>
      </c>
      <c r="N81" s="50">
        <f t="shared" si="25"/>
        <v>0.92883099285538351</v>
      </c>
      <c r="O81" s="52">
        <f t="shared" si="26"/>
        <v>0.76219512195121952</v>
      </c>
      <c r="P81" s="56">
        <f t="shared" si="27"/>
        <v>62.5</v>
      </c>
      <c r="Q81" s="54">
        <f t="shared" si="28"/>
        <v>12</v>
      </c>
      <c r="R81" s="55">
        <f t="shared" si="29"/>
        <v>47.695390781563127</v>
      </c>
      <c r="S81" s="55">
        <f t="shared" si="30"/>
        <v>25</v>
      </c>
      <c r="T81" s="13">
        <f t="shared" si="31"/>
        <v>2</v>
      </c>
      <c r="U81" s="13">
        <f t="shared" si="32"/>
        <v>1</v>
      </c>
      <c r="V81" s="13">
        <f t="shared" si="33"/>
        <v>2</v>
      </c>
      <c r="W81" s="13">
        <f t="shared" ca="1" si="34"/>
        <v>3</v>
      </c>
      <c r="X81" s="13">
        <f t="shared" ca="1" si="35"/>
        <v>8</v>
      </c>
      <c r="Y81" s="61" t="str">
        <f t="shared" ca="1" si="36"/>
        <v>MONITOR</v>
      </c>
      <c r="Z81" s="51">
        <v>14</v>
      </c>
      <c r="AA81" s="53">
        <v>46059</v>
      </c>
      <c r="AB81" s="53">
        <f t="shared" si="37"/>
        <v>45920</v>
      </c>
      <c r="AC81" s="72">
        <f t="shared" si="38"/>
        <v>19.857142857142858</v>
      </c>
      <c r="AD81" s="67" t="str">
        <f t="shared" ca="1" si="39"/>
        <v>STABLE</v>
      </c>
      <c r="AE81" s="67" t="str">
        <f t="shared" si="40"/>
        <v>SLOW SELLING</v>
      </c>
      <c r="AF81" s="67" t="str">
        <f t="shared" si="41"/>
        <v>AT RISK</v>
      </c>
      <c r="AG81" s="67" t="str">
        <f t="shared" si="42"/>
        <v>FEASIBLE</v>
      </c>
      <c r="AH81" s="73" t="str">
        <f t="shared" ca="1" si="43"/>
        <v>MONITOR</v>
      </c>
    </row>
    <row r="82" spans="1:34" x14ac:dyDescent="0.35">
      <c r="A82" s="25" t="s">
        <v>96</v>
      </c>
      <c r="B82" s="10" t="s">
        <v>322</v>
      </c>
      <c r="C82" s="10" t="s">
        <v>341</v>
      </c>
      <c r="D82" s="10" t="s">
        <v>346</v>
      </c>
      <c r="E82" s="11">
        <v>45920</v>
      </c>
      <c r="F82" s="17">
        <v>45892</v>
      </c>
      <c r="G82" s="14">
        <f t="shared" ca="1" si="22"/>
        <v>207</v>
      </c>
      <c r="H82" s="17">
        <v>499</v>
      </c>
      <c r="I82" s="17">
        <v>261</v>
      </c>
      <c r="J82" s="53">
        <f t="shared" si="23"/>
        <v>302</v>
      </c>
      <c r="K82" s="17">
        <v>750</v>
      </c>
      <c r="L82" s="66">
        <v>448</v>
      </c>
      <c r="M82" s="52">
        <f t="shared" ca="1" si="24"/>
        <v>2.1642512077294684</v>
      </c>
      <c r="N82" s="50">
        <f t="shared" si="25"/>
        <v>0.92883099285538351</v>
      </c>
      <c r="O82" s="52">
        <f t="shared" si="26"/>
        <v>1.3658536585365855</v>
      </c>
      <c r="P82" s="56">
        <f t="shared" si="27"/>
        <v>112.00000000000001</v>
      </c>
      <c r="Q82" s="54">
        <f t="shared" si="28"/>
        <v>2.6964285714285712</v>
      </c>
      <c r="R82" s="55">
        <f t="shared" si="29"/>
        <v>47.695390781563127</v>
      </c>
      <c r="S82" s="55">
        <f t="shared" si="30"/>
        <v>59.733333333333341</v>
      </c>
      <c r="T82" s="13">
        <f t="shared" si="31"/>
        <v>3</v>
      </c>
      <c r="U82" s="13">
        <f t="shared" si="32"/>
        <v>3</v>
      </c>
      <c r="V82" s="13">
        <f t="shared" si="33"/>
        <v>2</v>
      </c>
      <c r="W82" s="13">
        <f t="shared" ca="1" si="34"/>
        <v>3</v>
      </c>
      <c r="X82" s="13">
        <f t="shared" ca="1" si="35"/>
        <v>11</v>
      </c>
      <c r="Y82" s="61" t="str">
        <f t="shared" ca="1" si="36"/>
        <v>RE-BUY</v>
      </c>
      <c r="Z82" s="51">
        <v>14</v>
      </c>
      <c r="AA82" s="53">
        <v>46059</v>
      </c>
      <c r="AB82" s="53">
        <f t="shared" si="37"/>
        <v>45920</v>
      </c>
      <c r="AC82" s="72">
        <f t="shared" si="38"/>
        <v>19.857142857142858</v>
      </c>
      <c r="AD82" s="67" t="str">
        <f t="shared" ca="1" si="39"/>
        <v>STABLE</v>
      </c>
      <c r="AE82" s="67" t="str">
        <f t="shared" si="40"/>
        <v>FAST SELLING</v>
      </c>
      <c r="AF82" s="67" t="str">
        <f t="shared" si="41"/>
        <v>AT RISK</v>
      </c>
      <c r="AG82" s="67" t="str">
        <f t="shared" si="42"/>
        <v>FEASIBLE</v>
      </c>
      <c r="AH82" s="73" t="str">
        <f t="shared" ca="1" si="43"/>
        <v>IMMEDIATE REBUY</v>
      </c>
    </row>
    <row r="83" spans="1:34" x14ac:dyDescent="0.35">
      <c r="A83" s="25" t="s">
        <v>97</v>
      </c>
      <c r="B83" s="10" t="s">
        <v>322</v>
      </c>
      <c r="C83" s="10" t="s">
        <v>341</v>
      </c>
      <c r="D83" s="10" t="s">
        <v>346</v>
      </c>
      <c r="E83" s="11">
        <v>45920</v>
      </c>
      <c r="F83" s="17">
        <v>45892</v>
      </c>
      <c r="G83" s="14">
        <f t="shared" ca="1" si="22"/>
        <v>207</v>
      </c>
      <c r="H83" s="17">
        <v>499</v>
      </c>
      <c r="I83" s="17">
        <v>261</v>
      </c>
      <c r="J83" s="53">
        <f t="shared" si="23"/>
        <v>234</v>
      </c>
      <c r="K83" s="17">
        <v>750</v>
      </c>
      <c r="L83" s="66">
        <v>516</v>
      </c>
      <c r="M83" s="52">
        <f t="shared" ca="1" si="24"/>
        <v>2.4927536231884058</v>
      </c>
      <c r="N83" s="50">
        <f t="shared" si="25"/>
        <v>0.92883099285538351</v>
      </c>
      <c r="O83" s="52">
        <f t="shared" si="26"/>
        <v>1.5731707317073171</v>
      </c>
      <c r="P83" s="56">
        <f t="shared" si="27"/>
        <v>129</v>
      </c>
      <c r="Q83" s="54">
        <f t="shared" si="28"/>
        <v>1.8139534883720929</v>
      </c>
      <c r="R83" s="55">
        <f t="shared" si="29"/>
        <v>47.695390781563127</v>
      </c>
      <c r="S83" s="55">
        <f t="shared" si="30"/>
        <v>68.8</v>
      </c>
      <c r="T83" s="13">
        <f t="shared" si="31"/>
        <v>3</v>
      </c>
      <c r="U83" s="13">
        <f t="shared" si="32"/>
        <v>3</v>
      </c>
      <c r="V83" s="13">
        <f t="shared" si="33"/>
        <v>2</v>
      </c>
      <c r="W83" s="13">
        <f t="shared" ca="1" si="34"/>
        <v>3</v>
      </c>
      <c r="X83" s="13">
        <f t="shared" ca="1" si="35"/>
        <v>11</v>
      </c>
      <c r="Y83" s="61" t="str">
        <f t="shared" ca="1" si="36"/>
        <v>RE-BUY</v>
      </c>
      <c r="Z83" s="51">
        <v>14</v>
      </c>
      <c r="AA83" s="53">
        <v>46059</v>
      </c>
      <c r="AB83" s="53">
        <f t="shared" si="37"/>
        <v>45920</v>
      </c>
      <c r="AC83" s="72">
        <f t="shared" si="38"/>
        <v>19.857142857142858</v>
      </c>
      <c r="AD83" s="67" t="str">
        <f t="shared" ca="1" si="39"/>
        <v>STABLE</v>
      </c>
      <c r="AE83" s="67" t="str">
        <f t="shared" si="40"/>
        <v>FAST SELLING</v>
      </c>
      <c r="AF83" s="67" t="str">
        <f t="shared" si="41"/>
        <v>AT RISK</v>
      </c>
      <c r="AG83" s="67" t="str">
        <f t="shared" si="42"/>
        <v>FEASIBLE</v>
      </c>
      <c r="AH83" s="73" t="str">
        <f t="shared" ca="1" si="43"/>
        <v>IMMEDIATE REBUY</v>
      </c>
    </row>
    <row r="84" spans="1:34" x14ac:dyDescent="0.35">
      <c r="A84" s="25" t="s">
        <v>98</v>
      </c>
      <c r="B84" s="10" t="s">
        <v>322</v>
      </c>
      <c r="C84" s="10" t="s">
        <v>341</v>
      </c>
      <c r="D84" s="10" t="s">
        <v>346</v>
      </c>
      <c r="E84" s="11">
        <v>45920</v>
      </c>
      <c r="F84" s="17">
        <v>45892</v>
      </c>
      <c r="G84" s="14">
        <f t="shared" ca="1" si="22"/>
        <v>207</v>
      </c>
      <c r="H84" s="17">
        <v>499</v>
      </c>
      <c r="I84" s="17">
        <v>261</v>
      </c>
      <c r="J84" s="53">
        <f t="shared" si="23"/>
        <v>330</v>
      </c>
      <c r="K84" s="17">
        <v>750</v>
      </c>
      <c r="L84" s="66">
        <v>420</v>
      </c>
      <c r="M84" s="52">
        <f t="shared" ca="1" si="24"/>
        <v>2.0289855072463769</v>
      </c>
      <c r="N84" s="50">
        <f t="shared" si="25"/>
        <v>0.92883099285538351</v>
      </c>
      <c r="O84" s="52">
        <f t="shared" si="26"/>
        <v>1.2804878048780488</v>
      </c>
      <c r="P84" s="56">
        <f t="shared" si="27"/>
        <v>105</v>
      </c>
      <c r="Q84" s="54">
        <f t="shared" si="28"/>
        <v>3.1428571428571428</v>
      </c>
      <c r="R84" s="55">
        <f t="shared" si="29"/>
        <v>47.695390781563127</v>
      </c>
      <c r="S84" s="55">
        <f t="shared" si="30"/>
        <v>56.000000000000007</v>
      </c>
      <c r="T84" s="13">
        <f t="shared" si="31"/>
        <v>3</v>
      </c>
      <c r="U84" s="13">
        <f t="shared" si="32"/>
        <v>3</v>
      </c>
      <c r="V84" s="13">
        <f t="shared" si="33"/>
        <v>2</v>
      </c>
      <c r="W84" s="13">
        <f t="shared" ca="1" si="34"/>
        <v>3</v>
      </c>
      <c r="X84" s="13">
        <f t="shared" ca="1" si="35"/>
        <v>11</v>
      </c>
      <c r="Y84" s="61" t="str">
        <f t="shared" ca="1" si="36"/>
        <v>RE-BUY</v>
      </c>
      <c r="Z84" s="51">
        <v>14</v>
      </c>
      <c r="AA84" s="53">
        <v>46059</v>
      </c>
      <c r="AB84" s="53">
        <f t="shared" si="37"/>
        <v>45920</v>
      </c>
      <c r="AC84" s="72">
        <f t="shared" si="38"/>
        <v>19.857142857142858</v>
      </c>
      <c r="AD84" s="67" t="str">
        <f t="shared" ca="1" si="39"/>
        <v>STABLE</v>
      </c>
      <c r="AE84" s="67" t="str">
        <f t="shared" si="40"/>
        <v>FAST SELLING</v>
      </c>
      <c r="AF84" s="67" t="str">
        <f t="shared" si="41"/>
        <v>AT RISK</v>
      </c>
      <c r="AG84" s="67" t="str">
        <f t="shared" si="42"/>
        <v>FEASIBLE</v>
      </c>
      <c r="AH84" s="73" t="str">
        <f t="shared" ca="1" si="43"/>
        <v>IMMEDIATE REBUY</v>
      </c>
    </row>
    <row r="85" spans="1:34" x14ac:dyDescent="0.35">
      <c r="A85" s="25" t="s">
        <v>99</v>
      </c>
      <c r="B85" s="15" t="s">
        <v>323</v>
      </c>
      <c r="C85" s="10" t="s">
        <v>343</v>
      </c>
      <c r="D85" s="10" t="s">
        <v>346</v>
      </c>
      <c r="E85" s="11">
        <v>45920</v>
      </c>
      <c r="F85" s="17">
        <v>45892</v>
      </c>
      <c r="G85" s="14">
        <f t="shared" ca="1" si="22"/>
        <v>207</v>
      </c>
      <c r="H85" s="17">
        <v>699</v>
      </c>
      <c r="I85" s="17">
        <v>338</v>
      </c>
      <c r="J85" s="53">
        <f t="shared" si="23"/>
        <v>687</v>
      </c>
      <c r="K85" s="17">
        <v>1050</v>
      </c>
      <c r="L85" s="66">
        <v>363</v>
      </c>
      <c r="M85" s="52">
        <f t="shared" ca="1" si="24"/>
        <v>1.7536231884057971</v>
      </c>
      <c r="N85" s="50">
        <f t="shared" si="25"/>
        <v>0.56143292682926838</v>
      </c>
      <c r="O85" s="52">
        <f t="shared" si="26"/>
        <v>1.1067073170731707</v>
      </c>
      <c r="P85" s="56">
        <f t="shared" si="27"/>
        <v>90.75</v>
      </c>
      <c r="Q85" s="54">
        <f t="shared" si="28"/>
        <v>7.5702479338842972</v>
      </c>
      <c r="R85" s="55">
        <f t="shared" si="29"/>
        <v>51.645207439198856</v>
      </c>
      <c r="S85" s="55">
        <f t="shared" si="30"/>
        <v>34.571428571428569</v>
      </c>
      <c r="T85" s="13">
        <f t="shared" si="31"/>
        <v>3</v>
      </c>
      <c r="U85" s="13">
        <f t="shared" si="32"/>
        <v>1</v>
      </c>
      <c r="V85" s="13">
        <f t="shared" si="33"/>
        <v>2</v>
      </c>
      <c r="W85" s="13">
        <f t="shared" ca="1" si="34"/>
        <v>3</v>
      </c>
      <c r="X85" s="13">
        <f t="shared" ca="1" si="35"/>
        <v>9</v>
      </c>
      <c r="Y85" s="61" t="str">
        <f t="shared" ca="1" si="36"/>
        <v>RE-BUY</v>
      </c>
      <c r="Z85" s="51">
        <v>14</v>
      </c>
      <c r="AA85" s="53">
        <v>46059</v>
      </c>
      <c r="AB85" s="53">
        <f t="shared" si="37"/>
        <v>45920</v>
      </c>
      <c r="AC85" s="72">
        <f t="shared" si="38"/>
        <v>19.857142857142858</v>
      </c>
      <c r="AD85" s="67" t="str">
        <f t="shared" ca="1" si="39"/>
        <v>STABLE</v>
      </c>
      <c r="AE85" s="67" t="str">
        <f t="shared" si="40"/>
        <v>FAST SELLING</v>
      </c>
      <c r="AF85" s="67" t="str">
        <f t="shared" si="41"/>
        <v>AT RISK</v>
      </c>
      <c r="AG85" s="67" t="str">
        <f t="shared" si="42"/>
        <v>FEASIBLE</v>
      </c>
      <c r="AH85" s="73" t="str">
        <f t="shared" ca="1" si="43"/>
        <v>IMMEDIATE REBUY</v>
      </c>
    </row>
    <row r="86" spans="1:34" x14ac:dyDescent="0.35">
      <c r="A86" s="25" t="s">
        <v>100</v>
      </c>
      <c r="B86" s="15" t="s">
        <v>323</v>
      </c>
      <c r="C86" s="10" t="s">
        <v>343</v>
      </c>
      <c r="D86" s="10" t="s">
        <v>346</v>
      </c>
      <c r="E86" s="11">
        <v>45920</v>
      </c>
      <c r="F86" s="17">
        <v>45892</v>
      </c>
      <c r="G86" s="14">
        <f t="shared" ca="1" si="22"/>
        <v>207</v>
      </c>
      <c r="H86" s="17">
        <v>699</v>
      </c>
      <c r="I86" s="17">
        <v>338</v>
      </c>
      <c r="J86" s="53">
        <f t="shared" si="23"/>
        <v>830</v>
      </c>
      <c r="K86" s="17">
        <v>1050</v>
      </c>
      <c r="L86" s="66">
        <v>220</v>
      </c>
      <c r="M86" s="52">
        <f t="shared" ca="1" si="24"/>
        <v>1.0628019323671498</v>
      </c>
      <c r="N86" s="50">
        <f t="shared" si="25"/>
        <v>0.56143292682926838</v>
      </c>
      <c r="O86" s="52">
        <f t="shared" si="26"/>
        <v>0.67073170731707321</v>
      </c>
      <c r="P86" s="56">
        <f t="shared" si="27"/>
        <v>55</v>
      </c>
      <c r="Q86" s="54">
        <f t="shared" si="28"/>
        <v>15.090909090909092</v>
      </c>
      <c r="R86" s="55">
        <f t="shared" si="29"/>
        <v>51.645207439198856</v>
      </c>
      <c r="S86" s="55">
        <f t="shared" si="30"/>
        <v>20.952380952380953</v>
      </c>
      <c r="T86" s="13">
        <f t="shared" si="31"/>
        <v>3</v>
      </c>
      <c r="U86" s="13">
        <f t="shared" si="32"/>
        <v>1</v>
      </c>
      <c r="V86" s="13">
        <f t="shared" si="33"/>
        <v>2</v>
      </c>
      <c r="W86" s="13">
        <f t="shared" ca="1" si="34"/>
        <v>3</v>
      </c>
      <c r="X86" s="13">
        <f t="shared" ca="1" si="35"/>
        <v>9</v>
      </c>
      <c r="Y86" s="61" t="str">
        <f t="shared" ca="1" si="36"/>
        <v>RE-BUY</v>
      </c>
      <c r="Z86" s="51">
        <v>14</v>
      </c>
      <c r="AA86" s="53">
        <v>46059</v>
      </c>
      <c r="AB86" s="53">
        <f t="shared" si="37"/>
        <v>45920</v>
      </c>
      <c r="AC86" s="72">
        <f t="shared" si="38"/>
        <v>19.857142857142858</v>
      </c>
      <c r="AD86" s="67" t="str">
        <f t="shared" ca="1" si="39"/>
        <v>STABLE</v>
      </c>
      <c r="AE86" s="67" t="str">
        <f t="shared" si="40"/>
        <v>FAST SELLING</v>
      </c>
      <c r="AF86" s="67" t="str">
        <f t="shared" si="41"/>
        <v>AT RISK</v>
      </c>
      <c r="AG86" s="67" t="str">
        <f t="shared" si="42"/>
        <v>FEASIBLE</v>
      </c>
      <c r="AH86" s="73" t="str">
        <f t="shared" ca="1" si="43"/>
        <v>IMMEDIATE REBUY</v>
      </c>
    </row>
    <row r="87" spans="1:34" x14ac:dyDescent="0.35">
      <c r="A87" s="25" t="s">
        <v>101</v>
      </c>
      <c r="B87" s="15" t="s">
        <v>323</v>
      </c>
      <c r="C87" s="10" t="s">
        <v>343</v>
      </c>
      <c r="D87" s="10" t="s">
        <v>346</v>
      </c>
      <c r="E87" s="11">
        <v>45920</v>
      </c>
      <c r="F87" s="17">
        <v>45892</v>
      </c>
      <c r="G87" s="14">
        <f t="shared" ca="1" si="22"/>
        <v>207</v>
      </c>
      <c r="H87" s="17">
        <v>699</v>
      </c>
      <c r="I87" s="17">
        <v>338</v>
      </c>
      <c r="J87" s="53">
        <f t="shared" si="23"/>
        <v>834</v>
      </c>
      <c r="K87" s="17">
        <v>1050</v>
      </c>
      <c r="L87" s="66">
        <v>216</v>
      </c>
      <c r="M87" s="52">
        <f t="shared" ca="1" si="24"/>
        <v>1.0434782608695652</v>
      </c>
      <c r="N87" s="50">
        <f t="shared" si="25"/>
        <v>0.56143292682926838</v>
      </c>
      <c r="O87" s="52">
        <f t="shared" si="26"/>
        <v>0.65853658536585369</v>
      </c>
      <c r="P87" s="56">
        <f t="shared" si="27"/>
        <v>54</v>
      </c>
      <c r="Q87" s="54">
        <f t="shared" si="28"/>
        <v>15.444444444444445</v>
      </c>
      <c r="R87" s="55">
        <f t="shared" si="29"/>
        <v>51.645207439198856</v>
      </c>
      <c r="S87" s="55">
        <f t="shared" si="30"/>
        <v>20.571428571428569</v>
      </c>
      <c r="T87" s="13">
        <f t="shared" si="31"/>
        <v>3</v>
      </c>
      <c r="U87" s="13">
        <f t="shared" si="32"/>
        <v>1</v>
      </c>
      <c r="V87" s="13">
        <f t="shared" si="33"/>
        <v>2</v>
      </c>
      <c r="W87" s="13">
        <f t="shared" ca="1" si="34"/>
        <v>3</v>
      </c>
      <c r="X87" s="13">
        <f t="shared" ca="1" si="35"/>
        <v>9</v>
      </c>
      <c r="Y87" s="61" t="str">
        <f t="shared" ca="1" si="36"/>
        <v>RE-BUY</v>
      </c>
      <c r="Z87" s="51">
        <v>14</v>
      </c>
      <c r="AA87" s="53">
        <v>46059</v>
      </c>
      <c r="AB87" s="53">
        <f t="shared" si="37"/>
        <v>45920</v>
      </c>
      <c r="AC87" s="72">
        <f t="shared" si="38"/>
        <v>19.857142857142858</v>
      </c>
      <c r="AD87" s="67" t="str">
        <f t="shared" ca="1" si="39"/>
        <v>STABLE</v>
      </c>
      <c r="AE87" s="67" t="str">
        <f t="shared" si="40"/>
        <v>FAST SELLING</v>
      </c>
      <c r="AF87" s="67" t="str">
        <f t="shared" si="41"/>
        <v>AT RISK</v>
      </c>
      <c r="AG87" s="67" t="str">
        <f t="shared" si="42"/>
        <v>FEASIBLE</v>
      </c>
      <c r="AH87" s="73" t="str">
        <f t="shared" ca="1" si="43"/>
        <v>IMMEDIATE REBUY</v>
      </c>
    </row>
    <row r="88" spans="1:34" x14ac:dyDescent="0.35">
      <c r="A88" s="25" t="s">
        <v>102</v>
      </c>
      <c r="B88" s="15" t="s">
        <v>323</v>
      </c>
      <c r="C88" s="10" t="s">
        <v>343</v>
      </c>
      <c r="D88" s="10" t="s">
        <v>346</v>
      </c>
      <c r="E88" s="11">
        <v>45920</v>
      </c>
      <c r="F88" s="17">
        <v>45892</v>
      </c>
      <c r="G88" s="14">
        <f t="shared" ca="1" si="22"/>
        <v>207</v>
      </c>
      <c r="H88" s="17">
        <v>699</v>
      </c>
      <c r="I88" s="17">
        <v>338</v>
      </c>
      <c r="J88" s="53">
        <f t="shared" si="23"/>
        <v>598</v>
      </c>
      <c r="K88" s="17">
        <v>1050</v>
      </c>
      <c r="L88" s="66">
        <v>452</v>
      </c>
      <c r="M88" s="52">
        <f t="shared" ca="1" si="24"/>
        <v>2.1835748792270531</v>
      </c>
      <c r="N88" s="50">
        <f t="shared" si="25"/>
        <v>0.56143292682926838</v>
      </c>
      <c r="O88" s="52">
        <f t="shared" si="26"/>
        <v>1.3780487804878048</v>
      </c>
      <c r="P88" s="56">
        <f t="shared" si="27"/>
        <v>112.99999999999999</v>
      </c>
      <c r="Q88" s="54">
        <f t="shared" si="28"/>
        <v>5.2920353982300892</v>
      </c>
      <c r="R88" s="55">
        <f t="shared" si="29"/>
        <v>51.645207439198856</v>
      </c>
      <c r="S88" s="55">
        <f t="shared" si="30"/>
        <v>43.047619047619044</v>
      </c>
      <c r="T88" s="13">
        <f t="shared" si="31"/>
        <v>3</v>
      </c>
      <c r="U88" s="13">
        <f t="shared" si="32"/>
        <v>2</v>
      </c>
      <c r="V88" s="13">
        <f t="shared" si="33"/>
        <v>2</v>
      </c>
      <c r="W88" s="13">
        <f t="shared" ca="1" si="34"/>
        <v>3</v>
      </c>
      <c r="X88" s="13">
        <f t="shared" ca="1" si="35"/>
        <v>10</v>
      </c>
      <c r="Y88" s="61" t="str">
        <f t="shared" ca="1" si="36"/>
        <v>RE-BUY</v>
      </c>
      <c r="Z88" s="51">
        <v>14</v>
      </c>
      <c r="AA88" s="53">
        <v>46059</v>
      </c>
      <c r="AB88" s="53">
        <f t="shared" si="37"/>
        <v>45920</v>
      </c>
      <c r="AC88" s="72">
        <f t="shared" si="38"/>
        <v>19.857142857142858</v>
      </c>
      <c r="AD88" s="67" t="str">
        <f t="shared" ca="1" si="39"/>
        <v>STABLE</v>
      </c>
      <c r="AE88" s="67" t="str">
        <f t="shared" si="40"/>
        <v>FAST SELLING</v>
      </c>
      <c r="AF88" s="67" t="str">
        <f t="shared" si="41"/>
        <v>AT RISK</v>
      </c>
      <c r="AG88" s="67" t="str">
        <f t="shared" si="42"/>
        <v>FEASIBLE</v>
      </c>
      <c r="AH88" s="73" t="str">
        <f t="shared" ca="1" si="43"/>
        <v>IMMEDIATE REBUY</v>
      </c>
    </row>
    <row r="89" spans="1:34" x14ac:dyDescent="0.35">
      <c r="A89" s="25" t="s">
        <v>103</v>
      </c>
      <c r="B89" s="10" t="s">
        <v>324</v>
      </c>
      <c r="C89" s="10" t="s">
        <v>344</v>
      </c>
      <c r="D89" s="10" t="s">
        <v>346</v>
      </c>
      <c r="E89" s="11">
        <v>45878</v>
      </c>
      <c r="F89" s="17">
        <v>45892</v>
      </c>
      <c r="G89" s="14">
        <f t="shared" ca="1" si="22"/>
        <v>207</v>
      </c>
      <c r="H89" s="17">
        <v>599</v>
      </c>
      <c r="I89" s="17">
        <v>340</v>
      </c>
      <c r="J89" s="53">
        <f t="shared" si="23"/>
        <v>991</v>
      </c>
      <c r="K89" s="17">
        <v>1050</v>
      </c>
      <c r="L89" s="66">
        <v>59</v>
      </c>
      <c r="M89" s="52">
        <f t="shared" ca="1" si="24"/>
        <v>0.28502415458937197</v>
      </c>
      <c r="N89" s="50">
        <f t="shared" si="25"/>
        <v>0.33193597560975613</v>
      </c>
      <c r="O89" s="52">
        <f t="shared" si="26"/>
        <v>0.1798780487804878</v>
      </c>
      <c r="P89" s="56">
        <f t="shared" si="27"/>
        <v>14.75</v>
      </c>
      <c r="Q89" s="54">
        <f t="shared" si="28"/>
        <v>67.186440677966104</v>
      </c>
      <c r="R89" s="55">
        <f t="shared" si="29"/>
        <v>43.238731218697829</v>
      </c>
      <c r="S89" s="55">
        <f t="shared" si="30"/>
        <v>5.6190476190476195</v>
      </c>
      <c r="T89" s="13">
        <f t="shared" si="31"/>
        <v>1</v>
      </c>
      <c r="U89" s="13">
        <f t="shared" si="32"/>
        <v>1</v>
      </c>
      <c r="V89" s="13">
        <f t="shared" si="33"/>
        <v>1</v>
      </c>
      <c r="W89" s="13">
        <f t="shared" ca="1" si="34"/>
        <v>3</v>
      </c>
      <c r="X89" s="13">
        <f t="shared" ca="1" si="35"/>
        <v>6</v>
      </c>
      <c r="Y89" s="61" t="str">
        <f t="shared" ca="1" si="36"/>
        <v>MONITOR</v>
      </c>
      <c r="Z89" s="51">
        <v>14</v>
      </c>
      <c r="AA89" s="53">
        <v>46059</v>
      </c>
      <c r="AB89" s="53">
        <f t="shared" si="37"/>
        <v>45920</v>
      </c>
      <c r="AC89" s="72">
        <f t="shared" si="38"/>
        <v>19.857142857142858</v>
      </c>
      <c r="AD89" s="67" t="str">
        <f t="shared" ca="1" si="39"/>
        <v>STABLE</v>
      </c>
      <c r="AE89" s="67" t="str">
        <f t="shared" si="40"/>
        <v>SLOW SELLING</v>
      </c>
      <c r="AF89" s="67" t="str">
        <f t="shared" si="41"/>
        <v>AT RISK</v>
      </c>
      <c r="AG89" s="67" t="str">
        <f t="shared" si="42"/>
        <v>FEASIBLE</v>
      </c>
      <c r="AH89" s="73" t="str">
        <f t="shared" ca="1" si="43"/>
        <v>MONITOR</v>
      </c>
    </row>
    <row r="90" spans="1:34" x14ac:dyDescent="0.35">
      <c r="A90" s="25" t="s">
        <v>104</v>
      </c>
      <c r="B90" s="10" t="s">
        <v>324</v>
      </c>
      <c r="C90" s="10" t="s">
        <v>344</v>
      </c>
      <c r="D90" s="10" t="s">
        <v>346</v>
      </c>
      <c r="E90" s="11">
        <v>45878</v>
      </c>
      <c r="F90" s="17">
        <v>45892</v>
      </c>
      <c r="G90" s="14">
        <f t="shared" ca="1" si="22"/>
        <v>207</v>
      </c>
      <c r="H90" s="17">
        <v>599</v>
      </c>
      <c r="I90" s="17">
        <v>330</v>
      </c>
      <c r="J90" s="53">
        <f t="shared" si="23"/>
        <v>945</v>
      </c>
      <c r="K90" s="17">
        <v>1050</v>
      </c>
      <c r="L90" s="66">
        <v>105</v>
      </c>
      <c r="M90" s="52">
        <f t="shared" ca="1" si="24"/>
        <v>0.50724637681159424</v>
      </c>
      <c r="N90" s="50">
        <f t="shared" si="25"/>
        <v>0.33193597560975613</v>
      </c>
      <c r="O90" s="52">
        <f t="shared" si="26"/>
        <v>0.3201219512195122</v>
      </c>
      <c r="P90" s="56">
        <f t="shared" si="27"/>
        <v>26.25</v>
      </c>
      <c r="Q90" s="54">
        <f t="shared" si="28"/>
        <v>36</v>
      </c>
      <c r="R90" s="55">
        <f t="shared" si="29"/>
        <v>44.908180300500831</v>
      </c>
      <c r="S90" s="55">
        <f t="shared" si="30"/>
        <v>10</v>
      </c>
      <c r="T90" s="13">
        <f t="shared" si="31"/>
        <v>2</v>
      </c>
      <c r="U90" s="13">
        <f t="shared" si="32"/>
        <v>1</v>
      </c>
      <c r="V90" s="13">
        <f t="shared" si="33"/>
        <v>1</v>
      </c>
      <c r="W90" s="13">
        <f t="shared" ca="1" si="34"/>
        <v>3</v>
      </c>
      <c r="X90" s="13">
        <f t="shared" ca="1" si="35"/>
        <v>7</v>
      </c>
      <c r="Y90" s="61" t="str">
        <f t="shared" ca="1" si="36"/>
        <v>MONITOR</v>
      </c>
      <c r="Z90" s="51">
        <v>14</v>
      </c>
      <c r="AA90" s="53">
        <v>46059</v>
      </c>
      <c r="AB90" s="53">
        <f t="shared" si="37"/>
        <v>45920</v>
      </c>
      <c r="AC90" s="72">
        <f t="shared" si="38"/>
        <v>19.857142857142858</v>
      </c>
      <c r="AD90" s="67" t="str">
        <f t="shared" ca="1" si="39"/>
        <v>STABLE</v>
      </c>
      <c r="AE90" s="67" t="str">
        <f t="shared" si="40"/>
        <v>SLOW SELLING</v>
      </c>
      <c r="AF90" s="67" t="str">
        <f t="shared" si="41"/>
        <v>AT RISK</v>
      </c>
      <c r="AG90" s="67" t="str">
        <f t="shared" si="42"/>
        <v>FEASIBLE</v>
      </c>
      <c r="AH90" s="73" t="str">
        <f t="shared" ca="1" si="43"/>
        <v>MONITOR</v>
      </c>
    </row>
    <row r="91" spans="1:34" x14ac:dyDescent="0.35">
      <c r="A91" s="25" t="s">
        <v>105</v>
      </c>
      <c r="B91" s="10" t="s">
        <v>325</v>
      </c>
      <c r="C91" s="10" t="s">
        <v>344</v>
      </c>
      <c r="D91" s="10" t="s">
        <v>346</v>
      </c>
      <c r="E91" s="11">
        <v>45878</v>
      </c>
      <c r="F91" s="17">
        <v>45892</v>
      </c>
      <c r="G91" s="14">
        <f t="shared" ca="1" si="22"/>
        <v>207</v>
      </c>
      <c r="H91" s="17">
        <v>599</v>
      </c>
      <c r="I91" s="17">
        <v>295</v>
      </c>
      <c r="J91" s="53">
        <f t="shared" si="23"/>
        <v>908</v>
      </c>
      <c r="K91" s="17">
        <v>1050</v>
      </c>
      <c r="L91" s="66">
        <v>142</v>
      </c>
      <c r="M91" s="52">
        <f t="shared" ca="1" si="24"/>
        <v>0.68599033816425126</v>
      </c>
      <c r="N91" s="50">
        <f t="shared" si="25"/>
        <v>0.33193597560975613</v>
      </c>
      <c r="O91" s="52">
        <f t="shared" si="26"/>
        <v>0.43292682926829268</v>
      </c>
      <c r="P91" s="56">
        <f t="shared" si="27"/>
        <v>35.5</v>
      </c>
      <c r="Q91" s="54">
        <f t="shared" si="28"/>
        <v>25.577464788732396</v>
      </c>
      <c r="R91" s="55">
        <f t="shared" si="29"/>
        <v>50.751252086811348</v>
      </c>
      <c r="S91" s="55">
        <f t="shared" si="30"/>
        <v>13.523809523809524</v>
      </c>
      <c r="T91" s="13">
        <f t="shared" si="31"/>
        <v>3</v>
      </c>
      <c r="U91" s="13">
        <f t="shared" si="32"/>
        <v>1</v>
      </c>
      <c r="V91" s="13">
        <f t="shared" si="33"/>
        <v>2</v>
      </c>
      <c r="W91" s="13">
        <f t="shared" ca="1" si="34"/>
        <v>3</v>
      </c>
      <c r="X91" s="13">
        <f t="shared" ca="1" si="35"/>
        <v>9</v>
      </c>
      <c r="Y91" s="61" t="str">
        <f t="shared" ca="1" si="36"/>
        <v>RE-BUY</v>
      </c>
      <c r="Z91" s="51">
        <v>14</v>
      </c>
      <c r="AA91" s="53">
        <v>46059</v>
      </c>
      <c r="AB91" s="53">
        <f t="shared" si="37"/>
        <v>45920</v>
      </c>
      <c r="AC91" s="72">
        <f t="shared" si="38"/>
        <v>19.857142857142858</v>
      </c>
      <c r="AD91" s="67" t="str">
        <f t="shared" ca="1" si="39"/>
        <v>STABLE</v>
      </c>
      <c r="AE91" s="67" t="str">
        <f t="shared" si="40"/>
        <v>FAST SELLING</v>
      </c>
      <c r="AF91" s="67" t="str">
        <f t="shared" si="41"/>
        <v>AT RISK</v>
      </c>
      <c r="AG91" s="67" t="str">
        <f t="shared" si="42"/>
        <v>FEASIBLE</v>
      </c>
      <c r="AH91" s="73" t="str">
        <f t="shared" ca="1" si="43"/>
        <v>IMMEDIATE REBUY</v>
      </c>
    </row>
    <row r="92" spans="1:34" x14ac:dyDescent="0.35">
      <c r="A92" s="25" t="s">
        <v>106</v>
      </c>
      <c r="B92" s="10" t="s">
        <v>325</v>
      </c>
      <c r="C92" s="10" t="s">
        <v>344</v>
      </c>
      <c r="D92" s="10" t="s">
        <v>346</v>
      </c>
      <c r="E92" s="11">
        <v>45878</v>
      </c>
      <c r="F92" s="17">
        <v>45892</v>
      </c>
      <c r="G92" s="14">
        <f t="shared" ca="1" si="22"/>
        <v>207</v>
      </c>
      <c r="H92" s="17">
        <v>599</v>
      </c>
      <c r="I92" s="17">
        <v>295</v>
      </c>
      <c r="J92" s="53">
        <f t="shared" si="23"/>
        <v>929</v>
      </c>
      <c r="K92" s="17">
        <v>1050</v>
      </c>
      <c r="L92" s="66">
        <v>121</v>
      </c>
      <c r="M92" s="52">
        <f t="shared" ca="1" si="24"/>
        <v>0.58454106280193241</v>
      </c>
      <c r="N92" s="50">
        <f t="shared" si="25"/>
        <v>0.33193597560975613</v>
      </c>
      <c r="O92" s="52">
        <f t="shared" si="26"/>
        <v>0.36890243902439024</v>
      </c>
      <c r="P92" s="56">
        <f t="shared" si="27"/>
        <v>30.25</v>
      </c>
      <c r="Q92" s="54">
        <f t="shared" si="28"/>
        <v>30.710743801652892</v>
      </c>
      <c r="R92" s="55">
        <f t="shared" si="29"/>
        <v>50.751252086811348</v>
      </c>
      <c r="S92" s="55">
        <f t="shared" si="30"/>
        <v>11.523809523809524</v>
      </c>
      <c r="T92" s="13">
        <f t="shared" si="31"/>
        <v>3</v>
      </c>
      <c r="U92" s="13">
        <f t="shared" si="32"/>
        <v>1</v>
      </c>
      <c r="V92" s="13">
        <f t="shared" si="33"/>
        <v>2</v>
      </c>
      <c r="W92" s="13">
        <f t="shared" ca="1" si="34"/>
        <v>3</v>
      </c>
      <c r="X92" s="13">
        <f t="shared" ca="1" si="35"/>
        <v>9</v>
      </c>
      <c r="Y92" s="61" t="str">
        <f t="shared" ca="1" si="36"/>
        <v>RE-BUY</v>
      </c>
      <c r="Z92" s="51">
        <v>14</v>
      </c>
      <c r="AA92" s="53">
        <v>46059</v>
      </c>
      <c r="AB92" s="53">
        <f t="shared" si="37"/>
        <v>45920</v>
      </c>
      <c r="AC92" s="72">
        <f t="shared" si="38"/>
        <v>19.857142857142858</v>
      </c>
      <c r="AD92" s="67" t="str">
        <f t="shared" ca="1" si="39"/>
        <v>STABLE</v>
      </c>
      <c r="AE92" s="67" t="str">
        <f t="shared" si="40"/>
        <v>FAST SELLING</v>
      </c>
      <c r="AF92" s="67" t="str">
        <f t="shared" si="41"/>
        <v>AT RISK</v>
      </c>
      <c r="AG92" s="67" t="str">
        <f t="shared" si="42"/>
        <v>FEASIBLE</v>
      </c>
      <c r="AH92" s="73" t="str">
        <f t="shared" ca="1" si="43"/>
        <v>IMMEDIATE REBUY</v>
      </c>
    </row>
    <row r="93" spans="1:34" x14ac:dyDescent="0.35">
      <c r="A93" s="25" t="s">
        <v>107</v>
      </c>
      <c r="B93" s="10" t="s">
        <v>325</v>
      </c>
      <c r="C93" s="10" t="s">
        <v>344</v>
      </c>
      <c r="D93" s="10" t="s">
        <v>346</v>
      </c>
      <c r="E93" s="11">
        <v>45878</v>
      </c>
      <c r="F93" s="17">
        <v>45892</v>
      </c>
      <c r="G93" s="14">
        <f t="shared" ca="1" si="22"/>
        <v>207</v>
      </c>
      <c r="H93" s="17">
        <v>599</v>
      </c>
      <c r="I93" s="17">
        <v>295</v>
      </c>
      <c r="J93" s="53">
        <f t="shared" si="23"/>
        <v>647</v>
      </c>
      <c r="K93" s="17">
        <v>700</v>
      </c>
      <c r="L93" s="66">
        <v>53</v>
      </c>
      <c r="M93" s="52">
        <f t="shared" ca="1" si="24"/>
        <v>0.2560386473429952</v>
      </c>
      <c r="N93" s="50">
        <f t="shared" si="25"/>
        <v>0.33193597560975613</v>
      </c>
      <c r="O93" s="52">
        <f t="shared" si="26"/>
        <v>0.16158536585365854</v>
      </c>
      <c r="P93" s="56">
        <f t="shared" si="27"/>
        <v>13.25</v>
      </c>
      <c r="Q93" s="54">
        <f t="shared" si="28"/>
        <v>48.830188679245282</v>
      </c>
      <c r="R93" s="55">
        <f t="shared" si="29"/>
        <v>50.751252086811348</v>
      </c>
      <c r="S93" s="55">
        <f t="shared" si="30"/>
        <v>7.5714285714285721</v>
      </c>
      <c r="T93" s="13">
        <f t="shared" si="31"/>
        <v>1</v>
      </c>
      <c r="U93" s="13">
        <f t="shared" si="32"/>
        <v>1</v>
      </c>
      <c r="V93" s="13">
        <f t="shared" si="33"/>
        <v>2</v>
      </c>
      <c r="W93" s="13">
        <f t="shared" ca="1" si="34"/>
        <v>3</v>
      </c>
      <c r="X93" s="13">
        <f t="shared" ca="1" si="35"/>
        <v>7</v>
      </c>
      <c r="Y93" s="61" t="str">
        <f t="shared" ca="1" si="36"/>
        <v>MONITOR</v>
      </c>
      <c r="Z93" s="51">
        <v>14</v>
      </c>
      <c r="AA93" s="53">
        <v>46059</v>
      </c>
      <c r="AB93" s="53">
        <f t="shared" si="37"/>
        <v>45920</v>
      </c>
      <c r="AC93" s="72">
        <f t="shared" si="38"/>
        <v>19.857142857142858</v>
      </c>
      <c r="AD93" s="67" t="str">
        <f t="shared" ca="1" si="39"/>
        <v>STABLE</v>
      </c>
      <c r="AE93" s="67" t="str">
        <f t="shared" si="40"/>
        <v>SLOW SELLING</v>
      </c>
      <c r="AF93" s="67" t="str">
        <f t="shared" si="41"/>
        <v>AT RISK</v>
      </c>
      <c r="AG93" s="67" t="str">
        <f t="shared" si="42"/>
        <v>FEASIBLE</v>
      </c>
      <c r="AH93" s="73" t="str">
        <f t="shared" ca="1" si="43"/>
        <v>MONITOR</v>
      </c>
    </row>
    <row r="94" spans="1:34" x14ac:dyDescent="0.35">
      <c r="A94" s="25" t="s">
        <v>108</v>
      </c>
      <c r="B94" s="10" t="s">
        <v>324</v>
      </c>
      <c r="C94" s="10" t="s">
        <v>344</v>
      </c>
      <c r="D94" s="10" t="s">
        <v>346</v>
      </c>
      <c r="E94" s="11">
        <v>45878</v>
      </c>
      <c r="F94" s="17">
        <v>45892</v>
      </c>
      <c r="G94" s="14">
        <f t="shared" ca="1" si="22"/>
        <v>207</v>
      </c>
      <c r="H94" s="17">
        <v>599</v>
      </c>
      <c r="I94" s="17">
        <v>340</v>
      </c>
      <c r="J94" s="53">
        <f t="shared" si="23"/>
        <v>629</v>
      </c>
      <c r="K94" s="17">
        <v>700</v>
      </c>
      <c r="L94" s="66">
        <v>71</v>
      </c>
      <c r="M94" s="52">
        <f t="shared" ca="1" si="24"/>
        <v>0.34299516908212563</v>
      </c>
      <c r="N94" s="50">
        <f t="shared" si="25"/>
        <v>0.33193597560975613</v>
      </c>
      <c r="O94" s="52">
        <f t="shared" si="26"/>
        <v>0.21646341463414634</v>
      </c>
      <c r="P94" s="56">
        <f t="shared" si="27"/>
        <v>17.75</v>
      </c>
      <c r="Q94" s="54">
        <f t="shared" si="28"/>
        <v>35.436619718309856</v>
      </c>
      <c r="R94" s="55">
        <f t="shared" si="29"/>
        <v>43.238731218697829</v>
      </c>
      <c r="S94" s="55">
        <f t="shared" si="30"/>
        <v>10.142857142857142</v>
      </c>
      <c r="T94" s="13">
        <f t="shared" si="31"/>
        <v>1</v>
      </c>
      <c r="U94" s="13">
        <f t="shared" si="32"/>
        <v>1</v>
      </c>
      <c r="V94" s="13">
        <f t="shared" si="33"/>
        <v>1</v>
      </c>
      <c r="W94" s="13">
        <f t="shared" ca="1" si="34"/>
        <v>3</v>
      </c>
      <c r="X94" s="13">
        <f t="shared" ca="1" si="35"/>
        <v>6</v>
      </c>
      <c r="Y94" s="61" t="str">
        <f t="shared" ca="1" si="36"/>
        <v>MONITOR</v>
      </c>
      <c r="Z94" s="51">
        <v>14</v>
      </c>
      <c r="AA94" s="53">
        <v>46059</v>
      </c>
      <c r="AB94" s="53">
        <f t="shared" si="37"/>
        <v>45920</v>
      </c>
      <c r="AC94" s="72">
        <f t="shared" si="38"/>
        <v>19.857142857142858</v>
      </c>
      <c r="AD94" s="67" t="str">
        <f t="shared" ca="1" si="39"/>
        <v>STABLE</v>
      </c>
      <c r="AE94" s="67" t="str">
        <f t="shared" si="40"/>
        <v>SLOW SELLING</v>
      </c>
      <c r="AF94" s="67" t="str">
        <f t="shared" si="41"/>
        <v>AT RISK</v>
      </c>
      <c r="AG94" s="67" t="str">
        <f t="shared" si="42"/>
        <v>FEASIBLE</v>
      </c>
      <c r="AH94" s="73" t="str">
        <f t="shared" ca="1" si="43"/>
        <v>MONITOR</v>
      </c>
    </row>
    <row r="95" spans="1:34" x14ac:dyDescent="0.35">
      <c r="A95" s="25" t="s">
        <v>109</v>
      </c>
      <c r="B95" s="10" t="s">
        <v>324</v>
      </c>
      <c r="C95" s="10" t="s">
        <v>344</v>
      </c>
      <c r="D95" s="10" t="s">
        <v>346</v>
      </c>
      <c r="E95" s="11">
        <v>45878</v>
      </c>
      <c r="F95" s="17">
        <v>45892</v>
      </c>
      <c r="G95" s="14">
        <f t="shared" ca="1" si="22"/>
        <v>207</v>
      </c>
      <c r="H95" s="17">
        <v>599</v>
      </c>
      <c r="I95" s="17">
        <v>340</v>
      </c>
      <c r="J95" s="53">
        <f t="shared" si="23"/>
        <v>647</v>
      </c>
      <c r="K95" s="17">
        <v>700</v>
      </c>
      <c r="L95" s="66">
        <v>53</v>
      </c>
      <c r="M95" s="52">
        <f t="shared" ca="1" si="24"/>
        <v>0.2560386473429952</v>
      </c>
      <c r="N95" s="50">
        <f t="shared" si="25"/>
        <v>0.33193597560975613</v>
      </c>
      <c r="O95" s="52">
        <f t="shared" si="26"/>
        <v>0.16158536585365854</v>
      </c>
      <c r="P95" s="56">
        <f t="shared" si="27"/>
        <v>13.25</v>
      </c>
      <c r="Q95" s="54">
        <f t="shared" si="28"/>
        <v>48.830188679245282</v>
      </c>
      <c r="R95" s="55">
        <f t="shared" si="29"/>
        <v>43.238731218697829</v>
      </c>
      <c r="S95" s="55">
        <f t="shared" si="30"/>
        <v>7.5714285714285721</v>
      </c>
      <c r="T95" s="13">
        <f t="shared" si="31"/>
        <v>1</v>
      </c>
      <c r="U95" s="13">
        <f t="shared" si="32"/>
        <v>1</v>
      </c>
      <c r="V95" s="13">
        <f t="shared" si="33"/>
        <v>1</v>
      </c>
      <c r="W95" s="13">
        <f t="shared" ca="1" si="34"/>
        <v>3</v>
      </c>
      <c r="X95" s="13">
        <f t="shared" ca="1" si="35"/>
        <v>6</v>
      </c>
      <c r="Y95" s="61" t="str">
        <f t="shared" ca="1" si="36"/>
        <v>MONITOR</v>
      </c>
      <c r="Z95" s="51">
        <v>14</v>
      </c>
      <c r="AA95" s="53">
        <v>46059</v>
      </c>
      <c r="AB95" s="53">
        <f t="shared" si="37"/>
        <v>45920</v>
      </c>
      <c r="AC95" s="72">
        <f t="shared" si="38"/>
        <v>19.857142857142858</v>
      </c>
      <c r="AD95" s="67" t="str">
        <f t="shared" ca="1" si="39"/>
        <v>STABLE</v>
      </c>
      <c r="AE95" s="67" t="str">
        <f t="shared" si="40"/>
        <v>SLOW SELLING</v>
      </c>
      <c r="AF95" s="67" t="str">
        <f t="shared" si="41"/>
        <v>AT RISK</v>
      </c>
      <c r="AG95" s="67" t="str">
        <f t="shared" si="42"/>
        <v>FEASIBLE</v>
      </c>
      <c r="AH95" s="73" t="str">
        <f t="shared" ca="1" si="43"/>
        <v>MONITOR</v>
      </c>
    </row>
    <row r="96" spans="1:34" x14ac:dyDescent="0.35">
      <c r="A96" s="25" t="s">
        <v>110</v>
      </c>
      <c r="B96" s="10" t="s">
        <v>324</v>
      </c>
      <c r="C96" s="10" t="s">
        <v>344</v>
      </c>
      <c r="D96" s="10" t="s">
        <v>346</v>
      </c>
      <c r="E96" s="11">
        <v>45878</v>
      </c>
      <c r="F96" s="17">
        <v>45892</v>
      </c>
      <c r="G96" s="14">
        <f t="shared" ca="1" si="22"/>
        <v>207</v>
      </c>
      <c r="H96" s="17">
        <v>599</v>
      </c>
      <c r="I96" s="17">
        <v>340</v>
      </c>
      <c r="J96" s="53">
        <f t="shared" si="23"/>
        <v>627</v>
      </c>
      <c r="K96" s="17">
        <v>700</v>
      </c>
      <c r="L96" s="66">
        <v>73</v>
      </c>
      <c r="M96" s="52">
        <f t="shared" ca="1" si="24"/>
        <v>0.35265700483091789</v>
      </c>
      <c r="N96" s="50">
        <f t="shared" si="25"/>
        <v>0.33193597560975613</v>
      </c>
      <c r="O96" s="52">
        <f t="shared" si="26"/>
        <v>0.2225609756097561</v>
      </c>
      <c r="P96" s="56">
        <f t="shared" si="27"/>
        <v>18.25</v>
      </c>
      <c r="Q96" s="54">
        <f t="shared" si="28"/>
        <v>34.356164383561641</v>
      </c>
      <c r="R96" s="55">
        <f t="shared" si="29"/>
        <v>43.238731218697829</v>
      </c>
      <c r="S96" s="55">
        <f t="shared" si="30"/>
        <v>10.428571428571429</v>
      </c>
      <c r="T96" s="13">
        <f t="shared" si="31"/>
        <v>1</v>
      </c>
      <c r="U96" s="13">
        <f t="shared" si="32"/>
        <v>1</v>
      </c>
      <c r="V96" s="13">
        <f t="shared" si="33"/>
        <v>1</v>
      </c>
      <c r="W96" s="13">
        <f t="shared" ca="1" si="34"/>
        <v>3</v>
      </c>
      <c r="X96" s="13">
        <f t="shared" ca="1" si="35"/>
        <v>6</v>
      </c>
      <c r="Y96" s="61" t="str">
        <f t="shared" ca="1" si="36"/>
        <v>MONITOR</v>
      </c>
      <c r="Z96" s="51">
        <v>14</v>
      </c>
      <c r="AA96" s="53">
        <v>46059</v>
      </c>
      <c r="AB96" s="53">
        <f t="shared" si="37"/>
        <v>45920</v>
      </c>
      <c r="AC96" s="72">
        <f t="shared" si="38"/>
        <v>19.857142857142858</v>
      </c>
      <c r="AD96" s="67" t="str">
        <f t="shared" ca="1" si="39"/>
        <v>STABLE</v>
      </c>
      <c r="AE96" s="67" t="str">
        <f t="shared" si="40"/>
        <v>SLOW SELLING</v>
      </c>
      <c r="AF96" s="67" t="str">
        <f t="shared" si="41"/>
        <v>AT RISK</v>
      </c>
      <c r="AG96" s="67" t="str">
        <f t="shared" si="42"/>
        <v>FEASIBLE</v>
      </c>
      <c r="AH96" s="73" t="str">
        <f t="shared" ca="1" si="43"/>
        <v>MONITOR</v>
      </c>
    </row>
    <row r="97" spans="1:34" x14ac:dyDescent="0.35">
      <c r="A97" s="25" t="s">
        <v>111</v>
      </c>
      <c r="B97" s="10" t="s">
        <v>324</v>
      </c>
      <c r="C97" s="10" t="s">
        <v>344</v>
      </c>
      <c r="D97" s="10" t="s">
        <v>346</v>
      </c>
      <c r="E97" s="11">
        <v>45878</v>
      </c>
      <c r="F97" s="17">
        <v>45892</v>
      </c>
      <c r="G97" s="14">
        <f t="shared" ca="1" si="22"/>
        <v>207</v>
      </c>
      <c r="H97" s="17">
        <v>599</v>
      </c>
      <c r="I97" s="17">
        <v>340</v>
      </c>
      <c r="J97" s="53">
        <f t="shared" si="23"/>
        <v>634</v>
      </c>
      <c r="K97" s="17">
        <v>700</v>
      </c>
      <c r="L97" s="66">
        <v>66</v>
      </c>
      <c r="M97" s="52">
        <f t="shared" ca="1" si="24"/>
        <v>0.3188405797101449</v>
      </c>
      <c r="N97" s="50">
        <f t="shared" si="25"/>
        <v>0.33193597560975613</v>
      </c>
      <c r="O97" s="52">
        <f t="shared" si="26"/>
        <v>0.20121951219512196</v>
      </c>
      <c r="P97" s="56">
        <f t="shared" si="27"/>
        <v>16.5</v>
      </c>
      <c r="Q97" s="54">
        <f t="shared" si="28"/>
        <v>38.424242424242422</v>
      </c>
      <c r="R97" s="55">
        <f t="shared" si="29"/>
        <v>43.238731218697829</v>
      </c>
      <c r="S97" s="55">
        <f t="shared" si="30"/>
        <v>9.4285714285714288</v>
      </c>
      <c r="T97" s="13">
        <f t="shared" si="31"/>
        <v>1</v>
      </c>
      <c r="U97" s="13">
        <f t="shared" si="32"/>
        <v>1</v>
      </c>
      <c r="V97" s="13">
        <f t="shared" si="33"/>
        <v>1</v>
      </c>
      <c r="W97" s="13">
        <f t="shared" ca="1" si="34"/>
        <v>3</v>
      </c>
      <c r="X97" s="13">
        <f t="shared" ca="1" si="35"/>
        <v>6</v>
      </c>
      <c r="Y97" s="61" t="str">
        <f t="shared" ca="1" si="36"/>
        <v>MONITOR</v>
      </c>
      <c r="Z97" s="51">
        <v>14</v>
      </c>
      <c r="AA97" s="53">
        <v>46059</v>
      </c>
      <c r="AB97" s="53">
        <f t="shared" si="37"/>
        <v>45920</v>
      </c>
      <c r="AC97" s="72">
        <f t="shared" si="38"/>
        <v>19.857142857142858</v>
      </c>
      <c r="AD97" s="67" t="str">
        <f t="shared" ca="1" si="39"/>
        <v>STABLE</v>
      </c>
      <c r="AE97" s="67" t="str">
        <f t="shared" si="40"/>
        <v>SLOW SELLING</v>
      </c>
      <c r="AF97" s="67" t="str">
        <f t="shared" si="41"/>
        <v>AT RISK</v>
      </c>
      <c r="AG97" s="67" t="str">
        <f t="shared" si="42"/>
        <v>FEASIBLE</v>
      </c>
      <c r="AH97" s="73" t="str">
        <f t="shared" ca="1" si="43"/>
        <v>MONITOR</v>
      </c>
    </row>
    <row r="98" spans="1:34" x14ac:dyDescent="0.35">
      <c r="A98" s="25" t="s">
        <v>112</v>
      </c>
      <c r="B98" s="10" t="s">
        <v>324</v>
      </c>
      <c r="C98" s="10" t="s">
        <v>344</v>
      </c>
      <c r="D98" s="10" t="s">
        <v>346</v>
      </c>
      <c r="E98" s="11">
        <v>45878</v>
      </c>
      <c r="F98" s="17">
        <v>45892</v>
      </c>
      <c r="G98" s="14">
        <f t="shared" ca="1" si="22"/>
        <v>207</v>
      </c>
      <c r="H98" s="17">
        <v>599</v>
      </c>
      <c r="I98" s="17">
        <v>330</v>
      </c>
      <c r="J98" s="53">
        <f t="shared" si="23"/>
        <v>624</v>
      </c>
      <c r="K98" s="17">
        <v>700</v>
      </c>
      <c r="L98" s="66">
        <v>76</v>
      </c>
      <c r="M98" s="52">
        <f t="shared" ca="1" si="24"/>
        <v>0.3671497584541063</v>
      </c>
      <c r="N98" s="50">
        <f t="shared" si="25"/>
        <v>0.33193597560975613</v>
      </c>
      <c r="O98" s="52">
        <f t="shared" si="26"/>
        <v>0.23170731707317074</v>
      </c>
      <c r="P98" s="56">
        <f t="shared" si="27"/>
        <v>19</v>
      </c>
      <c r="Q98" s="54">
        <f t="shared" si="28"/>
        <v>32.842105263157897</v>
      </c>
      <c r="R98" s="55">
        <f t="shared" si="29"/>
        <v>44.908180300500831</v>
      </c>
      <c r="S98" s="55">
        <f t="shared" si="30"/>
        <v>10.857142857142858</v>
      </c>
      <c r="T98" s="13">
        <f t="shared" si="31"/>
        <v>1</v>
      </c>
      <c r="U98" s="13">
        <f t="shared" si="32"/>
        <v>1</v>
      </c>
      <c r="V98" s="13">
        <f t="shared" si="33"/>
        <v>1</v>
      </c>
      <c r="W98" s="13">
        <f t="shared" ca="1" si="34"/>
        <v>3</v>
      </c>
      <c r="X98" s="13">
        <f t="shared" ca="1" si="35"/>
        <v>6</v>
      </c>
      <c r="Y98" s="61" t="str">
        <f t="shared" ca="1" si="36"/>
        <v>MONITOR</v>
      </c>
      <c r="Z98" s="51">
        <v>14</v>
      </c>
      <c r="AA98" s="53">
        <v>46059</v>
      </c>
      <c r="AB98" s="53">
        <f t="shared" si="37"/>
        <v>45920</v>
      </c>
      <c r="AC98" s="72">
        <f t="shared" si="38"/>
        <v>19.857142857142858</v>
      </c>
      <c r="AD98" s="67" t="str">
        <f t="shared" ca="1" si="39"/>
        <v>STABLE</v>
      </c>
      <c r="AE98" s="67" t="str">
        <f t="shared" si="40"/>
        <v>SLOW SELLING</v>
      </c>
      <c r="AF98" s="67" t="str">
        <f t="shared" si="41"/>
        <v>AT RISK</v>
      </c>
      <c r="AG98" s="67" t="str">
        <f t="shared" si="42"/>
        <v>FEASIBLE</v>
      </c>
      <c r="AH98" s="73" t="str">
        <f t="shared" ca="1" si="43"/>
        <v>MONITOR</v>
      </c>
    </row>
    <row r="99" spans="1:34" x14ac:dyDescent="0.35">
      <c r="A99" s="25" t="s">
        <v>113</v>
      </c>
      <c r="B99" s="10" t="s">
        <v>324</v>
      </c>
      <c r="C99" s="10" t="s">
        <v>344</v>
      </c>
      <c r="D99" s="10" t="s">
        <v>346</v>
      </c>
      <c r="E99" s="11">
        <v>45878</v>
      </c>
      <c r="F99" s="17">
        <v>45892</v>
      </c>
      <c r="G99" s="14">
        <f t="shared" ca="1" si="22"/>
        <v>207</v>
      </c>
      <c r="H99" s="17">
        <v>599</v>
      </c>
      <c r="I99" s="17">
        <v>330</v>
      </c>
      <c r="J99" s="53">
        <f t="shared" si="23"/>
        <v>629</v>
      </c>
      <c r="K99" s="17">
        <v>700</v>
      </c>
      <c r="L99" s="66">
        <v>71</v>
      </c>
      <c r="M99" s="52">
        <f t="shared" ca="1" si="24"/>
        <v>0.34299516908212563</v>
      </c>
      <c r="N99" s="50">
        <f t="shared" si="25"/>
        <v>0.33193597560975613</v>
      </c>
      <c r="O99" s="52">
        <f t="shared" si="26"/>
        <v>0.21646341463414634</v>
      </c>
      <c r="P99" s="56">
        <f t="shared" si="27"/>
        <v>17.75</v>
      </c>
      <c r="Q99" s="54">
        <f t="shared" si="28"/>
        <v>35.436619718309856</v>
      </c>
      <c r="R99" s="55">
        <f t="shared" si="29"/>
        <v>44.908180300500831</v>
      </c>
      <c r="S99" s="55">
        <f t="shared" si="30"/>
        <v>10.142857142857142</v>
      </c>
      <c r="T99" s="13">
        <f t="shared" si="31"/>
        <v>1</v>
      </c>
      <c r="U99" s="13">
        <f t="shared" si="32"/>
        <v>1</v>
      </c>
      <c r="V99" s="13">
        <f t="shared" si="33"/>
        <v>1</v>
      </c>
      <c r="W99" s="13">
        <f t="shared" ca="1" si="34"/>
        <v>3</v>
      </c>
      <c r="X99" s="13">
        <f t="shared" ca="1" si="35"/>
        <v>6</v>
      </c>
      <c r="Y99" s="61" t="str">
        <f t="shared" ca="1" si="36"/>
        <v>MONITOR</v>
      </c>
      <c r="Z99" s="51">
        <v>14</v>
      </c>
      <c r="AA99" s="53">
        <v>46059</v>
      </c>
      <c r="AB99" s="53">
        <f t="shared" si="37"/>
        <v>45920</v>
      </c>
      <c r="AC99" s="72">
        <f t="shared" si="38"/>
        <v>19.857142857142858</v>
      </c>
      <c r="AD99" s="67" t="str">
        <f t="shared" ca="1" si="39"/>
        <v>STABLE</v>
      </c>
      <c r="AE99" s="67" t="str">
        <f t="shared" si="40"/>
        <v>SLOW SELLING</v>
      </c>
      <c r="AF99" s="67" t="str">
        <f t="shared" si="41"/>
        <v>AT RISK</v>
      </c>
      <c r="AG99" s="67" t="str">
        <f t="shared" si="42"/>
        <v>FEASIBLE</v>
      </c>
      <c r="AH99" s="73" t="str">
        <f t="shared" ca="1" si="43"/>
        <v>MONITOR</v>
      </c>
    </row>
    <row r="100" spans="1:34" x14ac:dyDescent="0.35">
      <c r="A100" s="25" t="s">
        <v>114</v>
      </c>
      <c r="B100" s="10" t="s">
        <v>324</v>
      </c>
      <c r="C100" s="10" t="s">
        <v>344</v>
      </c>
      <c r="D100" s="10" t="s">
        <v>346</v>
      </c>
      <c r="E100" s="11">
        <v>45920</v>
      </c>
      <c r="F100" s="17">
        <v>45892</v>
      </c>
      <c r="G100" s="14">
        <f t="shared" ca="1" si="22"/>
        <v>207</v>
      </c>
      <c r="H100" s="17">
        <v>599</v>
      </c>
      <c r="I100" s="17">
        <v>300</v>
      </c>
      <c r="J100" s="53">
        <f t="shared" si="23"/>
        <v>587</v>
      </c>
      <c r="K100" s="17">
        <v>700</v>
      </c>
      <c r="L100" s="66">
        <v>113</v>
      </c>
      <c r="M100" s="52">
        <f t="shared" ca="1" si="24"/>
        <v>0.54589371980676327</v>
      </c>
      <c r="N100" s="50">
        <f t="shared" si="25"/>
        <v>0.33193597560975613</v>
      </c>
      <c r="O100" s="52">
        <f t="shared" si="26"/>
        <v>0.34451219512195119</v>
      </c>
      <c r="P100" s="56">
        <f t="shared" si="27"/>
        <v>28.249999999999996</v>
      </c>
      <c r="Q100" s="54">
        <f t="shared" si="28"/>
        <v>20.778761061946906</v>
      </c>
      <c r="R100" s="55">
        <f t="shared" si="29"/>
        <v>49.916527545909851</v>
      </c>
      <c r="S100" s="55">
        <f t="shared" si="30"/>
        <v>16.142857142857142</v>
      </c>
      <c r="T100" s="13">
        <f t="shared" si="31"/>
        <v>3</v>
      </c>
      <c r="U100" s="13">
        <f t="shared" si="32"/>
        <v>1</v>
      </c>
      <c r="V100" s="13">
        <f t="shared" si="33"/>
        <v>2</v>
      </c>
      <c r="W100" s="13">
        <f t="shared" ca="1" si="34"/>
        <v>3</v>
      </c>
      <c r="X100" s="13">
        <f t="shared" ca="1" si="35"/>
        <v>9</v>
      </c>
      <c r="Y100" s="61" t="str">
        <f t="shared" ca="1" si="36"/>
        <v>RE-BUY</v>
      </c>
      <c r="Z100" s="51">
        <v>14</v>
      </c>
      <c r="AA100" s="53">
        <v>46059</v>
      </c>
      <c r="AB100" s="53">
        <f t="shared" si="37"/>
        <v>45920</v>
      </c>
      <c r="AC100" s="72">
        <f t="shared" si="38"/>
        <v>19.857142857142858</v>
      </c>
      <c r="AD100" s="67" t="str">
        <f t="shared" ca="1" si="39"/>
        <v>STABLE</v>
      </c>
      <c r="AE100" s="67" t="str">
        <f t="shared" si="40"/>
        <v>FAST SELLING</v>
      </c>
      <c r="AF100" s="67" t="str">
        <f t="shared" si="41"/>
        <v>AT RISK</v>
      </c>
      <c r="AG100" s="67" t="str">
        <f t="shared" si="42"/>
        <v>FEASIBLE</v>
      </c>
      <c r="AH100" s="73" t="str">
        <f t="shared" ca="1" si="43"/>
        <v>IMMEDIATE REBUY</v>
      </c>
    </row>
    <row r="101" spans="1:34" x14ac:dyDescent="0.35">
      <c r="A101" s="25" t="s">
        <v>115</v>
      </c>
      <c r="B101" s="10" t="s">
        <v>324</v>
      </c>
      <c r="C101" s="10" t="s">
        <v>344</v>
      </c>
      <c r="D101" s="10" t="s">
        <v>346</v>
      </c>
      <c r="E101" s="11">
        <v>45920</v>
      </c>
      <c r="F101" s="17">
        <v>45892</v>
      </c>
      <c r="G101" s="14">
        <f t="shared" ca="1" si="22"/>
        <v>207</v>
      </c>
      <c r="H101" s="17">
        <v>599</v>
      </c>
      <c r="I101" s="17">
        <v>300</v>
      </c>
      <c r="J101" s="53">
        <f t="shared" si="23"/>
        <v>587</v>
      </c>
      <c r="K101" s="17">
        <v>700</v>
      </c>
      <c r="L101" s="66">
        <v>113</v>
      </c>
      <c r="M101" s="52">
        <f t="shared" ca="1" si="24"/>
        <v>0.54589371980676327</v>
      </c>
      <c r="N101" s="50">
        <f t="shared" si="25"/>
        <v>0.33193597560975613</v>
      </c>
      <c r="O101" s="52">
        <f t="shared" si="26"/>
        <v>0.34451219512195119</v>
      </c>
      <c r="P101" s="56">
        <f t="shared" si="27"/>
        <v>28.249999999999996</v>
      </c>
      <c r="Q101" s="54">
        <f t="shared" si="28"/>
        <v>20.778761061946906</v>
      </c>
      <c r="R101" s="55">
        <f t="shared" si="29"/>
        <v>49.916527545909851</v>
      </c>
      <c r="S101" s="55">
        <f t="shared" si="30"/>
        <v>16.142857142857142</v>
      </c>
      <c r="T101" s="13">
        <f t="shared" si="31"/>
        <v>3</v>
      </c>
      <c r="U101" s="13">
        <f t="shared" si="32"/>
        <v>1</v>
      </c>
      <c r="V101" s="13">
        <f t="shared" si="33"/>
        <v>2</v>
      </c>
      <c r="W101" s="13">
        <f t="shared" ca="1" si="34"/>
        <v>3</v>
      </c>
      <c r="X101" s="13">
        <f t="shared" ca="1" si="35"/>
        <v>9</v>
      </c>
      <c r="Y101" s="61" t="str">
        <f t="shared" ca="1" si="36"/>
        <v>RE-BUY</v>
      </c>
      <c r="Z101" s="51">
        <v>14</v>
      </c>
      <c r="AA101" s="53">
        <v>46059</v>
      </c>
      <c r="AB101" s="53">
        <f t="shared" si="37"/>
        <v>45920</v>
      </c>
      <c r="AC101" s="72">
        <f t="shared" si="38"/>
        <v>19.857142857142858</v>
      </c>
      <c r="AD101" s="67" t="str">
        <f t="shared" ca="1" si="39"/>
        <v>STABLE</v>
      </c>
      <c r="AE101" s="67" t="str">
        <f t="shared" si="40"/>
        <v>FAST SELLING</v>
      </c>
      <c r="AF101" s="67" t="str">
        <f t="shared" si="41"/>
        <v>AT RISK</v>
      </c>
      <c r="AG101" s="67" t="str">
        <f t="shared" si="42"/>
        <v>FEASIBLE</v>
      </c>
      <c r="AH101" s="73" t="str">
        <f t="shared" ca="1" si="43"/>
        <v>IMMEDIATE REBUY</v>
      </c>
    </row>
    <row r="102" spans="1:34" x14ac:dyDescent="0.35">
      <c r="A102" s="25" t="s">
        <v>116</v>
      </c>
      <c r="B102" s="10" t="s">
        <v>324</v>
      </c>
      <c r="C102" s="10" t="s">
        <v>344</v>
      </c>
      <c r="D102" s="10" t="s">
        <v>346</v>
      </c>
      <c r="E102" s="11">
        <v>45920</v>
      </c>
      <c r="F102" s="17">
        <v>45892</v>
      </c>
      <c r="G102" s="14">
        <f t="shared" ca="1" si="22"/>
        <v>207</v>
      </c>
      <c r="H102" s="17">
        <v>599</v>
      </c>
      <c r="I102" s="17">
        <v>300</v>
      </c>
      <c r="J102" s="53">
        <f t="shared" si="23"/>
        <v>587</v>
      </c>
      <c r="K102" s="17">
        <v>700</v>
      </c>
      <c r="L102" s="66">
        <v>113</v>
      </c>
      <c r="M102" s="52">
        <f t="shared" ca="1" si="24"/>
        <v>0.54589371980676327</v>
      </c>
      <c r="N102" s="50">
        <f t="shared" si="25"/>
        <v>0.33193597560975613</v>
      </c>
      <c r="O102" s="52">
        <f t="shared" si="26"/>
        <v>0.34451219512195119</v>
      </c>
      <c r="P102" s="56">
        <f t="shared" si="27"/>
        <v>28.249999999999996</v>
      </c>
      <c r="Q102" s="54">
        <f t="shared" si="28"/>
        <v>20.778761061946906</v>
      </c>
      <c r="R102" s="55">
        <f t="shared" si="29"/>
        <v>49.916527545909851</v>
      </c>
      <c r="S102" s="55">
        <f t="shared" si="30"/>
        <v>16.142857142857142</v>
      </c>
      <c r="T102" s="13">
        <f t="shared" si="31"/>
        <v>3</v>
      </c>
      <c r="U102" s="13">
        <f t="shared" si="32"/>
        <v>1</v>
      </c>
      <c r="V102" s="13">
        <f t="shared" si="33"/>
        <v>2</v>
      </c>
      <c r="W102" s="13">
        <f t="shared" ca="1" si="34"/>
        <v>3</v>
      </c>
      <c r="X102" s="13">
        <f t="shared" ca="1" si="35"/>
        <v>9</v>
      </c>
      <c r="Y102" s="61" t="str">
        <f t="shared" ca="1" si="36"/>
        <v>RE-BUY</v>
      </c>
      <c r="Z102" s="51">
        <v>14</v>
      </c>
      <c r="AA102" s="53">
        <v>46059</v>
      </c>
      <c r="AB102" s="53">
        <f t="shared" si="37"/>
        <v>45920</v>
      </c>
      <c r="AC102" s="72">
        <f t="shared" si="38"/>
        <v>19.857142857142858</v>
      </c>
      <c r="AD102" s="67" t="str">
        <f t="shared" ca="1" si="39"/>
        <v>STABLE</v>
      </c>
      <c r="AE102" s="67" t="str">
        <f t="shared" si="40"/>
        <v>FAST SELLING</v>
      </c>
      <c r="AF102" s="67" t="str">
        <f t="shared" si="41"/>
        <v>AT RISK</v>
      </c>
      <c r="AG102" s="67" t="str">
        <f t="shared" si="42"/>
        <v>FEASIBLE</v>
      </c>
      <c r="AH102" s="73" t="str">
        <f t="shared" ca="1" si="43"/>
        <v>IMMEDIATE REBUY</v>
      </c>
    </row>
    <row r="103" spans="1:34" x14ac:dyDescent="0.35">
      <c r="A103" s="25" t="s">
        <v>117</v>
      </c>
      <c r="B103" s="10" t="s">
        <v>324</v>
      </c>
      <c r="C103" s="10" t="s">
        <v>344</v>
      </c>
      <c r="D103" s="10" t="s">
        <v>346</v>
      </c>
      <c r="E103" s="11">
        <v>45920</v>
      </c>
      <c r="F103" s="17">
        <v>45892</v>
      </c>
      <c r="G103" s="14">
        <f t="shared" ca="1" si="22"/>
        <v>207</v>
      </c>
      <c r="H103" s="17">
        <v>599</v>
      </c>
      <c r="I103" s="17">
        <v>300</v>
      </c>
      <c r="J103" s="53">
        <f t="shared" si="23"/>
        <v>534</v>
      </c>
      <c r="K103" s="17">
        <v>700</v>
      </c>
      <c r="L103" s="66">
        <v>166</v>
      </c>
      <c r="M103" s="52">
        <f t="shared" ca="1" si="24"/>
        <v>0.80193236714975846</v>
      </c>
      <c r="N103" s="50">
        <f t="shared" si="25"/>
        <v>0.33193597560975613</v>
      </c>
      <c r="O103" s="52">
        <f t="shared" si="26"/>
        <v>0.50609756097560976</v>
      </c>
      <c r="P103" s="56">
        <f t="shared" si="27"/>
        <v>41.5</v>
      </c>
      <c r="Q103" s="54">
        <f t="shared" si="28"/>
        <v>12.867469879518072</v>
      </c>
      <c r="R103" s="55">
        <f t="shared" si="29"/>
        <v>49.916527545909851</v>
      </c>
      <c r="S103" s="55">
        <f t="shared" si="30"/>
        <v>23.714285714285715</v>
      </c>
      <c r="T103" s="13">
        <f t="shared" si="31"/>
        <v>3</v>
      </c>
      <c r="U103" s="13">
        <f t="shared" si="32"/>
        <v>1</v>
      </c>
      <c r="V103" s="13">
        <f t="shared" si="33"/>
        <v>2</v>
      </c>
      <c r="W103" s="13">
        <f t="shared" ca="1" si="34"/>
        <v>3</v>
      </c>
      <c r="X103" s="13">
        <f t="shared" ca="1" si="35"/>
        <v>9</v>
      </c>
      <c r="Y103" s="61" t="str">
        <f t="shared" ca="1" si="36"/>
        <v>RE-BUY</v>
      </c>
      <c r="Z103" s="51">
        <v>14</v>
      </c>
      <c r="AA103" s="53">
        <v>46059</v>
      </c>
      <c r="AB103" s="53">
        <f t="shared" si="37"/>
        <v>45920</v>
      </c>
      <c r="AC103" s="72">
        <f t="shared" si="38"/>
        <v>19.857142857142858</v>
      </c>
      <c r="AD103" s="67" t="str">
        <f t="shared" ca="1" si="39"/>
        <v>STABLE</v>
      </c>
      <c r="AE103" s="67" t="str">
        <f t="shared" si="40"/>
        <v>FAST SELLING</v>
      </c>
      <c r="AF103" s="67" t="str">
        <f t="shared" si="41"/>
        <v>AT RISK</v>
      </c>
      <c r="AG103" s="67" t="str">
        <f t="shared" si="42"/>
        <v>FEASIBLE</v>
      </c>
      <c r="AH103" s="73" t="str">
        <f t="shared" ca="1" si="43"/>
        <v>IMMEDIATE REBUY</v>
      </c>
    </row>
    <row r="104" spans="1:34" x14ac:dyDescent="0.35">
      <c r="A104" s="25" t="s">
        <v>118</v>
      </c>
      <c r="B104" s="10" t="s">
        <v>324</v>
      </c>
      <c r="C104" s="10" t="s">
        <v>344</v>
      </c>
      <c r="D104" s="10" t="s">
        <v>346</v>
      </c>
      <c r="E104" s="11">
        <v>45920</v>
      </c>
      <c r="F104" s="17">
        <v>45892</v>
      </c>
      <c r="G104" s="14">
        <f t="shared" ca="1" si="22"/>
        <v>207</v>
      </c>
      <c r="H104" s="17">
        <v>599</v>
      </c>
      <c r="I104" s="17">
        <v>300</v>
      </c>
      <c r="J104" s="53">
        <f t="shared" si="23"/>
        <v>602</v>
      </c>
      <c r="K104" s="17">
        <v>700</v>
      </c>
      <c r="L104" s="66">
        <v>98</v>
      </c>
      <c r="M104" s="52">
        <f t="shared" ca="1" si="24"/>
        <v>0.47342995169082125</v>
      </c>
      <c r="N104" s="50">
        <f t="shared" si="25"/>
        <v>0.33193597560975613</v>
      </c>
      <c r="O104" s="52">
        <f t="shared" si="26"/>
        <v>0.29878048780487804</v>
      </c>
      <c r="P104" s="56">
        <f t="shared" si="27"/>
        <v>24.5</v>
      </c>
      <c r="Q104" s="54">
        <f t="shared" si="28"/>
        <v>24.571428571428573</v>
      </c>
      <c r="R104" s="55">
        <f t="shared" si="29"/>
        <v>49.916527545909851</v>
      </c>
      <c r="S104" s="55">
        <f t="shared" si="30"/>
        <v>14.000000000000002</v>
      </c>
      <c r="T104" s="13">
        <f t="shared" si="31"/>
        <v>2</v>
      </c>
      <c r="U104" s="13">
        <f t="shared" si="32"/>
        <v>1</v>
      </c>
      <c r="V104" s="13">
        <f t="shared" si="33"/>
        <v>2</v>
      </c>
      <c r="W104" s="13">
        <f t="shared" ca="1" si="34"/>
        <v>3</v>
      </c>
      <c r="X104" s="13">
        <f t="shared" ca="1" si="35"/>
        <v>8</v>
      </c>
      <c r="Y104" s="61" t="str">
        <f t="shared" ca="1" si="36"/>
        <v>MONITOR</v>
      </c>
      <c r="Z104" s="51">
        <v>14</v>
      </c>
      <c r="AA104" s="53">
        <v>46059</v>
      </c>
      <c r="AB104" s="53">
        <f t="shared" si="37"/>
        <v>45920</v>
      </c>
      <c r="AC104" s="72">
        <f t="shared" si="38"/>
        <v>19.857142857142858</v>
      </c>
      <c r="AD104" s="67" t="str">
        <f t="shared" ca="1" si="39"/>
        <v>STABLE</v>
      </c>
      <c r="AE104" s="67" t="str">
        <f t="shared" si="40"/>
        <v>SLOW SELLING</v>
      </c>
      <c r="AF104" s="67" t="str">
        <f t="shared" si="41"/>
        <v>AT RISK</v>
      </c>
      <c r="AG104" s="67" t="str">
        <f t="shared" si="42"/>
        <v>FEASIBLE</v>
      </c>
      <c r="AH104" s="73" t="str">
        <f t="shared" ca="1" si="43"/>
        <v>MONITOR</v>
      </c>
    </row>
    <row r="105" spans="1:34" x14ac:dyDescent="0.35">
      <c r="A105" s="25" t="s">
        <v>119</v>
      </c>
      <c r="B105" s="10" t="s">
        <v>325</v>
      </c>
      <c r="C105" s="10" t="s">
        <v>344</v>
      </c>
      <c r="D105" s="10" t="s">
        <v>346</v>
      </c>
      <c r="E105" s="11">
        <v>45920</v>
      </c>
      <c r="F105" s="17">
        <v>45892</v>
      </c>
      <c r="G105" s="14">
        <f t="shared" ca="1" si="22"/>
        <v>207</v>
      </c>
      <c r="H105" s="17">
        <v>599</v>
      </c>
      <c r="I105" s="17">
        <v>300</v>
      </c>
      <c r="J105" s="53">
        <f t="shared" si="23"/>
        <v>625</v>
      </c>
      <c r="K105" s="17">
        <v>700</v>
      </c>
      <c r="L105" s="66">
        <v>75</v>
      </c>
      <c r="M105" s="52">
        <f t="shared" ca="1" si="24"/>
        <v>0.36231884057971014</v>
      </c>
      <c r="N105" s="50">
        <f t="shared" si="25"/>
        <v>0.33193597560975613</v>
      </c>
      <c r="O105" s="52">
        <f t="shared" si="26"/>
        <v>0.22865853658536586</v>
      </c>
      <c r="P105" s="56">
        <f t="shared" si="27"/>
        <v>18.75</v>
      </c>
      <c r="Q105" s="54">
        <f t="shared" si="28"/>
        <v>33.333333333333336</v>
      </c>
      <c r="R105" s="55">
        <f t="shared" si="29"/>
        <v>49.916527545909851</v>
      </c>
      <c r="S105" s="55">
        <f t="shared" si="30"/>
        <v>10.714285714285714</v>
      </c>
      <c r="T105" s="13">
        <f t="shared" si="31"/>
        <v>1</v>
      </c>
      <c r="U105" s="13">
        <f t="shared" si="32"/>
        <v>1</v>
      </c>
      <c r="V105" s="13">
        <f t="shared" si="33"/>
        <v>2</v>
      </c>
      <c r="W105" s="13">
        <f t="shared" ca="1" si="34"/>
        <v>3</v>
      </c>
      <c r="X105" s="13">
        <f t="shared" ca="1" si="35"/>
        <v>7</v>
      </c>
      <c r="Y105" s="61" t="str">
        <f t="shared" ca="1" si="36"/>
        <v>MONITOR</v>
      </c>
      <c r="Z105" s="51">
        <v>14</v>
      </c>
      <c r="AA105" s="53">
        <v>46059</v>
      </c>
      <c r="AB105" s="53">
        <f t="shared" si="37"/>
        <v>45920</v>
      </c>
      <c r="AC105" s="72">
        <f t="shared" si="38"/>
        <v>19.857142857142858</v>
      </c>
      <c r="AD105" s="67" t="str">
        <f t="shared" ca="1" si="39"/>
        <v>STABLE</v>
      </c>
      <c r="AE105" s="67" t="str">
        <f t="shared" si="40"/>
        <v>SLOW SELLING</v>
      </c>
      <c r="AF105" s="67" t="str">
        <f t="shared" si="41"/>
        <v>AT RISK</v>
      </c>
      <c r="AG105" s="67" t="str">
        <f t="shared" si="42"/>
        <v>FEASIBLE</v>
      </c>
      <c r="AH105" s="73" t="str">
        <f t="shared" ca="1" si="43"/>
        <v>MONITOR</v>
      </c>
    </row>
    <row r="106" spans="1:34" x14ac:dyDescent="0.35">
      <c r="A106" s="25" t="s">
        <v>120</v>
      </c>
      <c r="B106" s="10" t="s">
        <v>325</v>
      </c>
      <c r="C106" s="10" t="s">
        <v>344</v>
      </c>
      <c r="D106" s="10" t="s">
        <v>346</v>
      </c>
      <c r="E106" s="11">
        <v>45920</v>
      </c>
      <c r="F106" s="17">
        <v>45892</v>
      </c>
      <c r="G106" s="14">
        <f t="shared" ca="1" si="22"/>
        <v>207</v>
      </c>
      <c r="H106" s="17">
        <v>599</v>
      </c>
      <c r="I106" s="17">
        <v>300</v>
      </c>
      <c r="J106" s="53">
        <f t="shared" si="23"/>
        <v>628</v>
      </c>
      <c r="K106" s="17">
        <v>700</v>
      </c>
      <c r="L106" s="66">
        <v>72</v>
      </c>
      <c r="M106" s="52">
        <f t="shared" ca="1" si="24"/>
        <v>0.34782608695652173</v>
      </c>
      <c r="N106" s="50">
        <f t="shared" si="25"/>
        <v>0.33193597560975613</v>
      </c>
      <c r="O106" s="52">
        <f t="shared" si="26"/>
        <v>0.21951219512195122</v>
      </c>
      <c r="P106" s="56">
        <f t="shared" si="27"/>
        <v>18</v>
      </c>
      <c r="Q106" s="54">
        <f t="shared" si="28"/>
        <v>34.888888888888886</v>
      </c>
      <c r="R106" s="55">
        <f t="shared" si="29"/>
        <v>49.916527545909851</v>
      </c>
      <c r="S106" s="55">
        <f t="shared" si="30"/>
        <v>10.285714285714285</v>
      </c>
      <c r="T106" s="13">
        <f t="shared" si="31"/>
        <v>1</v>
      </c>
      <c r="U106" s="13">
        <f t="shared" si="32"/>
        <v>1</v>
      </c>
      <c r="V106" s="13">
        <f t="shared" si="33"/>
        <v>2</v>
      </c>
      <c r="W106" s="13">
        <f t="shared" ca="1" si="34"/>
        <v>3</v>
      </c>
      <c r="X106" s="13">
        <f t="shared" ca="1" si="35"/>
        <v>7</v>
      </c>
      <c r="Y106" s="61" t="str">
        <f t="shared" ca="1" si="36"/>
        <v>MONITOR</v>
      </c>
      <c r="Z106" s="51">
        <v>14</v>
      </c>
      <c r="AA106" s="53">
        <v>46059</v>
      </c>
      <c r="AB106" s="53">
        <f t="shared" si="37"/>
        <v>45920</v>
      </c>
      <c r="AC106" s="72">
        <f t="shared" si="38"/>
        <v>19.857142857142858</v>
      </c>
      <c r="AD106" s="67" t="str">
        <f t="shared" ca="1" si="39"/>
        <v>STABLE</v>
      </c>
      <c r="AE106" s="67" t="str">
        <f t="shared" si="40"/>
        <v>SLOW SELLING</v>
      </c>
      <c r="AF106" s="67" t="str">
        <f t="shared" si="41"/>
        <v>AT RISK</v>
      </c>
      <c r="AG106" s="67" t="str">
        <f t="shared" si="42"/>
        <v>FEASIBLE</v>
      </c>
      <c r="AH106" s="73" t="str">
        <f t="shared" ca="1" si="43"/>
        <v>MONITOR</v>
      </c>
    </row>
    <row r="107" spans="1:34" x14ac:dyDescent="0.35">
      <c r="A107" s="25" t="s">
        <v>121</v>
      </c>
      <c r="B107" s="10" t="s">
        <v>317</v>
      </c>
      <c r="C107" s="10" t="s">
        <v>344</v>
      </c>
      <c r="D107" s="10" t="s">
        <v>346</v>
      </c>
      <c r="E107" s="11">
        <v>45878</v>
      </c>
      <c r="F107" s="17">
        <v>45892</v>
      </c>
      <c r="G107" s="14">
        <f t="shared" ca="1" si="22"/>
        <v>207</v>
      </c>
      <c r="H107" s="17">
        <v>799</v>
      </c>
      <c r="I107" s="17">
        <v>450</v>
      </c>
      <c r="J107" s="53">
        <f t="shared" si="23"/>
        <v>744</v>
      </c>
      <c r="K107" s="17">
        <v>800</v>
      </c>
      <c r="L107" s="66">
        <v>56</v>
      </c>
      <c r="M107" s="52">
        <f t="shared" ca="1" si="24"/>
        <v>0.27053140096618356</v>
      </c>
      <c r="N107" s="50">
        <f t="shared" si="25"/>
        <v>0.33193597560975613</v>
      </c>
      <c r="O107" s="52">
        <f t="shared" si="26"/>
        <v>0.17073170731707318</v>
      </c>
      <c r="P107" s="56">
        <f t="shared" si="27"/>
        <v>14.000000000000002</v>
      </c>
      <c r="Q107" s="54">
        <f t="shared" si="28"/>
        <v>53.142857142857139</v>
      </c>
      <c r="R107" s="55">
        <f t="shared" si="29"/>
        <v>43.67959949937422</v>
      </c>
      <c r="S107" s="55">
        <f t="shared" si="30"/>
        <v>7.0000000000000009</v>
      </c>
      <c r="T107" s="13">
        <f t="shared" si="31"/>
        <v>1</v>
      </c>
      <c r="U107" s="13">
        <f t="shared" si="32"/>
        <v>1</v>
      </c>
      <c r="V107" s="13">
        <f t="shared" si="33"/>
        <v>1</v>
      </c>
      <c r="W107" s="13">
        <f t="shared" ca="1" si="34"/>
        <v>3</v>
      </c>
      <c r="X107" s="13">
        <f t="shared" ca="1" si="35"/>
        <v>6</v>
      </c>
      <c r="Y107" s="61" t="str">
        <f t="shared" ca="1" si="36"/>
        <v>MONITOR</v>
      </c>
      <c r="Z107" s="51">
        <v>14</v>
      </c>
      <c r="AA107" s="53">
        <v>46059</v>
      </c>
      <c r="AB107" s="53">
        <f t="shared" si="37"/>
        <v>45920</v>
      </c>
      <c r="AC107" s="72">
        <f t="shared" si="38"/>
        <v>19.857142857142858</v>
      </c>
      <c r="AD107" s="67" t="str">
        <f t="shared" ca="1" si="39"/>
        <v>STABLE</v>
      </c>
      <c r="AE107" s="67" t="str">
        <f t="shared" si="40"/>
        <v>SLOW SELLING</v>
      </c>
      <c r="AF107" s="67" t="str">
        <f t="shared" si="41"/>
        <v>AT RISK</v>
      </c>
      <c r="AG107" s="67" t="str">
        <f t="shared" si="42"/>
        <v>FEASIBLE</v>
      </c>
      <c r="AH107" s="73" t="str">
        <f t="shared" ca="1" si="43"/>
        <v>MONITOR</v>
      </c>
    </row>
    <row r="108" spans="1:34" x14ac:dyDescent="0.35">
      <c r="A108" s="25" t="s">
        <v>122</v>
      </c>
      <c r="B108" s="10" t="s">
        <v>317</v>
      </c>
      <c r="C108" s="10" t="s">
        <v>344</v>
      </c>
      <c r="D108" s="10" t="s">
        <v>346</v>
      </c>
      <c r="E108" s="11">
        <v>45878</v>
      </c>
      <c r="F108" s="17">
        <v>45892</v>
      </c>
      <c r="G108" s="14">
        <f t="shared" ca="1" si="22"/>
        <v>207</v>
      </c>
      <c r="H108" s="17">
        <v>799</v>
      </c>
      <c r="I108" s="17">
        <v>450</v>
      </c>
      <c r="J108" s="53">
        <f t="shared" si="23"/>
        <v>631</v>
      </c>
      <c r="K108" s="17">
        <v>800</v>
      </c>
      <c r="L108" s="66">
        <v>169</v>
      </c>
      <c r="M108" s="52">
        <f t="shared" ca="1" si="24"/>
        <v>0.81642512077294682</v>
      </c>
      <c r="N108" s="50">
        <f t="shared" si="25"/>
        <v>0.33193597560975613</v>
      </c>
      <c r="O108" s="52">
        <f t="shared" si="26"/>
        <v>0.5152439024390244</v>
      </c>
      <c r="P108" s="56">
        <f t="shared" si="27"/>
        <v>42.25</v>
      </c>
      <c r="Q108" s="54">
        <f t="shared" si="28"/>
        <v>14.934911242603551</v>
      </c>
      <c r="R108" s="55">
        <f t="shared" si="29"/>
        <v>43.67959949937422</v>
      </c>
      <c r="S108" s="55">
        <f t="shared" si="30"/>
        <v>21.125</v>
      </c>
      <c r="T108" s="13">
        <f t="shared" si="31"/>
        <v>3</v>
      </c>
      <c r="U108" s="13">
        <f t="shared" si="32"/>
        <v>1</v>
      </c>
      <c r="V108" s="13">
        <f t="shared" si="33"/>
        <v>1</v>
      </c>
      <c r="W108" s="13">
        <f t="shared" ca="1" si="34"/>
        <v>3</v>
      </c>
      <c r="X108" s="13">
        <f t="shared" ca="1" si="35"/>
        <v>8</v>
      </c>
      <c r="Y108" s="61" t="str">
        <f t="shared" ca="1" si="36"/>
        <v>MONITOR</v>
      </c>
      <c r="Z108" s="51">
        <v>14</v>
      </c>
      <c r="AA108" s="53">
        <v>46059</v>
      </c>
      <c r="AB108" s="53">
        <f t="shared" si="37"/>
        <v>45920</v>
      </c>
      <c r="AC108" s="72">
        <f t="shared" si="38"/>
        <v>19.857142857142858</v>
      </c>
      <c r="AD108" s="67" t="str">
        <f t="shared" ca="1" si="39"/>
        <v>STABLE</v>
      </c>
      <c r="AE108" s="67" t="str">
        <f t="shared" si="40"/>
        <v>FAST SELLING</v>
      </c>
      <c r="AF108" s="67" t="str">
        <f t="shared" si="41"/>
        <v>AT RISK</v>
      </c>
      <c r="AG108" s="67" t="str">
        <f t="shared" si="42"/>
        <v>FEASIBLE</v>
      </c>
      <c r="AH108" s="73" t="str">
        <f t="shared" ca="1" si="43"/>
        <v>MONITOR</v>
      </c>
    </row>
    <row r="109" spans="1:34" x14ac:dyDescent="0.35">
      <c r="A109" s="25" t="s">
        <v>123</v>
      </c>
      <c r="B109" s="10" t="s">
        <v>317</v>
      </c>
      <c r="C109" s="10" t="s">
        <v>344</v>
      </c>
      <c r="D109" s="10" t="s">
        <v>346</v>
      </c>
      <c r="E109" s="11">
        <v>45878</v>
      </c>
      <c r="F109" s="17">
        <v>45892</v>
      </c>
      <c r="G109" s="14">
        <f t="shared" ca="1" si="22"/>
        <v>207</v>
      </c>
      <c r="H109" s="17">
        <v>799</v>
      </c>
      <c r="I109" s="17">
        <v>450</v>
      </c>
      <c r="J109" s="53">
        <f t="shared" si="23"/>
        <v>643</v>
      </c>
      <c r="K109" s="17">
        <v>800</v>
      </c>
      <c r="L109" s="66">
        <v>157</v>
      </c>
      <c r="M109" s="52">
        <f t="shared" ca="1" si="24"/>
        <v>0.75845410628019327</v>
      </c>
      <c r="N109" s="50">
        <f t="shared" si="25"/>
        <v>0.33193597560975613</v>
      </c>
      <c r="O109" s="52">
        <f t="shared" si="26"/>
        <v>0.47865853658536583</v>
      </c>
      <c r="P109" s="56">
        <f t="shared" si="27"/>
        <v>39.25</v>
      </c>
      <c r="Q109" s="54">
        <f t="shared" si="28"/>
        <v>16.38216560509554</v>
      </c>
      <c r="R109" s="55">
        <f t="shared" si="29"/>
        <v>43.67959949937422</v>
      </c>
      <c r="S109" s="55">
        <f t="shared" si="30"/>
        <v>19.625</v>
      </c>
      <c r="T109" s="13">
        <f t="shared" si="31"/>
        <v>3</v>
      </c>
      <c r="U109" s="13">
        <f t="shared" si="32"/>
        <v>1</v>
      </c>
      <c r="V109" s="13">
        <f t="shared" si="33"/>
        <v>1</v>
      </c>
      <c r="W109" s="13">
        <f t="shared" ca="1" si="34"/>
        <v>3</v>
      </c>
      <c r="X109" s="13">
        <f t="shared" ca="1" si="35"/>
        <v>8</v>
      </c>
      <c r="Y109" s="61" t="str">
        <f t="shared" ca="1" si="36"/>
        <v>MONITOR</v>
      </c>
      <c r="Z109" s="51">
        <v>14</v>
      </c>
      <c r="AA109" s="53">
        <v>46059</v>
      </c>
      <c r="AB109" s="53">
        <f t="shared" si="37"/>
        <v>45920</v>
      </c>
      <c r="AC109" s="72">
        <f t="shared" si="38"/>
        <v>19.857142857142858</v>
      </c>
      <c r="AD109" s="67" t="str">
        <f t="shared" ca="1" si="39"/>
        <v>STABLE</v>
      </c>
      <c r="AE109" s="67" t="str">
        <f t="shared" si="40"/>
        <v>FAST SELLING</v>
      </c>
      <c r="AF109" s="67" t="str">
        <f t="shared" si="41"/>
        <v>AT RISK</v>
      </c>
      <c r="AG109" s="67" t="str">
        <f t="shared" si="42"/>
        <v>FEASIBLE</v>
      </c>
      <c r="AH109" s="73" t="str">
        <f t="shared" ca="1" si="43"/>
        <v>MONITOR</v>
      </c>
    </row>
    <row r="110" spans="1:34" x14ac:dyDescent="0.35">
      <c r="A110" s="25" t="s">
        <v>124</v>
      </c>
      <c r="B110" s="10" t="s">
        <v>317</v>
      </c>
      <c r="C110" s="10" t="s">
        <v>344</v>
      </c>
      <c r="D110" s="10" t="s">
        <v>346</v>
      </c>
      <c r="E110" s="11">
        <v>45878</v>
      </c>
      <c r="F110" s="17">
        <v>45892</v>
      </c>
      <c r="G110" s="14">
        <f t="shared" ca="1" si="22"/>
        <v>207</v>
      </c>
      <c r="H110" s="17">
        <v>799</v>
      </c>
      <c r="I110" s="17">
        <v>450</v>
      </c>
      <c r="J110" s="53">
        <f t="shared" si="23"/>
        <v>648</v>
      </c>
      <c r="K110" s="17">
        <v>800</v>
      </c>
      <c r="L110" s="66">
        <v>152</v>
      </c>
      <c r="M110" s="52">
        <f t="shared" ca="1" si="24"/>
        <v>0.7342995169082126</v>
      </c>
      <c r="N110" s="50">
        <f t="shared" si="25"/>
        <v>0.33193597560975613</v>
      </c>
      <c r="O110" s="52">
        <f t="shared" si="26"/>
        <v>0.46341463414634149</v>
      </c>
      <c r="P110" s="56">
        <f t="shared" si="27"/>
        <v>38</v>
      </c>
      <c r="Q110" s="54">
        <f t="shared" si="28"/>
        <v>17.05263157894737</v>
      </c>
      <c r="R110" s="55">
        <f t="shared" si="29"/>
        <v>43.67959949937422</v>
      </c>
      <c r="S110" s="55">
        <f t="shared" si="30"/>
        <v>19</v>
      </c>
      <c r="T110" s="13">
        <f t="shared" si="31"/>
        <v>3</v>
      </c>
      <c r="U110" s="13">
        <f t="shared" si="32"/>
        <v>1</v>
      </c>
      <c r="V110" s="13">
        <f t="shared" si="33"/>
        <v>1</v>
      </c>
      <c r="W110" s="13">
        <f t="shared" ca="1" si="34"/>
        <v>3</v>
      </c>
      <c r="X110" s="13">
        <f t="shared" ca="1" si="35"/>
        <v>8</v>
      </c>
      <c r="Y110" s="61" t="str">
        <f t="shared" ca="1" si="36"/>
        <v>MONITOR</v>
      </c>
      <c r="Z110" s="51">
        <v>14</v>
      </c>
      <c r="AA110" s="53">
        <v>46059</v>
      </c>
      <c r="AB110" s="53">
        <f t="shared" si="37"/>
        <v>45920</v>
      </c>
      <c r="AC110" s="72">
        <f t="shared" si="38"/>
        <v>19.857142857142858</v>
      </c>
      <c r="AD110" s="67" t="str">
        <f t="shared" ca="1" si="39"/>
        <v>STABLE</v>
      </c>
      <c r="AE110" s="67" t="str">
        <f t="shared" si="40"/>
        <v>FAST SELLING</v>
      </c>
      <c r="AF110" s="67" t="str">
        <f t="shared" si="41"/>
        <v>AT RISK</v>
      </c>
      <c r="AG110" s="67" t="str">
        <f t="shared" si="42"/>
        <v>FEASIBLE</v>
      </c>
      <c r="AH110" s="73" t="str">
        <f t="shared" ca="1" si="43"/>
        <v>MONITOR</v>
      </c>
    </row>
    <row r="111" spans="1:34" x14ac:dyDescent="0.35">
      <c r="A111" s="25" t="s">
        <v>125</v>
      </c>
      <c r="B111" s="10" t="s">
        <v>317</v>
      </c>
      <c r="C111" s="10" t="s">
        <v>344</v>
      </c>
      <c r="D111" s="10" t="s">
        <v>346</v>
      </c>
      <c r="E111" s="11">
        <v>45920</v>
      </c>
      <c r="F111" s="17">
        <v>45892</v>
      </c>
      <c r="G111" s="14">
        <f t="shared" ca="1" si="22"/>
        <v>207</v>
      </c>
      <c r="H111" s="17">
        <v>799</v>
      </c>
      <c r="I111" s="17">
        <v>450</v>
      </c>
      <c r="J111" s="53">
        <f t="shared" si="23"/>
        <v>566</v>
      </c>
      <c r="K111" s="17">
        <v>800</v>
      </c>
      <c r="L111" s="66">
        <v>234</v>
      </c>
      <c r="M111" s="52">
        <f t="shared" ca="1" si="24"/>
        <v>1.1304347826086956</v>
      </c>
      <c r="N111" s="50">
        <f t="shared" si="25"/>
        <v>0.33193597560975613</v>
      </c>
      <c r="O111" s="52">
        <f t="shared" si="26"/>
        <v>0.71341463414634143</v>
      </c>
      <c r="P111" s="56">
        <f t="shared" si="27"/>
        <v>58.5</v>
      </c>
      <c r="Q111" s="54">
        <f t="shared" si="28"/>
        <v>9.6752136752136746</v>
      </c>
      <c r="R111" s="55">
        <f t="shared" si="29"/>
        <v>43.67959949937422</v>
      </c>
      <c r="S111" s="55">
        <f t="shared" si="30"/>
        <v>29.25</v>
      </c>
      <c r="T111" s="13">
        <f t="shared" si="31"/>
        <v>3</v>
      </c>
      <c r="U111" s="13">
        <f t="shared" si="32"/>
        <v>1</v>
      </c>
      <c r="V111" s="13">
        <f t="shared" si="33"/>
        <v>1</v>
      </c>
      <c r="W111" s="13">
        <f t="shared" ca="1" si="34"/>
        <v>3</v>
      </c>
      <c r="X111" s="13">
        <f t="shared" ca="1" si="35"/>
        <v>8</v>
      </c>
      <c r="Y111" s="61" t="str">
        <f t="shared" ca="1" si="36"/>
        <v>MONITOR</v>
      </c>
      <c r="Z111" s="51">
        <v>14</v>
      </c>
      <c r="AA111" s="53">
        <v>46059</v>
      </c>
      <c r="AB111" s="53">
        <f t="shared" si="37"/>
        <v>45920</v>
      </c>
      <c r="AC111" s="72">
        <f t="shared" si="38"/>
        <v>19.857142857142858</v>
      </c>
      <c r="AD111" s="67" t="str">
        <f t="shared" ca="1" si="39"/>
        <v>STABLE</v>
      </c>
      <c r="AE111" s="67" t="str">
        <f t="shared" si="40"/>
        <v>FAST SELLING</v>
      </c>
      <c r="AF111" s="67" t="str">
        <f t="shared" si="41"/>
        <v>AT RISK</v>
      </c>
      <c r="AG111" s="67" t="str">
        <f t="shared" si="42"/>
        <v>FEASIBLE</v>
      </c>
      <c r="AH111" s="73" t="str">
        <f t="shared" ca="1" si="43"/>
        <v>MONITOR</v>
      </c>
    </row>
    <row r="112" spans="1:34" x14ac:dyDescent="0.35">
      <c r="A112" s="25" t="s">
        <v>126</v>
      </c>
      <c r="B112" s="10" t="s">
        <v>317</v>
      </c>
      <c r="C112" s="10" t="s">
        <v>344</v>
      </c>
      <c r="D112" s="10" t="s">
        <v>346</v>
      </c>
      <c r="E112" s="11">
        <v>45920</v>
      </c>
      <c r="F112" s="17">
        <v>45892</v>
      </c>
      <c r="G112" s="14">
        <f t="shared" ca="1" si="22"/>
        <v>207</v>
      </c>
      <c r="H112" s="17">
        <v>799</v>
      </c>
      <c r="I112" s="17">
        <v>450</v>
      </c>
      <c r="J112" s="53">
        <f t="shared" si="23"/>
        <v>595</v>
      </c>
      <c r="K112" s="17">
        <v>800</v>
      </c>
      <c r="L112" s="66">
        <v>205</v>
      </c>
      <c r="M112" s="52">
        <f t="shared" ca="1" si="24"/>
        <v>0.99033816425120769</v>
      </c>
      <c r="N112" s="50">
        <f t="shared" si="25"/>
        <v>0.33193597560975613</v>
      </c>
      <c r="O112" s="52">
        <f t="shared" si="26"/>
        <v>0.625</v>
      </c>
      <c r="P112" s="56">
        <f t="shared" si="27"/>
        <v>51.25</v>
      </c>
      <c r="Q112" s="54">
        <f t="shared" si="28"/>
        <v>11.609756097560975</v>
      </c>
      <c r="R112" s="55">
        <f t="shared" si="29"/>
        <v>43.67959949937422</v>
      </c>
      <c r="S112" s="55">
        <f t="shared" si="30"/>
        <v>25.624999999999996</v>
      </c>
      <c r="T112" s="13">
        <f t="shared" si="31"/>
        <v>3</v>
      </c>
      <c r="U112" s="13">
        <f t="shared" si="32"/>
        <v>1</v>
      </c>
      <c r="V112" s="13">
        <f t="shared" si="33"/>
        <v>1</v>
      </c>
      <c r="W112" s="13">
        <f t="shared" ca="1" si="34"/>
        <v>3</v>
      </c>
      <c r="X112" s="13">
        <f t="shared" ca="1" si="35"/>
        <v>8</v>
      </c>
      <c r="Y112" s="61" t="str">
        <f t="shared" ca="1" si="36"/>
        <v>MONITOR</v>
      </c>
      <c r="Z112" s="51">
        <v>14</v>
      </c>
      <c r="AA112" s="53">
        <v>46059</v>
      </c>
      <c r="AB112" s="53">
        <f t="shared" si="37"/>
        <v>45920</v>
      </c>
      <c r="AC112" s="72">
        <f t="shared" si="38"/>
        <v>19.857142857142858</v>
      </c>
      <c r="AD112" s="67" t="str">
        <f t="shared" ca="1" si="39"/>
        <v>STABLE</v>
      </c>
      <c r="AE112" s="67" t="str">
        <f t="shared" si="40"/>
        <v>FAST SELLING</v>
      </c>
      <c r="AF112" s="67" t="str">
        <f t="shared" si="41"/>
        <v>AT RISK</v>
      </c>
      <c r="AG112" s="67" t="str">
        <f t="shared" si="42"/>
        <v>FEASIBLE</v>
      </c>
      <c r="AH112" s="73" t="str">
        <f t="shared" ca="1" si="43"/>
        <v>MONITOR</v>
      </c>
    </row>
    <row r="113" spans="1:34" x14ac:dyDescent="0.35">
      <c r="A113" s="25" t="s">
        <v>127</v>
      </c>
      <c r="B113" s="10" t="s">
        <v>326</v>
      </c>
      <c r="C113" s="10" t="s">
        <v>342</v>
      </c>
      <c r="D113" s="10" t="s">
        <v>346</v>
      </c>
      <c r="E113" s="11">
        <v>45864</v>
      </c>
      <c r="F113" s="17">
        <v>45892</v>
      </c>
      <c r="G113" s="14">
        <f t="shared" ca="1" si="22"/>
        <v>207</v>
      </c>
      <c r="H113" s="17">
        <v>999</v>
      </c>
      <c r="I113" s="17">
        <v>500</v>
      </c>
      <c r="J113" s="53">
        <f t="shared" si="23"/>
        <v>685</v>
      </c>
      <c r="K113" s="17">
        <v>1050</v>
      </c>
      <c r="L113" s="66">
        <v>365</v>
      </c>
      <c r="M113" s="52">
        <f t="shared" ca="1" si="24"/>
        <v>1.7632850241545894</v>
      </c>
      <c r="N113" s="50">
        <f t="shared" si="25"/>
        <v>0.80451009251471861</v>
      </c>
      <c r="O113" s="52">
        <f t="shared" si="26"/>
        <v>1.1128048780487805</v>
      </c>
      <c r="P113" s="56">
        <f t="shared" si="27"/>
        <v>91.25</v>
      </c>
      <c r="Q113" s="54">
        <f t="shared" si="28"/>
        <v>7.506849315068493</v>
      </c>
      <c r="R113" s="55">
        <f t="shared" si="29"/>
        <v>49.949949949949954</v>
      </c>
      <c r="S113" s="55">
        <f t="shared" si="30"/>
        <v>34.761904761904759</v>
      </c>
      <c r="T113" s="13">
        <f t="shared" si="31"/>
        <v>3</v>
      </c>
      <c r="U113" s="13">
        <f t="shared" si="32"/>
        <v>1</v>
      </c>
      <c r="V113" s="13">
        <f t="shared" si="33"/>
        <v>2</v>
      </c>
      <c r="W113" s="13">
        <f t="shared" ca="1" si="34"/>
        <v>3</v>
      </c>
      <c r="X113" s="13">
        <f t="shared" ca="1" si="35"/>
        <v>9</v>
      </c>
      <c r="Y113" s="61" t="str">
        <f t="shared" ca="1" si="36"/>
        <v>RE-BUY</v>
      </c>
      <c r="Z113" s="51">
        <v>14</v>
      </c>
      <c r="AA113" s="53">
        <v>46059</v>
      </c>
      <c r="AB113" s="53">
        <f t="shared" si="37"/>
        <v>45920</v>
      </c>
      <c r="AC113" s="72">
        <f t="shared" si="38"/>
        <v>19.857142857142858</v>
      </c>
      <c r="AD113" s="67" t="str">
        <f t="shared" ca="1" si="39"/>
        <v>STABLE</v>
      </c>
      <c r="AE113" s="67" t="str">
        <f t="shared" si="40"/>
        <v>FAST SELLING</v>
      </c>
      <c r="AF113" s="67" t="str">
        <f t="shared" si="41"/>
        <v>AT RISK</v>
      </c>
      <c r="AG113" s="67" t="str">
        <f t="shared" si="42"/>
        <v>FEASIBLE</v>
      </c>
      <c r="AH113" s="73" t="str">
        <f t="shared" ca="1" si="43"/>
        <v>IMMEDIATE REBUY</v>
      </c>
    </row>
    <row r="114" spans="1:34" x14ac:dyDescent="0.35">
      <c r="A114" s="25" t="s">
        <v>128</v>
      </c>
      <c r="B114" s="10" t="s">
        <v>326</v>
      </c>
      <c r="C114" s="10" t="s">
        <v>342</v>
      </c>
      <c r="D114" s="10" t="s">
        <v>346</v>
      </c>
      <c r="E114" s="11">
        <v>45864</v>
      </c>
      <c r="F114" s="17">
        <v>45892</v>
      </c>
      <c r="G114" s="14">
        <f t="shared" ca="1" si="22"/>
        <v>207</v>
      </c>
      <c r="H114" s="17">
        <v>999</v>
      </c>
      <c r="I114" s="17">
        <v>520</v>
      </c>
      <c r="J114" s="53">
        <f t="shared" si="23"/>
        <v>830</v>
      </c>
      <c r="K114" s="17">
        <v>1050</v>
      </c>
      <c r="L114" s="66">
        <v>220</v>
      </c>
      <c r="M114" s="52">
        <f t="shared" ca="1" si="24"/>
        <v>1.0628019323671498</v>
      </c>
      <c r="N114" s="50">
        <f t="shared" si="25"/>
        <v>0.80451009251471861</v>
      </c>
      <c r="O114" s="52">
        <f t="shared" si="26"/>
        <v>0.67073170731707321</v>
      </c>
      <c r="P114" s="56">
        <f t="shared" si="27"/>
        <v>55</v>
      </c>
      <c r="Q114" s="54">
        <f t="shared" si="28"/>
        <v>15.090909090909092</v>
      </c>
      <c r="R114" s="55">
        <f t="shared" si="29"/>
        <v>47.947947947947952</v>
      </c>
      <c r="S114" s="55">
        <f t="shared" si="30"/>
        <v>20.952380952380953</v>
      </c>
      <c r="T114" s="13">
        <f t="shared" si="31"/>
        <v>2</v>
      </c>
      <c r="U114" s="13">
        <f t="shared" si="32"/>
        <v>1</v>
      </c>
      <c r="V114" s="13">
        <f t="shared" si="33"/>
        <v>2</v>
      </c>
      <c r="W114" s="13">
        <f t="shared" ca="1" si="34"/>
        <v>3</v>
      </c>
      <c r="X114" s="13">
        <f t="shared" ca="1" si="35"/>
        <v>8</v>
      </c>
      <c r="Y114" s="61" t="str">
        <f t="shared" ca="1" si="36"/>
        <v>MONITOR</v>
      </c>
      <c r="Z114" s="51">
        <v>14</v>
      </c>
      <c r="AA114" s="53">
        <v>46059</v>
      </c>
      <c r="AB114" s="53">
        <f t="shared" si="37"/>
        <v>45920</v>
      </c>
      <c r="AC114" s="72">
        <f t="shared" si="38"/>
        <v>19.857142857142858</v>
      </c>
      <c r="AD114" s="67" t="str">
        <f t="shared" ca="1" si="39"/>
        <v>STABLE</v>
      </c>
      <c r="AE114" s="67" t="str">
        <f t="shared" si="40"/>
        <v>SLOW SELLING</v>
      </c>
      <c r="AF114" s="67" t="str">
        <f t="shared" si="41"/>
        <v>AT RISK</v>
      </c>
      <c r="AG114" s="67" t="str">
        <f t="shared" si="42"/>
        <v>FEASIBLE</v>
      </c>
      <c r="AH114" s="73" t="str">
        <f t="shared" ca="1" si="43"/>
        <v>MONITOR</v>
      </c>
    </row>
    <row r="115" spans="1:34" x14ac:dyDescent="0.35">
      <c r="A115" s="25" t="s">
        <v>129</v>
      </c>
      <c r="B115" s="10" t="s">
        <v>326</v>
      </c>
      <c r="C115" s="10" t="s">
        <v>342</v>
      </c>
      <c r="D115" s="10" t="s">
        <v>346</v>
      </c>
      <c r="E115" s="11">
        <v>45864</v>
      </c>
      <c r="F115" s="17">
        <v>45892</v>
      </c>
      <c r="G115" s="14">
        <f t="shared" ca="1" si="22"/>
        <v>207</v>
      </c>
      <c r="H115" s="17">
        <v>999</v>
      </c>
      <c r="I115" s="17">
        <v>500</v>
      </c>
      <c r="J115" s="53">
        <f t="shared" si="23"/>
        <v>703</v>
      </c>
      <c r="K115" s="17">
        <v>1050</v>
      </c>
      <c r="L115" s="66">
        <v>347</v>
      </c>
      <c r="M115" s="52">
        <f t="shared" ca="1" si="24"/>
        <v>1.6763285024154588</v>
      </c>
      <c r="N115" s="50">
        <f t="shared" si="25"/>
        <v>0.80451009251471861</v>
      </c>
      <c r="O115" s="52">
        <f t="shared" si="26"/>
        <v>1.0579268292682926</v>
      </c>
      <c r="P115" s="56">
        <f t="shared" si="27"/>
        <v>86.75</v>
      </c>
      <c r="Q115" s="54">
        <f t="shared" si="28"/>
        <v>8.1037463976945237</v>
      </c>
      <c r="R115" s="55">
        <f t="shared" si="29"/>
        <v>49.949949949949954</v>
      </c>
      <c r="S115" s="55">
        <f t="shared" si="30"/>
        <v>33.047619047619051</v>
      </c>
      <c r="T115" s="13">
        <f t="shared" si="31"/>
        <v>3</v>
      </c>
      <c r="U115" s="13">
        <f t="shared" si="32"/>
        <v>1</v>
      </c>
      <c r="V115" s="13">
        <f t="shared" si="33"/>
        <v>2</v>
      </c>
      <c r="W115" s="13">
        <f t="shared" ca="1" si="34"/>
        <v>3</v>
      </c>
      <c r="X115" s="13">
        <f t="shared" ca="1" si="35"/>
        <v>9</v>
      </c>
      <c r="Y115" s="61" t="str">
        <f t="shared" ca="1" si="36"/>
        <v>RE-BUY</v>
      </c>
      <c r="Z115" s="51">
        <v>14</v>
      </c>
      <c r="AA115" s="53">
        <v>46059</v>
      </c>
      <c r="AB115" s="53">
        <f t="shared" si="37"/>
        <v>45920</v>
      </c>
      <c r="AC115" s="72">
        <f t="shared" si="38"/>
        <v>19.857142857142858</v>
      </c>
      <c r="AD115" s="67" t="str">
        <f t="shared" ca="1" si="39"/>
        <v>STABLE</v>
      </c>
      <c r="AE115" s="67" t="str">
        <f t="shared" si="40"/>
        <v>FAST SELLING</v>
      </c>
      <c r="AF115" s="67" t="str">
        <f t="shared" si="41"/>
        <v>AT RISK</v>
      </c>
      <c r="AG115" s="67" t="str">
        <f t="shared" si="42"/>
        <v>FEASIBLE</v>
      </c>
      <c r="AH115" s="73" t="str">
        <f t="shared" ca="1" si="43"/>
        <v>IMMEDIATE REBUY</v>
      </c>
    </row>
    <row r="116" spans="1:34" x14ac:dyDescent="0.35">
      <c r="A116" s="25" t="s">
        <v>130</v>
      </c>
      <c r="B116" s="10" t="s">
        <v>328</v>
      </c>
      <c r="C116" s="10" t="s">
        <v>342</v>
      </c>
      <c r="D116" s="10" t="s">
        <v>346</v>
      </c>
      <c r="E116" s="11">
        <v>45864</v>
      </c>
      <c r="F116" s="17">
        <v>45892</v>
      </c>
      <c r="G116" s="14">
        <f t="shared" ca="1" si="22"/>
        <v>207</v>
      </c>
      <c r="H116" s="17">
        <v>999</v>
      </c>
      <c r="I116" s="17">
        <v>480</v>
      </c>
      <c r="J116" s="53">
        <f t="shared" si="23"/>
        <v>1030</v>
      </c>
      <c r="K116" s="17">
        <v>1100</v>
      </c>
      <c r="L116" s="66">
        <v>70</v>
      </c>
      <c r="M116" s="52">
        <f t="shared" ca="1" si="24"/>
        <v>0.33816425120772947</v>
      </c>
      <c r="N116" s="50">
        <f t="shared" si="25"/>
        <v>0.80451009251471861</v>
      </c>
      <c r="O116" s="52">
        <f t="shared" si="26"/>
        <v>0.21341463414634146</v>
      </c>
      <c r="P116" s="56">
        <f t="shared" si="27"/>
        <v>17.5</v>
      </c>
      <c r="Q116" s="54">
        <f t="shared" si="28"/>
        <v>58.857142857142854</v>
      </c>
      <c r="R116" s="55">
        <f t="shared" si="29"/>
        <v>51.951951951951948</v>
      </c>
      <c r="S116" s="55">
        <f t="shared" si="30"/>
        <v>6.3636363636363633</v>
      </c>
      <c r="T116" s="13">
        <f t="shared" si="31"/>
        <v>1</v>
      </c>
      <c r="U116" s="13">
        <f t="shared" si="32"/>
        <v>1</v>
      </c>
      <c r="V116" s="13">
        <f t="shared" si="33"/>
        <v>2</v>
      </c>
      <c r="W116" s="13">
        <f t="shared" ca="1" si="34"/>
        <v>3</v>
      </c>
      <c r="X116" s="13">
        <f t="shared" ca="1" si="35"/>
        <v>7</v>
      </c>
      <c r="Y116" s="61" t="str">
        <f t="shared" ca="1" si="36"/>
        <v>MONITOR</v>
      </c>
      <c r="Z116" s="51">
        <v>14</v>
      </c>
      <c r="AA116" s="53">
        <v>46059</v>
      </c>
      <c r="AB116" s="53">
        <f t="shared" si="37"/>
        <v>45920</v>
      </c>
      <c r="AC116" s="72">
        <f t="shared" si="38"/>
        <v>19.857142857142858</v>
      </c>
      <c r="AD116" s="67" t="str">
        <f t="shared" ca="1" si="39"/>
        <v>STABLE</v>
      </c>
      <c r="AE116" s="67" t="str">
        <f t="shared" si="40"/>
        <v>SLOW SELLING</v>
      </c>
      <c r="AF116" s="67" t="str">
        <f t="shared" si="41"/>
        <v>AT RISK</v>
      </c>
      <c r="AG116" s="67" t="str">
        <f t="shared" si="42"/>
        <v>FEASIBLE</v>
      </c>
      <c r="AH116" s="73" t="str">
        <f t="shared" ca="1" si="43"/>
        <v>MONITOR</v>
      </c>
    </row>
    <row r="117" spans="1:34" x14ac:dyDescent="0.35">
      <c r="A117" s="25" t="s">
        <v>131</v>
      </c>
      <c r="B117" s="10" t="s">
        <v>328</v>
      </c>
      <c r="C117" s="10" t="s">
        <v>342</v>
      </c>
      <c r="D117" s="10" t="s">
        <v>346</v>
      </c>
      <c r="E117" s="11">
        <v>45864</v>
      </c>
      <c r="F117" s="17">
        <v>45892</v>
      </c>
      <c r="G117" s="14">
        <f t="shared" ca="1" si="22"/>
        <v>207</v>
      </c>
      <c r="H117" s="17">
        <v>999</v>
      </c>
      <c r="I117" s="17">
        <v>530</v>
      </c>
      <c r="J117" s="53">
        <f t="shared" si="23"/>
        <v>1060</v>
      </c>
      <c r="K117" s="17">
        <v>1100</v>
      </c>
      <c r="L117" s="66">
        <v>40</v>
      </c>
      <c r="M117" s="52">
        <f t="shared" ca="1" si="24"/>
        <v>0.19323671497584541</v>
      </c>
      <c r="N117" s="50">
        <f t="shared" si="25"/>
        <v>0.80451009251471861</v>
      </c>
      <c r="O117" s="52">
        <f t="shared" si="26"/>
        <v>0.12195121951219512</v>
      </c>
      <c r="P117" s="56">
        <f t="shared" si="27"/>
        <v>10</v>
      </c>
      <c r="Q117" s="54">
        <f t="shared" si="28"/>
        <v>106</v>
      </c>
      <c r="R117" s="55">
        <f t="shared" si="29"/>
        <v>46.946946946946952</v>
      </c>
      <c r="S117" s="55">
        <f t="shared" si="30"/>
        <v>3.6363636363636362</v>
      </c>
      <c r="T117" s="13">
        <f t="shared" si="31"/>
        <v>1</v>
      </c>
      <c r="U117" s="13">
        <f t="shared" si="32"/>
        <v>1</v>
      </c>
      <c r="V117" s="13">
        <f t="shared" si="33"/>
        <v>2</v>
      </c>
      <c r="W117" s="13">
        <f t="shared" ca="1" si="34"/>
        <v>3</v>
      </c>
      <c r="X117" s="13">
        <f t="shared" ca="1" si="35"/>
        <v>7</v>
      </c>
      <c r="Y117" s="61" t="str">
        <f t="shared" ca="1" si="36"/>
        <v>MONITOR</v>
      </c>
      <c r="Z117" s="51">
        <v>14</v>
      </c>
      <c r="AA117" s="53">
        <v>46059</v>
      </c>
      <c r="AB117" s="53">
        <f t="shared" si="37"/>
        <v>45920</v>
      </c>
      <c r="AC117" s="72">
        <f t="shared" si="38"/>
        <v>19.857142857142858</v>
      </c>
      <c r="AD117" s="67" t="str">
        <f t="shared" ca="1" si="39"/>
        <v>STABLE</v>
      </c>
      <c r="AE117" s="67" t="str">
        <f t="shared" si="40"/>
        <v>SLOW SELLING</v>
      </c>
      <c r="AF117" s="67" t="str">
        <f t="shared" si="41"/>
        <v>AT RISK</v>
      </c>
      <c r="AG117" s="67" t="str">
        <f t="shared" si="42"/>
        <v>FEASIBLE</v>
      </c>
      <c r="AH117" s="73" t="str">
        <f t="shared" ca="1" si="43"/>
        <v>MONITOR</v>
      </c>
    </row>
    <row r="118" spans="1:34" x14ac:dyDescent="0.35">
      <c r="A118" s="25" t="s">
        <v>132</v>
      </c>
      <c r="B118" s="10" t="s">
        <v>328</v>
      </c>
      <c r="C118" s="10" t="s">
        <v>342</v>
      </c>
      <c r="D118" s="10" t="s">
        <v>346</v>
      </c>
      <c r="E118" s="11">
        <v>45892</v>
      </c>
      <c r="F118" s="17">
        <v>45892</v>
      </c>
      <c r="G118" s="14">
        <f t="shared" ca="1" si="22"/>
        <v>207</v>
      </c>
      <c r="H118" s="17">
        <v>999</v>
      </c>
      <c r="I118" s="17">
        <v>480</v>
      </c>
      <c r="J118" s="53">
        <f t="shared" si="23"/>
        <v>973</v>
      </c>
      <c r="K118" s="17">
        <v>1200</v>
      </c>
      <c r="L118" s="66">
        <v>227</v>
      </c>
      <c r="M118" s="52">
        <f t="shared" ca="1" si="24"/>
        <v>1.0966183574879227</v>
      </c>
      <c r="N118" s="50">
        <f t="shared" si="25"/>
        <v>0.80451009251471861</v>
      </c>
      <c r="O118" s="52">
        <f t="shared" si="26"/>
        <v>0.69207317073170727</v>
      </c>
      <c r="P118" s="56">
        <f t="shared" si="27"/>
        <v>56.749999999999993</v>
      </c>
      <c r="Q118" s="54">
        <f t="shared" si="28"/>
        <v>17.145374449339208</v>
      </c>
      <c r="R118" s="55">
        <f t="shared" si="29"/>
        <v>51.951951951951948</v>
      </c>
      <c r="S118" s="55">
        <f t="shared" si="30"/>
        <v>18.916666666666668</v>
      </c>
      <c r="T118" s="13">
        <f t="shared" si="31"/>
        <v>2</v>
      </c>
      <c r="U118" s="13">
        <f t="shared" si="32"/>
        <v>1</v>
      </c>
      <c r="V118" s="13">
        <f t="shared" si="33"/>
        <v>2</v>
      </c>
      <c r="W118" s="13">
        <f t="shared" ca="1" si="34"/>
        <v>3</v>
      </c>
      <c r="X118" s="13">
        <f t="shared" ca="1" si="35"/>
        <v>8</v>
      </c>
      <c r="Y118" s="61" t="str">
        <f t="shared" ca="1" si="36"/>
        <v>MONITOR</v>
      </c>
      <c r="Z118" s="51">
        <v>14</v>
      </c>
      <c r="AA118" s="53">
        <v>46059</v>
      </c>
      <c r="AB118" s="53">
        <f t="shared" si="37"/>
        <v>45920</v>
      </c>
      <c r="AC118" s="72">
        <f t="shared" si="38"/>
        <v>19.857142857142858</v>
      </c>
      <c r="AD118" s="67" t="str">
        <f t="shared" ca="1" si="39"/>
        <v>STABLE</v>
      </c>
      <c r="AE118" s="67" t="str">
        <f t="shared" si="40"/>
        <v>SLOW SELLING</v>
      </c>
      <c r="AF118" s="67" t="str">
        <f t="shared" si="41"/>
        <v>AT RISK</v>
      </c>
      <c r="AG118" s="67" t="str">
        <f t="shared" si="42"/>
        <v>FEASIBLE</v>
      </c>
      <c r="AH118" s="73" t="str">
        <f t="shared" ca="1" si="43"/>
        <v>MONITOR</v>
      </c>
    </row>
    <row r="119" spans="1:34" x14ac:dyDescent="0.35">
      <c r="A119" s="25" t="s">
        <v>133</v>
      </c>
      <c r="B119" s="10" t="s">
        <v>328</v>
      </c>
      <c r="C119" s="10" t="s">
        <v>342</v>
      </c>
      <c r="D119" s="10" t="s">
        <v>346</v>
      </c>
      <c r="E119" s="11">
        <v>45920</v>
      </c>
      <c r="F119" s="17">
        <v>45892</v>
      </c>
      <c r="G119" s="14">
        <f t="shared" ca="1" si="22"/>
        <v>207</v>
      </c>
      <c r="H119" s="17">
        <v>999</v>
      </c>
      <c r="I119" s="17">
        <v>470</v>
      </c>
      <c r="J119" s="53">
        <f t="shared" si="23"/>
        <v>738</v>
      </c>
      <c r="K119" s="17">
        <v>1100</v>
      </c>
      <c r="L119" s="66">
        <v>362</v>
      </c>
      <c r="M119" s="52">
        <f t="shared" ca="1" si="24"/>
        <v>1.748792270531401</v>
      </c>
      <c r="N119" s="50">
        <f t="shared" si="25"/>
        <v>0.80451009251471861</v>
      </c>
      <c r="O119" s="52">
        <f t="shared" si="26"/>
        <v>1.1036585365853659</v>
      </c>
      <c r="P119" s="56">
        <f t="shared" si="27"/>
        <v>90.500000000000014</v>
      </c>
      <c r="Q119" s="54">
        <f t="shared" si="28"/>
        <v>8.1546961325966834</v>
      </c>
      <c r="R119" s="55">
        <f t="shared" si="29"/>
        <v>52.952952952952948</v>
      </c>
      <c r="S119" s="55">
        <f t="shared" si="30"/>
        <v>32.909090909090907</v>
      </c>
      <c r="T119" s="13">
        <f t="shared" si="31"/>
        <v>3</v>
      </c>
      <c r="U119" s="13">
        <f t="shared" si="32"/>
        <v>1</v>
      </c>
      <c r="V119" s="13">
        <f t="shared" si="33"/>
        <v>2</v>
      </c>
      <c r="W119" s="13">
        <f t="shared" ca="1" si="34"/>
        <v>3</v>
      </c>
      <c r="X119" s="13">
        <f t="shared" ca="1" si="35"/>
        <v>9</v>
      </c>
      <c r="Y119" s="61" t="str">
        <f t="shared" ca="1" si="36"/>
        <v>RE-BUY</v>
      </c>
      <c r="Z119" s="51">
        <v>14</v>
      </c>
      <c r="AA119" s="53">
        <v>46059</v>
      </c>
      <c r="AB119" s="53">
        <f t="shared" si="37"/>
        <v>45920</v>
      </c>
      <c r="AC119" s="72">
        <f t="shared" si="38"/>
        <v>19.857142857142858</v>
      </c>
      <c r="AD119" s="67" t="str">
        <f t="shared" ca="1" si="39"/>
        <v>STABLE</v>
      </c>
      <c r="AE119" s="67" t="str">
        <f t="shared" si="40"/>
        <v>FAST SELLING</v>
      </c>
      <c r="AF119" s="67" t="str">
        <f t="shared" si="41"/>
        <v>AT RISK</v>
      </c>
      <c r="AG119" s="67" t="str">
        <f t="shared" si="42"/>
        <v>FEASIBLE</v>
      </c>
      <c r="AH119" s="73" t="str">
        <f t="shared" ca="1" si="43"/>
        <v>IMMEDIATE REBUY</v>
      </c>
    </row>
    <row r="120" spans="1:34" x14ac:dyDescent="0.35">
      <c r="A120" s="25" t="s">
        <v>134</v>
      </c>
      <c r="B120" s="10" t="s">
        <v>328</v>
      </c>
      <c r="C120" s="10" t="s">
        <v>342</v>
      </c>
      <c r="D120" s="10" t="s">
        <v>346</v>
      </c>
      <c r="E120" s="11">
        <v>45920</v>
      </c>
      <c r="F120" s="17">
        <v>45892</v>
      </c>
      <c r="G120" s="14">
        <f t="shared" ca="1" si="22"/>
        <v>207</v>
      </c>
      <c r="H120" s="17">
        <v>999</v>
      </c>
      <c r="I120" s="17">
        <v>530</v>
      </c>
      <c r="J120" s="53">
        <f t="shared" si="23"/>
        <v>702</v>
      </c>
      <c r="K120" s="17">
        <v>1100</v>
      </c>
      <c r="L120" s="66">
        <v>398</v>
      </c>
      <c r="M120" s="52">
        <f t="shared" ca="1" si="24"/>
        <v>1.9227053140096619</v>
      </c>
      <c r="N120" s="50">
        <f t="shared" si="25"/>
        <v>0.80451009251471861</v>
      </c>
      <c r="O120" s="52">
        <f t="shared" si="26"/>
        <v>1.2134146341463414</v>
      </c>
      <c r="P120" s="56">
        <f t="shared" si="27"/>
        <v>99.5</v>
      </c>
      <c r="Q120" s="54">
        <f t="shared" si="28"/>
        <v>7.0552763819095476</v>
      </c>
      <c r="R120" s="55">
        <f t="shared" si="29"/>
        <v>46.946946946946952</v>
      </c>
      <c r="S120" s="55">
        <f t="shared" si="30"/>
        <v>36.18181818181818</v>
      </c>
      <c r="T120" s="13">
        <f t="shared" si="31"/>
        <v>3</v>
      </c>
      <c r="U120" s="13">
        <f t="shared" si="32"/>
        <v>1</v>
      </c>
      <c r="V120" s="13">
        <f t="shared" si="33"/>
        <v>2</v>
      </c>
      <c r="W120" s="13">
        <f t="shared" ca="1" si="34"/>
        <v>3</v>
      </c>
      <c r="X120" s="13">
        <f t="shared" ca="1" si="35"/>
        <v>9</v>
      </c>
      <c r="Y120" s="61" t="str">
        <f t="shared" ca="1" si="36"/>
        <v>RE-BUY</v>
      </c>
      <c r="Z120" s="51">
        <v>14</v>
      </c>
      <c r="AA120" s="53">
        <v>46059</v>
      </c>
      <c r="AB120" s="53">
        <f t="shared" si="37"/>
        <v>45920</v>
      </c>
      <c r="AC120" s="72">
        <f t="shared" si="38"/>
        <v>19.857142857142858</v>
      </c>
      <c r="AD120" s="67" t="str">
        <f t="shared" ca="1" si="39"/>
        <v>STABLE</v>
      </c>
      <c r="AE120" s="67" t="str">
        <f t="shared" si="40"/>
        <v>FAST SELLING</v>
      </c>
      <c r="AF120" s="67" t="str">
        <f t="shared" si="41"/>
        <v>AT RISK</v>
      </c>
      <c r="AG120" s="67" t="str">
        <f t="shared" si="42"/>
        <v>FEASIBLE</v>
      </c>
      <c r="AH120" s="73" t="str">
        <f t="shared" ca="1" si="43"/>
        <v>IMMEDIATE REBUY</v>
      </c>
    </row>
    <row r="121" spans="1:34" x14ac:dyDescent="0.35">
      <c r="A121" s="25" t="s">
        <v>135</v>
      </c>
      <c r="B121" s="10" t="s">
        <v>319</v>
      </c>
      <c r="C121" s="10" t="s">
        <v>342</v>
      </c>
      <c r="D121" s="10" t="s">
        <v>346</v>
      </c>
      <c r="E121" s="11">
        <v>45864</v>
      </c>
      <c r="F121" s="17">
        <v>45892</v>
      </c>
      <c r="G121" s="14">
        <f t="shared" ca="1" si="22"/>
        <v>207</v>
      </c>
      <c r="H121" s="17">
        <v>599</v>
      </c>
      <c r="I121" s="17">
        <v>301</v>
      </c>
      <c r="J121" s="53">
        <f t="shared" si="23"/>
        <v>975</v>
      </c>
      <c r="K121" s="17">
        <v>1050</v>
      </c>
      <c r="L121" s="66">
        <v>75</v>
      </c>
      <c r="M121" s="52">
        <f t="shared" ca="1" si="24"/>
        <v>0.36231884057971014</v>
      </c>
      <c r="N121" s="50">
        <f t="shared" si="25"/>
        <v>0.80451009251471861</v>
      </c>
      <c r="O121" s="52">
        <f t="shared" si="26"/>
        <v>0.22865853658536586</v>
      </c>
      <c r="P121" s="56">
        <f t="shared" si="27"/>
        <v>18.75</v>
      </c>
      <c r="Q121" s="54">
        <f t="shared" si="28"/>
        <v>52</v>
      </c>
      <c r="R121" s="55">
        <f t="shared" si="29"/>
        <v>49.749582637729553</v>
      </c>
      <c r="S121" s="55">
        <f t="shared" si="30"/>
        <v>7.1428571428571423</v>
      </c>
      <c r="T121" s="13">
        <f t="shared" si="31"/>
        <v>1</v>
      </c>
      <c r="U121" s="13">
        <f t="shared" si="32"/>
        <v>1</v>
      </c>
      <c r="V121" s="13">
        <f t="shared" si="33"/>
        <v>2</v>
      </c>
      <c r="W121" s="13">
        <f t="shared" ca="1" si="34"/>
        <v>3</v>
      </c>
      <c r="X121" s="13">
        <f t="shared" ca="1" si="35"/>
        <v>7</v>
      </c>
      <c r="Y121" s="61" t="str">
        <f t="shared" ca="1" si="36"/>
        <v>MONITOR</v>
      </c>
      <c r="Z121" s="51">
        <v>14</v>
      </c>
      <c r="AA121" s="53">
        <v>46059</v>
      </c>
      <c r="AB121" s="53">
        <f t="shared" si="37"/>
        <v>45920</v>
      </c>
      <c r="AC121" s="72">
        <f t="shared" si="38"/>
        <v>19.857142857142858</v>
      </c>
      <c r="AD121" s="67" t="str">
        <f t="shared" ca="1" si="39"/>
        <v>STABLE</v>
      </c>
      <c r="AE121" s="67" t="str">
        <f t="shared" si="40"/>
        <v>SLOW SELLING</v>
      </c>
      <c r="AF121" s="67" t="str">
        <f t="shared" si="41"/>
        <v>AT RISK</v>
      </c>
      <c r="AG121" s="67" t="str">
        <f t="shared" si="42"/>
        <v>FEASIBLE</v>
      </c>
      <c r="AH121" s="73" t="str">
        <f t="shared" ca="1" si="43"/>
        <v>MONITOR</v>
      </c>
    </row>
    <row r="122" spans="1:34" x14ac:dyDescent="0.35">
      <c r="A122" s="25" t="s">
        <v>136</v>
      </c>
      <c r="B122" s="10" t="s">
        <v>319</v>
      </c>
      <c r="C122" s="10" t="s">
        <v>342</v>
      </c>
      <c r="D122" s="10" t="s">
        <v>346</v>
      </c>
      <c r="E122" s="11">
        <v>45920</v>
      </c>
      <c r="F122" s="17">
        <v>45892</v>
      </c>
      <c r="G122" s="14">
        <f t="shared" ca="1" si="22"/>
        <v>207</v>
      </c>
      <c r="H122" s="17">
        <v>599</v>
      </c>
      <c r="I122" s="17">
        <v>300</v>
      </c>
      <c r="J122" s="53">
        <f t="shared" si="23"/>
        <v>581</v>
      </c>
      <c r="K122" s="17">
        <v>750</v>
      </c>
      <c r="L122" s="66">
        <v>169</v>
      </c>
      <c r="M122" s="52">
        <f t="shared" ca="1" si="24"/>
        <v>0.81642512077294682</v>
      </c>
      <c r="N122" s="50">
        <f t="shared" si="25"/>
        <v>0.80451009251471861</v>
      </c>
      <c r="O122" s="52">
        <f t="shared" si="26"/>
        <v>0.5152439024390244</v>
      </c>
      <c r="P122" s="56">
        <f t="shared" si="27"/>
        <v>42.25</v>
      </c>
      <c r="Q122" s="54">
        <f t="shared" si="28"/>
        <v>13.751479289940828</v>
      </c>
      <c r="R122" s="55">
        <f t="shared" si="29"/>
        <v>49.916527545909851</v>
      </c>
      <c r="S122" s="55">
        <f t="shared" si="30"/>
        <v>22.533333333333331</v>
      </c>
      <c r="T122" s="13">
        <f t="shared" si="31"/>
        <v>1</v>
      </c>
      <c r="U122" s="13">
        <f t="shared" si="32"/>
        <v>1</v>
      </c>
      <c r="V122" s="13">
        <f t="shared" si="33"/>
        <v>2</v>
      </c>
      <c r="W122" s="13">
        <f t="shared" ca="1" si="34"/>
        <v>3</v>
      </c>
      <c r="X122" s="13">
        <f t="shared" ca="1" si="35"/>
        <v>7</v>
      </c>
      <c r="Y122" s="61" t="str">
        <f t="shared" ca="1" si="36"/>
        <v>MONITOR</v>
      </c>
      <c r="Z122" s="51">
        <v>14</v>
      </c>
      <c r="AA122" s="53">
        <v>46059</v>
      </c>
      <c r="AB122" s="53">
        <f t="shared" si="37"/>
        <v>45920</v>
      </c>
      <c r="AC122" s="72">
        <f t="shared" si="38"/>
        <v>19.857142857142858</v>
      </c>
      <c r="AD122" s="67" t="str">
        <f t="shared" ca="1" si="39"/>
        <v>STABLE</v>
      </c>
      <c r="AE122" s="67" t="str">
        <f t="shared" si="40"/>
        <v>SLOW SELLING</v>
      </c>
      <c r="AF122" s="67" t="str">
        <f t="shared" si="41"/>
        <v>AT RISK</v>
      </c>
      <c r="AG122" s="67" t="str">
        <f t="shared" si="42"/>
        <v>FEASIBLE</v>
      </c>
      <c r="AH122" s="73" t="str">
        <f t="shared" ca="1" si="43"/>
        <v>MONITOR</v>
      </c>
    </row>
    <row r="123" spans="1:34" x14ac:dyDescent="0.35">
      <c r="A123" s="25" t="s">
        <v>137</v>
      </c>
      <c r="B123" s="10" t="s">
        <v>319</v>
      </c>
      <c r="C123" s="10" t="s">
        <v>342</v>
      </c>
      <c r="D123" s="10" t="s">
        <v>346</v>
      </c>
      <c r="E123" s="11">
        <v>45920</v>
      </c>
      <c r="F123" s="17">
        <v>45892</v>
      </c>
      <c r="G123" s="14">
        <f t="shared" ca="1" si="22"/>
        <v>207</v>
      </c>
      <c r="H123" s="17">
        <v>599</v>
      </c>
      <c r="I123" s="17">
        <v>305</v>
      </c>
      <c r="J123" s="53">
        <f t="shared" si="23"/>
        <v>916</v>
      </c>
      <c r="K123" s="17">
        <v>1050</v>
      </c>
      <c r="L123" s="66">
        <v>134</v>
      </c>
      <c r="M123" s="52">
        <f t="shared" ca="1" si="24"/>
        <v>0.64734299516908211</v>
      </c>
      <c r="N123" s="50">
        <f t="shared" si="25"/>
        <v>0.80451009251471861</v>
      </c>
      <c r="O123" s="52">
        <f t="shared" si="26"/>
        <v>0.40853658536585363</v>
      </c>
      <c r="P123" s="56">
        <f t="shared" si="27"/>
        <v>33.5</v>
      </c>
      <c r="Q123" s="54">
        <f t="shared" si="28"/>
        <v>27.343283582089551</v>
      </c>
      <c r="R123" s="55">
        <f t="shared" si="29"/>
        <v>49.081803005008346</v>
      </c>
      <c r="S123" s="55">
        <f t="shared" si="30"/>
        <v>12.761904761904763</v>
      </c>
      <c r="T123" s="13">
        <f t="shared" si="31"/>
        <v>1</v>
      </c>
      <c r="U123" s="13">
        <f t="shared" si="32"/>
        <v>1</v>
      </c>
      <c r="V123" s="13">
        <f t="shared" si="33"/>
        <v>2</v>
      </c>
      <c r="W123" s="13">
        <f t="shared" ca="1" si="34"/>
        <v>3</v>
      </c>
      <c r="X123" s="13">
        <f t="shared" ca="1" si="35"/>
        <v>7</v>
      </c>
      <c r="Y123" s="61" t="str">
        <f t="shared" ca="1" si="36"/>
        <v>MONITOR</v>
      </c>
      <c r="Z123" s="51">
        <v>14</v>
      </c>
      <c r="AA123" s="53">
        <v>46059</v>
      </c>
      <c r="AB123" s="53">
        <f t="shared" si="37"/>
        <v>45920</v>
      </c>
      <c r="AC123" s="72">
        <f t="shared" si="38"/>
        <v>19.857142857142858</v>
      </c>
      <c r="AD123" s="67" t="str">
        <f t="shared" ca="1" si="39"/>
        <v>STABLE</v>
      </c>
      <c r="AE123" s="67" t="str">
        <f t="shared" si="40"/>
        <v>SLOW SELLING</v>
      </c>
      <c r="AF123" s="67" t="str">
        <f t="shared" si="41"/>
        <v>AT RISK</v>
      </c>
      <c r="AG123" s="67" t="str">
        <f t="shared" si="42"/>
        <v>FEASIBLE</v>
      </c>
      <c r="AH123" s="73" t="str">
        <f t="shared" ca="1" si="43"/>
        <v>MONITOR</v>
      </c>
    </row>
    <row r="124" spans="1:34" x14ac:dyDescent="0.35">
      <c r="A124" s="25" t="s">
        <v>138</v>
      </c>
      <c r="B124" s="10" t="s">
        <v>327</v>
      </c>
      <c r="C124" s="10" t="s">
        <v>342</v>
      </c>
      <c r="D124" s="10" t="s">
        <v>346</v>
      </c>
      <c r="E124" s="11">
        <v>45906</v>
      </c>
      <c r="F124" s="17">
        <v>45892</v>
      </c>
      <c r="G124" s="14">
        <f t="shared" ca="1" si="22"/>
        <v>207</v>
      </c>
      <c r="H124" s="17">
        <v>599</v>
      </c>
      <c r="I124" s="17">
        <v>290</v>
      </c>
      <c r="J124" s="53">
        <f t="shared" si="23"/>
        <v>1058</v>
      </c>
      <c r="K124" s="17">
        <v>1100</v>
      </c>
      <c r="L124" s="66">
        <v>42</v>
      </c>
      <c r="M124" s="52">
        <f t="shared" ca="1" si="24"/>
        <v>0.20289855072463769</v>
      </c>
      <c r="N124" s="50">
        <f t="shared" si="25"/>
        <v>0.80451009251471861</v>
      </c>
      <c r="O124" s="52">
        <f t="shared" si="26"/>
        <v>0.12804878048780488</v>
      </c>
      <c r="P124" s="56">
        <f t="shared" si="27"/>
        <v>10.5</v>
      </c>
      <c r="Q124" s="54">
        <f t="shared" si="28"/>
        <v>100.76190476190476</v>
      </c>
      <c r="R124" s="55">
        <f t="shared" si="29"/>
        <v>51.58597662771286</v>
      </c>
      <c r="S124" s="55">
        <f t="shared" si="30"/>
        <v>3.8181818181818183</v>
      </c>
      <c r="T124" s="13">
        <f t="shared" si="31"/>
        <v>1</v>
      </c>
      <c r="U124" s="13">
        <f t="shared" si="32"/>
        <v>1</v>
      </c>
      <c r="V124" s="13">
        <f t="shared" si="33"/>
        <v>2</v>
      </c>
      <c r="W124" s="13">
        <f t="shared" ca="1" si="34"/>
        <v>3</v>
      </c>
      <c r="X124" s="13">
        <f t="shared" ca="1" si="35"/>
        <v>7</v>
      </c>
      <c r="Y124" s="61" t="str">
        <f t="shared" ca="1" si="36"/>
        <v>MONITOR</v>
      </c>
      <c r="Z124" s="51">
        <v>14</v>
      </c>
      <c r="AA124" s="53">
        <v>46059</v>
      </c>
      <c r="AB124" s="53">
        <f t="shared" si="37"/>
        <v>45920</v>
      </c>
      <c r="AC124" s="72">
        <f t="shared" si="38"/>
        <v>19.857142857142858</v>
      </c>
      <c r="AD124" s="67" t="str">
        <f t="shared" ca="1" si="39"/>
        <v>STABLE</v>
      </c>
      <c r="AE124" s="67" t="str">
        <f t="shared" si="40"/>
        <v>SLOW SELLING</v>
      </c>
      <c r="AF124" s="67" t="str">
        <f t="shared" si="41"/>
        <v>AT RISK</v>
      </c>
      <c r="AG124" s="67" t="str">
        <f t="shared" si="42"/>
        <v>FEASIBLE</v>
      </c>
      <c r="AH124" s="73" t="str">
        <f t="shared" ca="1" si="43"/>
        <v>MONITOR</v>
      </c>
    </row>
    <row r="125" spans="1:34" x14ac:dyDescent="0.35">
      <c r="A125" s="25" t="s">
        <v>139</v>
      </c>
      <c r="B125" s="10" t="s">
        <v>327</v>
      </c>
      <c r="C125" s="10" t="s">
        <v>342</v>
      </c>
      <c r="D125" s="10" t="s">
        <v>346</v>
      </c>
      <c r="E125" s="11">
        <v>45906</v>
      </c>
      <c r="F125" s="17">
        <v>45892</v>
      </c>
      <c r="G125" s="14">
        <f t="shared" ca="1" si="22"/>
        <v>207</v>
      </c>
      <c r="H125" s="17">
        <v>599</v>
      </c>
      <c r="I125" s="17">
        <v>290</v>
      </c>
      <c r="J125" s="53">
        <f t="shared" si="23"/>
        <v>1050</v>
      </c>
      <c r="K125" s="17">
        <v>1100</v>
      </c>
      <c r="L125" s="66">
        <v>50</v>
      </c>
      <c r="M125" s="52">
        <f t="shared" ca="1" si="24"/>
        <v>0.24154589371980675</v>
      </c>
      <c r="N125" s="50">
        <f t="shared" si="25"/>
        <v>0.80451009251471861</v>
      </c>
      <c r="O125" s="52">
        <f t="shared" si="26"/>
        <v>0.1524390243902439</v>
      </c>
      <c r="P125" s="56">
        <f t="shared" si="27"/>
        <v>12.5</v>
      </c>
      <c r="Q125" s="54">
        <f t="shared" si="28"/>
        <v>84</v>
      </c>
      <c r="R125" s="55">
        <f t="shared" si="29"/>
        <v>51.58597662771286</v>
      </c>
      <c r="S125" s="55">
        <f t="shared" si="30"/>
        <v>4.5454545454545459</v>
      </c>
      <c r="T125" s="13">
        <f t="shared" si="31"/>
        <v>1</v>
      </c>
      <c r="U125" s="13">
        <f t="shared" si="32"/>
        <v>1</v>
      </c>
      <c r="V125" s="13">
        <f t="shared" si="33"/>
        <v>2</v>
      </c>
      <c r="W125" s="13">
        <f t="shared" ca="1" si="34"/>
        <v>3</v>
      </c>
      <c r="X125" s="13">
        <f t="shared" ca="1" si="35"/>
        <v>7</v>
      </c>
      <c r="Y125" s="61" t="str">
        <f t="shared" ca="1" si="36"/>
        <v>MONITOR</v>
      </c>
      <c r="Z125" s="51">
        <v>14</v>
      </c>
      <c r="AA125" s="53">
        <v>46059</v>
      </c>
      <c r="AB125" s="53">
        <f t="shared" si="37"/>
        <v>45920</v>
      </c>
      <c r="AC125" s="72">
        <f t="shared" si="38"/>
        <v>19.857142857142858</v>
      </c>
      <c r="AD125" s="67" t="str">
        <f t="shared" ca="1" si="39"/>
        <v>STABLE</v>
      </c>
      <c r="AE125" s="67" t="str">
        <f t="shared" si="40"/>
        <v>SLOW SELLING</v>
      </c>
      <c r="AF125" s="67" t="str">
        <f t="shared" si="41"/>
        <v>AT RISK</v>
      </c>
      <c r="AG125" s="67" t="str">
        <f t="shared" si="42"/>
        <v>FEASIBLE</v>
      </c>
      <c r="AH125" s="73" t="str">
        <f t="shared" ca="1" si="43"/>
        <v>MONITOR</v>
      </c>
    </row>
    <row r="126" spans="1:34" x14ac:dyDescent="0.35">
      <c r="A126" s="25" t="s">
        <v>140</v>
      </c>
      <c r="B126" s="10" t="s">
        <v>321</v>
      </c>
      <c r="C126" s="10" t="s">
        <v>342</v>
      </c>
      <c r="D126" s="10" t="s">
        <v>346</v>
      </c>
      <c r="E126" s="11">
        <v>45920</v>
      </c>
      <c r="F126" s="17">
        <v>45892</v>
      </c>
      <c r="G126" s="14">
        <f t="shared" ca="1" si="22"/>
        <v>207</v>
      </c>
      <c r="H126" s="17">
        <v>599</v>
      </c>
      <c r="I126" s="17">
        <v>310</v>
      </c>
      <c r="J126" s="53">
        <f t="shared" si="23"/>
        <v>854</v>
      </c>
      <c r="K126" s="17">
        <v>900</v>
      </c>
      <c r="L126" s="66">
        <v>46</v>
      </c>
      <c r="M126" s="52">
        <f t="shared" ca="1" si="24"/>
        <v>0.22222222222222221</v>
      </c>
      <c r="N126" s="50">
        <f t="shared" si="25"/>
        <v>0.80451009251471861</v>
      </c>
      <c r="O126" s="52">
        <f t="shared" si="26"/>
        <v>0.1402439024390244</v>
      </c>
      <c r="P126" s="56">
        <f t="shared" si="27"/>
        <v>11.500000000000002</v>
      </c>
      <c r="Q126" s="54">
        <f t="shared" si="28"/>
        <v>74.260869565217376</v>
      </c>
      <c r="R126" s="55">
        <f t="shared" si="29"/>
        <v>48.247078464106849</v>
      </c>
      <c r="S126" s="55">
        <f t="shared" si="30"/>
        <v>5.1111111111111116</v>
      </c>
      <c r="T126" s="13">
        <f t="shared" si="31"/>
        <v>1</v>
      </c>
      <c r="U126" s="13">
        <f t="shared" si="32"/>
        <v>1</v>
      </c>
      <c r="V126" s="13">
        <f t="shared" si="33"/>
        <v>2</v>
      </c>
      <c r="W126" s="13">
        <f t="shared" ca="1" si="34"/>
        <v>3</v>
      </c>
      <c r="X126" s="13">
        <f t="shared" ca="1" si="35"/>
        <v>7</v>
      </c>
      <c r="Y126" s="61" t="str">
        <f t="shared" ca="1" si="36"/>
        <v>MONITOR</v>
      </c>
      <c r="Z126" s="51">
        <v>14</v>
      </c>
      <c r="AA126" s="53">
        <v>46059</v>
      </c>
      <c r="AB126" s="53">
        <f t="shared" si="37"/>
        <v>45920</v>
      </c>
      <c r="AC126" s="72">
        <f t="shared" si="38"/>
        <v>19.857142857142858</v>
      </c>
      <c r="AD126" s="67" t="str">
        <f t="shared" ca="1" si="39"/>
        <v>STABLE</v>
      </c>
      <c r="AE126" s="67" t="str">
        <f t="shared" si="40"/>
        <v>SLOW SELLING</v>
      </c>
      <c r="AF126" s="67" t="str">
        <f t="shared" si="41"/>
        <v>AT RISK</v>
      </c>
      <c r="AG126" s="67" t="str">
        <f t="shared" si="42"/>
        <v>FEASIBLE</v>
      </c>
      <c r="AH126" s="73" t="str">
        <f t="shared" ca="1" si="43"/>
        <v>MONITOR</v>
      </c>
    </row>
    <row r="127" spans="1:34" x14ac:dyDescent="0.35">
      <c r="A127" s="25" t="s">
        <v>141</v>
      </c>
      <c r="B127" s="10" t="s">
        <v>321</v>
      </c>
      <c r="C127" s="10" t="s">
        <v>342</v>
      </c>
      <c r="D127" s="10" t="s">
        <v>346</v>
      </c>
      <c r="E127" s="11">
        <v>45920</v>
      </c>
      <c r="F127" s="17">
        <v>45892</v>
      </c>
      <c r="G127" s="14">
        <f t="shared" ca="1" si="22"/>
        <v>207</v>
      </c>
      <c r="H127" s="17">
        <v>599</v>
      </c>
      <c r="I127" s="17">
        <v>310</v>
      </c>
      <c r="J127" s="53">
        <f t="shared" si="23"/>
        <v>837</v>
      </c>
      <c r="K127" s="17">
        <v>900</v>
      </c>
      <c r="L127" s="66">
        <v>63</v>
      </c>
      <c r="M127" s="52">
        <f t="shared" ca="1" si="24"/>
        <v>0.30434782608695654</v>
      </c>
      <c r="N127" s="50">
        <f t="shared" si="25"/>
        <v>0.80451009251471861</v>
      </c>
      <c r="O127" s="52">
        <f t="shared" si="26"/>
        <v>0.19207317073170732</v>
      </c>
      <c r="P127" s="56">
        <f t="shared" si="27"/>
        <v>15.75</v>
      </c>
      <c r="Q127" s="54">
        <f t="shared" si="28"/>
        <v>53.142857142857146</v>
      </c>
      <c r="R127" s="55">
        <f t="shared" si="29"/>
        <v>48.247078464106849</v>
      </c>
      <c r="S127" s="55">
        <f t="shared" si="30"/>
        <v>7.0000000000000009</v>
      </c>
      <c r="T127" s="13">
        <f t="shared" si="31"/>
        <v>1</v>
      </c>
      <c r="U127" s="13">
        <f t="shared" si="32"/>
        <v>1</v>
      </c>
      <c r="V127" s="13">
        <f t="shared" si="33"/>
        <v>2</v>
      </c>
      <c r="W127" s="13">
        <f t="shared" ca="1" si="34"/>
        <v>3</v>
      </c>
      <c r="X127" s="13">
        <f t="shared" ca="1" si="35"/>
        <v>7</v>
      </c>
      <c r="Y127" s="61" t="str">
        <f t="shared" ca="1" si="36"/>
        <v>MONITOR</v>
      </c>
      <c r="Z127" s="51">
        <v>14</v>
      </c>
      <c r="AA127" s="53">
        <v>46059</v>
      </c>
      <c r="AB127" s="53">
        <f t="shared" si="37"/>
        <v>45920</v>
      </c>
      <c r="AC127" s="72">
        <f t="shared" si="38"/>
        <v>19.857142857142858</v>
      </c>
      <c r="AD127" s="67" t="str">
        <f t="shared" ca="1" si="39"/>
        <v>STABLE</v>
      </c>
      <c r="AE127" s="67" t="str">
        <f t="shared" si="40"/>
        <v>SLOW SELLING</v>
      </c>
      <c r="AF127" s="67" t="str">
        <f t="shared" si="41"/>
        <v>AT RISK</v>
      </c>
      <c r="AG127" s="67" t="str">
        <f t="shared" si="42"/>
        <v>FEASIBLE</v>
      </c>
      <c r="AH127" s="73" t="str">
        <f t="shared" ca="1" si="43"/>
        <v>MONITOR</v>
      </c>
    </row>
    <row r="128" spans="1:34" x14ac:dyDescent="0.35">
      <c r="A128" s="25" t="s">
        <v>142</v>
      </c>
      <c r="B128" s="10" t="s">
        <v>321</v>
      </c>
      <c r="C128" s="10" t="s">
        <v>342</v>
      </c>
      <c r="D128" s="10" t="s">
        <v>346</v>
      </c>
      <c r="E128" s="11">
        <v>45892</v>
      </c>
      <c r="F128" s="17">
        <v>45892</v>
      </c>
      <c r="G128" s="14">
        <f t="shared" ca="1" si="22"/>
        <v>207</v>
      </c>
      <c r="H128" s="17">
        <v>799</v>
      </c>
      <c r="I128" s="17">
        <v>410</v>
      </c>
      <c r="J128" s="53">
        <f t="shared" si="23"/>
        <v>747</v>
      </c>
      <c r="K128" s="17">
        <v>1200</v>
      </c>
      <c r="L128" s="66">
        <v>453</v>
      </c>
      <c r="M128" s="52">
        <f t="shared" ca="1" si="24"/>
        <v>2.1884057971014492</v>
      </c>
      <c r="N128" s="50">
        <f t="shared" si="25"/>
        <v>0.80451009251471861</v>
      </c>
      <c r="O128" s="52">
        <f t="shared" si="26"/>
        <v>1.3810975609756098</v>
      </c>
      <c r="P128" s="56">
        <f t="shared" si="27"/>
        <v>113.25</v>
      </c>
      <c r="Q128" s="54">
        <f t="shared" si="28"/>
        <v>6.5960264900662251</v>
      </c>
      <c r="R128" s="55">
        <f t="shared" si="29"/>
        <v>48.685857321652065</v>
      </c>
      <c r="S128" s="55">
        <f t="shared" si="30"/>
        <v>37.75</v>
      </c>
      <c r="T128" s="13">
        <f t="shared" si="31"/>
        <v>3</v>
      </c>
      <c r="U128" s="13">
        <f t="shared" si="32"/>
        <v>1</v>
      </c>
      <c r="V128" s="13">
        <f t="shared" si="33"/>
        <v>2</v>
      </c>
      <c r="W128" s="13">
        <f t="shared" ca="1" si="34"/>
        <v>3</v>
      </c>
      <c r="X128" s="13">
        <f t="shared" ca="1" si="35"/>
        <v>9</v>
      </c>
      <c r="Y128" s="61" t="str">
        <f t="shared" ca="1" si="36"/>
        <v>RE-BUY</v>
      </c>
      <c r="Z128" s="51">
        <v>14</v>
      </c>
      <c r="AA128" s="53">
        <v>46059</v>
      </c>
      <c r="AB128" s="53">
        <f t="shared" si="37"/>
        <v>45920</v>
      </c>
      <c r="AC128" s="72">
        <f t="shared" si="38"/>
        <v>19.857142857142858</v>
      </c>
      <c r="AD128" s="67" t="str">
        <f t="shared" ca="1" si="39"/>
        <v>STABLE</v>
      </c>
      <c r="AE128" s="67" t="str">
        <f t="shared" si="40"/>
        <v>FAST SELLING</v>
      </c>
      <c r="AF128" s="67" t="str">
        <f t="shared" si="41"/>
        <v>AT RISK</v>
      </c>
      <c r="AG128" s="67" t="str">
        <f t="shared" si="42"/>
        <v>FEASIBLE</v>
      </c>
      <c r="AH128" s="73" t="str">
        <f t="shared" ca="1" si="43"/>
        <v>IMMEDIATE REBUY</v>
      </c>
    </row>
    <row r="129" spans="1:34" x14ac:dyDescent="0.35">
      <c r="A129" s="25" t="s">
        <v>143</v>
      </c>
      <c r="B129" s="10" t="s">
        <v>321</v>
      </c>
      <c r="C129" s="10" t="s">
        <v>342</v>
      </c>
      <c r="D129" s="10" t="s">
        <v>346</v>
      </c>
      <c r="E129" s="11">
        <v>45920</v>
      </c>
      <c r="F129" s="17">
        <v>45892</v>
      </c>
      <c r="G129" s="14">
        <f t="shared" ca="1" si="22"/>
        <v>207</v>
      </c>
      <c r="H129" s="17">
        <v>799</v>
      </c>
      <c r="I129" s="17">
        <v>410</v>
      </c>
      <c r="J129" s="53">
        <f t="shared" si="23"/>
        <v>933</v>
      </c>
      <c r="K129" s="17">
        <v>1200</v>
      </c>
      <c r="L129" s="66">
        <v>267</v>
      </c>
      <c r="M129" s="52">
        <f t="shared" ca="1" si="24"/>
        <v>1.2898550724637681</v>
      </c>
      <c r="N129" s="50">
        <f t="shared" si="25"/>
        <v>0.80451009251471861</v>
      </c>
      <c r="O129" s="52">
        <f t="shared" si="26"/>
        <v>0.81402439024390238</v>
      </c>
      <c r="P129" s="56">
        <f t="shared" si="27"/>
        <v>66.75</v>
      </c>
      <c r="Q129" s="54">
        <f t="shared" si="28"/>
        <v>13.97752808988764</v>
      </c>
      <c r="R129" s="55">
        <f t="shared" si="29"/>
        <v>48.685857321652065</v>
      </c>
      <c r="S129" s="55">
        <f t="shared" si="30"/>
        <v>22.25</v>
      </c>
      <c r="T129" s="13">
        <f t="shared" si="31"/>
        <v>3</v>
      </c>
      <c r="U129" s="13">
        <f t="shared" si="32"/>
        <v>1</v>
      </c>
      <c r="V129" s="13">
        <f t="shared" si="33"/>
        <v>2</v>
      </c>
      <c r="W129" s="13">
        <f t="shared" ca="1" si="34"/>
        <v>3</v>
      </c>
      <c r="X129" s="13">
        <f t="shared" ca="1" si="35"/>
        <v>9</v>
      </c>
      <c r="Y129" s="61" t="str">
        <f t="shared" ca="1" si="36"/>
        <v>RE-BUY</v>
      </c>
      <c r="Z129" s="51">
        <v>14</v>
      </c>
      <c r="AA129" s="53">
        <v>46059</v>
      </c>
      <c r="AB129" s="53">
        <f t="shared" si="37"/>
        <v>45920</v>
      </c>
      <c r="AC129" s="72">
        <f t="shared" si="38"/>
        <v>19.857142857142858</v>
      </c>
      <c r="AD129" s="67" t="str">
        <f t="shared" ca="1" si="39"/>
        <v>STABLE</v>
      </c>
      <c r="AE129" s="67" t="str">
        <f t="shared" si="40"/>
        <v>FAST SELLING</v>
      </c>
      <c r="AF129" s="67" t="str">
        <f t="shared" si="41"/>
        <v>AT RISK</v>
      </c>
      <c r="AG129" s="67" t="str">
        <f t="shared" si="42"/>
        <v>FEASIBLE</v>
      </c>
      <c r="AH129" s="73" t="str">
        <f t="shared" ca="1" si="43"/>
        <v>IMMEDIATE REBUY</v>
      </c>
    </row>
    <row r="130" spans="1:34" x14ac:dyDescent="0.35">
      <c r="A130" s="25" t="s">
        <v>144</v>
      </c>
      <c r="B130" s="10" t="s">
        <v>321</v>
      </c>
      <c r="C130" s="10" t="s">
        <v>342</v>
      </c>
      <c r="D130" s="10" t="s">
        <v>346</v>
      </c>
      <c r="E130" s="11">
        <v>45920</v>
      </c>
      <c r="F130" s="17">
        <v>45892</v>
      </c>
      <c r="G130" s="14">
        <f t="shared" ca="1" si="22"/>
        <v>207</v>
      </c>
      <c r="H130" s="17">
        <v>799</v>
      </c>
      <c r="I130" s="17">
        <v>410</v>
      </c>
      <c r="J130" s="53">
        <f t="shared" si="23"/>
        <v>1097</v>
      </c>
      <c r="K130" s="17">
        <v>1300</v>
      </c>
      <c r="L130" s="66">
        <v>203</v>
      </c>
      <c r="M130" s="52">
        <f t="shared" ca="1" si="24"/>
        <v>0.98067632850241548</v>
      </c>
      <c r="N130" s="50">
        <f t="shared" si="25"/>
        <v>0.80451009251471861</v>
      </c>
      <c r="O130" s="52">
        <f t="shared" si="26"/>
        <v>0.61890243902439024</v>
      </c>
      <c r="P130" s="56">
        <f t="shared" si="27"/>
        <v>50.75</v>
      </c>
      <c r="Q130" s="54">
        <f t="shared" si="28"/>
        <v>21.615763546798028</v>
      </c>
      <c r="R130" s="55">
        <f t="shared" si="29"/>
        <v>48.685857321652065</v>
      </c>
      <c r="S130" s="55">
        <f t="shared" si="30"/>
        <v>15.615384615384615</v>
      </c>
      <c r="T130" s="13">
        <f t="shared" si="31"/>
        <v>1</v>
      </c>
      <c r="U130" s="13">
        <f t="shared" si="32"/>
        <v>1</v>
      </c>
      <c r="V130" s="13">
        <f t="shared" si="33"/>
        <v>2</v>
      </c>
      <c r="W130" s="13">
        <f t="shared" ca="1" si="34"/>
        <v>3</v>
      </c>
      <c r="X130" s="13">
        <f t="shared" ca="1" si="35"/>
        <v>7</v>
      </c>
      <c r="Y130" s="61" t="str">
        <f t="shared" ca="1" si="36"/>
        <v>MONITOR</v>
      </c>
      <c r="Z130" s="51">
        <v>14</v>
      </c>
      <c r="AA130" s="53">
        <v>46059</v>
      </c>
      <c r="AB130" s="53">
        <f t="shared" si="37"/>
        <v>45920</v>
      </c>
      <c r="AC130" s="72">
        <f t="shared" si="38"/>
        <v>19.857142857142858</v>
      </c>
      <c r="AD130" s="67" t="str">
        <f t="shared" ca="1" si="39"/>
        <v>STABLE</v>
      </c>
      <c r="AE130" s="67" t="str">
        <f t="shared" si="40"/>
        <v>SLOW SELLING</v>
      </c>
      <c r="AF130" s="67" t="str">
        <f t="shared" si="41"/>
        <v>AT RISK</v>
      </c>
      <c r="AG130" s="67" t="str">
        <f t="shared" si="42"/>
        <v>FEASIBLE</v>
      </c>
      <c r="AH130" s="73" t="str">
        <f t="shared" ca="1" si="43"/>
        <v>MONITOR</v>
      </c>
    </row>
    <row r="131" spans="1:34" x14ac:dyDescent="0.35">
      <c r="A131" s="25" t="s">
        <v>145</v>
      </c>
      <c r="B131" s="10" t="s">
        <v>321</v>
      </c>
      <c r="C131" s="10" t="s">
        <v>342</v>
      </c>
      <c r="D131" s="10" t="s">
        <v>346</v>
      </c>
      <c r="E131" s="11">
        <v>45920</v>
      </c>
      <c r="F131" s="17">
        <v>45892</v>
      </c>
      <c r="G131" s="14">
        <f t="shared" ref="G131:G194" ca="1" si="44">TODAY()-F131</f>
        <v>207</v>
      </c>
      <c r="H131" s="17">
        <v>799</v>
      </c>
      <c r="I131" s="17">
        <v>410</v>
      </c>
      <c r="J131" s="53">
        <f t="shared" ref="J131:J194" si="45">K131-L131</f>
        <v>901</v>
      </c>
      <c r="K131" s="17">
        <v>1300</v>
      </c>
      <c r="L131" s="66">
        <v>399</v>
      </c>
      <c r="M131" s="52">
        <f t="shared" ref="M131:M194" ca="1" si="46">L131/G131</f>
        <v>1.9275362318840579</v>
      </c>
      <c r="N131" s="50">
        <f t="shared" ref="N131:N194" si="47">AVERAGEIFS(O:O,C:C,C131)</f>
        <v>0.80451009251471861</v>
      </c>
      <c r="O131" s="52">
        <f t="shared" ref="O131:O194" si="48">L131/328</f>
        <v>1.2164634146341464</v>
      </c>
      <c r="P131" s="56">
        <f t="shared" ref="P131:P194" si="49">O131*82</f>
        <v>99.75</v>
      </c>
      <c r="Q131" s="54">
        <f t="shared" ref="Q131:Q194" si="50">J131/P131</f>
        <v>9.0325814536340854</v>
      </c>
      <c r="R131" s="55">
        <f t="shared" ref="R131:R194" si="51">(H131-I131)/H131*100</f>
        <v>48.685857321652065</v>
      </c>
      <c r="S131" s="55">
        <f t="shared" ref="S131:S194" si="52">L131/K131*100</f>
        <v>30.69230769230769</v>
      </c>
      <c r="T131" s="13">
        <f t="shared" ref="T131:T194" si="53">IF(O131&gt;=N131,3,IF(O131&gt;=0.8*N131,2,1))</f>
        <v>3</v>
      </c>
      <c r="U131" s="13">
        <f t="shared" ref="U131:U194" si="54">IF(Q131&lt;=4,3,IF(Q131&lt;=6,2,1))</f>
        <v>1</v>
      </c>
      <c r="V131" s="13">
        <f t="shared" ref="V131:V194" si="55">IF(R131&gt;=60,3,IF(R131&gt;=45,2,1))</f>
        <v>2</v>
      </c>
      <c r="W131" s="13">
        <f t="shared" ref="W131:W194" ca="1" si="56">IF(M131&lt;=10,3,IF(M131&lt;=25,2,1))</f>
        <v>3</v>
      </c>
      <c r="X131" s="13">
        <f t="shared" ref="X131:X194" ca="1" si="57">T131+U131+V131+W131</f>
        <v>9</v>
      </c>
      <c r="Y131" s="61" t="str">
        <f t="shared" ref="Y131:Y194" ca="1" si="58">IFERROR(IF(X131&gt;=9,"RE-BUY",IF(X131&gt;=6,"MONITOR","EXIT")),"EXIT")</f>
        <v>RE-BUY</v>
      </c>
      <c r="Z131" s="51">
        <v>14</v>
      </c>
      <c r="AA131" s="53">
        <v>46059</v>
      </c>
      <c r="AB131" s="53">
        <f t="shared" ref="AB131:AB194" si="59">F131+28</f>
        <v>45920</v>
      </c>
      <c r="AC131" s="72">
        <f t="shared" ref="AC131:AC194" si="60">(AA131-AB131)/7</f>
        <v>19.857142857142858</v>
      </c>
      <c r="AD131" s="67" t="str">
        <f t="shared" ref="AD131:AD194" ca="1" si="61">IF(G131&gt;=21,"STABLE","TOO EARLY")</f>
        <v>STABLE</v>
      </c>
      <c r="AE131" s="67" t="str">
        <f t="shared" ref="AE131:AE194" si="62">IF(O131&gt;=N131,"FAST SELLING","SLOW SELLING")</f>
        <v>FAST SELLING</v>
      </c>
      <c r="AF131" s="67" t="str">
        <f t="shared" ref="AF131:AF194" si="63">IF(U131&lt;=Z131,"AT RISK","SAFE")</f>
        <v>AT RISK</v>
      </c>
      <c r="AG131" s="67" t="str">
        <f t="shared" ref="AG131:AG194" si="64">IF(Z131&lt;=AC131,"FEASIBLE","NOT FEASIBLE")</f>
        <v>FEASIBLE</v>
      </c>
      <c r="AH131" s="73" t="str">
        <f t="shared" ref="AH131:AH194" ca="1" si="65">IF(AND(Y131="RE-BUY",AD131="STABLE",AE131="FAST SELLING",AG131="FEASIBLE"),"IMMEDIATE REBUY","MONITOR")</f>
        <v>IMMEDIATE REBUY</v>
      </c>
    </row>
    <row r="132" spans="1:34" x14ac:dyDescent="0.35">
      <c r="A132" s="25" t="s">
        <v>146</v>
      </c>
      <c r="B132" s="10" t="s">
        <v>321</v>
      </c>
      <c r="C132" s="10" t="s">
        <v>342</v>
      </c>
      <c r="D132" s="10" t="s">
        <v>346</v>
      </c>
      <c r="E132" s="11">
        <v>45920</v>
      </c>
      <c r="F132" s="17">
        <v>45892</v>
      </c>
      <c r="G132" s="14">
        <f t="shared" ca="1" si="44"/>
        <v>207</v>
      </c>
      <c r="H132" s="17">
        <v>799</v>
      </c>
      <c r="I132" s="17">
        <v>410</v>
      </c>
      <c r="J132" s="53">
        <f t="shared" si="45"/>
        <v>1103</v>
      </c>
      <c r="K132" s="17">
        <v>1300</v>
      </c>
      <c r="L132" s="66">
        <v>197</v>
      </c>
      <c r="M132" s="52">
        <f t="shared" ca="1" si="46"/>
        <v>0.95169082125603865</v>
      </c>
      <c r="N132" s="50">
        <f t="shared" si="47"/>
        <v>0.80451009251471861</v>
      </c>
      <c r="O132" s="52">
        <f t="shared" si="48"/>
        <v>0.60060975609756095</v>
      </c>
      <c r="P132" s="56">
        <f t="shared" si="49"/>
        <v>49.25</v>
      </c>
      <c r="Q132" s="54">
        <f t="shared" si="50"/>
        <v>22.395939086294415</v>
      </c>
      <c r="R132" s="55">
        <f t="shared" si="51"/>
        <v>48.685857321652065</v>
      </c>
      <c r="S132" s="55">
        <f t="shared" si="52"/>
        <v>15.153846153846153</v>
      </c>
      <c r="T132" s="13">
        <f t="shared" si="53"/>
        <v>1</v>
      </c>
      <c r="U132" s="13">
        <f t="shared" si="54"/>
        <v>1</v>
      </c>
      <c r="V132" s="13">
        <f t="shared" si="55"/>
        <v>2</v>
      </c>
      <c r="W132" s="13">
        <f t="shared" ca="1" si="56"/>
        <v>3</v>
      </c>
      <c r="X132" s="13">
        <f t="shared" ca="1" si="57"/>
        <v>7</v>
      </c>
      <c r="Y132" s="61" t="str">
        <f t="shared" ca="1" si="58"/>
        <v>MONITOR</v>
      </c>
      <c r="Z132" s="51">
        <v>14</v>
      </c>
      <c r="AA132" s="53">
        <v>46059</v>
      </c>
      <c r="AB132" s="53">
        <f t="shared" si="59"/>
        <v>45920</v>
      </c>
      <c r="AC132" s="72">
        <f t="shared" si="60"/>
        <v>19.857142857142858</v>
      </c>
      <c r="AD132" s="67" t="str">
        <f t="shared" ca="1" si="61"/>
        <v>STABLE</v>
      </c>
      <c r="AE132" s="67" t="str">
        <f t="shared" si="62"/>
        <v>SLOW SELLING</v>
      </c>
      <c r="AF132" s="67" t="str">
        <f t="shared" si="63"/>
        <v>AT RISK</v>
      </c>
      <c r="AG132" s="67" t="str">
        <f t="shared" si="64"/>
        <v>FEASIBLE</v>
      </c>
      <c r="AH132" s="73" t="str">
        <f t="shared" ca="1" si="65"/>
        <v>MONITOR</v>
      </c>
    </row>
    <row r="133" spans="1:34" x14ac:dyDescent="0.35">
      <c r="A133" s="25" t="s">
        <v>147</v>
      </c>
      <c r="B133" s="10" t="s">
        <v>321</v>
      </c>
      <c r="C133" s="10" t="s">
        <v>342</v>
      </c>
      <c r="D133" s="10" t="s">
        <v>346</v>
      </c>
      <c r="E133" s="11">
        <v>45892</v>
      </c>
      <c r="F133" s="17">
        <v>45892</v>
      </c>
      <c r="G133" s="14">
        <f t="shared" ca="1" si="44"/>
        <v>207</v>
      </c>
      <c r="H133" s="17">
        <v>799</v>
      </c>
      <c r="I133" s="17">
        <v>410</v>
      </c>
      <c r="J133" s="53">
        <f t="shared" si="45"/>
        <v>978</v>
      </c>
      <c r="K133" s="17">
        <v>1300</v>
      </c>
      <c r="L133" s="66">
        <v>322</v>
      </c>
      <c r="M133" s="52">
        <f t="shared" ca="1" si="46"/>
        <v>1.5555555555555556</v>
      </c>
      <c r="N133" s="50">
        <f t="shared" si="47"/>
        <v>0.80451009251471861</v>
      </c>
      <c r="O133" s="52">
        <f t="shared" si="48"/>
        <v>0.98170731707317072</v>
      </c>
      <c r="P133" s="56">
        <f t="shared" si="49"/>
        <v>80.5</v>
      </c>
      <c r="Q133" s="54">
        <f t="shared" si="50"/>
        <v>12.149068322981366</v>
      </c>
      <c r="R133" s="55">
        <f t="shared" si="51"/>
        <v>48.685857321652065</v>
      </c>
      <c r="S133" s="55">
        <f t="shared" si="52"/>
        <v>24.76923076923077</v>
      </c>
      <c r="T133" s="13">
        <f t="shared" si="53"/>
        <v>3</v>
      </c>
      <c r="U133" s="13">
        <f t="shared" si="54"/>
        <v>1</v>
      </c>
      <c r="V133" s="13">
        <f t="shared" si="55"/>
        <v>2</v>
      </c>
      <c r="W133" s="13">
        <f t="shared" ca="1" si="56"/>
        <v>3</v>
      </c>
      <c r="X133" s="13">
        <f t="shared" ca="1" si="57"/>
        <v>9</v>
      </c>
      <c r="Y133" s="61" t="str">
        <f t="shared" ca="1" si="58"/>
        <v>RE-BUY</v>
      </c>
      <c r="Z133" s="51">
        <v>14</v>
      </c>
      <c r="AA133" s="53">
        <v>46059</v>
      </c>
      <c r="AB133" s="53">
        <f t="shared" si="59"/>
        <v>45920</v>
      </c>
      <c r="AC133" s="72">
        <f t="shared" si="60"/>
        <v>19.857142857142858</v>
      </c>
      <c r="AD133" s="67" t="str">
        <f t="shared" ca="1" si="61"/>
        <v>STABLE</v>
      </c>
      <c r="AE133" s="67" t="str">
        <f t="shared" si="62"/>
        <v>FAST SELLING</v>
      </c>
      <c r="AF133" s="67" t="str">
        <f t="shared" si="63"/>
        <v>AT RISK</v>
      </c>
      <c r="AG133" s="67" t="str">
        <f t="shared" si="64"/>
        <v>FEASIBLE</v>
      </c>
      <c r="AH133" s="73" t="str">
        <f t="shared" ca="1" si="65"/>
        <v>IMMEDIATE REBUY</v>
      </c>
    </row>
    <row r="134" spans="1:34" x14ac:dyDescent="0.35">
      <c r="A134" s="25" t="s">
        <v>148</v>
      </c>
      <c r="B134" s="10" t="s">
        <v>321</v>
      </c>
      <c r="C134" s="10" t="s">
        <v>342</v>
      </c>
      <c r="D134" s="10" t="s">
        <v>346</v>
      </c>
      <c r="E134" s="11">
        <v>45892</v>
      </c>
      <c r="F134" s="17">
        <v>45892</v>
      </c>
      <c r="G134" s="14">
        <f t="shared" ca="1" si="44"/>
        <v>207</v>
      </c>
      <c r="H134" s="17">
        <v>799</v>
      </c>
      <c r="I134" s="17">
        <v>410</v>
      </c>
      <c r="J134" s="53">
        <f t="shared" si="45"/>
        <v>943</v>
      </c>
      <c r="K134" s="17">
        <v>1100</v>
      </c>
      <c r="L134" s="66">
        <v>157</v>
      </c>
      <c r="M134" s="52">
        <f t="shared" ca="1" si="46"/>
        <v>0.75845410628019327</v>
      </c>
      <c r="N134" s="50">
        <f t="shared" si="47"/>
        <v>0.80451009251471861</v>
      </c>
      <c r="O134" s="52">
        <f t="shared" si="48"/>
        <v>0.47865853658536583</v>
      </c>
      <c r="P134" s="56">
        <f t="shared" si="49"/>
        <v>39.25</v>
      </c>
      <c r="Q134" s="54">
        <f t="shared" si="50"/>
        <v>24.02547770700637</v>
      </c>
      <c r="R134" s="55">
        <f t="shared" si="51"/>
        <v>48.685857321652065</v>
      </c>
      <c r="S134" s="55">
        <f t="shared" si="52"/>
        <v>14.272727272727273</v>
      </c>
      <c r="T134" s="13">
        <f t="shared" si="53"/>
        <v>1</v>
      </c>
      <c r="U134" s="13">
        <f t="shared" si="54"/>
        <v>1</v>
      </c>
      <c r="V134" s="13">
        <f t="shared" si="55"/>
        <v>2</v>
      </c>
      <c r="W134" s="13">
        <f t="shared" ca="1" si="56"/>
        <v>3</v>
      </c>
      <c r="X134" s="13">
        <f t="shared" ca="1" si="57"/>
        <v>7</v>
      </c>
      <c r="Y134" s="61" t="str">
        <f t="shared" ca="1" si="58"/>
        <v>MONITOR</v>
      </c>
      <c r="Z134" s="51">
        <v>14</v>
      </c>
      <c r="AA134" s="53">
        <v>46059</v>
      </c>
      <c r="AB134" s="53">
        <f t="shared" si="59"/>
        <v>45920</v>
      </c>
      <c r="AC134" s="72">
        <f t="shared" si="60"/>
        <v>19.857142857142858</v>
      </c>
      <c r="AD134" s="67" t="str">
        <f t="shared" ca="1" si="61"/>
        <v>STABLE</v>
      </c>
      <c r="AE134" s="67" t="str">
        <f t="shared" si="62"/>
        <v>SLOW SELLING</v>
      </c>
      <c r="AF134" s="67" t="str">
        <f t="shared" si="63"/>
        <v>AT RISK</v>
      </c>
      <c r="AG134" s="67" t="str">
        <f t="shared" si="64"/>
        <v>FEASIBLE</v>
      </c>
      <c r="AH134" s="73" t="str">
        <f t="shared" ca="1" si="65"/>
        <v>MONITOR</v>
      </c>
    </row>
    <row r="135" spans="1:34" x14ac:dyDescent="0.35">
      <c r="A135" s="25" t="s">
        <v>149</v>
      </c>
      <c r="B135" s="10" t="s">
        <v>321</v>
      </c>
      <c r="C135" s="10" t="s">
        <v>342</v>
      </c>
      <c r="D135" s="10" t="s">
        <v>346</v>
      </c>
      <c r="E135" s="11">
        <v>45864</v>
      </c>
      <c r="F135" s="17">
        <v>45892</v>
      </c>
      <c r="G135" s="14">
        <f t="shared" ca="1" si="44"/>
        <v>207</v>
      </c>
      <c r="H135" s="17">
        <v>799</v>
      </c>
      <c r="I135" s="17">
        <v>395</v>
      </c>
      <c r="J135" s="53">
        <f t="shared" si="45"/>
        <v>674</v>
      </c>
      <c r="K135" s="17">
        <v>750</v>
      </c>
      <c r="L135" s="66">
        <v>76</v>
      </c>
      <c r="M135" s="52">
        <f t="shared" ca="1" si="46"/>
        <v>0.3671497584541063</v>
      </c>
      <c r="N135" s="50">
        <f t="shared" si="47"/>
        <v>0.80451009251471861</v>
      </c>
      <c r="O135" s="52">
        <f t="shared" si="48"/>
        <v>0.23170731707317074</v>
      </c>
      <c r="P135" s="56">
        <f t="shared" si="49"/>
        <v>19</v>
      </c>
      <c r="Q135" s="54">
        <f t="shared" si="50"/>
        <v>35.473684210526315</v>
      </c>
      <c r="R135" s="55">
        <f t="shared" si="51"/>
        <v>50.563204005006256</v>
      </c>
      <c r="S135" s="55">
        <f t="shared" si="52"/>
        <v>10.133333333333333</v>
      </c>
      <c r="T135" s="13">
        <f t="shared" si="53"/>
        <v>1</v>
      </c>
      <c r="U135" s="13">
        <f t="shared" si="54"/>
        <v>1</v>
      </c>
      <c r="V135" s="13">
        <f t="shared" si="55"/>
        <v>2</v>
      </c>
      <c r="W135" s="13">
        <f t="shared" ca="1" si="56"/>
        <v>3</v>
      </c>
      <c r="X135" s="13">
        <f t="shared" ca="1" si="57"/>
        <v>7</v>
      </c>
      <c r="Y135" s="61" t="str">
        <f t="shared" ca="1" si="58"/>
        <v>MONITOR</v>
      </c>
      <c r="Z135" s="51">
        <v>14</v>
      </c>
      <c r="AA135" s="53">
        <v>46059</v>
      </c>
      <c r="AB135" s="53">
        <f t="shared" si="59"/>
        <v>45920</v>
      </c>
      <c r="AC135" s="72">
        <f t="shared" si="60"/>
        <v>19.857142857142858</v>
      </c>
      <c r="AD135" s="67" t="str">
        <f t="shared" ca="1" si="61"/>
        <v>STABLE</v>
      </c>
      <c r="AE135" s="67" t="str">
        <f t="shared" si="62"/>
        <v>SLOW SELLING</v>
      </c>
      <c r="AF135" s="67" t="str">
        <f t="shared" si="63"/>
        <v>AT RISK</v>
      </c>
      <c r="AG135" s="67" t="str">
        <f t="shared" si="64"/>
        <v>FEASIBLE</v>
      </c>
      <c r="AH135" s="73" t="str">
        <f t="shared" ca="1" si="65"/>
        <v>MONITOR</v>
      </c>
    </row>
    <row r="136" spans="1:34" x14ac:dyDescent="0.35">
      <c r="A136" s="25" t="s">
        <v>150</v>
      </c>
      <c r="B136" s="10" t="s">
        <v>321</v>
      </c>
      <c r="C136" s="10" t="s">
        <v>342</v>
      </c>
      <c r="D136" s="10" t="s">
        <v>346</v>
      </c>
      <c r="E136" s="11">
        <v>45864</v>
      </c>
      <c r="F136" s="17">
        <v>45892</v>
      </c>
      <c r="G136" s="14">
        <f t="shared" ca="1" si="44"/>
        <v>207</v>
      </c>
      <c r="H136" s="17">
        <v>799</v>
      </c>
      <c r="I136" s="17">
        <v>395</v>
      </c>
      <c r="J136" s="53">
        <f t="shared" si="45"/>
        <v>593</v>
      </c>
      <c r="K136" s="17">
        <v>750</v>
      </c>
      <c r="L136" s="66">
        <v>157</v>
      </c>
      <c r="M136" s="52">
        <f t="shared" ca="1" si="46"/>
        <v>0.75845410628019327</v>
      </c>
      <c r="N136" s="50">
        <f t="shared" si="47"/>
        <v>0.80451009251471861</v>
      </c>
      <c r="O136" s="52">
        <f t="shared" si="48"/>
        <v>0.47865853658536583</v>
      </c>
      <c r="P136" s="56">
        <f t="shared" si="49"/>
        <v>39.25</v>
      </c>
      <c r="Q136" s="54">
        <f t="shared" si="50"/>
        <v>15.108280254777069</v>
      </c>
      <c r="R136" s="55">
        <f t="shared" si="51"/>
        <v>50.563204005006256</v>
      </c>
      <c r="S136" s="55">
        <f t="shared" si="52"/>
        <v>20.933333333333334</v>
      </c>
      <c r="T136" s="13">
        <f t="shared" si="53"/>
        <v>1</v>
      </c>
      <c r="U136" s="13">
        <f t="shared" si="54"/>
        <v>1</v>
      </c>
      <c r="V136" s="13">
        <f t="shared" si="55"/>
        <v>2</v>
      </c>
      <c r="W136" s="13">
        <f t="shared" ca="1" si="56"/>
        <v>3</v>
      </c>
      <c r="X136" s="13">
        <f t="shared" ca="1" si="57"/>
        <v>7</v>
      </c>
      <c r="Y136" s="61" t="str">
        <f t="shared" ca="1" si="58"/>
        <v>MONITOR</v>
      </c>
      <c r="Z136" s="51">
        <v>14</v>
      </c>
      <c r="AA136" s="53">
        <v>46059</v>
      </c>
      <c r="AB136" s="53">
        <f t="shared" si="59"/>
        <v>45920</v>
      </c>
      <c r="AC136" s="72">
        <f t="shared" si="60"/>
        <v>19.857142857142858</v>
      </c>
      <c r="AD136" s="67" t="str">
        <f t="shared" ca="1" si="61"/>
        <v>STABLE</v>
      </c>
      <c r="AE136" s="67" t="str">
        <f t="shared" si="62"/>
        <v>SLOW SELLING</v>
      </c>
      <c r="AF136" s="67" t="str">
        <f t="shared" si="63"/>
        <v>AT RISK</v>
      </c>
      <c r="AG136" s="67" t="str">
        <f t="shared" si="64"/>
        <v>FEASIBLE</v>
      </c>
      <c r="AH136" s="73" t="str">
        <f t="shared" ca="1" si="65"/>
        <v>MONITOR</v>
      </c>
    </row>
    <row r="137" spans="1:34" x14ac:dyDescent="0.35">
      <c r="A137" s="25" t="s">
        <v>151</v>
      </c>
      <c r="B137" s="10" t="s">
        <v>327</v>
      </c>
      <c r="C137" s="10" t="s">
        <v>342</v>
      </c>
      <c r="D137" s="10" t="s">
        <v>346</v>
      </c>
      <c r="E137" s="11">
        <v>45892</v>
      </c>
      <c r="F137" s="17">
        <v>45892</v>
      </c>
      <c r="G137" s="14">
        <f t="shared" ca="1" si="44"/>
        <v>207</v>
      </c>
      <c r="H137" s="17">
        <v>799</v>
      </c>
      <c r="I137" s="17">
        <v>400</v>
      </c>
      <c r="J137" s="53">
        <f t="shared" si="45"/>
        <v>687</v>
      </c>
      <c r="K137" s="17">
        <v>1050</v>
      </c>
      <c r="L137" s="66">
        <v>363</v>
      </c>
      <c r="M137" s="52">
        <f t="shared" ca="1" si="46"/>
        <v>1.7536231884057971</v>
      </c>
      <c r="N137" s="50">
        <f t="shared" si="47"/>
        <v>0.80451009251471861</v>
      </c>
      <c r="O137" s="52">
        <f t="shared" si="48"/>
        <v>1.1067073170731707</v>
      </c>
      <c r="P137" s="56">
        <f t="shared" si="49"/>
        <v>90.75</v>
      </c>
      <c r="Q137" s="54">
        <f t="shared" si="50"/>
        <v>7.5702479338842972</v>
      </c>
      <c r="R137" s="55">
        <f t="shared" si="51"/>
        <v>49.937421777221523</v>
      </c>
      <c r="S137" s="55">
        <f t="shared" si="52"/>
        <v>34.571428571428569</v>
      </c>
      <c r="T137" s="13">
        <f t="shared" si="53"/>
        <v>3</v>
      </c>
      <c r="U137" s="13">
        <f t="shared" si="54"/>
        <v>1</v>
      </c>
      <c r="V137" s="13">
        <f t="shared" si="55"/>
        <v>2</v>
      </c>
      <c r="W137" s="13">
        <f t="shared" ca="1" si="56"/>
        <v>3</v>
      </c>
      <c r="X137" s="13">
        <f t="shared" ca="1" si="57"/>
        <v>9</v>
      </c>
      <c r="Y137" s="61" t="str">
        <f t="shared" ca="1" si="58"/>
        <v>RE-BUY</v>
      </c>
      <c r="Z137" s="51">
        <v>14</v>
      </c>
      <c r="AA137" s="53">
        <v>46059</v>
      </c>
      <c r="AB137" s="53">
        <f t="shared" si="59"/>
        <v>45920</v>
      </c>
      <c r="AC137" s="72">
        <f t="shared" si="60"/>
        <v>19.857142857142858</v>
      </c>
      <c r="AD137" s="67" t="str">
        <f t="shared" ca="1" si="61"/>
        <v>STABLE</v>
      </c>
      <c r="AE137" s="67" t="str">
        <f t="shared" si="62"/>
        <v>FAST SELLING</v>
      </c>
      <c r="AF137" s="67" t="str">
        <f t="shared" si="63"/>
        <v>AT RISK</v>
      </c>
      <c r="AG137" s="67" t="str">
        <f t="shared" si="64"/>
        <v>FEASIBLE</v>
      </c>
      <c r="AH137" s="73" t="str">
        <f t="shared" ca="1" si="65"/>
        <v>IMMEDIATE REBUY</v>
      </c>
    </row>
    <row r="138" spans="1:34" x14ac:dyDescent="0.35">
      <c r="A138" s="25" t="s">
        <v>152</v>
      </c>
      <c r="B138" s="10" t="s">
        <v>321</v>
      </c>
      <c r="C138" s="10" t="s">
        <v>342</v>
      </c>
      <c r="D138" s="10" t="s">
        <v>346</v>
      </c>
      <c r="E138" s="11">
        <v>45920</v>
      </c>
      <c r="F138" s="17">
        <v>45892</v>
      </c>
      <c r="G138" s="14">
        <f t="shared" ca="1" si="44"/>
        <v>207</v>
      </c>
      <c r="H138" s="17">
        <v>799</v>
      </c>
      <c r="I138" s="17">
        <v>410</v>
      </c>
      <c r="J138" s="53">
        <f t="shared" si="45"/>
        <v>567</v>
      </c>
      <c r="K138" s="17">
        <v>1200</v>
      </c>
      <c r="L138" s="66">
        <v>633</v>
      </c>
      <c r="M138" s="52">
        <f t="shared" ca="1" si="46"/>
        <v>3.0579710144927534</v>
      </c>
      <c r="N138" s="50">
        <f t="shared" si="47"/>
        <v>0.80451009251471861</v>
      </c>
      <c r="O138" s="52">
        <f t="shared" si="48"/>
        <v>1.9298780487804879</v>
      </c>
      <c r="P138" s="56">
        <f t="shared" si="49"/>
        <v>158.25</v>
      </c>
      <c r="Q138" s="54">
        <f t="shared" si="50"/>
        <v>3.5829383886255926</v>
      </c>
      <c r="R138" s="55">
        <f t="shared" si="51"/>
        <v>48.685857321652065</v>
      </c>
      <c r="S138" s="55">
        <f t="shared" si="52"/>
        <v>52.75</v>
      </c>
      <c r="T138" s="13">
        <f t="shared" si="53"/>
        <v>3</v>
      </c>
      <c r="U138" s="13">
        <f t="shared" si="54"/>
        <v>3</v>
      </c>
      <c r="V138" s="13">
        <f t="shared" si="55"/>
        <v>2</v>
      </c>
      <c r="W138" s="13">
        <f t="shared" ca="1" si="56"/>
        <v>3</v>
      </c>
      <c r="X138" s="13">
        <f t="shared" ca="1" si="57"/>
        <v>11</v>
      </c>
      <c r="Y138" s="61" t="str">
        <f t="shared" ca="1" si="58"/>
        <v>RE-BUY</v>
      </c>
      <c r="Z138" s="51">
        <v>14</v>
      </c>
      <c r="AA138" s="53">
        <v>46059</v>
      </c>
      <c r="AB138" s="53">
        <f t="shared" si="59"/>
        <v>45920</v>
      </c>
      <c r="AC138" s="72">
        <f t="shared" si="60"/>
        <v>19.857142857142858</v>
      </c>
      <c r="AD138" s="67" t="str">
        <f t="shared" ca="1" si="61"/>
        <v>STABLE</v>
      </c>
      <c r="AE138" s="67" t="str">
        <f t="shared" si="62"/>
        <v>FAST SELLING</v>
      </c>
      <c r="AF138" s="67" t="str">
        <f t="shared" si="63"/>
        <v>AT RISK</v>
      </c>
      <c r="AG138" s="67" t="str">
        <f t="shared" si="64"/>
        <v>FEASIBLE</v>
      </c>
      <c r="AH138" s="73" t="str">
        <f t="shared" ca="1" si="65"/>
        <v>IMMEDIATE REBUY</v>
      </c>
    </row>
    <row r="139" spans="1:34" x14ac:dyDescent="0.35">
      <c r="A139" s="25" t="s">
        <v>153</v>
      </c>
      <c r="B139" s="10" t="s">
        <v>321</v>
      </c>
      <c r="C139" s="10" t="s">
        <v>342</v>
      </c>
      <c r="D139" s="10" t="s">
        <v>346</v>
      </c>
      <c r="E139" s="11">
        <v>45920</v>
      </c>
      <c r="F139" s="17">
        <v>45892</v>
      </c>
      <c r="G139" s="14">
        <f t="shared" ca="1" si="44"/>
        <v>207</v>
      </c>
      <c r="H139" s="17">
        <v>799</v>
      </c>
      <c r="I139" s="17">
        <v>410</v>
      </c>
      <c r="J139" s="53">
        <f t="shared" si="45"/>
        <v>852</v>
      </c>
      <c r="K139" s="17">
        <v>1200</v>
      </c>
      <c r="L139" s="66">
        <v>348</v>
      </c>
      <c r="M139" s="52">
        <f t="shared" ca="1" si="46"/>
        <v>1.681159420289855</v>
      </c>
      <c r="N139" s="50">
        <f t="shared" si="47"/>
        <v>0.80451009251471861</v>
      </c>
      <c r="O139" s="52">
        <f t="shared" si="48"/>
        <v>1.0609756097560976</v>
      </c>
      <c r="P139" s="56">
        <f t="shared" si="49"/>
        <v>87</v>
      </c>
      <c r="Q139" s="54">
        <f t="shared" si="50"/>
        <v>9.7931034482758612</v>
      </c>
      <c r="R139" s="55">
        <f t="shared" si="51"/>
        <v>48.685857321652065</v>
      </c>
      <c r="S139" s="55">
        <f t="shared" si="52"/>
        <v>28.999999999999996</v>
      </c>
      <c r="T139" s="13">
        <f t="shared" si="53"/>
        <v>3</v>
      </c>
      <c r="U139" s="13">
        <f t="shared" si="54"/>
        <v>1</v>
      </c>
      <c r="V139" s="13">
        <f t="shared" si="55"/>
        <v>2</v>
      </c>
      <c r="W139" s="13">
        <f t="shared" ca="1" si="56"/>
        <v>3</v>
      </c>
      <c r="X139" s="13">
        <f t="shared" ca="1" si="57"/>
        <v>9</v>
      </c>
      <c r="Y139" s="61" t="str">
        <f t="shared" ca="1" si="58"/>
        <v>RE-BUY</v>
      </c>
      <c r="Z139" s="51">
        <v>14</v>
      </c>
      <c r="AA139" s="53">
        <v>46059</v>
      </c>
      <c r="AB139" s="53">
        <f t="shared" si="59"/>
        <v>45920</v>
      </c>
      <c r="AC139" s="72">
        <f t="shared" si="60"/>
        <v>19.857142857142858</v>
      </c>
      <c r="AD139" s="67" t="str">
        <f t="shared" ca="1" si="61"/>
        <v>STABLE</v>
      </c>
      <c r="AE139" s="67" t="str">
        <f t="shared" si="62"/>
        <v>FAST SELLING</v>
      </c>
      <c r="AF139" s="67" t="str">
        <f t="shared" si="63"/>
        <v>AT RISK</v>
      </c>
      <c r="AG139" s="67" t="str">
        <f t="shared" si="64"/>
        <v>FEASIBLE</v>
      </c>
      <c r="AH139" s="73" t="str">
        <f t="shared" ca="1" si="65"/>
        <v>IMMEDIATE REBUY</v>
      </c>
    </row>
    <row r="140" spans="1:34" x14ac:dyDescent="0.35">
      <c r="A140" s="25" t="s">
        <v>154</v>
      </c>
      <c r="B140" s="10" t="s">
        <v>321</v>
      </c>
      <c r="C140" s="10" t="s">
        <v>342</v>
      </c>
      <c r="D140" s="10" t="s">
        <v>346</v>
      </c>
      <c r="E140" s="11">
        <v>45892</v>
      </c>
      <c r="F140" s="17">
        <v>45892</v>
      </c>
      <c r="G140" s="14">
        <f t="shared" ca="1" si="44"/>
        <v>207</v>
      </c>
      <c r="H140" s="17">
        <v>799</v>
      </c>
      <c r="I140" s="17">
        <v>439.00000000000006</v>
      </c>
      <c r="J140" s="53">
        <f t="shared" si="45"/>
        <v>784</v>
      </c>
      <c r="K140" s="17">
        <v>1050</v>
      </c>
      <c r="L140" s="66">
        <v>266</v>
      </c>
      <c r="M140" s="52">
        <f t="shared" ca="1" si="46"/>
        <v>1.2850241545893719</v>
      </c>
      <c r="N140" s="50">
        <f t="shared" si="47"/>
        <v>0.80451009251471861</v>
      </c>
      <c r="O140" s="52">
        <f t="shared" si="48"/>
        <v>0.81097560975609762</v>
      </c>
      <c r="P140" s="56">
        <f t="shared" si="49"/>
        <v>66.5</v>
      </c>
      <c r="Q140" s="54">
        <f t="shared" si="50"/>
        <v>11.789473684210526</v>
      </c>
      <c r="R140" s="55">
        <f t="shared" si="51"/>
        <v>45.056320400500624</v>
      </c>
      <c r="S140" s="55">
        <f t="shared" si="52"/>
        <v>25.333333333333336</v>
      </c>
      <c r="T140" s="13">
        <f t="shared" si="53"/>
        <v>3</v>
      </c>
      <c r="U140" s="13">
        <f t="shared" si="54"/>
        <v>1</v>
      </c>
      <c r="V140" s="13">
        <f t="shared" si="55"/>
        <v>2</v>
      </c>
      <c r="W140" s="13">
        <f t="shared" ca="1" si="56"/>
        <v>3</v>
      </c>
      <c r="X140" s="13">
        <f t="shared" ca="1" si="57"/>
        <v>9</v>
      </c>
      <c r="Y140" s="61" t="str">
        <f t="shared" ca="1" si="58"/>
        <v>RE-BUY</v>
      </c>
      <c r="Z140" s="51">
        <v>14</v>
      </c>
      <c r="AA140" s="53">
        <v>46059</v>
      </c>
      <c r="AB140" s="53">
        <f t="shared" si="59"/>
        <v>45920</v>
      </c>
      <c r="AC140" s="72">
        <f t="shared" si="60"/>
        <v>19.857142857142858</v>
      </c>
      <c r="AD140" s="67" t="str">
        <f t="shared" ca="1" si="61"/>
        <v>STABLE</v>
      </c>
      <c r="AE140" s="67" t="str">
        <f t="shared" si="62"/>
        <v>FAST SELLING</v>
      </c>
      <c r="AF140" s="67" t="str">
        <f t="shared" si="63"/>
        <v>AT RISK</v>
      </c>
      <c r="AG140" s="67" t="str">
        <f t="shared" si="64"/>
        <v>FEASIBLE</v>
      </c>
      <c r="AH140" s="73" t="str">
        <f t="shared" ca="1" si="65"/>
        <v>IMMEDIATE REBUY</v>
      </c>
    </row>
    <row r="141" spans="1:34" x14ac:dyDescent="0.35">
      <c r="A141" s="25" t="s">
        <v>155</v>
      </c>
      <c r="B141" s="10" t="s">
        <v>321</v>
      </c>
      <c r="C141" s="10" t="s">
        <v>342</v>
      </c>
      <c r="D141" s="10" t="s">
        <v>346</v>
      </c>
      <c r="E141" s="11">
        <v>45892</v>
      </c>
      <c r="F141" s="17">
        <v>45892</v>
      </c>
      <c r="G141" s="14">
        <f t="shared" ca="1" si="44"/>
        <v>207</v>
      </c>
      <c r="H141" s="17">
        <v>799</v>
      </c>
      <c r="I141" s="17">
        <v>439.00000000000006</v>
      </c>
      <c r="J141" s="53">
        <f t="shared" si="45"/>
        <v>685</v>
      </c>
      <c r="K141" s="17">
        <v>1050</v>
      </c>
      <c r="L141" s="66">
        <v>365</v>
      </c>
      <c r="M141" s="52">
        <f t="shared" ca="1" si="46"/>
        <v>1.7632850241545894</v>
      </c>
      <c r="N141" s="50">
        <f t="shared" si="47"/>
        <v>0.80451009251471861</v>
      </c>
      <c r="O141" s="52">
        <f t="shared" si="48"/>
        <v>1.1128048780487805</v>
      </c>
      <c r="P141" s="56">
        <f t="shared" si="49"/>
        <v>91.25</v>
      </c>
      <c r="Q141" s="54">
        <f t="shared" si="50"/>
        <v>7.506849315068493</v>
      </c>
      <c r="R141" s="55">
        <f t="shared" si="51"/>
        <v>45.056320400500624</v>
      </c>
      <c r="S141" s="55">
        <f t="shared" si="52"/>
        <v>34.761904761904759</v>
      </c>
      <c r="T141" s="13">
        <f t="shared" si="53"/>
        <v>3</v>
      </c>
      <c r="U141" s="13">
        <f t="shared" si="54"/>
        <v>1</v>
      </c>
      <c r="V141" s="13">
        <f t="shared" si="55"/>
        <v>2</v>
      </c>
      <c r="W141" s="13">
        <f t="shared" ca="1" si="56"/>
        <v>3</v>
      </c>
      <c r="X141" s="13">
        <f t="shared" ca="1" si="57"/>
        <v>9</v>
      </c>
      <c r="Y141" s="61" t="str">
        <f t="shared" ca="1" si="58"/>
        <v>RE-BUY</v>
      </c>
      <c r="Z141" s="51">
        <v>14</v>
      </c>
      <c r="AA141" s="53">
        <v>46059</v>
      </c>
      <c r="AB141" s="53">
        <f t="shared" si="59"/>
        <v>45920</v>
      </c>
      <c r="AC141" s="72">
        <f t="shared" si="60"/>
        <v>19.857142857142858</v>
      </c>
      <c r="AD141" s="67" t="str">
        <f t="shared" ca="1" si="61"/>
        <v>STABLE</v>
      </c>
      <c r="AE141" s="67" t="str">
        <f t="shared" si="62"/>
        <v>FAST SELLING</v>
      </c>
      <c r="AF141" s="67" t="str">
        <f t="shared" si="63"/>
        <v>AT RISK</v>
      </c>
      <c r="AG141" s="67" t="str">
        <f t="shared" si="64"/>
        <v>FEASIBLE</v>
      </c>
      <c r="AH141" s="73" t="str">
        <f t="shared" ca="1" si="65"/>
        <v>IMMEDIATE REBUY</v>
      </c>
    </row>
    <row r="142" spans="1:34" x14ac:dyDescent="0.35">
      <c r="A142" s="25" t="s">
        <v>156</v>
      </c>
      <c r="B142" s="10" t="s">
        <v>321</v>
      </c>
      <c r="C142" s="10" t="s">
        <v>342</v>
      </c>
      <c r="D142" s="10" t="s">
        <v>346</v>
      </c>
      <c r="E142" s="11">
        <v>45892</v>
      </c>
      <c r="F142" s="17">
        <v>45892</v>
      </c>
      <c r="G142" s="14">
        <f t="shared" ca="1" si="44"/>
        <v>207</v>
      </c>
      <c r="H142" s="17">
        <v>799</v>
      </c>
      <c r="I142" s="17">
        <v>439.00000000000006</v>
      </c>
      <c r="J142" s="53">
        <f t="shared" si="45"/>
        <v>940</v>
      </c>
      <c r="K142" s="17">
        <v>1050</v>
      </c>
      <c r="L142" s="66">
        <v>110</v>
      </c>
      <c r="M142" s="52">
        <f t="shared" ca="1" si="46"/>
        <v>0.53140096618357491</v>
      </c>
      <c r="N142" s="50">
        <f t="shared" si="47"/>
        <v>0.80451009251471861</v>
      </c>
      <c r="O142" s="52">
        <f t="shared" si="48"/>
        <v>0.33536585365853661</v>
      </c>
      <c r="P142" s="56">
        <f t="shared" si="49"/>
        <v>27.5</v>
      </c>
      <c r="Q142" s="54">
        <f t="shared" si="50"/>
        <v>34.18181818181818</v>
      </c>
      <c r="R142" s="55">
        <f t="shared" si="51"/>
        <v>45.056320400500624</v>
      </c>
      <c r="S142" s="55">
        <f t="shared" si="52"/>
        <v>10.476190476190476</v>
      </c>
      <c r="T142" s="13">
        <f t="shared" si="53"/>
        <v>1</v>
      </c>
      <c r="U142" s="13">
        <f t="shared" si="54"/>
        <v>1</v>
      </c>
      <c r="V142" s="13">
        <f t="shared" si="55"/>
        <v>2</v>
      </c>
      <c r="W142" s="13">
        <f t="shared" ca="1" si="56"/>
        <v>3</v>
      </c>
      <c r="X142" s="13">
        <f t="shared" ca="1" si="57"/>
        <v>7</v>
      </c>
      <c r="Y142" s="61" t="str">
        <f t="shared" ca="1" si="58"/>
        <v>MONITOR</v>
      </c>
      <c r="Z142" s="51">
        <v>14</v>
      </c>
      <c r="AA142" s="53">
        <v>46059</v>
      </c>
      <c r="AB142" s="53">
        <f t="shared" si="59"/>
        <v>45920</v>
      </c>
      <c r="AC142" s="72">
        <f t="shared" si="60"/>
        <v>19.857142857142858</v>
      </c>
      <c r="AD142" s="67" t="str">
        <f t="shared" ca="1" si="61"/>
        <v>STABLE</v>
      </c>
      <c r="AE142" s="67" t="str">
        <f t="shared" si="62"/>
        <v>SLOW SELLING</v>
      </c>
      <c r="AF142" s="67" t="str">
        <f t="shared" si="63"/>
        <v>AT RISK</v>
      </c>
      <c r="AG142" s="67" t="str">
        <f t="shared" si="64"/>
        <v>FEASIBLE</v>
      </c>
      <c r="AH142" s="73" t="str">
        <f t="shared" ca="1" si="65"/>
        <v>MONITOR</v>
      </c>
    </row>
    <row r="143" spans="1:34" x14ac:dyDescent="0.35">
      <c r="A143" s="25" t="s">
        <v>157</v>
      </c>
      <c r="B143" s="10" t="s">
        <v>321</v>
      </c>
      <c r="C143" s="10" t="s">
        <v>342</v>
      </c>
      <c r="D143" s="10" t="s">
        <v>346</v>
      </c>
      <c r="E143" s="11">
        <v>45892</v>
      </c>
      <c r="F143" s="17">
        <v>45892</v>
      </c>
      <c r="G143" s="14">
        <f t="shared" ca="1" si="44"/>
        <v>207</v>
      </c>
      <c r="H143" s="17">
        <v>799</v>
      </c>
      <c r="I143" s="17">
        <v>439.00000000000006</v>
      </c>
      <c r="J143" s="53">
        <f t="shared" si="45"/>
        <v>890</v>
      </c>
      <c r="K143" s="17">
        <v>1050</v>
      </c>
      <c r="L143" s="66">
        <v>160</v>
      </c>
      <c r="M143" s="52">
        <f t="shared" ca="1" si="46"/>
        <v>0.77294685990338163</v>
      </c>
      <c r="N143" s="50">
        <f t="shared" si="47"/>
        <v>0.80451009251471861</v>
      </c>
      <c r="O143" s="52">
        <f t="shared" si="48"/>
        <v>0.48780487804878048</v>
      </c>
      <c r="P143" s="56">
        <f t="shared" si="49"/>
        <v>40</v>
      </c>
      <c r="Q143" s="54">
        <f t="shared" si="50"/>
        <v>22.25</v>
      </c>
      <c r="R143" s="55">
        <f t="shared" si="51"/>
        <v>45.056320400500624</v>
      </c>
      <c r="S143" s="55">
        <f t="shared" si="52"/>
        <v>15.238095238095239</v>
      </c>
      <c r="T143" s="13">
        <f t="shared" si="53"/>
        <v>1</v>
      </c>
      <c r="U143" s="13">
        <f t="shared" si="54"/>
        <v>1</v>
      </c>
      <c r="V143" s="13">
        <f t="shared" si="55"/>
        <v>2</v>
      </c>
      <c r="W143" s="13">
        <f t="shared" ca="1" si="56"/>
        <v>3</v>
      </c>
      <c r="X143" s="13">
        <f t="shared" ca="1" si="57"/>
        <v>7</v>
      </c>
      <c r="Y143" s="61" t="str">
        <f t="shared" ca="1" si="58"/>
        <v>MONITOR</v>
      </c>
      <c r="Z143" s="51">
        <v>14</v>
      </c>
      <c r="AA143" s="53">
        <v>46059</v>
      </c>
      <c r="AB143" s="53">
        <f t="shared" si="59"/>
        <v>45920</v>
      </c>
      <c r="AC143" s="72">
        <f t="shared" si="60"/>
        <v>19.857142857142858</v>
      </c>
      <c r="AD143" s="67" t="str">
        <f t="shared" ca="1" si="61"/>
        <v>STABLE</v>
      </c>
      <c r="AE143" s="67" t="str">
        <f t="shared" si="62"/>
        <v>SLOW SELLING</v>
      </c>
      <c r="AF143" s="67" t="str">
        <f t="shared" si="63"/>
        <v>AT RISK</v>
      </c>
      <c r="AG143" s="67" t="str">
        <f t="shared" si="64"/>
        <v>FEASIBLE</v>
      </c>
      <c r="AH143" s="73" t="str">
        <f t="shared" ca="1" si="65"/>
        <v>MONITOR</v>
      </c>
    </row>
    <row r="144" spans="1:34" x14ac:dyDescent="0.35">
      <c r="A144" s="25" t="s">
        <v>158</v>
      </c>
      <c r="B144" s="10" t="s">
        <v>321</v>
      </c>
      <c r="C144" s="10" t="s">
        <v>342</v>
      </c>
      <c r="D144" s="10" t="s">
        <v>346</v>
      </c>
      <c r="E144" s="11">
        <v>45864</v>
      </c>
      <c r="F144" s="17">
        <v>45892</v>
      </c>
      <c r="G144" s="14">
        <f t="shared" ca="1" si="44"/>
        <v>207</v>
      </c>
      <c r="H144" s="17">
        <v>999</v>
      </c>
      <c r="I144" s="17">
        <v>485</v>
      </c>
      <c r="J144" s="53">
        <f t="shared" si="45"/>
        <v>822</v>
      </c>
      <c r="K144" s="17">
        <v>1000</v>
      </c>
      <c r="L144" s="66">
        <v>178</v>
      </c>
      <c r="M144" s="52">
        <f t="shared" ca="1" si="46"/>
        <v>0.85990338164251212</v>
      </c>
      <c r="N144" s="50">
        <f t="shared" si="47"/>
        <v>0.80451009251471861</v>
      </c>
      <c r="O144" s="52">
        <f t="shared" si="48"/>
        <v>0.54268292682926833</v>
      </c>
      <c r="P144" s="56">
        <f t="shared" si="49"/>
        <v>44.5</v>
      </c>
      <c r="Q144" s="54">
        <f t="shared" si="50"/>
        <v>18.471910112359552</v>
      </c>
      <c r="R144" s="55">
        <f t="shared" si="51"/>
        <v>51.451451451451447</v>
      </c>
      <c r="S144" s="55">
        <f t="shared" si="52"/>
        <v>17.8</v>
      </c>
      <c r="T144" s="13">
        <f t="shared" si="53"/>
        <v>1</v>
      </c>
      <c r="U144" s="13">
        <f t="shared" si="54"/>
        <v>1</v>
      </c>
      <c r="V144" s="13">
        <f t="shared" si="55"/>
        <v>2</v>
      </c>
      <c r="W144" s="13">
        <f t="shared" ca="1" si="56"/>
        <v>3</v>
      </c>
      <c r="X144" s="13">
        <f t="shared" ca="1" si="57"/>
        <v>7</v>
      </c>
      <c r="Y144" s="61" t="str">
        <f t="shared" ca="1" si="58"/>
        <v>MONITOR</v>
      </c>
      <c r="Z144" s="51">
        <v>14</v>
      </c>
      <c r="AA144" s="53">
        <v>46059</v>
      </c>
      <c r="AB144" s="53">
        <f t="shared" si="59"/>
        <v>45920</v>
      </c>
      <c r="AC144" s="72">
        <f t="shared" si="60"/>
        <v>19.857142857142858</v>
      </c>
      <c r="AD144" s="67" t="str">
        <f t="shared" ca="1" si="61"/>
        <v>STABLE</v>
      </c>
      <c r="AE144" s="67" t="str">
        <f t="shared" si="62"/>
        <v>SLOW SELLING</v>
      </c>
      <c r="AF144" s="67" t="str">
        <f t="shared" si="63"/>
        <v>AT RISK</v>
      </c>
      <c r="AG144" s="67" t="str">
        <f t="shared" si="64"/>
        <v>FEASIBLE</v>
      </c>
      <c r="AH144" s="73" t="str">
        <f t="shared" ca="1" si="65"/>
        <v>MONITOR</v>
      </c>
    </row>
    <row r="145" spans="1:34" x14ac:dyDescent="0.35">
      <c r="A145" s="25" t="s">
        <v>159</v>
      </c>
      <c r="B145" s="10" t="s">
        <v>321</v>
      </c>
      <c r="C145" s="10" t="s">
        <v>342</v>
      </c>
      <c r="D145" s="10" t="s">
        <v>346</v>
      </c>
      <c r="E145" s="11">
        <v>45864</v>
      </c>
      <c r="F145" s="17">
        <v>45892</v>
      </c>
      <c r="G145" s="14">
        <f t="shared" ca="1" si="44"/>
        <v>207</v>
      </c>
      <c r="H145" s="17">
        <v>999</v>
      </c>
      <c r="I145" s="17">
        <v>485</v>
      </c>
      <c r="J145" s="53">
        <f t="shared" si="45"/>
        <v>870</v>
      </c>
      <c r="K145" s="17">
        <v>1000</v>
      </c>
      <c r="L145" s="66">
        <v>130</v>
      </c>
      <c r="M145" s="52">
        <f t="shared" ca="1" si="46"/>
        <v>0.6280193236714976</v>
      </c>
      <c r="N145" s="50">
        <f t="shared" si="47"/>
        <v>0.80451009251471861</v>
      </c>
      <c r="O145" s="52">
        <f t="shared" si="48"/>
        <v>0.39634146341463417</v>
      </c>
      <c r="P145" s="56">
        <f t="shared" si="49"/>
        <v>32.5</v>
      </c>
      <c r="Q145" s="54">
        <f t="shared" si="50"/>
        <v>26.76923076923077</v>
      </c>
      <c r="R145" s="55">
        <f t="shared" si="51"/>
        <v>51.451451451451447</v>
      </c>
      <c r="S145" s="55">
        <f t="shared" si="52"/>
        <v>13</v>
      </c>
      <c r="T145" s="13">
        <f t="shared" si="53"/>
        <v>1</v>
      </c>
      <c r="U145" s="13">
        <f t="shared" si="54"/>
        <v>1</v>
      </c>
      <c r="V145" s="13">
        <f t="shared" si="55"/>
        <v>2</v>
      </c>
      <c r="W145" s="13">
        <f t="shared" ca="1" si="56"/>
        <v>3</v>
      </c>
      <c r="X145" s="13">
        <f t="shared" ca="1" si="57"/>
        <v>7</v>
      </c>
      <c r="Y145" s="61" t="str">
        <f t="shared" ca="1" si="58"/>
        <v>MONITOR</v>
      </c>
      <c r="Z145" s="51">
        <v>14</v>
      </c>
      <c r="AA145" s="53">
        <v>46059</v>
      </c>
      <c r="AB145" s="53">
        <f t="shared" si="59"/>
        <v>45920</v>
      </c>
      <c r="AC145" s="72">
        <f t="shared" si="60"/>
        <v>19.857142857142858</v>
      </c>
      <c r="AD145" s="67" t="str">
        <f t="shared" ca="1" si="61"/>
        <v>STABLE</v>
      </c>
      <c r="AE145" s="67" t="str">
        <f t="shared" si="62"/>
        <v>SLOW SELLING</v>
      </c>
      <c r="AF145" s="67" t="str">
        <f t="shared" si="63"/>
        <v>AT RISK</v>
      </c>
      <c r="AG145" s="67" t="str">
        <f t="shared" si="64"/>
        <v>FEASIBLE</v>
      </c>
      <c r="AH145" s="73" t="str">
        <f t="shared" ca="1" si="65"/>
        <v>MONITOR</v>
      </c>
    </row>
    <row r="146" spans="1:34" x14ac:dyDescent="0.35">
      <c r="A146" s="25" t="s">
        <v>160</v>
      </c>
      <c r="B146" s="10" t="s">
        <v>321</v>
      </c>
      <c r="C146" s="10" t="s">
        <v>342</v>
      </c>
      <c r="D146" s="10" t="s">
        <v>346</v>
      </c>
      <c r="E146" s="11">
        <v>45864</v>
      </c>
      <c r="F146" s="17">
        <v>45892</v>
      </c>
      <c r="G146" s="14">
        <f t="shared" ca="1" si="44"/>
        <v>207</v>
      </c>
      <c r="H146" s="17">
        <v>999</v>
      </c>
      <c r="I146" s="17">
        <v>485</v>
      </c>
      <c r="J146" s="53">
        <f t="shared" si="45"/>
        <v>885</v>
      </c>
      <c r="K146" s="17">
        <v>1000</v>
      </c>
      <c r="L146" s="66">
        <v>115</v>
      </c>
      <c r="M146" s="52">
        <f t="shared" ca="1" si="46"/>
        <v>0.55555555555555558</v>
      </c>
      <c r="N146" s="50">
        <f t="shared" si="47"/>
        <v>0.80451009251471861</v>
      </c>
      <c r="O146" s="52">
        <f t="shared" si="48"/>
        <v>0.35060975609756095</v>
      </c>
      <c r="P146" s="56">
        <f t="shared" si="49"/>
        <v>28.75</v>
      </c>
      <c r="Q146" s="54">
        <f t="shared" si="50"/>
        <v>30.782608695652176</v>
      </c>
      <c r="R146" s="55">
        <f t="shared" si="51"/>
        <v>51.451451451451447</v>
      </c>
      <c r="S146" s="55">
        <f t="shared" si="52"/>
        <v>11.5</v>
      </c>
      <c r="T146" s="13">
        <f t="shared" si="53"/>
        <v>1</v>
      </c>
      <c r="U146" s="13">
        <f t="shared" si="54"/>
        <v>1</v>
      </c>
      <c r="V146" s="13">
        <f t="shared" si="55"/>
        <v>2</v>
      </c>
      <c r="W146" s="13">
        <f t="shared" ca="1" si="56"/>
        <v>3</v>
      </c>
      <c r="X146" s="13">
        <f t="shared" ca="1" si="57"/>
        <v>7</v>
      </c>
      <c r="Y146" s="61" t="str">
        <f t="shared" ca="1" si="58"/>
        <v>MONITOR</v>
      </c>
      <c r="Z146" s="51">
        <v>14</v>
      </c>
      <c r="AA146" s="53">
        <v>46059</v>
      </c>
      <c r="AB146" s="53">
        <f t="shared" si="59"/>
        <v>45920</v>
      </c>
      <c r="AC146" s="72">
        <f t="shared" si="60"/>
        <v>19.857142857142858</v>
      </c>
      <c r="AD146" s="67" t="str">
        <f t="shared" ca="1" si="61"/>
        <v>STABLE</v>
      </c>
      <c r="AE146" s="67" t="str">
        <f t="shared" si="62"/>
        <v>SLOW SELLING</v>
      </c>
      <c r="AF146" s="67" t="str">
        <f t="shared" si="63"/>
        <v>AT RISK</v>
      </c>
      <c r="AG146" s="67" t="str">
        <f t="shared" si="64"/>
        <v>FEASIBLE</v>
      </c>
      <c r="AH146" s="73" t="str">
        <f t="shared" ca="1" si="65"/>
        <v>MONITOR</v>
      </c>
    </row>
    <row r="147" spans="1:34" x14ac:dyDescent="0.35">
      <c r="A147" s="25" t="s">
        <v>161</v>
      </c>
      <c r="B147" s="10" t="s">
        <v>321</v>
      </c>
      <c r="C147" s="10" t="s">
        <v>342</v>
      </c>
      <c r="D147" s="10" t="s">
        <v>346</v>
      </c>
      <c r="E147" s="11">
        <v>45864</v>
      </c>
      <c r="F147" s="17">
        <v>45892</v>
      </c>
      <c r="G147" s="14">
        <f t="shared" ca="1" si="44"/>
        <v>207</v>
      </c>
      <c r="H147" s="17">
        <v>999</v>
      </c>
      <c r="I147" s="17">
        <v>485</v>
      </c>
      <c r="J147" s="53">
        <f t="shared" si="45"/>
        <v>998</v>
      </c>
      <c r="K147" s="17">
        <v>1000</v>
      </c>
      <c r="L147" s="66">
        <v>2</v>
      </c>
      <c r="M147" s="52">
        <f t="shared" ca="1" si="46"/>
        <v>9.6618357487922701E-3</v>
      </c>
      <c r="N147" s="50">
        <f t="shared" si="47"/>
        <v>0.80451009251471861</v>
      </c>
      <c r="O147" s="52">
        <f t="shared" si="48"/>
        <v>6.0975609756097563E-3</v>
      </c>
      <c r="P147" s="56">
        <f t="shared" si="49"/>
        <v>0.5</v>
      </c>
      <c r="Q147" s="54">
        <f t="shared" si="50"/>
        <v>1996</v>
      </c>
      <c r="R147" s="55">
        <f t="shared" si="51"/>
        <v>51.451451451451447</v>
      </c>
      <c r="S147" s="55">
        <f t="shared" si="52"/>
        <v>0.2</v>
      </c>
      <c r="T147" s="13">
        <f t="shared" si="53"/>
        <v>1</v>
      </c>
      <c r="U147" s="13">
        <f t="shared" si="54"/>
        <v>1</v>
      </c>
      <c r="V147" s="13">
        <f t="shared" si="55"/>
        <v>2</v>
      </c>
      <c r="W147" s="13">
        <f t="shared" ca="1" si="56"/>
        <v>3</v>
      </c>
      <c r="X147" s="13">
        <f t="shared" ca="1" si="57"/>
        <v>7</v>
      </c>
      <c r="Y147" s="61" t="str">
        <f t="shared" ca="1" si="58"/>
        <v>MONITOR</v>
      </c>
      <c r="Z147" s="51">
        <v>14</v>
      </c>
      <c r="AA147" s="53">
        <v>46059</v>
      </c>
      <c r="AB147" s="53">
        <f t="shared" si="59"/>
        <v>45920</v>
      </c>
      <c r="AC147" s="72">
        <f t="shared" si="60"/>
        <v>19.857142857142858</v>
      </c>
      <c r="AD147" s="67" t="str">
        <f t="shared" ca="1" si="61"/>
        <v>STABLE</v>
      </c>
      <c r="AE147" s="67" t="str">
        <f t="shared" si="62"/>
        <v>SLOW SELLING</v>
      </c>
      <c r="AF147" s="67" t="str">
        <f t="shared" si="63"/>
        <v>AT RISK</v>
      </c>
      <c r="AG147" s="67" t="str">
        <f t="shared" si="64"/>
        <v>FEASIBLE</v>
      </c>
      <c r="AH147" s="73" t="str">
        <f t="shared" ca="1" si="65"/>
        <v>MONITOR</v>
      </c>
    </row>
    <row r="148" spans="1:34" x14ac:dyDescent="0.35">
      <c r="A148" s="25" t="s">
        <v>162</v>
      </c>
      <c r="B148" s="10" t="s">
        <v>321</v>
      </c>
      <c r="C148" s="10" t="s">
        <v>342</v>
      </c>
      <c r="D148" s="10" t="s">
        <v>346</v>
      </c>
      <c r="E148" s="11">
        <v>45927</v>
      </c>
      <c r="F148" s="17">
        <v>45892</v>
      </c>
      <c r="G148" s="14">
        <f t="shared" ca="1" si="44"/>
        <v>207</v>
      </c>
      <c r="H148" s="17">
        <v>599</v>
      </c>
      <c r="I148" s="17">
        <v>290</v>
      </c>
      <c r="J148" s="53">
        <f t="shared" si="45"/>
        <v>799</v>
      </c>
      <c r="K148" s="17">
        <v>900</v>
      </c>
      <c r="L148" s="66">
        <v>101</v>
      </c>
      <c r="M148" s="52">
        <f t="shared" ca="1" si="46"/>
        <v>0.48792270531400966</v>
      </c>
      <c r="N148" s="50">
        <f t="shared" si="47"/>
        <v>0.80451009251471861</v>
      </c>
      <c r="O148" s="52">
        <f t="shared" si="48"/>
        <v>0.30792682926829268</v>
      </c>
      <c r="P148" s="56">
        <f t="shared" si="49"/>
        <v>25.25</v>
      </c>
      <c r="Q148" s="54">
        <f t="shared" si="50"/>
        <v>31.643564356435643</v>
      </c>
      <c r="R148" s="55">
        <f t="shared" si="51"/>
        <v>51.58597662771286</v>
      </c>
      <c r="S148" s="55">
        <f t="shared" si="52"/>
        <v>11.222222222222221</v>
      </c>
      <c r="T148" s="13">
        <f t="shared" si="53"/>
        <v>1</v>
      </c>
      <c r="U148" s="13">
        <f t="shared" si="54"/>
        <v>1</v>
      </c>
      <c r="V148" s="13">
        <f t="shared" si="55"/>
        <v>2</v>
      </c>
      <c r="W148" s="13">
        <f t="shared" ca="1" si="56"/>
        <v>3</v>
      </c>
      <c r="X148" s="13">
        <f t="shared" ca="1" si="57"/>
        <v>7</v>
      </c>
      <c r="Y148" s="61" t="str">
        <f t="shared" ca="1" si="58"/>
        <v>MONITOR</v>
      </c>
      <c r="Z148" s="51">
        <v>14</v>
      </c>
      <c r="AA148" s="53">
        <v>46059</v>
      </c>
      <c r="AB148" s="53">
        <f t="shared" si="59"/>
        <v>45920</v>
      </c>
      <c r="AC148" s="72">
        <f t="shared" si="60"/>
        <v>19.857142857142858</v>
      </c>
      <c r="AD148" s="67" t="str">
        <f t="shared" ca="1" si="61"/>
        <v>STABLE</v>
      </c>
      <c r="AE148" s="67" t="str">
        <f t="shared" si="62"/>
        <v>SLOW SELLING</v>
      </c>
      <c r="AF148" s="67" t="str">
        <f t="shared" si="63"/>
        <v>AT RISK</v>
      </c>
      <c r="AG148" s="67" t="str">
        <f t="shared" si="64"/>
        <v>FEASIBLE</v>
      </c>
      <c r="AH148" s="73" t="str">
        <f t="shared" ca="1" si="65"/>
        <v>MONITOR</v>
      </c>
    </row>
    <row r="149" spans="1:34" x14ac:dyDescent="0.35">
      <c r="A149" s="25" t="s">
        <v>163</v>
      </c>
      <c r="B149" s="10" t="s">
        <v>319</v>
      </c>
      <c r="C149" s="10" t="s">
        <v>342</v>
      </c>
      <c r="D149" s="10" t="s">
        <v>346</v>
      </c>
      <c r="E149" s="11">
        <v>45892</v>
      </c>
      <c r="F149" s="17">
        <v>45892</v>
      </c>
      <c r="G149" s="14">
        <f t="shared" ca="1" si="44"/>
        <v>207</v>
      </c>
      <c r="H149" s="17">
        <v>499</v>
      </c>
      <c r="I149" s="17">
        <v>259</v>
      </c>
      <c r="J149" s="53">
        <f t="shared" si="45"/>
        <v>982</v>
      </c>
      <c r="K149" s="17">
        <v>1050</v>
      </c>
      <c r="L149" s="66">
        <v>68</v>
      </c>
      <c r="M149" s="52">
        <f t="shared" ca="1" si="46"/>
        <v>0.32850241545893721</v>
      </c>
      <c r="N149" s="50">
        <f t="shared" si="47"/>
        <v>0.80451009251471861</v>
      </c>
      <c r="O149" s="52">
        <f t="shared" si="48"/>
        <v>0.2073170731707317</v>
      </c>
      <c r="P149" s="56">
        <f t="shared" si="49"/>
        <v>17</v>
      </c>
      <c r="Q149" s="54">
        <f t="shared" si="50"/>
        <v>57.764705882352942</v>
      </c>
      <c r="R149" s="55">
        <f t="shared" si="51"/>
        <v>48.096192384769537</v>
      </c>
      <c r="S149" s="55">
        <f t="shared" si="52"/>
        <v>6.4761904761904754</v>
      </c>
      <c r="T149" s="13">
        <f t="shared" si="53"/>
        <v>1</v>
      </c>
      <c r="U149" s="13">
        <f t="shared" si="54"/>
        <v>1</v>
      </c>
      <c r="V149" s="13">
        <f t="shared" si="55"/>
        <v>2</v>
      </c>
      <c r="W149" s="13">
        <f t="shared" ca="1" si="56"/>
        <v>3</v>
      </c>
      <c r="X149" s="13">
        <f t="shared" ca="1" si="57"/>
        <v>7</v>
      </c>
      <c r="Y149" s="61" t="str">
        <f t="shared" ca="1" si="58"/>
        <v>MONITOR</v>
      </c>
      <c r="Z149" s="51">
        <v>14</v>
      </c>
      <c r="AA149" s="53">
        <v>46059</v>
      </c>
      <c r="AB149" s="53">
        <f t="shared" si="59"/>
        <v>45920</v>
      </c>
      <c r="AC149" s="72">
        <f t="shared" si="60"/>
        <v>19.857142857142858</v>
      </c>
      <c r="AD149" s="67" t="str">
        <f t="shared" ca="1" si="61"/>
        <v>STABLE</v>
      </c>
      <c r="AE149" s="67" t="str">
        <f t="shared" si="62"/>
        <v>SLOW SELLING</v>
      </c>
      <c r="AF149" s="67" t="str">
        <f t="shared" si="63"/>
        <v>AT RISK</v>
      </c>
      <c r="AG149" s="67" t="str">
        <f t="shared" si="64"/>
        <v>FEASIBLE</v>
      </c>
      <c r="AH149" s="73" t="str">
        <f t="shared" ca="1" si="65"/>
        <v>MONITOR</v>
      </c>
    </row>
    <row r="150" spans="1:34" x14ac:dyDescent="0.35">
      <c r="A150" s="25" t="s">
        <v>164</v>
      </c>
      <c r="B150" s="10" t="s">
        <v>319</v>
      </c>
      <c r="C150" s="10" t="s">
        <v>342</v>
      </c>
      <c r="D150" s="10" t="s">
        <v>346</v>
      </c>
      <c r="E150" s="11">
        <v>45892</v>
      </c>
      <c r="F150" s="17">
        <v>45892</v>
      </c>
      <c r="G150" s="14">
        <f t="shared" ca="1" si="44"/>
        <v>207</v>
      </c>
      <c r="H150" s="17">
        <v>499</v>
      </c>
      <c r="I150" s="17">
        <v>259</v>
      </c>
      <c r="J150" s="53">
        <f t="shared" si="45"/>
        <v>929</v>
      </c>
      <c r="K150" s="17">
        <v>1050</v>
      </c>
      <c r="L150" s="66">
        <v>121</v>
      </c>
      <c r="M150" s="52">
        <f t="shared" ca="1" si="46"/>
        <v>0.58454106280193241</v>
      </c>
      <c r="N150" s="50">
        <f t="shared" si="47"/>
        <v>0.80451009251471861</v>
      </c>
      <c r="O150" s="52">
        <f t="shared" si="48"/>
        <v>0.36890243902439024</v>
      </c>
      <c r="P150" s="56">
        <f t="shared" si="49"/>
        <v>30.25</v>
      </c>
      <c r="Q150" s="54">
        <f t="shared" si="50"/>
        <v>30.710743801652892</v>
      </c>
      <c r="R150" s="55">
        <f t="shared" si="51"/>
        <v>48.096192384769537</v>
      </c>
      <c r="S150" s="55">
        <f t="shared" si="52"/>
        <v>11.523809523809524</v>
      </c>
      <c r="T150" s="13">
        <f t="shared" si="53"/>
        <v>1</v>
      </c>
      <c r="U150" s="13">
        <f t="shared" si="54"/>
        <v>1</v>
      </c>
      <c r="V150" s="13">
        <f t="shared" si="55"/>
        <v>2</v>
      </c>
      <c r="W150" s="13">
        <f t="shared" ca="1" si="56"/>
        <v>3</v>
      </c>
      <c r="X150" s="13">
        <f t="shared" ca="1" si="57"/>
        <v>7</v>
      </c>
      <c r="Y150" s="61" t="str">
        <f t="shared" ca="1" si="58"/>
        <v>MONITOR</v>
      </c>
      <c r="Z150" s="51">
        <v>14</v>
      </c>
      <c r="AA150" s="53">
        <v>46059</v>
      </c>
      <c r="AB150" s="53">
        <f t="shared" si="59"/>
        <v>45920</v>
      </c>
      <c r="AC150" s="72">
        <f t="shared" si="60"/>
        <v>19.857142857142858</v>
      </c>
      <c r="AD150" s="67" t="str">
        <f t="shared" ca="1" si="61"/>
        <v>STABLE</v>
      </c>
      <c r="AE150" s="67" t="str">
        <f t="shared" si="62"/>
        <v>SLOW SELLING</v>
      </c>
      <c r="AF150" s="67" t="str">
        <f t="shared" si="63"/>
        <v>AT RISK</v>
      </c>
      <c r="AG150" s="67" t="str">
        <f t="shared" si="64"/>
        <v>FEASIBLE</v>
      </c>
      <c r="AH150" s="73" t="str">
        <f t="shared" ca="1" si="65"/>
        <v>MONITOR</v>
      </c>
    </row>
    <row r="151" spans="1:34" x14ac:dyDescent="0.35">
      <c r="A151" s="25" t="s">
        <v>165</v>
      </c>
      <c r="B151" s="10" t="s">
        <v>326</v>
      </c>
      <c r="C151" s="10" t="s">
        <v>342</v>
      </c>
      <c r="D151" s="10" t="s">
        <v>346</v>
      </c>
      <c r="E151" s="11">
        <v>45864</v>
      </c>
      <c r="F151" s="17">
        <v>45892</v>
      </c>
      <c r="G151" s="14">
        <f t="shared" ca="1" si="44"/>
        <v>207</v>
      </c>
      <c r="H151" s="17">
        <v>799</v>
      </c>
      <c r="I151" s="17">
        <v>400</v>
      </c>
      <c r="J151" s="53">
        <f t="shared" si="45"/>
        <v>927</v>
      </c>
      <c r="K151" s="17">
        <v>1050</v>
      </c>
      <c r="L151" s="66">
        <v>123</v>
      </c>
      <c r="M151" s="52">
        <f t="shared" ca="1" si="46"/>
        <v>0.59420289855072461</v>
      </c>
      <c r="N151" s="50">
        <f t="shared" si="47"/>
        <v>0.80451009251471861</v>
      </c>
      <c r="O151" s="52">
        <f t="shared" si="48"/>
        <v>0.375</v>
      </c>
      <c r="P151" s="56">
        <f t="shared" si="49"/>
        <v>30.75</v>
      </c>
      <c r="Q151" s="54">
        <f t="shared" si="50"/>
        <v>30.146341463414632</v>
      </c>
      <c r="R151" s="55">
        <f t="shared" si="51"/>
        <v>49.937421777221523</v>
      </c>
      <c r="S151" s="55">
        <f t="shared" si="52"/>
        <v>11.714285714285715</v>
      </c>
      <c r="T151" s="13">
        <f t="shared" si="53"/>
        <v>1</v>
      </c>
      <c r="U151" s="13">
        <f t="shared" si="54"/>
        <v>1</v>
      </c>
      <c r="V151" s="13">
        <f t="shared" si="55"/>
        <v>2</v>
      </c>
      <c r="W151" s="13">
        <f t="shared" ca="1" si="56"/>
        <v>3</v>
      </c>
      <c r="X151" s="13">
        <f t="shared" ca="1" si="57"/>
        <v>7</v>
      </c>
      <c r="Y151" s="61" t="str">
        <f t="shared" ca="1" si="58"/>
        <v>MONITOR</v>
      </c>
      <c r="Z151" s="51">
        <v>14</v>
      </c>
      <c r="AA151" s="53">
        <v>46059</v>
      </c>
      <c r="AB151" s="53">
        <f t="shared" si="59"/>
        <v>45920</v>
      </c>
      <c r="AC151" s="72">
        <f t="shared" si="60"/>
        <v>19.857142857142858</v>
      </c>
      <c r="AD151" s="67" t="str">
        <f t="shared" ca="1" si="61"/>
        <v>STABLE</v>
      </c>
      <c r="AE151" s="67" t="str">
        <f t="shared" si="62"/>
        <v>SLOW SELLING</v>
      </c>
      <c r="AF151" s="67" t="str">
        <f t="shared" si="63"/>
        <v>AT RISK</v>
      </c>
      <c r="AG151" s="67" t="str">
        <f t="shared" si="64"/>
        <v>FEASIBLE</v>
      </c>
      <c r="AH151" s="73" t="str">
        <f t="shared" ca="1" si="65"/>
        <v>MONITOR</v>
      </c>
    </row>
    <row r="152" spans="1:34" x14ac:dyDescent="0.35">
      <c r="A152" s="25" t="s">
        <v>166</v>
      </c>
      <c r="B152" s="10" t="s">
        <v>326</v>
      </c>
      <c r="C152" s="10" t="s">
        <v>342</v>
      </c>
      <c r="D152" s="10" t="s">
        <v>346</v>
      </c>
      <c r="E152" s="11">
        <v>45920</v>
      </c>
      <c r="F152" s="17">
        <v>45892</v>
      </c>
      <c r="G152" s="14">
        <f t="shared" ca="1" si="44"/>
        <v>207</v>
      </c>
      <c r="H152" s="17">
        <v>799</v>
      </c>
      <c r="I152" s="17">
        <v>400</v>
      </c>
      <c r="J152" s="53">
        <f t="shared" si="45"/>
        <v>927</v>
      </c>
      <c r="K152" s="17">
        <v>1050</v>
      </c>
      <c r="L152" s="66">
        <v>123</v>
      </c>
      <c r="M152" s="52">
        <f t="shared" ca="1" si="46"/>
        <v>0.59420289855072461</v>
      </c>
      <c r="N152" s="50">
        <f t="shared" si="47"/>
        <v>0.80451009251471861</v>
      </c>
      <c r="O152" s="52">
        <f t="shared" si="48"/>
        <v>0.375</v>
      </c>
      <c r="P152" s="56">
        <f t="shared" si="49"/>
        <v>30.75</v>
      </c>
      <c r="Q152" s="54">
        <f t="shared" si="50"/>
        <v>30.146341463414632</v>
      </c>
      <c r="R152" s="55">
        <f t="shared" si="51"/>
        <v>49.937421777221523</v>
      </c>
      <c r="S152" s="55">
        <f t="shared" si="52"/>
        <v>11.714285714285715</v>
      </c>
      <c r="T152" s="13">
        <f t="shared" si="53"/>
        <v>1</v>
      </c>
      <c r="U152" s="13">
        <f t="shared" si="54"/>
        <v>1</v>
      </c>
      <c r="V152" s="13">
        <f t="shared" si="55"/>
        <v>2</v>
      </c>
      <c r="W152" s="13">
        <f t="shared" ca="1" si="56"/>
        <v>3</v>
      </c>
      <c r="X152" s="13">
        <f t="shared" ca="1" si="57"/>
        <v>7</v>
      </c>
      <c r="Y152" s="61" t="str">
        <f t="shared" ca="1" si="58"/>
        <v>MONITOR</v>
      </c>
      <c r="Z152" s="51">
        <v>14</v>
      </c>
      <c r="AA152" s="53">
        <v>46059</v>
      </c>
      <c r="AB152" s="53">
        <f t="shared" si="59"/>
        <v>45920</v>
      </c>
      <c r="AC152" s="72">
        <f t="shared" si="60"/>
        <v>19.857142857142858</v>
      </c>
      <c r="AD152" s="67" t="str">
        <f t="shared" ca="1" si="61"/>
        <v>STABLE</v>
      </c>
      <c r="AE152" s="67" t="str">
        <f t="shared" si="62"/>
        <v>SLOW SELLING</v>
      </c>
      <c r="AF152" s="67" t="str">
        <f t="shared" si="63"/>
        <v>AT RISK</v>
      </c>
      <c r="AG152" s="67" t="str">
        <f t="shared" si="64"/>
        <v>FEASIBLE</v>
      </c>
      <c r="AH152" s="73" t="str">
        <f t="shared" ca="1" si="65"/>
        <v>MONITOR</v>
      </c>
    </row>
    <row r="153" spans="1:34" x14ac:dyDescent="0.35">
      <c r="A153" s="25" t="s">
        <v>167</v>
      </c>
      <c r="B153" s="15" t="s">
        <v>323</v>
      </c>
      <c r="C153" s="10" t="s">
        <v>342</v>
      </c>
      <c r="D153" s="10" t="s">
        <v>346</v>
      </c>
      <c r="E153" s="11">
        <v>45878</v>
      </c>
      <c r="F153" s="17">
        <v>45892</v>
      </c>
      <c r="G153" s="14">
        <f t="shared" ca="1" si="44"/>
        <v>207</v>
      </c>
      <c r="H153" s="17">
        <v>599</v>
      </c>
      <c r="I153" s="17">
        <v>280</v>
      </c>
      <c r="J153" s="53">
        <f t="shared" si="45"/>
        <v>916</v>
      </c>
      <c r="K153" s="17">
        <v>1000</v>
      </c>
      <c r="L153" s="66">
        <v>84</v>
      </c>
      <c r="M153" s="52">
        <f t="shared" ca="1" si="46"/>
        <v>0.40579710144927539</v>
      </c>
      <c r="N153" s="50">
        <f t="shared" si="47"/>
        <v>0.80451009251471861</v>
      </c>
      <c r="O153" s="52">
        <f t="shared" si="48"/>
        <v>0.25609756097560976</v>
      </c>
      <c r="P153" s="56">
        <f t="shared" si="49"/>
        <v>21</v>
      </c>
      <c r="Q153" s="54">
        <f t="shared" si="50"/>
        <v>43.61904761904762</v>
      </c>
      <c r="R153" s="55">
        <f t="shared" si="51"/>
        <v>53.255425709515855</v>
      </c>
      <c r="S153" s="55">
        <f t="shared" si="52"/>
        <v>8.4</v>
      </c>
      <c r="T153" s="13">
        <f t="shared" si="53"/>
        <v>1</v>
      </c>
      <c r="U153" s="13">
        <f t="shared" si="54"/>
        <v>1</v>
      </c>
      <c r="V153" s="13">
        <f t="shared" si="55"/>
        <v>2</v>
      </c>
      <c r="W153" s="13">
        <f t="shared" ca="1" si="56"/>
        <v>3</v>
      </c>
      <c r="X153" s="13">
        <f t="shared" ca="1" si="57"/>
        <v>7</v>
      </c>
      <c r="Y153" s="61" t="str">
        <f t="shared" ca="1" si="58"/>
        <v>MONITOR</v>
      </c>
      <c r="Z153" s="51">
        <v>14</v>
      </c>
      <c r="AA153" s="53">
        <v>46059</v>
      </c>
      <c r="AB153" s="53">
        <f t="shared" si="59"/>
        <v>45920</v>
      </c>
      <c r="AC153" s="72">
        <f t="shared" si="60"/>
        <v>19.857142857142858</v>
      </c>
      <c r="AD153" s="67" t="str">
        <f t="shared" ca="1" si="61"/>
        <v>STABLE</v>
      </c>
      <c r="AE153" s="67" t="str">
        <f t="shared" si="62"/>
        <v>SLOW SELLING</v>
      </c>
      <c r="AF153" s="67" t="str">
        <f t="shared" si="63"/>
        <v>AT RISK</v>
      </c>
      <c r="AG153" s="67" t="str">
        <f t="shared" si="64"/>
        <v>FEASIBLE</v>
      </c>
      <c r="AH153" s="73" t="str">
        <f t="shared" ca="1" si="65"/>
        <v>MONITOR</v>
      </c>
    </row>
    <row r="154" spans="1:34" x14ac:dyDescent="0.35">
      <c r="A154" s="25" t="s">
        <v>168</v>
      </c>
      <c r="B154" s="15" t="s">
        <v>323</v>
      </c>
      <c r="C154" s="10" t="s">
        <v>342</v>
      </c>
      <c r="D154" s="10" t="s">
        <v>346</v>
      </c>
      <c r="E154" s="11">
        <v>45878</v>
      </c>
      <c r="F154" s="17">
        <v>45892</v>
      </c>
      <c r="G154" s="14">
        <f t="shared" ca="1" si="44"/>
        <v>207</v>
      </c>
      <c r="H154" s="17">
        <v>599</v>
      </c>
      <c r="I154" s="17">
        <v>280</v>
      </c>
      <c r="J154" s="53">
        <f t="shared" si="45"/>
        <v>919</v>
      </c>
      <c r="K154" s="17">
        <v>1000</v>
      </c>
      <c r="L154" s="66">
        <v>81</v>
      </c>
      <c r="M154" s="52">
        <f t="shared" ca="1" si="46"/>
        <v>0.39130434782608697</v>
      </c>
      <c r="N154" s="50">
        <f t="shared" si="47"/>
        <v>0.80451009251471861</v>
      </c>
      <c r="O154" s="52">
        <f t="shared" si="48"/>
        <v>0.24695121951219512</v>
      </c>
      <c r="P154" s="56">
        <f t="shared" si="49"/>
        <v>20.25</v>
      </c>
      <c r="Q154" s="54">
        <f t="shared" si="50"/>
        <v>45.382716049382715</v>
      </c>
      <c r="R154" s="55">
        <f t="shared" si="51"/>
        <v>53.255425709515855</v>
      </c>
      <c r="S154" s="55">
        <f t="shared" si="52"/>
        <v>8.1</v>
      </c>
      <c r="T154" s="13">
        <f t="shared" si="53"/>
        <v>1</v>
      </c>
      <c r="U154" s="13">
        <f t="shared" si="54"/>
        <v>1</v>
      </c>
      <c r="V154" s="13">
        <f t="shared" si="55"/>
        <v>2</v>
      </c>
      <c r="W154" s="13">
        <f t="shared" ca="1" si="56"/>
        <v>3</v>
      </c>
      <c r="X154" s="13">
        <f t="shared" ca="1" si="57"/>
        <v>7</v>
      </c>
      <c r="Y154" s="61" t="str">
        <f t="shared" ca="1" si="58"/>
        <v>MONITOR</v>
      </c>
      <c r="Z154" s="51">
        <v>14</v>
      </c>
      <c r="AA154" s="53">
        <v>46059</v>
      </c>
      <c r="AB154" s="53">
        <f t="shared" si="59"/>
        <v>45920</v>
      </c>
      <c r="AC154" s="72">
        <f t="shared" si="60"/>
        <v>19.857142857142858</v>
      </c>
      <c r="AD154" s="67" t="str">
        <f t="shared" ca="1" si="61"/>
        <v>STABLE</v>
      </c>
      <c r="AE154" s="67" t="str">
        <f t="shared" si="62"/>
        <v>SLOW SELLING</v>
      </c>
      <c r="AF154" s="67" t="str">
        <f t="shared" si="63"/>
        <v>AT RISK</v>
      </c>
      <c r="AG154" s="67" t="str">
        <f t="shared" si="64"/>
        <v>FEASIBLE</v>
      </c>
      <c r="AH154" s="73" t="str">
        <f t="shared" ca="1" si="65"/>
        <v>MONITOR</v>
      </c>
    </row>
    <row r="155" spans="1:34" x14ac:dyDescent="0.35">
      <c r="A155" s="25" t="s">
        <v>169</v>
      </c>
      <c r="B155" s="15" t="s">
        <v>323</v>
      </c>
      <c r="C155" s="10" t="s">
        <v>342</v>
      </c>
      <c r="D155" s="10" t="s">
        <v>346</v>
      </c>
      <c r="E155" s="11">
        <v>45878</v>
      </c>
      <c r="F155" s="17">
        <v>45892</v>
      </c>
      <c r="G155" s="14">
        <f t="shared" ca="1" si="44"/>
        <v>207</v>
      </c>
      <c r="H155" s="17">
        <v>599</v>
      </c>
      <c r="I155" s="17">
        <v>280</v>
      </c>
      <c r="J155" s="53">
        <f t="shared" si="45"/>
        <v>898</v>
      </c>
      <c r="K155" s="17">
        <v>1000</v>
      </c>
      <c r="L155" s="66">
        <v>102</v>
      </c>
      <c r="M155" s="52">
        <f t="shared" ca="1" si="46"/>
        <v>0.49275362318840582</v>
      </c>
      <c r="N155" s="50">
        <f t="shared" si="47"/>
        <v>0.80451009251471861</v>
      </c>
      <c r="O155" s="52">
        <f t="shared" si="48"/>
        <v>0.31097560975609756</v>
      </c>
      <c r="P155" s="56">
        <f t="shared" si="49"/>
        <v>25.5</v>
      </c>
      <c r="Q155" s="54">
        <f t="shared" si="50"/>
        <v>35.215686274509807</v>
      </c>
      <c r="R155" s="55">
        <f t="shared" si="51"/>
        <v>53.255425709515855</v>
      </c>
      <c r="S155" s="55">
        <f t="shared" si="52"/>
        <v>10.199999999999999</v>
      </c>
      <c r="T155" s="13">
        <f t="shared" si="53"/>
        <v>1</v>
      </c>
      <c r="U155" s="13">
        <f t="shared" si="54"/>
        <v>1</v>
      </c>
      <c r="V155" s="13">
        <f t="shared" si="55"/>
        <v>2</v>
      </c>
      <c r="W155" s="13">
        <f t="shared" ca="1" si="56"/>
        <v>3</v>
      </c>
      <c r="X155" s="13">
        <f t="shared" ca="1" si="57"/>
        <v>7</v>
      </c>
      <c r="Y155" s="61" t="str">
        <f t="shared" ca="1" si="58"/>
        <v>MONITOR</v>
      </c>
      <c r="Z155" s="51">
        <v>14</v>
      </c>
      <c r="AA155" s="53">
        <v>46059</v>
      </c>
      <c r="AB155" s="53">
        <f t="shared" si="59"/>
        <v>45920</v>
      </c>
      <c r="AC155" s="72">
        <f t="shared" si="60"/>
        <v>19.857142857142858</v>
      </c>
      <c r="AD155" s="67" t="str">
        <f t="shared" ca="1" si="61"/>
        <v>STABLE</v>
      </c>
      <c r="AE155" s="67" t="str">
        <f t="shared" si="62"/>
        <v>SLOW SELLING</v>
      </c>
      <c r="AF155" s="67" t="str">
        <f t="shared" si="63"/>
        <v>AT RISK</v>
      </c>
      <c r="AG155" s="67" t="str">
        <f t="shared" si="64"/>
        <v>FEASIBLE</v>
      </c>
      <c r="AH155" s="73" t="str">
        <f t="shared" ca="1" si="65"/>
        <v>MONITOR</v>
      </c>
    </row>
    <row r="156" spans="1:34" x14ac:dyDescent="0.35">
      <c r="A156" s="25" t="s">
        <v>170</v>
      </c>
      <c r="B156" s="15" t="s">
        <v>323</v>
      </c>
      <c r="C156" s="10" t="s">
        <v>342</v>
      </c>
      <c r="D156" s="10" t="s">
        <v>346</v>
      </c>
      <c r="E156" s="11">
        <v>45878</v>
      </c>
      <c r="F156" s="17">
        <v>45892</v>
      </c>
      <c r="G156" s="14">
        <f t="shared" ca="1" si="44"/>
        <v>207</v>
      </c>
      <c r="H156" s="17">
        <v>599</v>
      </c>
      <c r="I156" s="17">
        <v>280</v>
      </c>
      <c r="J156" s="53">
        <f t="shared" si="45"/>
        <v>918</v>
      </c>
      <c r="K156" s="17">
        <v>1000</v>
      </c>
      <c r="L156" s="66">
        <v>82</v>
      </c>
      <c r="M156" s="52">
        <f t="shared" ca="1" si="46"/>
        <v>0.39613526570048307</v>
      </c>
      <c r="N156" s="50">
        <f t="shared" si="47"/>
        <v>0.80451009251471861</v>
      </c>
      <c r="O156" s="52">
        <f t="shared" si="48"/>
        <v>0.25</v>
      </c>
      <c r="P156" s="56">
        <f t="shared" si="49"/>
        <v>20.5</v>
      </c>
      <c r="Q156" s="54">
        <f t="shared" si="50"/>
        <v>44.780487804878049</v>
      </c>
      <c r="R156" s="55">
        <f t="shared" si="51"/>
        <v>53.255425709515855</v>
      </c>
      <c r="S156" s="55">
        <f t="shared" si="52"/>
        <v>8.2000000000000011</v>
      </c>
      <c r="T156" s="13">
        <f t="shared" si="53"/>
        <v>1</v>
      </c>
      <c r="U156" s="13">
        <f t="shared" si="54"/>
        <v>1</v>
      </c>
      <c r="V156" s="13">
        <f t="shared" si="55"/>
        <v>2</v>
      </c>
      <c r="W156" s="13">
        <f t="shared" ca="1" si="56"/>
        <v>3</v>
      </c>
      <c r="X156" s="13">
        <f t="shared" ca="1" si="57"/>
        <v>7</v>
      </c>
      <c r="Y156" s="61" t="str">
        <f t="shared" ca="1" si="58"/>
        <v>MONITOR</v>
      </c>
      <c r="Z156" s="51">
        <v>14</v>
      </c>
      <c r="AA156" s="53">
        <v>46059</v>
      </c>
      <c r="AB156" s="53">
        <f t="shared" si="59"/>
        <v>45920</v>
      </c>
      <c r="AC156" s="72">
        <f t="shared" si="60"/>
        <v>19.857142857142858</v>
      </c>
      <c r="AD156" s="67" t="str">
        <f t="shared" ca="1" si="61"/>
        <v>STABLE</v>
      </c>
      <c r="AE156" s="67" t="str">
        <f t="shared" si="62"/>
        <v>SLOW SELLING</v>
      </c>
      <c r="AF156" s="67" t="str">
        <f t="shared" si="63"/>
        <v>AT RISK</v>
      </c>
      <c r="AG156" s="67" t="str">
        <f t="shared" si="64"/>
        <v>FEASIBLE</v>
      </c>
      <c r="AH156" s="73" t="str">
        <f t="shared" ca="1" si="65"/>
        <v>MONITOR</v>
      </c>
    </row>
    <row r="157" spans="1:34" x14ac:dyDescent="0.35">
      <c r="A157" s="25" t="s">
        <v>171</v>
      </c>
      <c r="B157" s="10" t="s">
        <v>330</v>
      </c>
      <c r="C157" s="10" t="s">
        <v>342</v>
      </c>
      <c r="D157" s="10" t="s">
        <v>346</v>
      </c>
      <c r="E157" s="11">
        <v>45920</v>
      </c>
      <c r="F157" s="17">
        <v>45892</v>
      </c>
      <c r="G157" s="14">
        <f t="shared" ca="1" si="44"/>
        <v>207</v>
      </c>
      <c r="H157" s="17">
        <v>599</v>
      </c>
      <c r="I157" s="17">
        <v>290</v>
      </c>
      <c r="J157" s="53">
        <f t="shared" si="45"/>
        <v>1000</v>
      </c>
      <c r="K157" s="17">
        <v>1000</v>
      </c>
      <c r="L157" s="67">
        <v>0</v>
      </c>
      <c r="M157" s="52">
        <f t="shared" ca="1" si="46"/>
        <v>0</v>
      </c>
      <c r="N157" s="50">
        <f t="shared" si="47"/>
        <v>0.80451009251471861</v>
      </c>
      <c r="O157" s="52">
        <f t="shared" si="48"/>
        <v>0</v>
      </c>
      <c r="P157" s="56">
        <f t="shared" si="49"/>
        <v>0</v>
      </c>
      <c r="Q157" s="54" t="e">
        <f t="shared" si="50"/>
        <v>#DIV/0!</v>
      </c>
      <c r="R157" s="55">
        <f t="shared" si="51"/>
        <v>51.58597662771286</v>
      </c>
      <c r="S157" s="55">
        <f t="shared" si="52"/>
        <v>0</v>
      </c>
      <c r="T157" s="13">
        <f t="shared" si="53"/>
        <v>1</v>
      </c>
      <c r="U157" s="13" t="e">
        <f t="shared" si="54"/>
        <v>#DIV/0!</v>
      </c>
      <c r="V157" s="13">
        <f t="shared" si="55"/>
        <v>2</v>
      </c>
      <c r="W157" s="13">
        <f t="shared" ca="1" si="56"/>
        <v>3</v>
      </c>
      <c r="X157" s="13" t="e">
        <f t="shared" ca="1" si="57"/>
        <v>#DIV/0!</v>
      </c>
      <c r="Y157" s="61" t="str">
        <f t="shared" ca="1" si="58"/>
        <v>EXIT</v>
      </c>
      <c r="Z157" s="51">
        <v>14</v>
      </c>
      <c r="AA157" s="53">
        <v>46059</v>
      </c>
      <c r="AB157" s="53">
        <f t="shared" si="59"/>
        <v>45920</v>
      </c>
      <c r="AC157" s="72">
        <f t="shared" si="60"/>
        <v>19.857142857142858</v>
      </c>
      <c r="AD157" s="67" t="str">
        <f t="shared" ca="1" si="61"/>
        <v>STABLE</v>
      </c>
      <c r="AE157" s="67" t="str">
        <f t="shared" si="62"/>
        <v>SLOW SELLING</v>
      </c>
      <c r="AF157" s="67" t="e">
        <f t="shared" si="63"/>
        <v>#DIV/0!</v>
      </c>
      <c r="AG157" s="67" t="str">
        <f t="shared" si="64"/>
        <v>FEASIBLE</v>
      </c>
      <c r="AH157" s="73" t="str">
        <f t="shared" ca="1" si="65"/>
        <v>MONITOR</v>
      </c>
    </row>
    <row r="158" spans="1:34" x14ac:dyDescent="0.35">
      <c r="A158" s="25" t="s">
        <v>172</v>
      </c>
      <c r="B158" s="10" t="s">
        <v>331</v>
      </c>
      <c r="C158" s="10" t="s">
        <v>342</v>
      </c>
      <c r="D158" s="10" t="s">
        <v>346</v>
      </c>
      <c r="E158" s="11">
        <v>45878</v>
      </c>
      <c r="F158" s="17">
        <v>45892</v>
      </c>
      <c r="G158" s="14">
        <f t="shared" ca="1" si="44"/>
        <v>207</v>
      </c>
      <c r="H158" s="17">
        <v>199</v>
      </c>
      <c r="I158" s="17">
        <v>135</v>
      </c>
      <c r="J158" s="53">
        <f t="shared" si="45"/>
        <v>1131</v>
      </c>
      <c r="K158" s="17">
        <v>1800</v>
      </c>
      <c r="L158" s="66">
        <v>669</v>
      </c>
      <c r="M158" s="52">
        <f t="shared" ca="1" si="46"/>
        <v>3.2318840579710146</v>
      </c>
      <c r="N158" s="50">
        <f t="shared" si="47"/>
        <v>0.80451009251471861</v>
      </c>
      <c r="O158" s="52">
        <f t="shared" si="48"/>
        <v>2.0396341463414633</v>
      </c>
      <c r="P158" s="56">
        <f t="shared" si="49"/>
        <v>167.25</v>
      </c>
      <c r="Q158" s="54">
        <f t="shared" si="50"/>
        <v>6.7623318385650224</v>
      </c>
      <c r="R158" s="55">
        <f t="shared" si="51"/>
        <v>32.1608040201005</v>
      </c>
      <c r="S158" s="55">
        <f t="shared" si="52"/>
        <v>37.166666666666664</v>
      </c>
      <c r="T158" s="13">
        <f t="shared" si="53"/>
        <v>3</v>
      </c>
      <c r="U158" s="13">
        <f t="shared" si="54"/>
        <v>1</v>
      </c>
      <c r="V158" s="13">
        <f t="shared" si="55"/>
        <v>1</v>
      </c>
      <c r="W158" s="13">
        <f t="shared" ca="1" si="56"/>
        <v>3</v>
      </c>
      <c r="X158" s="13">
        <f t="shared" ca="1" si="57"/>
        <v>8</v>
      </c>
      <c r="Y158" s="61" t="str">
        <f t="shared" ca="1" si="58"/>
        <v>MONITOR</v>
      </c>
      <c r="Z158" s="51">
        <v>14</v>
      </c>
      <c r="AA158" s="53">
        <v>46059</v>
      </c>
      <c r="AB158" s="53">
        <f t="shared" si="59"/>
        <v>45920</v>
      </c>
      <c r="AC158" s="72">
        <f t="shared" si="60"/>
        <v>19.857142857142858</v>
      </c>
      <c r="AD158" s="67" t="str">
        <f t="shared" ca="1" si="61"/>
        <v>STABLE</v>
      </c>
      <c r="AE158" s="67" t="str">
        <f t="shared" si="62"/>
        <v>FAST SELLING</v>
      </c>
      <c r="AF158" s="67" t="str">
        <f t="shared" si="63"/>
        <v>AT RISK</v>
      </c>
      <c r="AG158" s="67" t="str">
        <f t="shared" si="64"/>
        <v>FEASIBLE</v>
      </c>
      <c r="AH158" s="73" t="str">
        <f t="shared" ca="1" si="65"/>
        <v>MONITOR</v>
      </c>
    </row>
    <row r="159" spans="1:34" x14ac:dyDescent="0.35">
      <c r="A159" s="25" t="s">
        <v>173</v>
      </c>
      <c r="B159" s="10" t="s">
        <v>331</v>
      </c>
      <c r="C159" s="10" t="s">
        <v>342</v>
      </c>
      <c r="D159" s="10" t="s">
        <v>346</v>
      </c>
      <c r="E159" s="11">
        <v>45878</v>
      </c>
      <c r="F159" s="17">
        <v>45892</v>
      </c>
      <c r="G159" s="14">
        <f t="shared" ca="1" si="44"/>
        <v>207</v>
      </c>
      <c r="H159" s="17">
        <v>199</v>
      </c>
      <c r="I159" s="17">
        <v>135</v>
      </c>
      <c r="J159" s="53">
        <f t="shared" si="45"/>
        <v>1514</v>
      </c>
      <c r="K159" s="17">
        <v>2000</v>
      </c>
      <c r="L159" s="66">
        <v>486</v>
      </c>
      <c r="M159" s="52">
        <f t="shared" ca="1" si="46"/>
        <v>2.347826086956522</v>
      </c>
      <c r="N159" s="50">
        <f t="shared" si="47"/>
        <v>0.80451009251471861</v>
      </c>
      <c r="O159" s="52">
        <f t="shared" si="48"/>
        <v>1.4817073170731707</v>
      </c>
      <c r="P159" s="56">
        <f t="shared" si="49"/>
        <v>121.5</v>
      </c>
      <c r="Q159" s="54">
        <f t="shared" si="50"/>
        <v>12.460905349794238</v>
      </c>
      <c r="R159" s="55">
        <f t="shared" si="51"/>
        <v>32.1608040201005</v>
      </c>
      <c r="S159" s="55">
        <f t="shared" si="52"/>
        <v>24.3</v>
      </c>
      <c r="T159" s="13">
        <f t="shared" si="53"/>
        <v>3</v>
      </c>
      <c r="U159" s="13">
        <f t="shared" si="54"/>
        <v>1</v>
      </c>
      <c r="V159" s="13">
        <f t="shared" si="55"/>
        <v>1</v>
      </c>
      <c r="W159" s="13">
        <f t="shared" ca="1" si="56"/>
        <v>3</v>
      </c>
      <c r="X159" s="13">
        <f t="shared" ca="1" si="57"/>
        <v>8</v>
      </c>
      <c r="Y159" s="61" t="str">
        <f t="shared" ca="1" si="58"/>
        <v>MONITOR</v>
      </c>
      <c r="Z159" s="51">
        <v>14</v>
      </c>
      <c r="AA159" s="53">
        <v>46059</v>
      </c>
      <c r="AB159" s="53">
        <f t="shared" si="59"/>
        <v>45920</v>
      </c>
      <c r="AC159" s="72">
        <f t="shared" si="60"/>
        <v>19.857142857142858</v>
      </c>
      <c r="AD159" s="67" t="str">
        <f t="shared" ca="1" si="61"/>
        <v>STABLE</v>
      </c>
      <c r="AE159" s="67" t="str">
        <f t="shared" si="62"/>
        <v>FAST SELLING</v>
      </c>
      <c r="AF159" s="67" t="str">
        <f t="shared" si="63"/>
        <v>AT RISK</v>
      </c>
      <c r="AG159" s="67" t="str">
        <f t="shared" si="64"/>
        <v>FEASIBLE</v>
      </c>
      <c r="AH159" s="73" t="str">
        <f t="shared" ca="1" si="65"/>
        <v>MONITOR</v>
      </c>
    </row>
    <row r="160" spans="1:34" x14ac:dyDescent="0.35">
      <c r="A160" s="25" t="s">
        <v>174</v>
      </c>
      <c r="B160" s="10" t="s">
        <v>331</v>
      </c>
      <c r="C160" s="10" t="s">
        <v>342</v>
      </c>
      <c r="D160" s="10" t="s">
        <v>346</v>
      </c>
      <c r="E160" s="11">
        <v>45878</v>
      </c>
      <c r="F160" s="17">
        <v>45892</v>
      </c>
      <c r="G160" s="14">
        <f t="shared" ca="1" si="44"/>
        <v>207</v>
      </c>
      <c r="H160" s="17">
        <v>199</v>
      </c>
      <c r="I160" s="17">
        <v>135</v>
      </c>
      <c r="J160" s="53">
        <f t="shared" si="45"/>
        <v>1706</v>
      </c>
      <c r="K160" s="17">
        <v>1800</v>
      </c>
      <c r="L160" s="66">
        <v>94</v>
      </c>
      <c r="M160" s="52">
        <f t="shared" ca="1" si="46"/>
        <v>0.45410628019323673</v>
      </c>
      <c r="N160" s="50">
        <f t="shared" si="47"/>
        <v>0.80451009251471861</v>
      </c>
      <c r="O160" s="52">
        <f t="shared" si="48"/>
        <v>0.28658536585365851</v>
      </c>
      <c r="P160" s="56">
        <f t="shared" si="49"/>
        <v>23.499999999999996</v>
      </c>
      <c r="Q160" s="54">
        <f t="shared" si="50"/>
        <v>72.59574468085107</v>
      </c>
      <c r="R160" s="55">
        <f t="shared" si="51"/>
        <v>32.1608040201005</v>
      </c>
      <c r="S160" s="55">
        <f t="shared" si="52"/>
        <v>5.2222222222222223</v>
      </c>
      <c r="T160" s="13">
        <f t="shared" si="53"/>
        <v>1</v>
      </c>
      <c r="U160" s="13">
        <f t="shared" si="54"/>
        <v>1</v>
      </c>
      <c r="V160" s="13">
        <f t="shared" si="55"/>
        <v>1</v>
      </c>
      <c r="W160" s="13">
        <f t="shared" ca="1" si="56"/>
        <v>3</v>
      </c>
      <c r="X160" s="13">
        <f t="shared" ca="1" si="57"/>
        <v>6</v>
      </c>
      <c r="Y160" s="61" t="str">
        <f t="shared" ca="1" si="58"/>
        <v>MONITOR</v>
      </c>
      <c r="Z160" s="51">
        <v>14</v>
      </c>
      <c r="AA160" s="53">
        <v>46059</v>
      </c>
      <c r="AB160" s="53">
        <f t="shared" si="59"/>
        <v>45920</v>
      </c>
      <c r="AC160" s="72">
        <f t="shared" si="60"/>
        <v>19.857142857142858</v>
      </c>
      <c r="AD160" s="67" t="str">
        <f t="shared" ca="1" si="61"/>
        <v>STABLE</v>
      </c>
      <c r="AE160" s="67" t="str">
        <f t="shared" si="62"/>
        <v>SLOW SELLING</v>
      </c>
      <c r="AF160" s="67" t="str">
        <f t="shared" si="63"/>
        <v>AT RISK</v>
      </c>
      <c r="AG160" s="67" t="str">
        <f t="shared" si="64"/>
        <v>FEASIBLE</v>
      </c>
      <c r="AH160" s="73" t="str">
        <f t="shared" ca="1" si="65"/>
        <v>MONITOR</v>
      </c>
    </row>
    <row r="161" spans="1:34" x14ac:dyDescent="0.35">
      <c r="A161" s="25" t="s">
        <v>175</v>
      </c>
      <c r="B161" s="10" t="s">
        <v>331</v>
      </c>
      <c r="C161" s="10" t="s">
        <v>342</v>
      </c>
      <c r="D161" s="10" t="s">
        <v>346</v>
      </c>
      <c r="E161" s="11">
        <v>45878</v>
      </c>
      <c r="F161" s="17">
        <v>45892</v>
      </c>
      <c r="G161" s="14">
        <f t="shared" ca="1" si="44"/>
        <v>207</v>
      </c>
      <c r="H161" s="17">
        <v>199</v>
      </c>
      <c r="I161" s="17">
        <v>135</v>
      </c>
      <c r="J161" s="53">
        <f t="shared" si="45"/>
        <v>865</v>
      </c>
      <c r="K161" s="17">
        <v>1600</v>
      </c>
      <c r="L161" s="66">
        <v>735</v>
      </c>
      <c r="M161" s="52">
        <f t="shared" ca="1" si="46"/>
        <v>3.5507246376811592</v>
      </c>
      <c r="N161" s="50">
        <f t="shared" si="47"/>
        <v>0.80451009251471861</v>
      </c>
      <c r="O161" s="52">
        <f t="shared" si="48"/>
        <v>2.2408536585365852</v>
      </c>
      <c r="P161" s="56">
        <f t="shared" si="49"/>
        <v>183.75</v>
      </c>
      <c r="Q161" s="54">
        <f t="shared" si="50"/>
        <v>4.7074829931972788</v>
      </c>
      <c r="R161" s="55">
        <f t="shared" si="51"/>
        <v>32.1608040201005</v>
      </c>
      <c r="S161" s="55">
        <f t="shared" si="52"/>
        <v>45.9375</v>
      </c>
      <c r="T161" s="13">
        <f t="shared" si="53"/>
        <v>3</v>
      </c>
      <c r="U161" s="13">
        <f t="shared" si="54"/>
        <v>2</v>
      </c>
      <c r="V161" s="13">
        <f t="shared" si="55"/>
        <v>1</v>
      </c>
      <c r="W161" s="13">
        <f t="shared" ca="1" si="56"/>
        <v>3</v>
      </c>
      <c r="X161" s="13">
        <f t="shared" ca="1" si="57"/>
        <v>9</v>
      </c>
      <c r="Y161" s="61" t="str">
        <f t="shared" ca="1" si="58"/>
        <v>RE-BUY</v>
      </c>
      <c r="Z161" s="51">
        <v>14</v>
      </c>
      <c r="AA161" s="53">
        <v>46059</v>
      </c>
      <c r="AB161" s="53">
        <f t="shared" si="59"/>
        <v>45920</v>
      </c>
      <c r="AC161" s="72">
        <f t="shared" si="60"/>
        <v>19.857142857142858</v>
      </c>
      <c r="AD161" s="67" t="str">
        <f t="shared" ca="1" si="61"/>
        <v>STABLE</v>
      </c>
      <c r="AE161" s="67" t="str">
        <f t="shared" si="62"/>
        <v>FAST SELLING</v>
      </c>
      <c r="AF161" s="67" t="str">
        <f t="shared" si="63"/>
        <v>AT RISK</v>
      </c>
      <c r="AG161" s="67" t="str">
        <f t="shared" si="64"/>
        <v>FEASIBLE</v>
      </c>
      <c r="AH161" s="73" t="str">
        <f t="shared" ca="1" si="65"/>
        <v>IMMEDIATE REBUY</v>
      </c>
    </row>
    <row r="162" spans="1:34" x14ac:dyDescent="0.35">
      <c r="A162" s="25" t="s">
        <v>176</v>
      </c>
      <c r="B162" s="10" t="s">
        <v>331</v>
      </c>
      <c r="C162" s="10" t="s">
        <v>342</v>
      </c>
      <c r="D162" s="10" t="s">
        <v>346</v>
      </c>
      <c r="E162" s="11">
        <v>45948</v>
      </c>
      <c r="F162" s="17">
        <v>45892</v>
      </c>
      <c r="G162" s="14">
        <f t="shared" ca="1" si="44"/>
        <v>207</v>
      </c>
      <c r="H162" s="17">
        <v>199</v>
      </c>
      <c r="I162" s="17">
        <v>135</v>
      </c>
      <c r="J162" s="53">
        <f t="shared" si="45"/>
        <v>1482</v>
      </c>
      <c r="K162" s="17">
        <v>2000</v>
      </c>
      <c r="L162" s="66">
        <v>518</v>
      </c>
      <c r="M162" s="52">
        <f t="shared" ca="1" si="46"/>
        <v>2.5024154589371981</v>
      </c>
      <c r="N162" s="50">
        <f t="shared" si="47"/>
        <v>0.80451009251471861</v>
      </c>
      <c r="O162" s="52">
        <f t="shared" si="48"/>
        <v>1.5792682926829269</v>
      </c>
      <c r="P162" s="56">
        <f t="shared" si="49"/>
        <v>129.5</v>
      </c>
      <c r="Q162" s="54">
        <f t="shared" si="50"/>
        <v>11.444015444015443</v>
      </c>
      <c r="R162" s="55">
        <f t="shared" si="51"/>
        <v>32.1608040201005</v>
      </c>
      <c r="S162" s="55">
        <f t="shared" si="52"/>
        <v>25.900000000000002</v>
      </c>
      <c r="T162" s="13">
        <f t="shared" si="53"/>
        <v>3</v>
      </c>
      <c r="U162" s="13">
        <f t="shared" si="54"/>
        <v>1</v>
      </c>
      <c r="V162" s="13">
        <f t="shared" si="55"/>
        <v>1</v>
      </c>
      <c r="W162" s="13">
        <f t="shared" ca="1" si="56"/>
        <v>3</v>
      </c>
      <c r="X162" s="13">
        <f t="shared" ca="1" si="57"/>
        <v>8</v>
      </c>
      <c r="Y162" s="61" t="str">
        <f t="shared" ca="1" si="58"/>
        <v>MONITOR</v>
      </c>
      <c r="Z162" s="51">
        <v>14</v>
      </c>
      <c r="AA162" s="53">
        <v>46059</v>
      </c>
      <c r="AB162" s="53">
        <f t="shared" si="59"/>
        <v>45920</v>
      </c>
      <c r="AC162" s="72">
        <f t="shared" si="60"/>
        <v>19.857142857142858</v>
      </c>
      <c r="AD162" s="67" t="str">
        <f t="shared" ca="1" si="61"/>
        <v>STABLE</v>
      </c>
      <c r="AE162" s="67" t="str">
        <f t="shared" si="62"/>
        <v>FAST SELLING</v>
      </c>
      <c r="AF162" s="67" t="str">
        <f t="shared" si="63"/>
        <v>AT RISK</v>
      </c>
      <c r="AG162" s="67" t="str">
        <f t="shared" si="64"/>
        <v>FEASIBLE</v>
      </c>
      <c r="AH162" s="73" t="str">
        <f t="shared" ca="1" si="65"/>
        <v>MONITOR</v>
      </c>
    </row>
    <row r="163" spans="1:34" x14ac:dyDescent="0.35">
      <c r="A163" s="25" t="s">
        <v>177</v>
      </c>
      <c r="B163" s="10" t="s">
        <v>331</v>
      </c>
      <c r="C163" s="10" t="s">
        <v>342</v>
      </c>
      <c r="D163" s="10" t="s">
        <v>346</v>
      </c>
      <c r="E163" s="11">
        <v>45948</v>
      </c>
      <c r="F163" s="17">
        <v>45892</v>
      </c>
      <c r="G163" s="14">
        <f t="shared" ca="1" si="44"/>
        <v>207</v>
      </c>
      <c r="H163" s="17">
        <v>199</v>
      </c>
      <c r="I163" s="17">
        <v>135</v>
      </c>
      <c r="J163" s="53">
        <f t="shared" si="45"/>
        <v>1036</v>
      </c>
      <c r="K163" s="17">
        <v>1800</v>
      </c>
      <c r="L163" s="66">
        <v>764</v>
      </c>
      <c r="M163" s="52">
        <f t="shared" ca="1" si="46"/>
        <v>3.6908212560386473</v>
      </c>
      <c r="N163" s="50">
        <f t="shared" si="47"/>
        <v>0.80451009251471861</v>
      </c>
      <c r="O163" s="52">
        <f t="shared" si="48"/>
        <v>2.3292682926829267</v>
      </c>
      <c r="P163" s="56">
        <f t="shared" si="49"/>
        <v>191</v>
      </c>
      <c r="Q163" s="54">
        <f t="shared" si="50"/>
        <v>5.4240837696335076</v>
      </c>
      <c r="R163" s="55">
        <f t="shared" si="51"/>
        <v>32.1608040201005</v>
      </c>
      <c r="S163" s="55">
        <f t="shared" si="52"/>
        <v>42.444444444444443</v>
      </c>
      <c r="T163" s="13">
        <f t="shared" si="53"/>
        <v>3</v>
      </c>
      <c r="U163" s="13">
        <f t="shared" si="54"/>
        <v>2</v>
      </c>
      <c r="V163" s="13">
        <f t="shared" si="55"/>
        <v>1</v>
      </c>
      <c r="W163" s="13">
        <f t="shared" ca="1" si="56"/>
        <v>3</v>
      </c>
      <c r="X163" s="13">
        <f t="shared" ca="1" si="57"/>
        <v>9</v>
      </c>
      <c r="Y163" s="61" t="str">
        <f t="shared" ca="1" si="58"/>
        <v>RE-BUY</v>
      </c>
      <c r="Z163" s="51">
        <v>14</v>
      </c>
      <c r="AA163" s="53">
        <v>46059</v>
      </c>
      <c r="AB163" s="53">
        <f t="shared" si="59"/>
        <v>45920</v>
      </c>
      <c r="AC163" s="72">
        <f t="shared" si="60"/>
        <v>19.857142857142858</v>
      </c>
      <c r="AD163" s="67" t="str">
        <f t="shared" ca="1" si="61"/>
        <v>STABLE</v>
      </c>
      <c r="AE163" s="67" t="str">
        <f t="shared" si="62"/>
        <v>FAST SELLING</v>
      </c>
      <c r="AF163" s="67" t="str">
        <f t="shared" si="63"/>
        <v>AT RISK</v>
      </c>
      <c r="AG163" s="67" t="str">
        <f t="shared" si="64"/>
        <v>FEASIBLE</v>
      </c>
      <c r="AH163" s="73" t="str">
        <f t="shared" ca="1" si="65"/>
        <v>IMMEDIATE REBUY</v>
      </c>
    </row>
    <row r="164" spans="1:34" x14ac:dyDescent="0.35">
      <c r="A164" s="25" t="s">
        <v>178</v>
      </c>
      <c r="B164" s="10" t="s">
        <v>331</v>
      </c>
      <c r="C164" s="10" t="s">
        <v>342</v>
      </c>
      <c r="D164" s="10" t="s">
        <v>346</v>
      </c>
      <c r="E164" s="11">
        <v>45948</v>
      </c>
      <c r="F164" s="17">
        <v>45892</v>
      </c>
      <c r="G164" s="14">
        <f t="shared" ca="1" si="44"/>
        <v>207</v>
      </c>
      <c r="H164" s="17">
        <v>199</v>
      </c>
      <c r="I164" s="17">
        <v>135</v>
      </c>
      <c r="J164" s="53">
        <f t="shared" si="45"/>
        <v>934</v>
      </c>
      <c r="K164" s="17">
        <v>1600</v>
      </c>
      <c r="L164" s="66">
        <v>666</v>
      </c>
      <c r="M164" s="52">
        <f t="shared" ca="1" si="46"/>
        <v>3.2173913043478262</v>
      </c>
      <c r="N164" s="50">
        <f t="shared" si="47"/>
        <v>0.80451009251471861</v>
      </c>
      <c r="O164" s="52">
        <f t="shared" si="48"/>
        <v>2.0304878048780486</v>
      </c>
      <c r="P164" s="56">
        <f t="shared" si="49"/>
        <v>166.49999999999997</v>
      </c>
      <c r="Q164" s="54">
        <f t="shared" si="50"/>
        <v>5.6096096096096106</v>
      </c>
      <c r="R164" s="55">
        <f t="shared" si="51"/>
        <v>32.1608040201005</v>
      </c>
      <c r="S164" s="55">
        <f t="shared" si="52"/>
        <v>41.625</v>
      </c>
      <c r="T164" s="13">
        <f t="shared" si="53"/>
        <v>3</v>
      </c>
      <c r="U164" s="13">
        <f t="shared" si="54"/>
        <v>2</v>
      </c>
      <c r="V164" s="13">
        <f t="shared" si="55"/>
        <v>1</v>
      </c>
      <c r="W164" s="13">
        <f t="shared" ca="1" si="56"/>
        <v>3</v>
      </c>
      <c r="X164" s="13">
        <f t="shared" ca="1" si="57"/>
        <v>9</v>
      </c>
      <c r="Y164" s="61" t="str">
        <f t="shared" ca="1" si="58"/>
        <v>RE-BUY</v>
      </c>
      <c r="Z164" s="51">
        <v>14</v>
      </c>
      <c r="AA164" s="53">
        <v>46059</v>
      </c>
      <c r="AB164" s="53">
        <f t="shared" si="59"/>
        <v>45920</v>
      </c>
      <c r="AC164" s="72">
        <f t="shared" si="60"/>
        <v>19.857142857142858</v>
      </c>
      <c r="AD164" s="67" t="str">
        <f t="shared" ca="1" si="61"/>
        <v>STABLE</v>
      </c>
      <c r="AE164" s="67" t="str">
        <f t="shared" si="62"/>
        <v>FAST SELLING</v>
      </c>
      <c r="AF164" s="67" t="str">
        <f t="shared" si="63"/>
        <v>AT RISK</v>
      </c>
      <c r="AG164" s="67" t="str">
        <f t="shared" si="64"/>
        <v>FEASIBLE</v>
      </c>
      <c r="AH164" s="73" t="str">
        <f t="shared" ca="1" si="65"/>
        <v>IMMEDIATE REBUY</v>
      </c>
    </row>
    <row r="165" spans="1:34" x14ac:dyDescent="0.35">
      <c r="A165" s="25" t="s">
        <v>179</v>
      </c>
      <c r="B165" s="10" t="s">
        <v>331</v>
      </c>
      <c r="C165" s="10" t="s">
        <v>342</v>
      </c>
      <c r="D165" s="10" t="s">
        <v>346</v>
      </c>
      <c r="E165" s="11">
        <v>45948</v>
      </c>
      <c r="F165" s="17">
        <v>45892</v>
      </c>
      <c r="G165" s="14">
        <f t="shared" ca="1" si="44"/>
        <v>207</v>
      </c>
      <c r="H165" s="17">
        <v>199</v>
      </c>
      <c r="I165" s="17">
        <v>135</v>
      </c>
      <c r="J165" s="53">
        <f t="shared" si="45"/>
        <v>1158</v>
      </c>
      <c r="K165" s="17">
        <v>1800</v>
      </c>
      <c r="L165" s="66">
        <v>642</v>
      </c>
      <c r="M165" s="52">
        <f t="shared" ca="1" si="46"/>
        <v>3.1014492753623188</v>
      </c>
      <c r="N165" s="50">
        <f t="shared" si="47"/>
        <v>0.80451009251471861</v>
      </c>
      <c r="O165" s="52">
        <f t="shared" si="48"/>
        <v>1.9573170731707317</v>
      </c>
      <c r="P165" s="56">
        <f t="shared" si="49"/>
        <v>160.5</v>
      </c>
      <c r="Q165" s="54">
        <f t="shared" si="50"/>
        <v>7.2149532710280377</v>
      </c>
      <c r="R165" s="55">
        <f t="shared" si="51"/>
        <v>32.1608040201005</v>
      </c>
      <c r="S165" s="55">
        <f t="shared" si="52"/>
        <v>35.666666666666671</v>
      </c>
      <c r="T165" s="13">
        <f t="shared" si="53"/>
        <v>3</v>
      </c>
      <c r="U165" s="13">
        <f t="shared" si="54"/>
        <v>1</v>
      </c>
      <c r="V165" s="13">
        <f t="shared" si="55"/>
        <v>1</v>
      </c>
      <c r="W165" s="13">
        <f t="shared" ca="1" si="56"/>
        <v>3</v>
      </c>
      <c r="X165" s="13">
        <f t="shared" ca="1" si="57"/>
        <v>8</v>
      </c>
      <c r="Y165" s="61" t="str">
        <f t="shared" ca="1" si="58"/>
        <v>MONITOR</v>
      </c>
      <c r="Z165" s="51">
        <v>14</v>
      </c>
      <c r="AA165" s="53">
        <v>46059</v>
      </c>
      <c r="AB165" s="53">
        <f t="shared" si="59"/>
        <v>45920</v>
      </c>
      <c r="AC165" s="72">
        <f t="shared" si="60"/>
        <v>19.857142857142858</v>
      </c>
      <c r="AD165" s="67" t="str">
        <f t="shared" ca="1" si="61"/>
        <v>STABLE</v>
      </c>
      <c r="AE165" s="67" t="str">
        <f t="shared" si="62"/>
        <v>FAST SELLING</v>
      </c>
      <c r="AF165" s="67" t="str">
        <f t="shared" si="63"/>
        <v>AT RISK</v>
      </c>
      <c r="AG165" s="67" t="str">
        <f t="shared" si="64"/>
        <v>FEASIBLE</v>
      </c>
      <c r="AH165" s="73" t="str">
        <f t="shared" ca="1" si="65"/>
        <v>MONITOR</v>
      </c>
    </row>
    <row r="166" spans="1:34" x14ac:dyDescent="0.35">
      <c r="A166" s="25" t="s">
        <v>180</v>
      </c>
      <c r="B166" s="10" t="s">
        <v>331</v>
      </c>
      <c r="C166" s="10" t="s">
        <v>342</v>
      </c>
      <c r="D166" s="10" t="s">
        <v>346</v>
      </c>
      <c r="E166" s="11">
        <v>45976</v>
      </c>
      <c r="F166" s="17">
        <v>45892</v>
      </c>
      <c r="G166" s="14">
        <f t="shared" ca="1" si="44"/>
        <v>207</v>
      </c>
      <c r="H166" s="17">
        <v>199</v>
      </c>
      <c r="I166" s="17">
        <v>135</v>
      </c>
      <c r="J166" s="53">
        <f t="shared" si="45"/>
        <v>1567</v>
      </c>
      <c r="K166" s="17">
        <v>1600</v>
      </c>
      <c r="L166" s="66">
        <v>33</v>
      </c>
      <c r="M166" s="52">
        <f t="shared" ca="1" si="46"/>
        <v>0.15942028985507245</v>
      </c>
      <c r="N166" s="50">
        <f t="shared" si="47"/>
        <v>0.80451009251471861</v>
      </c>
      <c r="O166" s="52">
        <f t="shared" si="48"/>
        <v>0.10060975609756098</v>
      </c>
      <c r="P166" s="56">
        <f t="shared" si="49"/>
        <v>8.25</v>
      </c>
      <c r="Q166" s="54">
        <f t="shared" si="50"/>
        <v>189.93939393939394</v>
      </c>
      <c r="R166" s="55">
        <f t="shared" si="51"/>
        <v>32.1608040201005</v>
      </c>
      <c r="S166" s="55">
        <f t="shared" si="52"/>
        <v>2.0625</v>
      </c>
      <c r="T166" s="13">
        <f t="shared" si="53"/>
        <v>1</v>
      </c>
      <c r="U166" s="13">
        <f t="shared" si="54"/>
        <v>1</v>
      </c>
      <c r="V166" s="13">
        <f t="shared" si="55"/>
        <v>1</v>
      </c>
      <c r="W166" s="13">
        <f t="shared" ca="1" si="56"/>
        <v>3</v>
      </c>
      <c r="X166" s="13">
        <f t="shared" ca="1" si="57"/>
        <v>6</v>
      </c>
      <c r="Y166" s="61" t="str">
        <f t="shared" ca="1" si="58"/>
        <v>MONITOR</v>
      </c>
      <c r="Z166" s="51">
        <v>14</v>
      </c>
      <c r="AA166" s="53">
        <v>46059</v>
      </c>
      <c r="AB166" s="53">
        <f t="shared" si="59"/>
        <v>45920</v>
      </c>
      <c r="AC166" s="72">
        <f t="shared" si="60"/>
        <v>19.857142857142858</v>
      </c>
      <c r="AD166" s="67" t="str">
        <f t="shared" ca="1" si="61"/>
        <v>STABLE</v>
      </c>
      <c r="AE166" s="67" t="str">
        <f t="shared" si="62"/>
        <v>SLOW SELLING</v>
      </c>
      <c r="AF166" s="67" t="str">
        <f t="shared" si="63"/>
        <v>AT RISK</v>
      </c>
      <c r="AG166" s="67" t="str">
        <f t="shared" si="64"/>
        <v>FEASIBLE</v>
      </c>
      <c r="AH166" s="73" t="str">
        <f t="shared" ca="1" si="65"/>
        <v>MONITOR</v>
      </c>
    </row>
    <row r="167" spans="1:34" x14ac:dyDescent="0.35">
      <c r="A167" s="25" t="s">
        <v>181</v>
      </c>
      <c r="B167" s="10" t="s">
        <v>331</v>
      </c>
      <c r="C167" s="10" t="s">
        <v>342</v>
      </c>
      <c r="D167" s="10" t="s">
        <v>346</v>
      </c>
      <c r="E167" s="11">
        <v>45976</v>
      </c>
      <c r="F167" s="17">
        <v>45892</v>
      </c>
      <c r="G167" s="14">
        <f t="shared" ca="1" si="44"/>
        <v>207</v>
      </c>
      <c r="H167" s="17">
        <v>199</v>
      </c>
      <c r="I167" s="17">
        <v>135</v>
      </c>
      <c r="J167" s="53">
        <f t="shared" si="45"/>
        <v>1332</v>
      </c>
      <c r="K167" s="17">
        <v>2000</v>
      </c>
      <c r="L167" s="66">
        <v>668</v>
      </c>
      <c r="M167" s="52">
        <f t="shared" ca="1" si="46"/>
        <v>3.2270531400966185</v>
      </c>
      <c r="N167" s="50">
        <f t="shared" si="47"/>
        <v>0.80451009251471861</v>
      </c>
      <c r="O167" s="52">
        <f t="shared" si="48"/>
        <v>2.0365853658536586</v>
      </c>
      <c r="P167" s="56">
        <f t="shared" si="49"/>
        <v>167</v>
      </c>
      <c r="Q167" s="54">
        <f t="shared" si="50"/>
        <v>7.976047904191617</v>
      </c>
      <c r="R167" s="55">
        <f t="shared" si="51"/>
        <v>32.1608040201005</v>
      </c>
      <c r="S167" s="55">
        <f t="shared" si="52"/>
        <v>33.4</v>
      </c>
      <c r="T167" s="13">
        <f t="shared" si="53"/>
        <v>3</v>
      </c>
      <c r="U167" s="13">
        <f t="shared" si="54"/>
        <v>1</v>
      </c>
      <c r="V167" s="13">
        <f t="shared" si="55"/>
        <v>1</v>
      </c>
      <c r="W167" s="13">
        <f t="shared" ca="1" si="56"/>
        <v>3</v>
      </c>
      <c r="X167" s="13">
        <f t="shared" ca="1" si="57"/>
        <v>8</v>
      </c>
      <c r="Y167" s="61" t="str">
        <f t="shared" ca="1" si="58"/>
        <v>MONITOR</v>
      </c>
      <c r="Z167" s="51">
        <v>14</v>
      </c>
      <c r="AA167" s="53">
        <v>46059</v>
      </c>
      <c r="AB167" s="53">
        <f t="shared" si="59"/>
        <v>45920</v>
      </c>
      <c r="AC167" s="72">
        <f t="shared" si="60"/>
        <v>19.857142857142858</v>
      </c>
      <c r="AD167" s="67" t="str">
        <f t="shared" ca="1" si="61"/>
        <v>STABLE</v>
      </c>
      <c r="AE167" s="67" t="str">
        <f t="shared" si="62"/>
        <v>FAST SELLING</v>
      </c>
      <c r="AF167" s="67" t="str">
        <f t="shared" si="63"/>
        <v>AT RISK</v>
      </c>
      <c r="AG167" s="67" t="str">
        <f t="shared" si="64"/>
        <v>FEASIBLE</v>
      </c>
      <c r="AH167" s="73" t="str">
        <f t="shared" ca="1" si="65"/>
        <v>MONITOR</v>
      </c>
    </row>
    <row r="168" spans="1:34" x14ac:dyDescent="0.35">
      <c r="A168" s="25" t="s">
        <v>182</v>
      </c>
      <c r="B168" s="10" t="s">
        <v>331</v>
      </c>
      <c r="C168" s="10" t="s">
        <v>342</v>
      </c>
      <c r="D168" s="10" t="s">
        <v>346</v>
      </c>
      <c r="E168" s="11">
        <v>45976</v>
      </c>
      <c r="F168" s="17">
        <v>45892</v>
      </c>
      <c r="G168" s="14">
        <f t="shared" ca="1" si="44"/>
        <v>207</v>
      </c>
      <c r="H168" s="17">
        <v>199</v>
      </c>
      <c r="I168" s="17">
        <v>135</v>
      </c>
      <c r="J168" s="53">
        <f t="shared" si="45"/>
        <v>1308</v>
      </c>
      <c r="K168" s="17">
        <v>2000</v>
      </c>
      <c r="L168" s="66">
        <v>692</v>
      </c>
      <c r="M168" s="52">
        <f t="shared" ca="1" si="46"/>
        <v>3.3429951690821258</v>
      </c>
      <c r="N168" s="50">
        <f t="shared" si="47"/>
        <v>0.80451009251471861</v>
      </c>
      <c r="O168" s="52">
        <f t="shared" si="48"/>
        <v>2.1097560975609757</v>
      </c>
      <c r="P168" s="56">
        <f t="shared" si="49"/>
        <v>173</v>
      </c>
      <c r="Q168" s="54">
        <f t="shared" si="50"/>
        <v>7.5606936416184976</v>
      </c>
      <c r="R168" s="55">
        <f t="shared" si="51"/>
        <v>32.1608040201005</v>
      </c>
      <c r="S168" s="55">
        <f t="shared" si="52"/>
        <v>34.599999999999994</v>
      </c>
      <c r="T168" s="13">
        <f t="shared" si="53"/>
        <v>3</v>
      </c>
      <c r="U168" s="13">
        <f t="shared" si="54"/>
        <v>1</v>
      </c>
      <c r="V168" s="13">
        <f t="shared" si="55"/>
        <v>1</v>
      </c>
      <c r="W168" s="13">
        <f t="shared" ca="1" si="56"/>
        <v>3</v>
      </c>
      <c r="X168" s="13">
        <f t="shared" ca="1" si="57"/>
        <v>8</v>
      </c>
      <c r="Y168" s="61" t="str">
        <f t="shared" ca="1" si="58"/>
        <v>MONITOR</v>
      </c>
      <c r="Z168" s="51">
        <v>14</v>
      </c>
      <c r="AA168" s="53">
        <v>46059</v>
      </c>
      <c r="AB168" s="53">
        <f t="shared" si="59"/>
        <v>45920</v>
      </c>
      <c r="AC168" s="72">
        <f t="shared" si="60"/>
        <v>19.857142857142858</v>
      </c>
      <c r="AD168" s="67" t="str">
        <f t="shared" ca="1" si="61"/>
        <v>STABLE</v>
      </c>
      <c r="AE168" s="67" t="str">
        <f t="shared" si="62"/>
        <v>FAST SELLING</v>
      </c>
      <c r="AF168" s="67" t="str">
        <f t="shared" si="63"/>
        <v>AT RISK</v>
      </c>
      <c r="AG168" s="67" t="str">
        <f t="shared" si="64"/>
        <v>FEASIBLE</v>
      </c>
      <c r="AH168" s="73" t="str">
        <f t="shared" ca="1" si="65"/>
        <v>MONITOR</v>
      </c>
    </row>
    <row r="169" spans="1:34" x14ac:dyDescent="0.35">
      <c r="A169" s="25" t="s">
        <v>183</v>
      </c>
      <c r="B169" s="10" t="s">
        <v>331</v>
      </c>
      <c r="C169" s="10" t="s">
        <v>342</v>
      </c>
      <c r="D169" s="10" t="s">
        <v>346</v>
      </c>
      <c r="E169" s="11">
        <v>45976</v>
      </c>
      <c r="F169" s="17">
        <v>45892</v>
      </c>
      <c r="G169" s="14">
        <f t="shared" ca="1" si="44"/>
        <v>207</v>
      </c>
      <c r="H169" s="17">
        <v>199</v>
      </c>
      <c r="I169" s="17">
        <v>135</v>
      </c>
      <c r="J169" s="53">
        <f t="shared" si="45"/>
        <v>1042</v>
      </c>
      <c r="K169" s="17">
        <v>1800</v>
      </c>
      <c r="L169" s="66">
        <v>758</v>
      </c>
      <c r="M169" s="52">
        <f t="shared" ca="1" si="46"/>
        <v>3.6618357487922704</v>
      </c>
      <c r="N169" s="50">
        <f t="shared" si="47"/>
        <v>0.80451009251471861</v>
      </c>
      <c r="O169" s="52">
        <f t="shared" si="48"/>
        <v>2.3109756097560976</v>
      </c>
      <c r="P169" s="56">
        <f t="shared" si="49"/>
        <v>189.5</v>
      </c>
      <c r="Q169" s="54">
        <f t="shared" si="50"/>
        <v>5.4986807387862795</v>
      </c>
      <c r="R169" s="55">
        <f t="shared" si="51"/>
        <v>32.1608040201005</v>
      </c>
      <c r="S169" s="55">
        <f t="shared" si="52"/>
        <v>42.111111111111107</v>
      </c>
      <c r="T169" s="13">
        <f t="shared" si="53"/>
        <v>3</v>
      </c>
      <c r="U169" s="13">
        <f t="shared" si="54"/>
        <v>2</v>
      </c>
      <c r="V169" s="13">
        <f t="shared" si="55"/>
        <v>1</v>
      </c>
      <c r="W169" s="13">
        <f t="shared" ca="1" si="56"/>
        <v>3</v>
      </c>
      <c r="X169" s="13">
        <f t="shared" ca="1" si="57"/>
        <v>9</v>
      </c>
      <c r="Y169" s="61" t="str">
        <f t="shared" ca="1" si="58"/>
        <v>RE-BUY</v>
      </c>
      <c r="Z169" s="51">
        <v>14</v>
      </c>
      <c r="AA169" s="53">
        <v>46059</v>
      </c>
      <c r="AB169" s="53">
        <f t="shared" si="59"/>
        <v>45920</v>
      </c>
      <c r="AC169" s="72">
        <f t="shared" si="60"/>
        <v>19.857142857142858</v>
      </c>
      <c r="AD169" s="67" t="str">
        <f t="shared" ca="1" si="61"/>
        <v>STABLE</v>
      </c>
      <c r="AE169" s="67" t="str">
        <f t="shared" si="62"/>
        <v>FAST SELLING</v>
      </c>
      <c r="AF169" s="67" t="str">
        <f t="shared" si="63"/>
        <v>AT RISK</v>
      </c>
      <c r="AG169" s="67" t="str">
        <f t="shared" si="64"/>
        <v>FEASIBLE</v>
      </c>
      <c r="AH169" s="73" t="str">
        <f t="shared" ca="1" si="65"/>
        <v>IMMEDIATE REBUY</v>
      </c>
    </row>
    <row r="170" spans="1:34" x14ac:dyDescent="0.35">
      <c r="A170" s="25" t="s">
        <v>184</v>
      </c>
      <c r="B170" s="10" t="s">
        <v>330</v>
      </c>
      <c r="C170" s="10" t="s">
        <v>342</v>
      </c>
      <c r="D170" s="10" t="s">
        <v>346</v>
      </c>
      <c r="E170" s="11">
        <v>45906</v>
      </c>
      <c r="F170" s="17">
        <v>45892</v>
      </c>
      <c r="G170" s="14">
        <f t="shared" ca="1" si="44"/>
        <v>207</v>
      </c>
      <c r="H170" s="17">
        <v>199</v>
      </c>
      <c r="I170" s="17">
        <v>135</v>
      </c>
      <c r="J170" s="53">
        <f t="shared" si="45"/>
        <v>991</v>
      </c>
      <c r="K170" s="17">
        <v>1800</v>
      </c>
      <c r="L170" s="66">
        <v>809</v>
      </c>
      <c r="M170" s="52">
        <f t="shared" ca="1" si="46"/>
        <v>3.9082125603864735</v>
      </c>
      <c r="N170" s="50">
        <f t="shared" si="47"/>
        <v>0.80451009251471861</v>
      </c>
      <c r="O170" s="52">
        <f t="shared" si="48"/>
        <v>2.4664634146341462</v>
      </c>
      <c r="P170" s="56">
        <f t="shared" si="49"/>
        <v>202.25</v>
      </c>
      <c r="Q170" s="54">
        <f t="shared" si="50"/>
        <v>4.8998763906056864</v>
      </c>
      <c r="R170" s="55">
        <f t="shared" si="51"/>
        <v>32.1608040201005</v>
      </c>
      <c r="S170" s="55">
        <f t="shared" si="52"/>
        <v>44.944444444444443</v>
      </c>
      <c r="T170" s="13">
        <f t="shared" si="53"/>
        <v>3</v>
      </c>
      <c r="U170" s="13">
        <f t="shared" si="54"/>
        <v>2</v>
      </c>
      <c r="V170" s="13">
        <f t="shared" si="55"/>
        <v>1</v>
      </c>
      <c r="W170" s="13">
        <f t="shared" ca="1" si="56"/>
        <v>3</v>
      </c>
      <c r="X170" s="13">
        <f t="shared" ca="1" si="57"/>
        <v>9</v>
      </c>
      <c r="Y170" s="61" t="str">
        <f t="shared" ca="1" si="58"/>
        <v>RE-BUY</v>
      </c>
      <c r="Z170" s="51">
        <v>14</v>
      </c>
      <c r="AA170" s="53">
        <v>46059</v>
      </c>
      <c r="AB170" s="53">
        <f t="shared" si="59"/>
        <v>45920</v>
      </c>
      <c r="AC170" s="72">
        <f t="shared" si="60"/>
        <v>19.857142857142858</v>
      </c>
      <c r="AD170" s="67" t="str">
        <f t="shared" ca="1" si="61"/>
        <v>STABLE</v>
      </c>
      <c r="AE170" s="67" t="str">
        <f t="shared" si="62"/>
        <v>FAST SELLING</v>
      </c>
      <c r="AF170" s="67" t="str">
        <f t="shared" si="63"/>
        <v>AT RISK</v>
      </c>
      <c r="AG170" s="67" t="str">
        <f t="shared" si="64"/>
        <v>FEASIBLE</v>
      </c>
      <c r="AH170" s="73" t="str">
        <f t="shared" ca="1" si="65"/>
        <v>IMMEDIATE REBUY</v>
      </c>
    </row>
    <row r="171" spans="1:34" x14ac:dyDescent="0.35">
      <c r="A171" s="25" t="s">
        <v>185</v>
      </c>
      <c r="B171" s="10" t="s">
        <v>330</v>
      </c>
      <c r="C171" s="10" t="s">
        <v>342</v>
      </c>
      <c r="D171" s="10" t="s">
        <v>346</v>
      </c>
      <c r="E171" s="11">
        <v>45906</v>
      </c>
      <c r="F171" s="17">
        <v>45892</v>
      </c>
      <c r="G171" s="14">
        <f t="shared" ca="1" si="44"/>
        <v>207</v>
      </c>
      <c r="H171" s="17">
        <v>199</v>
      </c>
      <c r="I171" s="17">
        <v>135</v>
      </c>
      <c r="J171" s="53">
        <f t="shared" si="45"/>
        <v>1310</v>
      </c>
      <c r="K171" s="17">
        <v>1800</v>
      </c>
      <c r="L171" s="66">
        <v>490</v>
      </c>
      <c r="M171" s="52">
        <f t="shared" ca="1" si="46"/>
        <v>2.3671497584541061</v>
      </c>
      <c r="N171" s="50">
        <f t="shared" si="47"/>
        <v>0.80451009251471861</v>
      </c>
      <c r="O171" s="52">
        <f t="shared" si="48"/>
        <v>1.4939024390243902</v>
      </c>
      <c r="P171" s="56">
        <f t="shared" si="49"/>
        <v>122.5</v>
      </c>
      <c r="Q171" s="54">
        <f t="shared" si="50"/>
        <v>10.693877551020408</v>
      </c>
      <c r="R171" s="55">
        <f t="shared" si="51"/>
        <v>32.1608040201005</v>
      </c>
      <c r="S171" s="55">
        <f t="shared" si="52"/>
        <v>27.222222222222221</v>
      </c>
      <c r="T171" s="13">
        <f t="shared" si="53"/>
        <v>3</v>
      </c>
      <c r="U171" s="13">
        <f t="shared" si="54"/>
        <v>1</v>
      </c>
      <c r="V171" s="13">
        <f t="shared" si="55"/>
        <v>1</v>
      </c>
      <c r="W171" s="13">
        <f t="shared" ca="1" si="56"/>
        <v>3</v>
      </c>
      <c r="X171" s="13">
        <f t="shared" ca="1" si="57"/>
        <v>8</v>
      </c>
      <c r="Y171" s="61" t="str">
        <f t="shared" ca="1" si="58"/>
        <v>MONITOR</v>
      </c>
      <c r="Z171" s="51">
        <v>14</v>
      </c>
      <c r="AA171" s="53">
        <v>46059</v>
      </c>
      <c r="AB171" s="53">
        <f t="shared" si="59"/>
        <v>45920</v>
      </c>
      <c r="AC171" s="72">
        <f t="shared" si="60"/>
        <v>19.857142857142858</v>
      </c>
      <c r="AD171" s="67" t="str">
        <f t="shared" ca="1" si="61"/>
        <v>STABLE</v>
      </c>
      <c r="AE171" s="67" t="str">
        <f t="shared" si="62"/>
        <v>FAST SELLING</v>
      </c>
      <c r="AF171" s="67" t="str">
        <f t="shared" si="63"/>
        <v>AT RISK</v>
      </c>
      <c r="AG171" s="67" t="str">
        <f t="shared" si="64"/>
        <v>FEASIBLE</v>
      </c>
      <c r="AH171" s="73" t="str">
        <f t="shared" ca="1" si="65"/>
        <v>MONITOR</v>
      </c>
    </row>
    <row r="172" spans="1:34" x14ac:dyDescent="0.35">
      <c r="A172" s="25" t="s">
        <v>186</v>
      </c>
      <c r="B172" s="10" t="s">
        <v>330</v>
      </c>
      <c r="C172" s="10" t="s">
        <v>342</v>
      </c>
      <c r="D172" s="10" t="s">
        <v>346</v>
      </c>
      <c r="E172" s="11">
        <v>45906</v>
      </c>
      <c r="F172" s="17">
        <v>45892</v>
      </c>
      <c r="G172" s="14">
        <f t="shared" ca="1" si="44"/>
        <v>207</v>
      </c>
      <c r="H172" s="17">
        <v>199</v>
      </c>
      <c r="I172" s="17">
        <v>135</v>
      </c>
      <c r="J172" s="53">
        <f t="shared" si="45"/>
        <v>1098</v>
      </c>
      <c r="K172" s="17">
        <v>1600</v>
      </c>
      <c r="L172" s="66">
        <v>502</v>
      </c>
      <c r="M172" s="52">
        <f t="shared" ca="1" si="46"/>
        <v>2.42512077294686</v>
      </c>
      <c r="N172" s="50">
        <f t="shared" si="47"/>
        <v>0.80451009251471861</v>
      </c>
      <c r="O172" s="52">
        <f t="shared" si="48"/>
        <v>1.5304878048780488</v>
      </c>
      <c r="P172" s="56">
        <f t="shared" si="49"/>
        <v>125.5</v>
      </c>
      <c r="Q172" s="54">
        <f t="shared" si="50"/>
        <v>8.7490039840637444</v>
      </c>
      <c r="R172" s="55">
        <f t="shared" si="51"/>
        <v>32.1608040201005</v>
      </c>
      <c r="S172" s="55">
        <f t="shared" si="52"/>
        <v>31.374999999999996</v>
      </c>
      <c r="T172" s="13">
        <f t="shared" si="53"/>
        <v>3</v>
      </c>
      <c r="U172" s="13">
        <f t="shared" si="54"/>
        <v>1</v>
      </c>
      <c r="V172" s="13">
        <f t="shared" si="55"/>
        <v>1</v>
      </c>
      <c r="W172" s="13">
        <f t="shared" ca="1" si="56"/>
        <v>3</v>
      </c>
      <c r="X172" s="13">
        <f t="shared" ca="1" si="57"/>
        <v>8</v>
      </c>
      <c r="Y172" s="61" t="str">
        <f t="shared" ca="1" si="58"/>
        <v>MONITOR</v>
      </c>
      <c r="Z172" s="51">
        <v>14</v>
      </c>
      <c r="AA172" s="53">
        <v>46059</v>
      </c>
      <c r="AB172" s="53">
        <f t="shared" si="59"/>
        <v>45920</v>
      </c>
      <c r="AC172" s="72">
        <f t="shared" si="60"/>
        <v>19.857142857142858</v>
      </c>
      <c r="AD172" s="67" t="str">
        <f t="shared" ca="1" si="61"/>
        <v>STABLE</v>
      </c>
      <c r="AE172" s="67" t="str">
        <f t="shared" si="62"/>
        <v>FAST SELLING</v>
      </c>
      <c r="AF172" s="67" t="str">
        <f t="shared" si="63"/>
        <v>AT RISK</v>
      </c>
      <c r="AG172" s="67" t="str">
        <f t="shared" si="64"/>
        <v>FEASIBLE</v>
      </c>
      <c r="AH172" s="73" t="str">
        <f t="shared" ca="1" si="65"/>
        <v>MONITOR</v>
      </c>
    </row>
    <row r="173" spans="1:34" x14ac:dyDescent="0.35">
      <c r="A173" s="25" t="s">
        <v>187</v>
      </c>
      <c r="B173" s="10" t="s">
        <v>330</v>
      </c>
      <c r="C173" s="10" t="s">
        <v>342</v>
      </c>
      <c r="D173" s="10" t="s">
        <v>346</v>
      </c>
      <c r="E173" s="11">
        <v>45906</v>
      </c>
      <c r="F173" s="17">
        <v>45892</v>
      </c>
      <c r="G173" s="14">
        <f t="shared" ca="1" si="44"/>
        <v>207</v>
      </c>
      <c r="H173" s="17">
        <v>199</v>
      </c>
      <c r="I173" s="17">
        <v>135</v>
      </c>
      <c r="J173" s="53">
        <f t="shared" si="45"/>
        <v>1321</v>
      </c>
      <c r="K173" s="17">
        <v>2000</v>
      </c>
      <c r="L173" s="66">
        <v>679</v>
      </c>
      <c r="M173" s="52">
        <f t="shared" ca="1" si="46"/>
        <v>3.2801932367149758</v>
      </c>
      <c r="N173" s="50">
        <f t="shared" si="47"/>
        <v>0.80451009251471861</v>
      </c>
      <c r="O173" s="52">
        <f t="shared" si="48"/>
        <v>2.0701219512195124</v>
      </c>
      <c r="P173" s="56">
        <f t="shared" si="49"/>
        <v>169.75</v>
      </c>
      <c r="Q173" s="54">
        <f t="shared" si="50"/>
        <v>7.7820324005891015</v>
      </c>
      <c r="R173" s="55">
        <f t="shared" si="51"/>
        <v>32.1608040201005</v>
      </c>
      <c r="S173" s="55">
        <f t="shared" si="52"/>
        <v>33.950000000000003</v>
      </c>
      <c r="T173" s="13">
        <f t="shared" si="53"/>
        <v>3</v>
      </c>
      <c r="U173" s="13">
        <f t="shared" si="54"/>
        <v>1</v>
      </c>
      <c r="V173" s="13">
        <f t="shared" si="55"/>
        <v>1</v>
      </c>
      <c r="W173" s="13">
        <f t="shared" ca="1" si="56"/>
        <v>3</v>
      </c>
      <c r="X173" s="13">
        <f t="shared" ca="1" si="57"/>
        <v>8</v>
      </c>
      <c r="Y173" s="61" t="str">
        <f t="shared" ca="1" si="58"/>
        <v>MONITOR</v>
      </c>
      <c r="Z173" s="51">
        <v>14</v>
      </c>
      <c r="AA173" s="53">
        <v>46059</v>
      </c>
      <c r="AB173" s="53">
        <f t="shared" si="59"/>
        <v>45920</v>
      </c>
      <c r="AC173" s="72">
        <f t="shared" si="60"/>
        <v>19.857142857142858</v>
      </c>
      <c r="AD173" s="67" t="str">
        <f t="shared" ca="1" si="61"/>
        <v>STABLE</v>
      </c>
      <c r="AE173" s="67" t="str">
        <f t="shared" si="62"/>
        <v>FAST SELLING</v>
      </c>
      <c r="AF173" s="67" t="str">
        <f t="shared" si="63"/>
        <v>AT RISK</v>
      </c>
      <c r="AG173" s="67" t="str">
        <f t="shared" si="64"/>
        <v>FEASIBLE</v>
      </c>
      <c r="AH173" s="73" t="str">
        <f t="shared" ca="1" si="65"/>
        <v>MONITOR</v>
      </c>
    </row>
    <row r="174" spans="1:34" x14ac:dyDescent="0.35">
      <c r="A174" s="25" t="s">
        <v>188</v>
      </c>
      <c r="B174" s="10" t="s">
        <v>330</v>
      </c>
      <c r="C174" s="10" t="s">
        <v>342</v>
      </c>
      <c r="D174" s="10" t="s">
        <v>346</v>
      </c>
      <c r="E174" s="11">
        <v>45906</v>
      </c>
      <c r="F174" s="17">
        <v>45892</v>
      </c>
      <c r="G174" s="14">
        <f t="shared" ca="1" si="44"/>
        <v>207</v>
      </c>
      <c r="H174" s="17">
        <v>199</v>
      </c>
      <c r="I174" s="17">
        <v>135</v>
      </c>
      <c r="J174" s="53">
        <f t="shared" si="45"/>
        <v>1970</v>
      </c>
      <c r="K174" s="17">
        <v>2000</v>
      </c>
      <c r="L174" s="66">
        <v>30</v>
      </c>
      <c r="M174" s="52">
        <f t="shared" ca="1" si="46"/>
        <v>0.14492753623188406</v>
      </c>
      <c r="N174" s="50">
        <f t="shared" si="47"/>
        <v>0.80451009251471861</v>
      </c>
      <c r="O174" s="52">
        <f t="shared" si="48"/>
        <v>9.1463414634146339E-2</v>
      </c>
      <c r="P174" s="56">
        <f t="shared" si="49"/>
        <v>7.5</v>
      </c>
      <c r="Q174" s="54">
        <f t="shared" si="50"/>
        <v>262.66666666666669</v>
      </c>
      <c r="R174" s="55">
        <f t="shared" si="51"/>
        <v>32.1608040201005</v>
      </c>
      <c r="S174" s="55">
        <f t="shared" si="52"/>
        <v>1.5</v>
      </c>
      <c r="T174" s="13">
        <f t="shared" si="53"/>
        <v>1</v>
      </c>
      <c r="U174" s="13">
        <f t="shared" si="54"/>
        <v>1</v>
      </c>
      <c r="V174" s="13">
        <f t="shared" si="55"/>
        <v>1</v>
      </c>
      <c r="W174" s="13">
        <f t="shared" ca="1" si="56"/>
        <v>3</v>
      </c>
      <c r="X174" s="13">
        <f t="shared" ca="1" si="57"/>
        <v>6</v>
      </c>
      <c r="Y174" s="61" t="str">
        <f t="shared" ca="1" si="58"/>
        <v>MONITOR</v>
      </c>
      <c r="Z174" s="51">
        <v>14</v>
      </c>
      <c r="AA174" s="53">
        <v>46059</v>
      </c>
      <c r="AB174" s="53">
        <f t="shared" si="59"/>
        <v>45920</v>
      </c>
      <c r="AC174" s="72">
        <f t="shared" si="60"/>
        <v>19.857142857142858</v>
      </c>
      <c r="AD174" s="67" t="str">
        <f t="shared" ca="1" si="61"/>
        <v>STABLE</v>
      </c>
      <c r="AE174" s="67" t="str">
        <f t="shared" si="62"/>
        <v>SLOW SELLING</v>
      </c>
      <c r="AF174" s="67" t="str">
        <f t="shared" si="63"/>
        <v>AT RISK</v>
      </c>
      <c r="AG174" s="67" t="str">
        <f t="shared" si="64"/>
        <v>FEASIBLE</v>
      </c>
      <c r="AH174" s="73" t="str">
        <f t="shared" ca="1" si="65"/>
        <v>MONITOR</v>
      </c>
    </row>
    <row r="175" spans="1:34" x14ac:dyDescent="0.35">
      <c r="A175" s="25" t="s">
        <v>189</v>
      </c>
      <c r="B175" s="10" t="s">
        <v>330</v>
      </c>
      <c r="C175" s="10" t="s">
        <v>342</v>
      </c>
      <c r="D175" s="10" t="s">
        <v>346</v>
      </c>
      <c r="E175" s="11">
        <v>45906</v>
      </c>
      <c r="F175" s="17">
        <v>45892</v>
      </c>
      <c r="G175" s="14">
        <f t="shared" ca="1" si="44"/>
        <v>207</v>
      </c>
      <c r="H175" s="17">
        <v>199</v>
      </c>
      <c r="I175" s="17">
        <v>135</v>
      </c>
      <c r="J175" s="53">
        <f t="shared" si="45"/>
        <v>881</v>
      </c>
      <c r="K175" s="17">
        <v>1600</v>
      </c>
      <c r="L175" s="66">
        <v>719</v>
      </c>
      <c r="M175" s="52">
        <f t="shared" ca="1" si="46"/>
        <v>3.4734299516908211</v>
      </c>
      <c r="N175" s="50">
        <f t="shared" si="47"/>
        <v>0.80451009251471861</v>
      </c>
      <c r="O175" s="52">
        <f t="shared" si="48"/>
        <v>2.1920731707317072</v>
      </c>
      <c r="P175" s="56">
        <f t="shared" si="49"/>
        <v>179.75</v>
      </c>
      <c r="Q175" s="54">
        <f t="shared" si="50"/>
        <v>4.9012517385257306</v>
      </c>
      <c r="R175" s="55">
        <f t="shared" si="51"/>
        <v>32.1608040201005</v>
      </c>
      <c r="S175" s="55">
        <f t="shared" si="52"/>
        <v>44.9375</v>
      </c>
      <c r="T175" s="13">
        <f t="shared" si="53"/>
        <v>3</v>
      </c>
      <c r="U175" s="13">
        <f t="shared" si="54"/>
        <v>2</v>
      </c>
      <c r="V175" s="13">
        <f t="shared" si="55"/>
        <v>1</v>
      </c>
      <c r="W175" s="13">
        <f t="shared" ca="1" si="56"/>
        <v>3</v>
      </c>
      <c r="X175" s="13">
        <f t="shared" ca="1" si="57"/>
        <v>9</v>
      </c>
      <c r="Y175" s="61" t="str">
        <f t="shared" ca="1" si="58"/>
        <v>RE-BUY</v>
      </c>
      <c r="Z175" s="51">
        <v>14</v>
      </c>
      <c r="AA175" s="53">
        <v>46059</v>
      </c>
      <c r="AB175" s="53">
        <f t="shared" si="59"/>
        <v>45920</v>
      </c>
      <c r="AC175" s="72">
        <f t="shared" si="60"/>
        <v>19.857142857142858</v>
      </c>
      <c r="AD175" s="67" t="str">
        <f t="shared" ca="1" si="61"/>
        <v>STABLE</v>
      </c>
      <c r="AE175" s="67" t="str">
        <f t="shared" si="62"/>
        <v>FAST SELLING</v>
      </c>
      <c r="AF175" s="67" t="str">
        <f t="shared" si="63"/>
        <v>AT RISK</v>
      </c>
      <c r="AG175" s="67" t="str">
        <f t="shared" si="64"/>
        <v>FEASIBLE</v>
      </c>
      <c r="AH175" s="73" t="str">
        <f t="shared" ca="1" si="65"/>
        <v>IMMEDIATE REBUY</v>
      </c>
    </row>
    <row r="176" spans="1:34" x14ac:dyDescent="0.35">
      <c r="A176" s="25" t="s">
        <v>190</v>
      </c>
      <c r="B176" s="10" t="s">
        <v>330</v>
      </c>
      <c r="C176" s="10" t="s">
        <v>342</v>
      </c>
      <c r="D176" s="10" t="s">
        <v>346</v>
      </c>
      <c r="E176" s="11">
        <v>45906</v>
      </c>
      <c r="F176" s="17">
        <v>45892</v>
      </c>
      <c r="G176" s="14">
        <f t="shared" ca="1" si="44"/>
        <v>207</v>
      </c>
      <c r="H176" s="17">
        <v>199</v>
      </c>
      <c r="I176" s="17">
        <v>135</v>
      </c>
      <c r="J176" s="53">
        <f t="shared" si="45"/>
        <v>1371</v>
      </c>
      <c r="K176" s="17">
        <v>2000</v>
      </c>
      <c r="L176" s="66">
        <v>629</v>
      </c>
      <c r="M176" s="52">
        <f t="shared" ca="1" si="46"/>
        <v>3.0386473429951693</v>
      </c>
      <c r="N176" s="50">
        <f t="shared" si="47"/>
        <v>0.80451009251471861</v>
      </c>
      <c r="O176" s="52">
        <f t="shared" si="48"/>
        <v>1.9176829268292683</v>
      </c>
      <c r="P176" s="56">
        <f t="shared" si="49"/>
        <v>157.25</v>
      </c>
      <c r="Q176" s="54">
        <f t="shared" si="50"/>
        <v>8.7186009538950717</v>
      </c>
      <c r="R176" s="55">
        <f t="shared" si="51"/>
        <v>32.1608040201005</v>
      </c>
      <c r="S176" s="55">
        <f t="shared" si="52"/>
        <v>31.45</v>
      </c>
      <c r="T176" s="13">
        <f t="shared" si="53"/>
        <v>3</v>
      </c>
      <c r="U176" s="13">
        <f t="shared" si="54"/>
        <v>1</v>
      </c>
      <c r="V176" s="13">
        <f t="shared" si="55"/>
        <v>1</v>
      </c>
      <c r="W176" s="13">
        <f t="shared" ca="1" si="56"/>
        <v>3</v>
      </c>
      <c r="X176" s="13">
        <f t="shared" ca="1" si="57"/>
        <v>8</v>
      </c>
      <c r="Y176" s="61" t="str">
        <f t="shared" ca="1" si="58"/>
        <v>MONITOR</v>
      </c>
      <c r="Z176" s="51">
        <v>14</v>
      </c>
      <c r="AA176" s="53">
        <v>46059</v>
      </c>
      <c r="AB176" s="53">
        <f t="shared" si="59"/>
        <v>45920</v>
      </c>
      <c r="AC176" s="72">
        <f t="shared" si="60"/>
        <v>19.857142857142858</v>
      </c>
      <c r="AD176" s="67" t="str">
        <f t="shared" ca="1" si="61"/>
        <v>STABLE</v>
      </c>
      <c r="AE176" s="67" t="str">
        <f t="shared" si="62"/>
        <v>FAST SELLING</v>
      </c>
      <c r="AF176" s="67" t="str">
        <f t="shared" si="63"/>
        <v>AT RISK</v>
      </c>
      <c r="AG176" s="67" t="str">
        <f t="shared" si="64"/>
        <v>FEASIBLE</v>
      </c>
      <c r="AH176" s="73" t="str">
        <f t="shared" ca="1" si="65"/>
        <v>MONITOR</v>
      </c>
    </row>
    <row r="177" spans="1:34" x14ac:dyDescent="0.35">
      <c r="A177" s="25" t="s">
        <v>191</v>
      </c>
      <c r="B177" s="10" t="s">
        <v>330</v>
      </c>
      <c r="C177" s="10" t="s">
        <v>342</v>
      </c>
      <c r="D177" s="10" t="s">
        <v>346</v>
      </c>
      <c r="E177" s="11">
        <v>45927</v>
      </c>
      <c r="F177" s="17">
        <v>45892</v>
      </c>
      <c r="G177" s="14">
        <f t="shared" ca="1" si="44"/>
        <v>207</v>
      </c>
      <c r="H177" s="17">
        <v>199</v>
      </c>
      <c r="I177" s="17">
        <v>135</v>
      </c>
      <c r="J177" s="53">
        <f t="shared" si="45"/>
        <v>1029</v>
      </c>
      <c r="K177" s="17">
        <v>1800</v>
      </c>
      <c r="L177" s="66">
        <v>771</v>
      </c>
      <c r="M177" s="52">
        <f t="shared" ca="1" si="46"/>
        <v>3.7246376811594204</v>
      </c>
      <c r="N177" s="50">
        <f t="shared" si="47"/>
        <v>0.80451009251471861</v>
      </c>
      <c r="O177" s="52">
        <f t="shared" si="48"/>
        <v>2.350609756097561</v>
      </c>
      <c r="P177" s="56">
        <f t="shared" si="49"/>
        <v>192.75</v>
      </c>
      <c r="Q177" s="54">
        <f t="shared" si="50"/>
        <v>5.3385214007782098</v>
      </c>
      <c r="R177" s="55">
        <f t="shared" si="51"/>
        <v>32.1608040201005</v>
      </c>
      <c r="S177" s="55">
        <f t="shared" si="52"/>
        <v>42.833333333333336</v>
      </c>
      <c r="T177" s="13">
        <f t="shared" si="53"/>
        <v>3</v>
      </c>
      <c r="U177" s="13">
        <f t="shared" si="54"/>
        <v>2</v>
      </c>
      <c r="V177" s="13">
        <f t="shared" si="55"/>
        <v>1</v>
      </c>
      <c r="W177" s="13">
        <f t="shared" ca="1" si="56"/>
        <v>3</v>
      </c>
      <c r="X177" s="13">
        <f t="shared" ca="1" si="57"/>
        <v>9</v>
      </c>
      <c r="Y177" s="61" t="str">
        <f t="shared" ca="1" si="58"/>
        <v>RE-BUY</v>
      </c>
      <c r="Z177" s="51">
        <v>14</v>
      </c>
      <c r="AA177" s="53">
        <v>46059</v>
      </c>
      <c r="AB177" s="53">
        <f t="shared" si="59"/>
        <v>45920</v>
      </c>
      <c r="AC177" s="72">
        <f t="shared" si="60"/>
        <v>19.857142857142858</v>
      </c>
      <c r="AD177" s="67" t="str">
        <f t="shared" ca="1" si="61"/>
        <v>STABLE</v>
      </c>
      <c r="AE177" s="67" t="str">
        <f t="shared" si="62"/>
        <v>FAST SELLING</v>
      </c>
      <c r="AF177" s="67" t="str">
        <f t="shared" si="63"/>
        <v>AT RISK</v>
      </c>
      <c r="AG177" s="67" t="str">
        <f t="shared" si="64"/>
        <v>FEASIBLE</v>
      </c>
      <c r="AH177" s="73" t="str">
        <f t="shared" ca="1" si="65"/>
        <v>IMMEDIATE REBUY</v>
      </c>
    </row>
    <row r="178" spans="1:34" x14ac:dyDescent="0.35">
      <c r="A178" s="25" t="s">
        <v>192</v>
      </c>
      <c r="B178" s="10" t="s">
        <v>330</v>
      </c>
      <c r="C178" s="10" t="s">
        <v>342</v>
      </c>
      <c r="D178" s="10" t="s">
        <v>346</v>
      </c>
      <c r="E178" s="11">
        <v>45927</v>
      </c>
      <c r="F178" s="17">
        <v>45892</v>
      </c>
      <c r="G178" s="14">
        <f t="shared" ca="1" si="44"/>
        <v>207</v>
      </c>
      <c r="H178" s="17">
        <v>199</v>
      </c>
      <c r="I178" s="17">
        <v>135</v>
      </c>
      <c r="J178" s="53">
        <f t="shared" si="45"/>
        <v>1465</v>
      </c>
      <c r="K178" s="17">
        <v>2000</v>
      </c>
      <c r="L178" s="66">
        <v>535</v>
      </c>
      <c r="M178" s="52">
        <f t="shared" ca="1" si="46"/>
        <v>2.5845410628019323</v>
      </c>
      <c r="N178" s="50">
        <f t="shared" si="47"/>
        <v>0.80451009251471861</v>
      </c>
      <c r="O178" s="52">
        <f t="shared" si="48"/>
        <v>1.6310975609756098</v>
      </c>
      <c r="P178" s="56">
        <f t="shared" si="49"/>
        <v>133.75</v>
      </c>
      <c r="Q178" s="54">
        <f t="shared" si="50"/>
        <v>10.953271028037383</v>
      </c>
      <c r="R178" s="55">
        <f t="shared" si="51"/>
        <v>32.1608040201005</v>
      </c>
      <c r="S178" s="55">
        <f t="shared" si="52"/>
        <v>26.75</v>
      </c>
      <c r="T178" s="13">
        <f t="shared" si="53"/>
        <v>3</v>
      </c>
      <c r="U178" s="13">
        <f t="shared" si="54"/>
        <v>1</v>
      </c>
      <c r="V178" s="13">
        <f t="shared" si="55"/>
        <v>1</v>
      </c>
      <c r="W178" s="13">
        <f t="shared" ca="1" si="56"/>
        <v>3</v>
      </c>
      <c r="X178" s="13">
        <f t="shared" ca="1" si="57"/>
        <v>8</v>
      </c>
      <c r="Y178" s="61" t="str">
        <f t="shared" ca="1" si="58"/>
        <v>MONITOR</v>
      </c>
      <c r="Z178" s="51">
        <v>14</v>
      </c>
      <c r="AA178" s="53">
        <v>46059</v>
      </c>
      <c r="AB178" s="53">
        <f t="shared" si="59"/>
        <v>45920</v>
      </c>
      <c r="AC178" s="72">
        <f t="shared" si="60"/>
        <v>19.857142857142858</v>
      </c>
      <c r="AD178" s="67" t="str">
        <f t="shared" ca="1" si="61"/>
        <v>STABLE</v>
      </c>
      <c r="AE178" s="67" t="str">
        <f t="shared" si="62"/>
        <v>FAST SELLING</v>
      </c>
      <c r="AF178" s="67" t="str">
        <f t="shared" si="63"/>
        <v>AT RISK</v>
      </c>
      <c r="AG178" s="67" t="str">
        <f t="shared" si="64"/>
        <v>FEASIBLE</v>
      </c>
      <c r="AH178" s="73" t="str">
        <f t="shared" ca="1" si="65"/>
        <v>MONITOR</v>
      </c>
    </row>
    <row r="179" spans="1:34" x14ac:dyDescent="0.35">
      <c r="A179" s="25" t="s">
        <v>193</v>
      </c>
      <c r="B179" s="10" t="s">
        <v>330</v>
      </c>
      <c r="C179" s="10" t="s">
        <v>342</v>
      </c>
      <c r="D179" s="10" t="s">
        <v>346</v>
      </c>
      <c r="E179" s="11">
        <v>45927</v>
      </c>
      <c r="F179" s="17">
        <v>45892</v>
      </c>
      <c r="G179" s="14">
        <f t="shared" ca="1" si="44"/>
        <v>207</v>
      </c>
      <c r="H179" s="17">
        <v>199</v>
      </c>
      <c r="I179" s="17">
        <v>135</v>
      </c>
      <c r="J179" s="53">
        <f t="shared" si="45"/>
        <v>1372</v>
      </c>
      <c r="K179" s="17">
        <v>1800</v>
      </c>
      <c r="L179" s="66">
        <v>428</v>
      </c>
      <c r="M179" s="52">
        <f t="shared" ca="1" si="46"/>
        <v>2.0676328502415457</v>
      </c>
      <c r="N179" s="50">
        <f t="shared" si="47"/>
        <v>0.80451009251471861</v>
      </c>
      <c r="O179" s="52">
        <f t="shared" si="48"/>
        <v>1.3048780487804879</v>
      </c>
      <c r="P179" s="56">
        <f t="shared" si="49"/>
        <v>107</v>
      </c>
      <c r="Q179" s="54">
        <f t="shared" si="50"/>
        <v>12.822429906542055</v>
      </c>
      <c r="R179" s="55">
        <f t="shared" si="51"/>
        <v>32.1608040201005</v>
      </c>
      <c r="S179" s="55">
        <f t="shared" si="52"/>
        <v>23.777777777777779</v>
      </c>
      <c r="T179" s="13">
        <f t="shared" si="53"/>
        <v>3</v>
      </c>
      <c r="U179" s="13">
        <f t="shared" si="54"/>
        <v>1</v>
      </c>
      <c r="V179" s="13">
        <f t="shared" si="55"/>
        <v>1</v>
      </c>
      <c r="W179" s="13">
        <f t="shared" ca="1" si="56"/>
        <v>3</v>
      </c>
      <c r="X179" s="13">
        <f t="shared" ca="1" si="57"/>
        <v>8</v>
      </c>
      <c r="Y179" s="61" t="str">
        <f t="shared" ca="1" si="58"/>
        <v>MONITOR</v>
      </c>
      <c r="Z179" s="51">
        <v>14</v>
      </c>
      <c r="AA179" s="53">
        <v>46059</v>
      </c>
      <c r="AB179" s="53">
        <f t="shared" si="59"/>
        <v>45920</v>
      </c>
      <c r="AC179" s="72">
        <f t="shared" si="60"/>
        <v>19.857142857142858</v>
      </c>
      <c r="AD179" s="67" t="str">
        <f t="shared" ca="1" si="61"/>
        <v>STABLE</v>
      </c>
      <c r="AE179" s="67" t="str">
        <f t="shared" si="62"/>
        <v>FAST SELLING</v>
      </c>
      <c r="AF179" s="67" t="str">
        <f t="shared" si="63"/>
        <v>AT RISK</v>
      </c>
      <c r="AG179" s="67" t="str">
        <f t="shared" si="64"/>
        <v>FEASIBLE</v>
      </c>
      <c r="AH179" s="73" t="str">
        <f t="shared" ca="1" si="65"/>
        <v>MONITOR</v>
      </c>
    </row>
    <row r="180" spans="1:34" x14ac:dyDescent="0.35">
      <c r="A180" s="25" t="s">
        <v>194</v>
      </c>
      <c r="B180" s="10" t="s">
        <v>330</v>
      </c>
      <c r="C180" s="10" t="s">
        <v>342</v>
      </c>
      <c r="D180" s="10" t="s">
        <v>346</v>
      </c>
      <c r="E180" s="11">
        <v>45920</v>
      </c>
      <c r="F180" s="17">
        <v>45892</v>
      </c>
      <c r="G180" s="14">
        <f t="shared" ca="1" si="44"/>
        <v>207</v>
      </c>
      <c r="H180" s="17">
        <v>299</v>
      </c>
      <c r="I180" s="17">
        <v>180</v>
      </c>
      <c r="J180" s="53">
        <f t="shared" si="45"/>
        <v>1211</v>
      </c>
      <c r="K180" s="17">
        <v>1550</v>
      </c>
      <c r="L180" s="66">
        <v>339</v>
      </c>
      <c r="M180" s="52">
        <f t="shared" ca="1" si="46"/>
        <v>1.6376811594202898</v>
      </c>
      <c r="N180" s="50">
        <f t="shared" si="47"/>
        <v>0.80451009251471861</v>
      </c>
      <c r="O180" s="52">
        <f t="shared" si="48"/>
        <v>1.0335365853658536</v>
      </c>
      <c r="P180" s="56">
        <f t="shared" si="49"/>
        <v>84.75</v>
      </c>
      <c r="Q180" s="54">
        <f t="shared" si="50"/>
        <v>14.289085545722713</v>
      </c>
      <c r="R180" s="55">
        <f t="shared" si="51"/>
        <v>39.799331103678931</v>
      </c>
      <c r="S180" s="55">
        <f t="shared" si="52"/>
        <v>21.870967741935484</v>
      </c>
      <c r="T180" s="13">
        <f t="shared" si="53"/>
        <v>3</v>
      </c>
      <c r="U180" s="13">
        <f t="shared" si="54"/>
        <v>1</v>
      </c>
      <c r="V180" s="13">
        <f t="shared" si="55"/>
        <v>1</v>
      </c>
      <c r="W180" s="13">
        <f t="shared" ca="1" si="56"/>
        <v>3</v>
      </c>
      <c r="X180" s="13">
        <f t="shared" ca="1" si="57"/>
        <v>8</v>
      </c>
      <c r="Y180" s="61" t="str">
        <f t="shared" ca="1" si="58"/>
        <v>MONITOR</v>
      </c>
      <c r="Z180" s="51">
        <v>14</v>
      </c>
      <c r="AA180" s="53">
        <v>46059</v>
      </c>
      <c r="AB180" s="53">
        <f t="shared" si="59"/>
        <v>45920</v>
      </c>
      <c r="AC180" s="72">
        <f t="shared" si="60"/>
        <v>19.857142857142858</v>
      </c>
      <c r="AD180" s="67" t="str">
        <f t="shared" ca="1" si="61"/>
        <v>STABLE</v>
      </c>
      <c r="AE180" s="67" t="str">
        <f t="shared" si="62"/>
        <v>FAST SELLING</v>
      </c>
      <c r="AF180" s="67" t="str">
        <f t="shared" si="63"/>
        <v>AT RISK</v>
      </c>
      <c r="AG180" s="67" t="str">
        <f t="shared" si="64"/>
        <v>FEASIBLE</v>
      </c>
      <c r="AH180" s="73" t="str">
        <f t="shared" ca="1" si="65"/>
        <v>MONITOR</v>
      </c>
    </row>
    <row r="181" spans="1:34" x14ac:dyDescent="0.35">
      <c r="A181" s="25" t="s">
        <v>195</v>
      </c>
      <c r="B181" s="10" t="s">
        <v>330</v>
      </c>
      <c r="C181" s="10" t="s">
        <v>342</v>
      </c>
      <c r="D181" s="10" t="s">
        <v>346</v>
      </c>
      <c r="E181" s="11">
        <v>45920</v>
      </c>
      <c r="F181" s="17">
        <v>45892</v>
      </c>
      <c r="G181" s="14">
        <f t="shared" ca="1" si="44"/>
        <v>207</v>
      </c>
      <c r="H181" s="17">
        <v>299</v>
      </c>
      <c r="I181" s="17">
        <v>180</v>
      </c>
      <c r="J181" s="53">
        <f t="shared" si="45"/>
        <v>1046</v>
      </c>
      <c r="K181" s="17">
        <v>1550</v>
      </c>
      <c r="L181" s="66">
        <v>504</v>
      </c>
      <c r="M181" s="52">
        <f t="shared" ca="1" si="46"/>
        <v>2.4347826086956523</v>
      </c>
      <c r="N181" s="50">
        <f t="shared" si="47"/>
        <v>0.80451009251471861</v>
      </c>
      <c r="O181" s="52">
        <f t="shared" si="48"/>
        <v>1.5365853658536586</v>
      </c>
      <c r="P181" s="56">
        <f t="shared" si="49"/>
        <v>126</v>
      </c>
      <c r="Q181" s="54">
        <f t="shared" si="50"/>
        <v>8.3015873015873023</v>
      </c>
      <c r="R181" s="55">
        <f t="shared" si="51"/>
        <v>39.799331103678931</v>
      </c>
      <c r="S181" s="55">
        <f t="shared" si="52"/>
        <v>32.516129032258064</v>
      </c>
      <c r="T181" s="13">
        <f t="shared" si="53"/>
        <v>3</v>
      </c>
      <c r="U181" s="13">
        <f t="shared" si="54"/>
        <v>1</v>
      </c>
      <c r="V181" s="13">
        <f t="shared" si="55"/>
        <v>1</v>
      </c>
      <c r="W181" s="13">
        <f t="shared" ca="1" si="56"/>
        <v>3</v>
      </c>
      <c r="X181" s="13">
        <f t="shared" ca="1" si="57"/>
        <v>8</v>
      </c>
      <c r="Y181" s="61" t="str">
        <f t="shared" ca="1" si="58"/>
        <v>MONITOR</v>
      </c>
      <c r="Z181" s="51">
        <v>14</v>
      </c>
      <c r="AA181" s="53">
        <v>46059</v>
      </c>
      <c r="AB181" s="53">
        <f t="shared" si="59"/>
        <v>45920</v>
      </c>
      <c r="AC181" s="72">
        <f t="shared" si="60"/>
        <v>19.857142857142858</v>
      </c>
      <c r="AD181" s="67" t="str">
        <f t="shared" ca="1" si="61"/>
        <v>STABLE</v>
      </c>
      <c r="AE181" s="67" t="str">
        <f t="shared" si="62"/>
        <v>FAST SELLING</v>
      </c>
      <c r="AF181" s="67" t="str">
        <f t="shared" si="63"/>
        <v>AT RISK</v>
      </c>
      <c r="AG181" s="67" t="str">
        <f t="shared" si="64"/>
        <v>FEASIBLE</v>
      </c>
      <c r="AH181" s="73" t="str">
        <f t="shared" ca="1" si="65"/>
        <v>MONITOR</v>
      </c>
    </row>
    <row r="182" spans="1:34" x14ac:dyDescent="0.35">
      <c r="A182" s="25" t="s">
        <v>196</v>
      </c>
      <c r="B182" s="10" t="s">
        <v>330</v>
      </c>
      <c r="C182" s="10" t="s">
        <v>342</v>
      </c>
      <c r="D182" s="10" t="s">
        <v>346</v>
      </c>
      <c r="E182" s="11">
        <v>45885</v>
      </c>
      <c r="F182" s="17">
        <v>45892</v>
      </c>
      <c r="G182" s="14">
        <f t="shared" ca="1" si="44"/>
        <v>207</v>
      </c>
      <c r="H182" s="17">
        <v>299</v>
      </c>
      <c r="I182" s="17">
        <v>180</v>
      </c>
      <c r="J182" s="53">
        <f t="shared" si="45"/>
        <v>1087</v>
      </c>
      <c r="K182" s="17">
        <v>1550</v>
      </c>
      <c r="L182" s="66">
        <v>463</v>
      </c>
      <c r="M182" s="52">
        <f t="shared" ca="1" si="46"/>
        <v>2.2367149758454108</v>
      </c>
      <c r="N182" s="50">
        <f t="shared" si="47"/>
        <v>0.80451009251471861</v>
      </c>
      <c r="O182" s="52">
        <f t="shared" si="48"/>
        <v>1.4115853658536586</v>
      </c>
      <c r="P182" s="56">
        <f t="shared" si="49"/>
        <v>115.75</v>
      </c>
      <c r="Q182" s="54">
        <f t="shared" si="50"/>
        <v>9.3909287257019436</v>
      </c>
      <c r="R182" s="55">
        <f t="shared" si="51"/>
        <v>39.799331103678931</v>
      </c>
      <c r="S182" s="55">
        <f t="shared" si="52"/>
        <v>29.870967741935484</v>
      </c>
      <c r="T182" s="13">
        <f t="shared" si="53"/>
        <v>3</v>
      </c>
      <c r="U182" s="13">
        <f t="shared" si="54"/>
        <v>1</v>
      </c>
      <c r="V182" s="13">
        <f t="shared" si="55"/>
        <v>1</v>
      </c>
      <c r="W182" s="13">
        <f t="shared" ca="1" si="56"/>
        <v>3</v>
      </c>
      <c r="X182" s="13">
        <f t="shared" ca="1" si="57"/>
        <v>8</v>
      </c>
      <c r="Y182" s="61" t="str">
        <f t="shared" ca="1" si="58"/>
        <v>MONITOR</v>
      </c>
      <c r="Z182" s="51">
        <v>14</v>
      </c>
      <c r="AA182" s="53">
        <v>46059</v>
      </c>
      <c r="AB182" s="53">
        <f t="shared" si="59"/>
        <v>45920</v>
      </c>
      <c r="AC182" s="72">
        <f t="shared" si="60"/>
        <v>19.857142857142858</v>
      </c>
      <c r="AD182" s="67" t="str">
        <f t="shared" ca="1" si="61"/>
        <v>STABLE</v>
      </c>
      <c r="AE182" s="67" t="str">
        <f t="shared" si="62"/>
        <v>FAST SELLING</v>
      </c>
      <c r="AF182" s="67" t="str">
        <f t="shared" si="63"/>
        <v>AT RISK</v>
      </c>
      <c r="AG182" s="67" t="str">
        <f t="shared" si="64"/>
        <v>FEASIBLE</v>
      </c>
      <c r="AH182" s="73" t="str">
        <f t="shared" ca="1" si="65"/>
        <v>MONITOR</v>
      </c>
    </row>
    <row r="183" spans="1:34" x14ac:dyDescent="0.35">
      <c r="A183" s="25" t="s">
        <v>197</v>
      </c>
      <c r="B183" s="10" t="s">
        <v>330</v>
      </c>
      <c r="C183" s="10" t="s">
        <v>342</v>
      </c>
      <c r="D183" s="10" t="s">
        <v>346</v>
      </c>
      <c r="E183" s="11">
        <v>45885</v>
      </c>
      <c r="F183" s="17">
        <v>45892</v>
      </c>
      <c r="G183" s="14">
        <f t="shared" ca="1" si="44"/>
        <v>207</v>
      </c>
      <c r="H183" s="17">
        <v>299</v>
      </c>
      <c r="I183" s="17">
        <v>180</v>
      </c>
      <c r="J183" s="53">
        <f t="shared" si="45"/>
        <v>1210</v>
      </c>
      <c r="K183" s="17">
        <v>1550</v>
      </c>
      <c r="L183" s="66">
        <v>340</v>
      </c>
      <c r="M183" s="52">
        <f t="shared" ca="1" si="46"/>
        <v>1.642512077294686</v>
      </c>
      <c r="N183" s="50">
        <f t="shared" si="47"/>
        <v>0.80451009251471861</v>
      </c>
      <c r="O183" s="52">
        <f t="shared" si="48"/>
        <v>1.0365853658536586</v>
      </c>
      <c r="P183" s="56">
        <f t="shared" si="49"/>
        <v>85</v>
      </c>
      <c r="Q183" s="54">
        <f t="shared" si="50"/>
        <v>14.235294117647058</v>
      </c>
      <c r="R183" s="55">
        <f t="shared" si="51"/>
        <v>39.799331103678931</v>
      </c>
      <c r="S183" s="55">
        <f t="shared" si="52"/>
        <v>21.935483870967744</v>
      </c>
      <c r="T183" s="13">
        <f t="shared" si="53"/>
        <v>3</v>
      </c>
      <c r="U183" s="13">
        <f t="shared" si="54"/>
        <v>1</v>
      </c>
      <c r="V183" s="13">
        <f t="shared" si="55"/>
        <v>1</v>
      </c>
      <c r="W183" s="13">
        <f t="shared" ca="1" si="56"/>
        <v>3</v>
      </c>
      <c r="X183" s="13">
        <f t="shared" ca="1" si="57"/>
        <v>8</v>
      </c>
      <c r="Y183" s="61" t="str">
        <f t="shared" ca="1" si="58"/>
        <v>MONITOR</v>
      </c>
      <c r="Z183" s="51">
        <v>14</v>
      </c>
      <c r="AA183" s="53">
        <v>46059</v>
      </c>
      <c r="AB183" s="53">
        <f t="shared" si="59"/>
        <v>45920</v>
      </c>
      <c r="AC183" s="72">
        <f t="shared" si="60"/>
        <v>19.857142857142858</v>
      </c>
      <c r="AD183" s="67" t="str">
        <f t="shared" ca="1" si="61"/>
        <v>STABLE</v>
      </c>
      <c r="AE183" s="67" t="str">
        <f t="shared" si="62"/>
        <v>FAST SELLING</v>
      </c>
      <c r="AF183" s="67" t="str">
        <f t="shared" si="63"/>
        <v>AT RISK</v>
      </c>
      <c r="AG183" s="67" t="str">
        <f t="shared" si="64"/>
        <v>FEASIBLE</v>
      </c>
      <c r="AH183" s="73" t="str">
        <f t="shared" ca="1" si="65"/>
        <v>MONITOR</v>
      </c>
    </row>
    <row r="184" spans="1:34" x14ac:dyDescent="0.35">
      <c r="A184" s="25" t="s">
        <v>198</v>
      </c>
      <c r="B184" s="10" t="s">
        <v>330</v>
      </c>
      <c r="C184" s="10" t="s">
        <v>342</v>
      </c>
      <c r="D184" s="10" t="s">
        <v>346</v>
      </c>
      <c r="E184" s="11">
        <v>45920</v>
      </c>
      <c r="F184" s="17">
        <v>45892</v>
      </c>
      <c r="G184" s="14">
        <f t="shared" ca="1" si="44"/>
        <v>207</v>
      </c>
      <c r="H184" s="17">
        <v>299</v>
      </c>
      <c r="I184" s="17">
        <v>180</v>
      </c>
      <c r="J184" s="53">
        <f t="shared" si="45"/>
        <v>1132</v>
      </c>
      <c r="K184" s="17">
        <v>1550</v>
      </c>
      <c r="L184" s="66">
        <v>418</v>
      </c>
      <c r="M184" s="52">
        <f t="shared" ca="1" si="46"/>
        <v>2.0193236714975846</v>
      </c>
      <c r="N184" s="50">
        <f t="shared" si="47"/>
        <v>0.80451009251471861</v>
      </c>
      <c r="O184" s="52">
        <f t="shared" si="48"/>
        <v>1.274390243902439</v>
      </c>
      <c r="P184" s="56">
        <f t="shared" si="49"/>
        <v>104.5</v>
      </c>
      <c r="Q184" s="54">
        <f t="shared" si="50"/>
        <v>10.832535885167465</v>
      </c>
      <c r="R184" s="55">
        <f t="shared" si="51"/>
        <v>39.799331103678931</v>
      </c>
      <c r="S184" s="55">
        <f t="shared" si="52"/>
        <v>26.967741935483868</v>
      </c>
      <c r="T184" s="13">
        <f t="shared" si="53"/>
        <v>3</v>
      </c>
      <c r="U184" s="13">
        <f t="shared" si="54"/>
        <v>1</v>
      </c>
      <c r="V184" s="13">
        <f t="shared" si="55"/>
        <v>1</v>
      </c>
      <c r="W184" s="13">
        <f t="shared" ca="1" si="56"/>
        <v>3</v>
      </c>
      <c r="X184" s="13">
        <f t="shared" ca="1" si="57"/>
        <v>8</v>
      </c>
      <c r="Y184" s="61" t="str">
        <f t="shared" ca="1" si="58"/>
        <v>MONITOR</v>
      </c>
      <c r="Z184" s="51">
        <v>14</v>
      </c>
      <c r="AA184" s="53">
        <v>46059</v>
      </c>
      <c r="AB184" s="53">
        <f t="shared" si="59"/>
        <v>45920</v>
      </c>
      <c r="AC184" s="72">
        <f t="shared" si="60"/>
        <v>19.857142857142858</v>
      </c>
      <c r="AD184" s="67" t="str">
        <f t="shared" ca="1" si="61"/>
        <v>STABLE</v>
      </c>
      <c r="AE184" s="67" t="str">
        <f t="shared" si="62"/>
        <v>FAST SELLING</v>
      </c>
      <c r="AF184" s="67" t="str">
        <f t="shared" si="63"/>
        <v>AT RISK</v>
      </c>
      <c r="AG184" s="67" t="str">
        <f t="shared" si="64"/>
        <v>FEASIBLE</v>
      </c>
      <c r="AH184" s="73" t="str">
        <f t="shared" ca="1" si="65"/>
        <v>MONITOR</v>
      </c>
    </row>
    <row r="185" spans="1:34" x14ac:dyDescent="0.35">
      <c r="A185" s="25" t="s">
        <v>199</v>
      </c>
      <c r="B185" s="10" t="s">
        <v>330</v>
      </c>
      <c r="C185" s="10" t="s">
        <v>342</v>
      </c>
      <c r="D185" s="10" t="s">
        <v>346</v>
      </c>
      <c r="E185" s="11">
        <v>45920</v>
      </c>
      <c r="F185" s="17">
        <v>45892</v>
      </c>
      <c r="G185" s="14">
        <f t="shared" ca="1" si="44"/>
        <v>207</v>
      </c>
      <c r="H185" s="17">
        <v>299</v>
      </c>
      <c r="I185" s="17">
        <v>180</v>
      </c>
      <c r="J185" s="53">
        <f t="shared" si="45"/>
        <v>1071</v>
      </c>
      <c r="K185" s="17">
        <v>1550</v>
      </c>
      <c r="L185" s="66">
        <v>479</v>
      </c>
      <c r="M185" s="52">
        <f t="shared" ca="1" si="46"/>
        <v>2.3140096618357489</v>
      </c>
      <c r="N185" s="50">
        <f t="shared" si="47"/>
        <v>0.80451009251471861</v>
      </c>
      <c r="O185" s="52">
        <f t="shared" si="48"/>
        <v>1.4603658536585367</v>
      </c>
      <c r="P185" s="56">
        <f t="shared" si="49"/>
        <v>119.75</v>
      </c>
      <c r="Q185" s="54">
        <f t="shared" si="50"/>
        <v>8.9436325678496864</v>
      </c>
      <c r="R185" s="55">
        <f t="shared" si="51"/>
        <v>39.799331103678931</v>
      </c>
      <c r="S185" s="55">
        <f t="shared" si="52"/>
        <v>30.903225806451612</v>
      </c>
      <c r="T185" s="13">
        <f t="shared" si="53"/>
        <v>3</v>
      </c>
      <c r="U185" s="13">
        <f t="shared" si="54"/>
        <v>1</v>
      </c>
      <c r="V185" s="13">
        <f t="shared" si="55"/>
        <v>1</v>
      </c>
      <c r="W185" s="13">
        <f t="shared" ca="1" si="56"/>
        <v>3</v>
      </c>
      <c r="X185" s="13">
        <f t="shared" ca="1" si="57"/>
        <v>8</v>
      </c>
      <c r="Y185" s="61" t="str">
        <f t="shared" ca="1" si="58"/>
        <v>MONITOR</v>
      </c>
      <c r="Z185" s="51">
        <v>14</v>
      </c>
      <c r="AA185" s="53">
        <v>46059</v>
      </c>
      <c r="AB185" s="53">
        <f t="shared" si="59"/>
        <v>45920</v>
      </c>
      <c r="AC185" s="72">
        <f t="shared" si="60"/>
        <v>19.857142857142858</v>
      </c>
      <c r="AD185" s="67" t="str">
        <f t="shared" ca="1" si="61"/>
        <v>STABLE</v>
      </c>
      <c r="AE185" s="67" t="str">
        <f t="shared" si="62"/>
        <v>FAST SELLING</v>
      </c>
      <c r="AF185" s="67" t="str">
        <f t="shared" si="63"/>
        <v>AT RISK</v>
      </c>
      <c r="AG185" s="67" t="str">
        <f t="shared" si="64"/>
        <v>FEASIBLE</v>
      </c>
      <c r="AH185" s="73" t="str">
        <f t="shared" ca="1" si="65"/>
        <v>MONITOR</v>
      </c>
    </row>
    <row r="186" spans="1:34" x14ac:dyDescent="0.35">
      <c r="A186" s="25" t="s">
        <v>200</v>
      </c>
      <c r="B186" s="10" t="s">
        <v>330</v>
      </c>
      <c r="C186" s="10" t="s">
        <v>342</v>
      </c>
      <c r="D186" s="10" t="s">
        <v>346</v>
      </c>
      <c r="E186" s="11">
        <v>45885</v>
      </c>
      <c r="F186" s="17">
        <v>45892</v>
      </c>
      <c r="G186" s="14">
        <f t="shared" ca="1" si="44"/>
        <v>207</v>
      </c>
      <c r="H186" s="17">
        <v>299</v>
      </c>
      <c r="I186" s="17">
        <v>180</v>
      </c>
      <c r="J186" s="53">
        <f t="shared" si="45"/>
        <v>1206</v>
      </c>
      <c r="K186" s="17">
        <v>1550</v>
      </c>
      <c r="L186" s="66">
        <v>344</v>
      </c>
      <c r="M186" s="52">
        <f t="shared" ca="1" si="46"/>
        <v>1.6618357487922706</v>
      </c>
      <c r="N186" s="50">
        <f t="shared" si="47"/>
        <v>0.80451009251471861</v>
      </c>
      <c r="O186" s="52">
        <f t="shared" si="48"/>
        <v>1.0487804878048781</v>
      </c>
      <c r="P186" s="56">
        <f t="shared" si="49"/>
        <v>86</v>
      </c>
      <c r="Q186" s="54">
        <f t="shared" si="50"/>
        <v>14.023255813953488</v>
      </c>
      <c r="R186" s="55">
        <f t="shared" si="51"/>
        <v>39.799331103678931</v>
      </c>
      <c r="S186" s="55">
        <f t="shared" si="52"/>
        <v>22.193548387096772</v>
      </c>
      <c r="T186" s="13">
        <f t="shared" si="53"/>
        <v>3</v>
      </c>
      <c r="U186" s="13">
        <f t="shared" si="54"/>
        <v>1</v>
      </c>
      <c r="V186" s="13">
        <f t="shared" si="55"/>
        <v>1</v>
      </c>
      <c r="W186" s="13">
        <f t="shared" ca="1" si="56"/>
        <v>3</v>
      </c>
      <c r="X186" s="13">
        <f t="shared" ca="1" si="57"/>
        <v>8</v>
      </c>
      <c r="Y186" s="61" t="str">
        <f t="shared" ca="1" si="58"/>
        <v>MONITOR</v>
      </c>
      <c r="Z186" s="51">
        <v>14</v>
      </c>
      <c r="AA186" s="53">
        <v>46059</v>
      </c>
      <c r="AB186" s="53">
        <f t="shared" si="59"/>
        <v>45920</v>
      </c>
      <c r="AC186" s="72">
        <f t="shared" si="60"/>
        <v>19.857142857142858</v>
      </c>
      <c r="AD186" s="67" t="str">
        <f t="shared" ca="1" si="61"/>
        <v>STABLE</v>
      </c>
      <c r="AE186" s="67" t="str">
        <f t="shared" si="62"/>
        <v>FAST SELLING</v>
      </c>
      <c r="AF186" s="67" t="str">
        <f t="shared" si="63"/>
        <v>AT RISK</v>
      </c>
      <c r="AG186" s="67" t="str">
        <f t="shared" si="64"/>
        <v>FEASIBLE</v>
      </c>
      <c r="AH186" s="73" t="str">
        <f t="shared" ca="1" si="65"/>
        <v>MONITOR</v>
      </c>
    </row>
    <row r="187" spans="1:34" x14ac:dyDescent="0.35">
      <c r="A187" s="25" t="s">
        <v>201</v>
      </c>
      <c r="B187" s="10" t="s">
        <v>330</v>
      </c>
      <c r="C187" s="10" t="s">
        <v>342</v>
      </c>
      <c r="D187" s="10" t="s">
        <v>346</v>
      </c>
      <c r="E187" s="11">
        <v>45885</v>
      </c>
      <c r="F187" s="17">
        <v>45892</v>
      </c>
      <c r="G187" s="14">
        <f t="shared" ca="1" si="44"/>
        <v>207</v>
      </c>
      <c r="H187" s="17">
        <v>299</v>
      </c>
      <c r="I187" s="17">
        <v>180</v>
      </c>
      <c r="J187" s="53">
        <f t="shared" si="45"/>
        <v>1392</v>
      </c>
      <c r="K187" s="17">
        <v>1550</v>
      </c>
      <c r="L187" s="66">
        <v>158</v>
      </c>
      <c r="M187" s="52">
        <f t="shared" ca="1" si="46"/>
        <v>0.76328502415458932</v>
      </c>
      <c r="N187" s="50">
        <f t="shared" si="47"/>
        <v>0.80451009251471861</v>
      </c>
      <c r="O187" s="52">
        <f t="shared" si="48"/>
        <v>0.48170731707317072</v>
      </c>
      <c r="P187" s="56">
        <f t="shared" si="49"/>
        <v>39.5</v>
      </c>
      <c r="Q187" s="54">
        <f t="shared" si="50"/>
        <v>35.240506329113927</v>
      </c>
      <c r="R187" s="55">
        <f t="shared" si="51"/>
        <v>39.799331103678931</v>
      </c>
      <c r="S187" s="55">
        <f t="shared" si="52"/>
        <v>10.193548387096774</v>
      </c>
      <c r="T187" s="13">
        <f t="shared" si="53"/>
        <v>1</v>
      </c>
      <c r="U187" s="13">
        <f t="shared" si="54"/>
        <v>1</v>
      </c>
      <c r="V187" s="13">
        <f t="shared" si="55"/>
        <v>1</v>
      </c>
      <c r="W187" s="13">
        <f t="shared" ca="1" si="56"/>
        <v>3</v>
      </c>
      <c r="X187" s="13">
        <f t="shared" ca="1" si="57"/>
        <v>6</v>
      </c>
      <c r="Y187" s="61" t="str">
        <f t="shared" ca="1" si="58"/>
        <v>MONITOR</v>
      </c>
      <c r="Z187" s="51">
        <v>14</v>
      </c>
      <c r="AA187" s="53">
        <v>46059</v>
      </c>
      <c r="AB187" s="53">
        <f t="shared" si="59"/>
        <v>45920</v>
      </c>
      <c r="AC187" s="72">
        <f t="shared" si="60"/>
        <v>19.857142857142858</v>
      </c>
      <c r="AD187" s="67" t="str">
        <f t="shared" ca="1" si="61"/>
        <v>STABLE</v>
      </c>
      <c r="AE187" s="67" t="str">
        <f t="shared" si="62"/>
        <v>SLOW SELLING</v>
      </c>
      <c r="AF187" s="67" t="str">
        <f t="shared" si="63"/>
        <v>AT RISK</v>
      </c>
      <c r="AG187" s="67" t="str">
        <f t="shared" si="64"/>
        <v>FEASIBLE</v>
      </c>
      <c r="AH187" s="73" t="str">
        <f t="shared" ca="1" si="65"/>
        <v>MONITOR</v>
      </c>
    </row>
    <row r="188" spans="1:34" x14ac:dyDescent="0.35">
      <c r="A188" s="25" t="s">
        <v>202</v>
      </c>
      <c r="B188" s="10" t="s">
        <v>330</v>
      </c>
      <c r="C188" s="10" t="s">
        <v>342</v>
      </c>
      <c r="D188" s="10" t="s">
        <v>346</v>
      </c>
      <c r="E188" s="11">
        <v>45885</v>
      </c>
      <c r="F188" s="17">
        <v>45892</v>
      </c>
      <c r="G188" s="14">
        <f t="shared" ca="1" si="44"/>
        <v>207</v>
      </c>
      <c r="H188" s="17">
        <v>299</v>
      </c>
      <c r="I188" s="17">
        <v>180</v>
      </c>
      <c r="J188" s="53">
        <f t="shared" si="45"/>
        <v>1222</v>
      </c>
      <c r="K188" s="17">
        <v>1550</v>
      </c>
      <c r="L188" s="66">
        <v>328</v>
      </c>
      <c r="M188" s="52">
        <f t="shared" ca="1" si="46"/>
        <v>1.5845410628019323</v>
      </c>
      <c r="N188" s="50">
        <f t="shared" si="47"/>
        <v>0.80451009251471861</v>
      </c>
      <c r="O188" s="52">
        <f t="shared" si="48"/>
        <v>1</v>
      </c>
      <c r="P188" s="56">
        <f t="shared" si="49"/>
        <v>82</v>
      </c>
      <c r="Q188" s="54">
        <f t="shared" si="50"/>
        <v>14.902439024390244</v>
      </c>
      <c r="R188" s="55">
        <f t="shared" si="51"/>
        <v>39.799331103678931</v>
      </c>
      <c r="S188" s="55">
        <f t="shared" si="52"/>
        <v>21.161290322580644</v>
      </c>
      <c r="T188" s="13">
        <f t="shared" si="53"/>
        <v>3</v>
      </c>
      <c r="U188" s="13">
        <f t="shared" si="54"/>
        <v>1</v>
      </c>
      <c r="V188" s="13">
        <f t="shared" si="55"/>
        <v>1</v>
      </c>
      <c r="W188" s="13">
        <f t="shared" ca="1" si="56"/>
        <v>3</v>
      </c>
      <c r="X188" s="13">
        <f t="shared" ca="1" si="57"/>
        <v>8</v>
      </c>
      <c r="Y188" s="61" t="str">
        <f t="shared" ca="1" si="58"/>
        <v>MONITOR</v>
      </c>
      <c r="Z188" s="51">
        <v>14</v>
      </c>
      <c r="AA188" s="53">
        <v>46059</v>
      </c>
      <c r="AB188" s="53">
        <f t="shared" si="59"/>
        <v>45920</v>
      </c>
      <c r="AC188" s="72">
        <f t="shared" si="60"/>
        <v>19.857142857142858</v>
      </c>
      <c r="AD188" s="67" t="str">
        <f t="shared" ca="1" si="61"/>
        <v>STABLE</v>
      </c>
      <c r="AE188" s="67" t="str">
        <f t="shared" si="62"/>
        <v>FAST SELLING</v>
      </c>
      <c r="AF188" s="67" t="str">
        <f t="shared" si="63"/>
        <v>AT RISK</v>
      </c>
      <c r="AG188" s="67" t="str">
        <f t="shared" si="64"/>
        <v>FEASIBLE</v>
      </c>
      <c r="AH188" s="73" t="str">
        <f t="shared" ca="1" si="65"/>
        <v>MONITOR</v>
      </c>
    </row>
    <row r="189" spans="1:34" x14ac:dyDescent="0.35">
      <c r="A189" s="25" t="s">
        <v>203</v>
      </c>
      <c r="B189" s="10" t="s">
        <v>330</v>
      </c>
      <c r="C189" s="10" t="s">
        <v>342</v>
      </c>
      <c r="D189" s="10" t="s">
        <v>346</v>
      </c>
      <c r="E189" s="11">
        <v>45885</v>
      </c>
      <c r="F189" s="17">
        <v>45892</v>
      </c>
      <c r="G189" s="14">
        <f t="shared" ca="1" si="44"/>
        <v>207</v>
      </c>
      <c r="H189" s="17">
        <v>299</v>
      </c>
      <c r="I189" s="17">
        <v>180</v>
      </c>
      <c r="J189" s="53">
        <f t="shared" si="45"/>
        <v>1173</v>
      </c>
      <c r="K189" s="17">
        <v>1550</v>
      </c>
      <c r="L189" s="66">
        <v>377</v>
      </c>
      <c r="M189" s="52">
        <f t="shared" ca="1" si="46"/>
        <v>1.8212560386473431</v>
      </c>
      <c r="N189" s="50">
        <f t="shared" si="47"/>
        <v>0.80451009251471861</v>
      </c>
      <c r="O189" s="52">
        <f t="shared" si="48"/>
        <v>1.149390243902439</v>
      </c>
      <c r="P189" s="56">
        <f t="shared" si="49"/>
        <v>94.25</v>
      </c>
      <c r="Q189" s="54">
        <f t="shared" si="50"/>
        <v>12.445623342175066</v>
      </c>
      <c r="R189" s="55">
        <f t="shared" si="51"/>
        <v>39.799331103678931</v>
      </c>
      <c r="S189" s="55">
        <f t="shared" si="52"/>
        <v>24.322580645161292</v>
      </c>
      <c r="T189" s="13">
        <f t="shared" si="53"/>
        <v>3</v>
      </c>
      <c r="U189" s="13">
        <f t="shared" si="54"/>
        <v>1</v>
      </c>
      <c r="V189" s="13">
        <f t="shared" si="55"/>
        <v>1</v>
      </c>
      <c r="W189" s="13">
        <f t="shared" ca="1" si="56"/>
        <v>3</v>
      </c>
      <c r="X189" s="13">
        <f t="shared" ca="1" si="57"/>
        <v>8</v>
      </c>
      <c r="Y189" s="61" t="str">
        <f t="shared" ca="1" si="58"/>
        <v>MONITOR</v>
      </c>
      <c r="Z189" s="51">
        <v>14</v>
      </c>
      <c r="AA189" s="53">
        <v>46059</v>
      </c>
      <c r="AB189" s="53">
        <f t="shared" si="59"/>
        <v>45920</v>
      </c>
      <c r="AC189" s="72">
        <f t="shared" si="60"/>
        <v>19.857142857142858</v>
      </c>
      <c r="AD189" s="67" t="str">
        <f t="shared" ca="1" si="61"/>
        <v>STABLE</v>
      </c>
      <c r="AE189" s="67" t="str">
        <f t="shared" si="62"/>
        <v>FAST SELLING</v>
      </c>
      <c r="AF189" s="67" t="str">
        <f t="shared" si="63"/>
        <v>AT RISK</v>
      </c>
      <c r="AG189" s="67" t="str">
        <f t="shared" si="64"/>
        <v>FEASIBLE</v>
      </c>
      <c r="AH189" s="73" t="str">
        <f t="shared" ca="1" si="65"/>
        <v>MONITOR</v>
      </c>
    </row>
    <row r="190" spans="1:34" x14ac:dyDescent="0.35">
      <c r="A190" s="25" t="s">
        <v>204</v>
      </c>
      <c r="B190" s="10" t="s">
        <v>330</v>
      </c>
      <c r="C190" s="10" t="s">
        <v>342</v>
      </c>
      <c r="D190" s="10" t="s">
        <v>346</v>
      </c>
      <c r="E190" s="11">
        <v>45885</v>
      </c>
      <c r="F190" s="17">
        <v>45892</v>
      </c>
      <c r="G190" s="14">
        <f t="shared" ca="1" si="44"/>
        <v>207</v>
      </c>
      <c r="H190" s="17">
        <v>299</v>
      </c>
      <c r="I190" s="17">
        <v>180</v>
      </c>
      <c r="J190" s="53">
        <f t="shared" si="45"/>
        <v>1147</v>
      </c>
      <c r="K190" s="17">
        <v>1550</v>
      </c>
      <c r="L190" s="66">
        <v>403</v>
      </c>
      <c r="M190" s="52">
        <f t="shared" ca="1" si="46"/>
        <v>1.9468599033816425</v>
      </c>
      <c r="N190" s="50">
        <f t="shared" si="47"/>
        <v>0.80451009251471861</v>
      </c>
      <c r="O190" s="52">
        <f t="shared" si="48"/>
        <v>1.2286585365853659</v>
      </c>
      <c r="P190" s="56">
        <f t="shared" si="49"/>
        <v>100.75000000000001</v>
      </c>
      <c r="Q190" s="54">
        <f t="shared" si="50"/>
        <v>11.384615384615383</v>
      </c>
      <c r="R190" s="55">
        <f t="shared" si="51"/>
        <v>39.799331103678931</v>
      </c>
      <c r="S190" s="55">
        <f t="shared" si="52"/>
        <v>26</v>
      </c>
      <c r="T190" s="13">
        <f t="shared" si="53"/>
        <v>3</v>
      </c>
      <c r="U190" s="13">
        <f t="shared" si="54"/>
        <v>1</v>
      </c>
      <c r="V190" s="13">
        <f t="shared" si="55"/>
        <v>1</v>
      </c>
      <c r="W190" s="13">
        <f t="shared" ca="1" si="56"/>
        <v>3</v>
      </c>
      <c r="X190" s="13">
        <f t="shared" ca="1" si="57"/>
        <v>8</v>
      </c>
      <c r="Y190" s="61" t="str">
        <f t="shared" ca="1" si="58"/>
        <v>MONITOR</v>
      </c>
      <c r="Z190" s="51">
        <v>14</v>
      </c>
      <c r="AA190" s="53">
        <v>46059</v>
      </c>
      <c r="AB190" s="53">
        <f t="shared" si="59"/>
        <v>45920</v>
      </c>
      <c r="AC190" s="72">
        <f t="shared" si="60"/>
        <v>19.857142857142858</v>
      </c>
      <c r="AD190" s="67" t="str">
        <f t="shared" ca="1" si="61"/>
        <v>STABLE</v>
      </c>
      <c r="AE190" s="67" t="str">
        <f t="shared" si="62"/>
        <v>FAST SELLING</v>
      </c>
      <c r="AF190" s="67" t="str">
        <f t="shared" si="63"/>
        <v>AT RISK</v>
      </c>
      <c r="AG190" s="67" t="str">
        <f t="shared" si="64"/>
        <v>FEASIBLE</v>
      </c>
      <c r="AH190" s="73" t="str">
        <f t="shared" ca="1" si="65"/>
        <v>MONITOR</v>
      </c>
    </row>
    <row r="191" spans="1:34" x14ac:dyDescent="0.35">
      <c r="A191" s="25" t="s">
        <v>205</v>
      </c>
      <c r="B191" s="10" t="s">
        <v>330</v>
      </c>
      <c r="C191" s="10" t="s">
        <v>342</v>
      </c>
      <c r="D191" s="10" t="s">
        <v>346</v>
      </c>
      <c r="E191" s="11">
        <v>45885</v>
      </c>
      <c r="F191" s="17">
        <v>45892</v>
      </c>
      <c r="G191" s="14">
        <f t="shared" ca="1" si="44"/>
        <v>207</v>
      </c>
      <c r="H191" s="17">
        <v>299</v>
      </c>
      <c r="I191" s="17">
        <v>180</v>
      </c>
      <c r="J191" s="53">
        <f t="shared" si="45"/>
        <v>1059</v>
      </c>
      <c r="K191" s="17">
        <v>1550</v>
      </c>
      <c r="L191" s="66">
        <v>491</v>
      </c>
      <c r="M191" s="52">
        <f t="shared" ca="1" si="46"/>
        <v>2.3719806763285023</v>
      </c>
      <c r="N191" s="50">
        <f t="shared" si="47"/>
        <v>0.80451009251471861</v>
      </c>
      <c r="O191" s="52">
        <f t="shared" si="48"/>
        <v>1.4969512195121952</v>
      </c>
      <c r="P191" s="56">
        <f t="shared" si="49"/>
        <v>122.75000000000001</v>
      </c>
      <c r="Q191" s="54">
        <f t="shared" si="50"/>
        <v>8.6272912423625243</v>
      </c>
      <c r="R191" s="55">
        <f t="shared" si="51"/>
        <v>39.799331103678931</v>
      </c>
      <c r="S191" s="55">
        <f t="shared" si="52"/>
        <v>31.677419354838708</v>
      </c>
      <c r="T191" s="13">
        <f t="shared" si="53"/>
        <v>3</v>
      </c>
      <c r="U191" s="13">
        <f t="shared" si="54"/>
        <v>1</v>
      </c>
      <c r="V191" s="13">
        <f t="shared" si="55"/>
        <v>1</v>
      </c>
      <c r="W191" s="13">
        <f t="shared" ca="1" si="56"/>
        <v>3</v>
      </c>
      <c r="X191" s="13">
        <f t="shared" ca="1" si="57"/>
        <v>8</v>
      </c>
      <c r="Y191" s="61" t="str">
        <f t="shared" ca="1" si="58"/>
        <v>MONITOR</v>
      </c>
      <c r="Z191" s="51">
        <v>14</v>
      </c>
      <c r="AA191" s="53">
        <v>46059</v>
      </c>
      <c r="AB191" s="53">
        <f t="shared" si="59"/>
        <v>45920</v>
      </c>
      <c r="AC191" s="72">
        <f t="shared" si="60"/>
        <v>19.857142857142858</v>
      </c>
      <c r="AD191" s="67" t="str">
        <f t="shared" ca="1" si="61"/>
        <v>STABLE</v>
      </c>
      <c r="AE191" s="67" t="str">
        <f t="shared" si="62"/>
        <v>FAST SELLING</v>
      </c>
      <c r="AF191" s="67" t="str">
        <f t="shared" si="63"/>
        <v>AT RISK</v>
      </c>
      <c r="AG191" s="67" t="str">
        <f t="shared" si="64"/>
        <v>FEASIBLE</v>
      </c>
      <c r="AH191" s="73" t="str">
        <f t="shared" ca="1" si="65"/>
        <v>MONITOR</v>
      </c>
    </row>
    <row r="192" spans="1:34" x14ac:dyDescent="0.35">
      <c r="A192" s="25" t="s">
        <v>206</v>
      </c>
      <c r="B192" s="10" t="s">
        <v>330</v>
      </c>
      <c r="C192" s="10" t="s">
        <v>342</v>
      </c>
      <c r="D192" s="10" t="s">
        <v>346</v>
      </c>
      <c r="E192" s="11">
        <v>45885</v>
      </c>
      <c r="F192" s="17">
        <v>45892</v>
      </c>
      <c r="G192" s="14">
        <f t="shared" ca="1" si="44"/>
        <v>207</v>
      </c>
      <c r="H192" s="17">
        <v>299</v>
      </c>
      <c r="I192" s="17">
        <v>180</v>
      </c>
      <c r="J192" s="53">
        <f t="shared" si="45"/>
        <v>910</v>
      </c>
      <c r="K192" s="17">
        <v>1550</v>
      </c>
      <c r="L192" s="66">
        <v>640</v>
      </c>
      <c r="M192" s="52">
        <f t="shared" ca="1" si="46"/>
        <v>3.0917874396135265</v>
      </c>
      <c r="N192" s="50">
        <f t="shared" si="47"/>
        <v>0.80451009251471861</v>
      </c>
      <c r="O192" s="52">
        <f t="shared" si="48"/>
        <v>1.9512195121951219</v>
      </c>
      <c r="P192" s="56">
        <f t="shared" si="49"/>
        <v>160</v>
      </c>
      <c r="Q192" s="54">
        <f t="shared" si="50"/>
        <v>5.6875</v>
      </c>
      <c r="R192" s="55">
        <f t="shared" si="51"/>
        <v>39.799331103678931</v>
      </c>
      <c r="S192" s="55">
        <f t="shared" si="52"/>
        <v>41.29032258064516</v>
      </c>
      <c r="T192" s="13">
        <f t="shared" si="53"/>
        <v>3</v>
      </c>
      <c r="U192" s="13">
        <f t="shared" si="54"/>
        <v>2</v>
      </c>
      <c r="V192" s="13">
        <f t="shared" si="55"/>
        <v>1</v>
      </c>
      <c r="W192" s="13">
        <f t="shared" ca="1" si="56"/>
        <v>3</v>
      </c>
      <c r="X192" s="13">
        <f t="shared" ca="1" si="57"/>
        <v>9</v>
      </c>
      <c r="Y192" s="61" t="str">
        <f t="shared" ca="1" si="58"/>
        <v>RE-BUY</v>
      </c>
      <c r="Z192" s="51">
        <v>14</v>
      </c>
      <c r="AA192" s="53">
        <v>46059</v>
      </c>
      <c r="AB192" s="53">
        <f t="shared" si="59"/>
        <v>45920</v>
      </c>
      <c r="AC192" s="72">
        <f t="shared" si="60"/>
        <v>19.857142857142858</v>
      </c>
      <c r="AD192" s="67" t="str">
        <f t="shared" ca="1" si="61"/>
        <v>STABLE</v>
      </c>
      <c r="AE192" s="67" t="str">
        <f t="shared" si="62"/>
        <v>FAST SELLING</v>
      </c>
      <c r="AF192" s="67" t="str">
        <f t="shared" si="63"/>
        <v>AT RISK</v>
      </c>
      <c r="AG192" s="67" t="str">
        <f t="shared" si="64"/>
        <v>FEASIBLE</v>
      </c>
      <c r="AH192" s="73" t="str">
        <f t="shared" ca="1" si="65"/>
        <v>IMMEDIATE REBUY</v>
      </c>
    </row>
    <row r="193" spans="1:34" x14ac:dyDescent="0.35">
      <c r="A193" s="25" t="s">
        <v>207</v>
      </c>
      <c r="B193" s="10" t="s">
        <v>330</v>
      </c>
      <c r="C193" s="10" t="s">
        <v>342</v>
      </c>
      <c r="D193" s="10" t="s">
        <v>346</v>
      </c>
      <c r="E193" s="11">
        <v>45885</v>
      </c>
      <c r="F193" s="17">
        <v>45892</v>
      </c>
      <c r="G193" s="14">
        <f t="shared" ca="1" si="44"/>
        <v>207</v>
      </c>
      <c r="H193" s="17">
        <v>299</v>
      </c>
      <c r="I193" s="17">
        <v>180</v>
      </c>
      <c r="J193" s="53">
        <f t="shared" si="45"/>
        <v>1120</v>
      </c>
      <c r="K193" s="17">
        <v>1550</v>
      </c>
      <c r="L193" s="66">
        <v>430</v>
      </c>
      <c r="M193" s="52">
        <f t="shared" ca="1" si="46"/>
        <v>2.0772946859903381</v>
      </c>
      <c r="N193" s="50">
        <f t="shared" si="47"/>
        <v>0.80451009251471861</v>
      </c>
      <c r="O193" s="52">
        <f t="shared" si="48"/>
        <v>1.3109756097560976</v>
      </c>
      <c r="P193" s="56">
        <f t="shared" si="49"/>
        <v>107.5</v>
      </c>
      <c r="Q193" s="54">
        <f t="shared" si="50"/>
        <v>10.418604651162791</v>
      </c>
      <c r="R193" s="55">
        <f t="shared" si="51"/>
        <v>39.799331103678931</v>
      </c>
      <c r="S193" s="55">
        <f t="shared" si="52"/>
        <v>27.741935483870968</v>
      </c>
      <c r="T193" s="13">
        <f t="shared" si="53"/>
        <v>3</v>
      </c>
      <c r="U193" s="13">
        <f t="shared" si="54"/>
        <v>1</v>
      </c>
      <c r="V193" s="13">
        <f t="shared" si="55"/>
        <v>1</v>
      </c>
      <c r="W193" s="13">
        <f t="shared" ca="1" si="56"/>
        <v>3</v>
      </c>
      <c r="X193" s="13">
        <f t="shared" ca="1" si="57"/>
        <v>8</v>
      </c>
      <c r="Y193" s="61" t="str">
        <f t="shared" ca="1" si="58"/>
        <v>MONITOR</v>
      </c>
      <c r="Z193" s="51">
        <v>14</v>
      </c>
      <c r="AA193" s="53">
        <v>46059</v>
      </c>
      <c r="AB193" s="53">
        <f t="shared" si="59"/>
        <v>45920</v>
      </c>
      <c r="AC193" s="72">
        <f t="shared" si="60"/>
        <v>19.857142857142858</v>
      </c>
      <c r="AD193" s="67" t="str">
        <f t="shared" ca="1" si="61"/>
        <v>STABLE</v>
      </c>
      <c r="AE193" s="67" t="str">
        <f t="shared" si="62"/>
        <v>FAST SELLING</v>
      </c>
      <c r="AF193" s="67" t="str">
        <f t="shared" si="63"/>
        <v>AT RISK</v>
      </c>
      <c r="AG193" s="67" t="str">
        <f t="shared" si="64"/>
        <v>FEASIBLE</v>
      </c>
      <c r="AH193" s="73" t="str">
        <f t="shared" ca="1" si="65"/>
        <v>MONITOR</v>
      </c>
    </row>
    <row r="194" spans="1:34" x14ac:dyDescent="0.35">
      <c r="A194" s="25" t="s">
        <v>208</v>
      </c>
      <c r="B194" s="10" t="s">
        <v>330</v>
      </c>
      <c r="C194" s="10" t="s">
        <v>342</v>
      </c>
      <c r="D194" s="10" t="s">
        <v>346</v>
      </c>
      <c r="E194" s="11">
        <v>45885</v>
      </c>
      <c r="F194" s="17">
        <v>45892</v>
      </c>
      <c r="G194" s="14">
        <f t="shared" ca="1" si="44"/>
        <v>207</v>
      </c>
      <c r="H194" s="17">
        <v>299</v>
      </c>
      <c r="I194" s="17">
        <v>180</v>
      </c>
      <c r="J194" s="53">
        <f t="shared" si="45"/>
        <v>1218</v>
      </c>
      <c r="K194" s="17">
        <v>1550</v>
      </c>
      <c r="L194" s="66">
        <v>332</v>
      </c>
      <c r="M194" s="52">
        <f t="shared" ca="1" si="46"/>
        <v>1.6038647342995169</v>
      </c>
      <c r="N194" s="50">
        <f t="shared" si="47"/>
        <v>0.80451009251471861</v>
      </c>
      <c r="O194" s="52">
        <f t="shared" si="48"/>
        <v>1.0121951219512195</v>
      </c>
      <c r="P194" s="56">
        <f t="shared" si="49"/>
        <v>83</v>
      </c>
      <c r="Q194" s="54">
        <f t="shared" si="50"/>
        <v>14.674698795180722</v>
      </c>
      <c r="R194" s="55">
        <f t="shared" si="51"/>
        <v>39.799331103678931</v>
      </c>
      <c r="S194" s="55">
        <f t="shared" si="52"/>
        <v>21.41935483870968</v>
      </c>
      <c r="T194" s="13">
        <f t="shared" si="53"/>
        <v>3</v>
      </c>
      <c r="U194" s="13">
        <f t="shared" si="54"/>
        <v>1</v>
      </c>
      <c r="V194" s="13">
        <f t="shared" si="55"/>
        <v>1</v>
      </c>
      <c r="W194" s="13">
        <f t="shared" ca="1" si="56"/>
        <v>3</v>
      </c>
      <c r="X194" s="13">
        <f t="shared" ca="1" si="57"/>
        <v>8</v>
      </c>
      <c r="Y194" s="61" t="str">
        <f t="shared" ca="1" si="58"/>
        <v>MONITOR</v>
      </c>
      <c r="Z194" s="51">
        <v>14</v>
      </c>
      <c r="AA194" s="53">
        <v>46059</v>
      </c>
      <c r="AB194" s="53">
        <f t="shared" si="59"/>
        <v>45920</v>
      </c>
      <c r="AC194" s="72">
        <f t="shared" si="60"/>
        <v>19.857142857142858</v>
      </c>
      <c r="AD194" s="67" t="str">
        <f t="shared" ca="1" si="61"/>
        <v>STABLE</v>
      </c>
      <c r="AE194" s="67" t="str">
        <f t="shared" si="62"/>
        <v>FAST SELLING</v>
      </c>
      <c r="AF194" s="67" t="str">
        <f t="shared" si="63"/>
        <v>AT RISK</v>
      </c>
      <c r="AG194" s="67" t="str">
        <f t="shared" si="64"/>
        <v>FEASIBLE</v>
      </c>
      <c r="AH194" s="73" t="str">
        <f t="shared" ca="1" si="65"/>
        <v>MONITOR</v>
      </c>
    </row>
    <row r="195" spans="1:34" x14ac:dyDescent="0.35">
      <c r="A195" s="25" t="s">
        <v>209</v>
      </c>
      <c r="B195" s="10" t="s">
        <v>330</v>
      </c>
      <c r="C195" s="10" t="s">
        <v>342</v>
      </c>
      <c r="D195" s="10" t="s">
        <v>346</v>
      </c>
      <c r="E195" s="11">
        <v>45885</v>
      </c>
      <c r="F195" s="17">
        <v>45892</v>
      </c>
      <c r="G195" s="14">
        <f t="shared" ref="G195:G258" ca="1" si="66">TODAY()-F195</f>
        <v>207</v>
      </c>
      <c r="H195" s="17">
        <v>299</v>
      </c>
      <c r="I195" s="17">
        <v>180</v>
      </c>
      <c r="J195" s="53">
        <f t="shared" ref="J195:J258" si="67">K195-L195</f>
        <v>1079</v>
      </c>
      <c r="K195" s="17">
        <v>1550</v>
      </c>
      <c r="L195" s="66">
        <v>471</v>
      </c>
      <c r="M195" s="52">
        <f t="shared" ref="M195:M258" ca="1" si="68">L195/G195</f>
        <v>2.2753623188405796</v>
      </c>
      <c r="N195" s="50">
        <f t="shared" ref="N195:N258" si="69">AVERAGEIFS(O:O,C:C,C195)</f>
        <v>0.80451009251471861</v>
      </c>
      <c r="O195" s="52">
        <f t="shared" ref="O195:O258" si="70">L195/328</f>
        <v>1.4359756097560976</v>
      </c>
      <c r="P195" s="56">
        <f t="shared" ref="P195:P258" si="71">O195*82</f>
        <v>117.75</v>
      </c>
      <c r="Q195" s="54">
        <f t="shared" ref="Q195:Q258" si="72">J195/P195</f>
        <v>9.1634819532908711</v>
      </c>
      <c r="R195" s="55">
        <f t="shared" ref="R195:R258" si="73">(H195-I195)/H195*100</f>
        <v>39.799331103678931</v>
      </c>
      <c r="S195" s="55">
        <f t="shared" ref="S195:S258" si="74">L195/K195*100</f>
        <v>30.387096774193552</v>
      </c>
      <c r="T195" s="13">
        <f t="shared" ref="T195:T258" si="75">IF(O195&gt;=N195,3,IF(O195&gt;=0.8*N195,2,1))</f>
        <v>3</v>
      </c>
      <c r="U195" s="13">
        <f t="shared" ref="U195:U258" si="76">IF(Q195&lt;=4,3,IF(Q195&lt;=6,2,1))</f>
        <v>1</v>
      </c>
      <c r="V195" s="13">
        <f t="shared" ref="V195:V258" si="77">IF(R195&gt;=60,3,IF(R195&gt;=45,2,1))</f>
        <v>1</v>
      </c>
      <c r="W195" s="13">
        <f t="shared" ref="W195:W258" ca="1" si="78">IF(M195&lt;=10,3,IF(M195&lt;=25,2,1))</f>
        <v>3</v>
      </c>
      <c r="X195" s="13">
        <f t="shared" ref="X195:X258" ca="1" si="79">T195+U195+V195+W195</f>
        <v>8</v>
      </c>
      <c r="Y195" s="61" t="str">
        <f t="shared" ref="Y195:Y258" ca="1" si="80">IFERROR(IF(X195&gt;=9,"RE-BUY",IF(X195&gt;=6,"MONITOR","EXIT")),"EXIT")</f>
        <v>MONITOR</v>
      </c>
      <c r="Z195" s="51">
        <v>14</v>
      </c>
      <c r="AA195" s="53">
        <v>46059</v>
      </c>
      <c r="AB195" s="53">
        <f t="shared" ref="AB195:AB258" si="81">F195+28</f>
        <v>45920</v>
      </c>
      <c r="AC195" s="72">
        <f t="shared" ref="AC195:AC258" si="82">(AA195-AB195)/7</f>
        <v>19.857142857142858</v>
      </c>
      <c r="AD195" s="67" t="str">
        <f t="shared" ref="AD195:AD258" ca="1" si="83">IF(G195&gt;=21,"STABLE","TOO EARLY")</f>
        <v>STABLE</v>
      </c>
      <c r="AE195" s="67" t="str">
        <f t="shared" ref="AE195:AE258" si="84">IF(O195&gt;=N195,"FAST SELLING","SLOW SELLING")</f>
        <v>FAST SELLING</v>
      </c>
      <c r="AF195" s="67" t="str">
        <f t="shared" ref="AF195:AF258" si="85">IF(U195&lt;=Z195,"AT RISK","SAFE")</f>
        <v>AT RISK</v>
      </c>
      <c r="AG195" s="67" t="str">
        <f t="shared" ref="AG195:AG258" si="86">IF(Z195&lt;=AC195,"FEASIBLE","NOT FEASIBLE")</f>
        <v>FEASIBLE</v>
      </c>
      <c r="AH195" s="73" t="str">
        <f t="shared" ref="AH195:AH258" ca="1" si="87">IF(AND(Y195="RE-BUY",AD195="STABLE",AE195="FAST SELLING",AG195="FEASIBLE"),"IMMEDIATE REBUY","MONITOR")</f>
        <v>MONITOR</v>
      </c>
    </row>
    <row r="196" spans="1:34" x14ac:dyDescent="0.35">
      <c r="A196" s="25" t="s">
        <v>210</v>
      </c>
      <c r="B196" s="10" t="s">
        <v>319</v>
      </c>
      <c r="C196" s="10" t="s">
        <v>342</v>
      </c>
      <c r="D196" s="10" t="s">
        <v>346</v>
      </c>
      <c r="E196" s="11">
        <v>45892</v>
      </c>
      <c r="F196" s="17">
        <v>45892</v>
      </c>
      <c r="G196" s="14">
        <f t="shared" ca="1" si="66"/>
        <v>207</v>
      </c>
      <c r="H196" s="17">
        <v>499</v>
      </c>
      <c r="I196" s="17">
        <v>248</v>
      </c>
      <c r="J196" s="53">
        <f t="shared" si="67"/>
        <v>746</v>
      </c>
      <c r="K196" s="17">
        <v>900</v>
      </c>
      <c r="L196" s="66">
        <v>154</v>
      </c>
      <c r="M196" s="52">
        <f t="shared" ca="1" si="68"/>
        <v>0.7439613526570048</v>
      </c>
      <c r="N196" s="50">
        <f t="shared" si="69"/>
        <v>0.80451009251471861</v>
      </c>
      <c r="O196" s="52">
        <f t="shared" si="70"/>
        <v>0.46951219512195119</v>
      </c>
      <c r="P196" s="56">
        <f t="shared" si="71"/>
        <v>38.5</v>
      </c>
      <c r="Q196" s="54">
        <f t="shared" si="72"/>
        <v>19.376623376623378</v>
      </c>
      <c r="R196" s="55">
        <f t="shared" si="73"/>
        <v>50.300601202404806</v>
      </c>
      <c r="S196" s="55">
        <f t="shared" si="74"/>
        <v>17.111111111111111</v>
      </c>
      <c r="T196" s="13">
        <f t="shared" si="75"/>
        <v>1</v>
      </c>
      <c r="U196" s="13">
        <f t="shared" si="76"/>
        <v>1</v>
      </c>
      <c r="V196" s="13">
        <f t="shared" si="77"/>
        <v>2</v>
      </c>
      <c r="W196" s="13">
        <f t="shared" ca="1" si="78"/>
        <v>3</v>
      </c>
      <c r="X196" s="13">
        <f t="shared" ca="1" si="79"/>
        <v>7</v>
      </c>
      <c r="Y196" s="61" t="str">
        <f t="shared" ca="1" si="80"/>
        <v>MONITOR</v>
      </c>
      <c r="Z196" s="51">
        <v>14</v>
      </c>
      <c r="AA196" s="53">
        <v>46059</v>
      </c>
      <c r="AB196" s="53">
        <f t="shared" si="81"/>
        <v>45920</v>
      </c>
      <c r="AC196" s="72">
        <f t="shared" si="82"/>
        <v>19.857142857142858</v>
      </c>
      <c r="AD196" s="67" t="str">
        <f t="shared" ca="1" si="83"/>
        <v>STABLE</v>
      </c>
      <c r="AE196" s="67" t="str">
        <f t="shared" si="84"/>
        <v>SLOW SELLING</v>
      </c>
      <c r="AF196" s="67" t="str">
        <f t="shared" si="85"/>
        <v>AT RISK</v>
      </c>
      <c r="AG196" s="67" t="str">
        <f t="shared" si="86"/>
        <v>FEASIBLE</v>
      </c>
      <c r="AH196" s="73" t="str">
        <f t="shared" ca="1" si="87"/>
        <v>MONITOR</v>
      </c>
    </row>
    <row r="197" spans="1:34" x14ac:dyDescent="0.35">
      <c r="A197" s="25" t="s">
        <v>211</v>
      </c>
      <c r="B197" s="10" t="s">
        <v>319</v>
      </c>
      <c r="C197" s="10" t="s">
        <v>342</v>
      </c>
      <c r="D197" s="10" t="s">
        <v>346</v>
      </c>
      <c r="E197" s="11">
        <v>45892</v>
      </c>
      <c r="F197" s="17">
        <v>45892</v>
      </c>
      <c r="G197" s="14">
        <f t="shared" ca="1" si="66"/>
        <v>207</v>
      </c>
      <c r="H197" s="17">
        <v>499</v>
      </c>
      <c r="I197" s="17">
        <v>248</v>
      </c>
      <c r="J197" s="53">
        <f t="shared" si="67"/>
        <v>815</v>
      </c>
      <c r="K197" s="17">
        <v>900</v>
      </c>
      <c r="L197" s="66">
        <v>85</v>
      </c>
      <c r="M197" s="52">
        <f t="shared" ca="1" si="68"/>
        <v>0.41062801932367149</v>
      </c>
      <c r="N197" s="50">
        <f t="shared" si="69"/>
        <v>0.80451009251471861</v>
      </c>
      <c r="O197" s="52">
        <f t="shared" si="70"/>
        <v>0.25914634146341464</v>
      </c>
      <c r="P197" s="56">
        <f t="shared" si="71"/>
        <v>21.25</v>
      </c>
      <c r="Q197" s="54">
        <f t="shared" si="72"/>
        <v>38.352941176470587</v>
      </c>
      <c r="R197" s="55">
        <f t="shared" si="73"/>
        <v>50.300601202404806</v>
      </c>
      <c r="S197" s="55">
        <f t="shared" si="74"/>
        <v>9.4444444444444446</v>
      </c>
      <c r="T197" s="13">
        <f t="shared" si="75"/>
        <v>1</v>
      </c>
      <c r="U197" s="13">
        <f t="shared" si="76"/>
        <v>1</v>
      </c>
      <c r="V197" s="13">
        <f t="shared" si="77"/>
        <v>2</v>
      </c>
      <c r="W197" s="13">
        <f t="shared" ca="1" si="78"/>
        <v>3</v>
      </c>
      <c r="X197" s="13">
        <f t="shared" ca="1" si="79"/>
        <v>7</v>
      </c>
      <c r="Y197" s="61" t="str">
        <f t="shared" ca="1" si="80"/>
        <v>MONITOR</v>
      </c>
      <c r="Z197" s="51">
        <v>14</v>
      </c>
      <c r="AA197" s="53">
        <v>46059</v>
      </c>
      <c r="AB197" s="53">
        <f t="shared" si="81"/>
        <v>45920</v>
      </c>
      <c r="AC197" s="72">
        <f t="shared" si="82"/>
        <v>19.857142857142858</v>
      </c>
      <c r="AD197" s="67" t="str">
        <f t="shared" ca="1" si="83"/>
        <v>STABLE</v>
      </c>
      <c r="AE197" s="67" t="str">
        <f t="shared" si="84"/>
        <v>SLOW SELLING</v>
      </c>
      <c r="AF197" s="67" t="str">
        <f t="shared" si="85"/>
        <v>AT RISK</v>
      </c>
      <c r="AG197" s="67" t="str">
        <f t="shared" si="86"/>
        <v>FEASIBLE</v>
      </c>
      <c r="AH197" s="73" t="str">
        <f t="shared" ca="1" si="87"/>
        <v>MONITOR</v>
      </c>
    </row>
    <row r="198" spans="1:34" x14ac:dyDescent="0.35">
      <c r="A198" s="25" t="s">
        <v>212</v>
      </c>
      <c r="B198" s="10" t="s">
        <v>319</v>
      </c>
      <c r="C198" s="10" t="s">
        <v>342</v>
      </c>
      <c r="D198" s="10" t="s">
        <v>346</v>
      </c>
      <c r="E198" s="11">
        <v>45864</v>
      </c>
      <c r="F198" s="17">
        <v>45892</v>
      </c>
      <c r="G198" s="14">
        <f t="shared" ca="1" si="66"/>
        <v>207</v>
      </c>
      <c r="H198" s="17">
        <v>499</v>
      </c>
      <c r="I198" s="17">
        <v>270</v>
      </c>
      <c r="J198" s="53">
        <f t="shared" si="67"/>
        <v>892</v>
      </c>
      <c r="K198" s="17">
        <v>900</v>
      </c>
      <c r="L198" s="66">
        <v>8</v>
      </c>
      <c r="M198" s="52">
        <f t="shared" ca="1" si="68"/>
        <v>3.864734299516908E-2</v>
      </c>
      <c r="N198" s="50">
        <f t="shared" si="69"/>
        <v>0.80451009251471861</v>
      </c>
      <c r="O198" s="52">
        <f t="shared" si="70"/>
        <v>2.4390243902439025E-2</v>
      </c>
      <c r="P198" s="56">
        <f t="shared" si="71"/>
        <v>2</v>
      </c>
      <c r="Q198" s="54">
        <f t="shared" si="72"/>
        <v>446</v>
      </c>
      <c r="R198" s="55">
        <f t="shared" si="73"/>
        <v>45.891783567134269</v>
      </c>
      <c r="S198" s="55">
        <f t="shared" si="74"/>
        <v>0.88888888888888884</v>
      </c>
      <c r="T198" s="13">
        <f t="shared" si="75"/>
        <v>1</v>
      </c>
      <c r="U198" s="13">
        <f t="shared" si="76"/>
        <v>1</v>
      </c>
      <c r="V198" s="13">
        <f t="shared" si="77"/>
        <v>2</v>
      </c>
      <c r="W198" s="13">
        <f t="shared" ca="1" si="78"/>
        <v>3</v>
      </c>
      <c r="X198" s="13">
        <f t="shared" ca="1" si="79"/>
        <v>7</v>
      </c>
      <c r="Y198" s="61" t="str">
        <f t="shared" ca="1" si="80"/>
        <v>MONITOR</v>
      </c>
      <c r="Z198" s="51">
        <v>14</v>
      </c>
      <c r="AA198" s="53">
        <v>46059</v>
      </c>
      <c r="AB198" s="53">
        <f t="shared" si="81"/>
        <v>45920</v>
      </c>
      <c r="AC198" s="72">
        <f t="shared" si="82"/>
        <v>19.857142857142858</v>
      </c>
      <c r="AD198" s="67" t="str">
        <f t="shared" ca="1" si="83"/>
        <v>STABLE</v>
      </c>
      <c r="AE198" s="67" t="str">
        <f t="shared" si="84"/>
        <v>SLOW SELLING</v>
      </c>
      <c r="AF198" s="67" t="str">
        <f t="shared" si="85"/>
        <v>AT RISK</v>
      </c>
      <c r="AG198" s="67" t="str">
        <f t="shared" si="86"/>
        <v>FEASIBLE</v>
      </c>
      <c r="AH198" s="73" t="str">
        <f t="shared" ca="1" si="87"/>
        <v>MONITOR</v>
      </c>
    </row>
    <row r="199" spans="1:34" x14ac:dyDescent="0.35">
      <c r="A199" s="25" t="s">
        <v>213</v>
      </c>
      <c r="B199" s="10" t="s">
        <v>319</v>
      </c>
      <c r="C199" s="10" t="s">
        <v>342</v>
      </c>
      <c r="D199" s="10" t="s">
        <v>346</v>
      </c>
      <c r="E199" s="11">
        <v>45864</v>
      </c>
      <c r="F199" s="17">
        <v>45892</v>
      </c>
      <c r="G199" s="14">
        <f t="shared" ca="1" si="66"/>
        <v>207</v>
      </c>
      <c r="H199" s="17">
        <v>499</v>
      </c>
      <c r="I199" s="17">
        <v>245</v>
      </c>
      <c r="J199" s="53">
        <f t="shared" si="67"/>
        <v>382</v>
      </c>
      <c r="K199" s="17">
        <v>750</v>
      </c>
      <c r="L199" s="66">
        <v>368</v>
      </c>
      <c r="M199" s="52">
        <f t="shared" ca="1" si="68"/>
        <v>1.7777777777777777</v>
      </c>
      <c r="N199" s="50">
        <f t="shared" si="69"/>
        <v>0.80451009251471861</v>
      </c>
      <c r="O199" s="52">
        <f t="shared" si="70"/>
        <v>1.1219512195121952</v>
      </c>
      <c r="P199" s="56">
        <f t="shared" si="71"/>
        <v>92.000000000000014</v>
      </c>
      <c r="Q199" s="54">
        <f t="shared" si="72"/>
        <v>4.1521739130434776</v>
      </c>
      <c r="R199" s="55">
        <f t="shared" si="73"/>
        <v>50.901803607214426</v>
      </c>
      <c r="S199" s="55">
        <f t="shared" si="74"/>
        <v>49.066666666666663</v>
      </c>
      <c r="T199" s="13">
        <f t="shared" si="75"/>
        <v>3</v>
      </c>
      <c r="U199" s="13">
        <f t="shared" si="76"/>
        <v>2</v>
      </c>
      <c r="V199" s="13">
        <f t="shared" si="77"/>
        <v>2</v>
      </c>
      <c r="W199" s="13">
        <f t="shared" ca="1" si="78"/>
        <v>3</v>
      </c>
      <c r="X199" s="13">
        <f t="shared" ca="1" si="79"/>
        <v>10</v>
      </c>
      <c r="Y199" s="61" t="str">
        <f t="shared" ca="1" si="80"/>
        <v>RE-BUY</v>
      </c>
      <c r="Z199" s="51">
        <v>14</v>
      </c>
      <c r="AA199" s="53">
        <v>46059</v>
      </c>
      <c r="AB199" s="53">
        <f t="shared" si="81"/>
        <v>45920</v>
      </c>
      <c r="AC199" s="72">
        <f t="shared" si="82"/>
        <v>19.857142857142858</v>
      </c>
      <c r="AD199" s="67" t="str">
        <f t="shared" ca="1" si="83"/>
        <v>STABLE</v>
      </c>
      <c r="AE199" s="67" t="str">
        <f t="shared" si="84"/>
        <v>FAST SELLING</v>
      </c>
      <c r="AF199" s="67" t="str">
        <f t="shared" si="85"/>
        <v>AT RISK</v>
      </c>
      <c r="AG199" s="67" t="str">
        <f t="shared" si="86"/>
        <v>FEASIBLE</v>
      </c>
      <c r="AH199" s="73" t="str">
        <f t="shared" ca="1" si="87"/>
        <v>IMMEDIATE REBUY</v>
      </c>
    </row>
    <row r="200" spans="1:34" x14ac:dyDescent="0.35">
      <c r="A200" s="25" t="s">
        <v>214</v>
      </c>
      <c r="B200" s="10" t="s">
        <v>319</v>
      </c>
      <c r="C200" s="10" t="s">
        <v>342</v>
      </c>
      <c r="D200" s="10" t="s">
        <v>346</v>
      </c>
      <c r="E200" s="11">
        <v>45864</v>
      </c>
      <c r="F200" s="17">
        <v>45892</v>
      </c>
      <c r="G200" s="14">
        <f t="shared" ca="1" si="66"/>
        <v>207</v>
      </c>
      <c r="H200" s="17">
        <v>499</v>
      </c>
      <c r="I200" s="17">
        <v>245</v>
      </c>
      <c r="J200" s="53">
        <f t="shared" si="67"/>
        <v>820</v>
      </c>
      <c r="K200" s="17">
        <v>900</v>
      </c>
      <c r="L200" s="66">
        <v>80</v>
      </c>
      <c r="M200" s="52">
        <f t="shared" ca="1" si="68"/>
        <v>0.38647342995169082</v>
      </c>
      <c r="N200" s="50">
        <f t="shared" si="69"/>
        <v>0.80451009251471861</v>
      </c>
      <c r="O200" s="52">
        <f t="shared" si="70"/>
        <v>0.24390243902439024</v>
      </c>
      <c r="P200" s="56">
        <f t="shared" si="71"/>
        <v>20</v>
      </c>
      <c r="Q200" s="54">
        <f t="shared" si="72"/>
        <v>41</v>
      </c>
      <c r="R200" s="55">
        <f t="shared" si="73"/>
        <v>50.901803607214426</v>
      </c>
      <c r="S200" s="55">
        <f t="shared" si="74"/>
        <v>8.8888888888888893</v>
      </c>
      <c r="T200" s="13">
        <f t="shared" si="75"/>
        <v>1</v>
      </c>
      <c r="U200" s="13">
        <f t="shared" si="76"/>
        <v>1</v>
      </c>
      <c r="V200" s="13">
        <f t="shared" si="77"/>
        <v>2</v>
      </c>
      <c r="W200" s="13">
        <f t="shared" ca="1" si="78"/>
        <v>3</v>
      </c>
      <c r="X200" s="13">
        <f t="shared" ca="1" si="79"/>
        <v>7</v>
      </c>
      <c r="Y200" s="61" t="str">
        <f t="shared" ca="1" si="80"/>
        <v>MONITOR</v>
      </c>
      <c r="Z200" s="51">
        <v>14</v>
      </c>
      <c r="AA200" s="53">
        <v>46059</v>
      </c>
      <c r="AB200" s="53">
        <f t="shared" si="81"/>
        <v>45920</v>
      </c>
      <c r="AC200" s="72">
        <f t="shared" si="82"/>
        <v>19.857142857142858</v>
      </c>
      <c r="AD200" s="67" t="str">
        <f t="shared" ca="1" si="83"/>
        <v>STABLE</v>
      </c>
      <c r="AE200" s="67" t="str">
        <f t="shared" si="84"/>
        <v>SLOW SELLING</v>
      </c>
      <c r="AF200" s="67" t="str">
        <f t="shared" si="85"/>
        <v>AT RISK</v>
      </c>
      <c r="AG200" s="67" t="str">
        <f t="shared" si="86"/>
        <v>FEASIBLE</v>
      </c>
      <c r="AH200" s="73" t="str">
        <f t="shared" ca="1" si="87"/>
        <v>MONITOR</v>
      </c>
    </row>
    <row r="201" spans="1:34" x14ac:dyDescent="0.35">
      <c r="A201" s="25" t="s">
        <v>215</v>
      </c>
      <c r="B201" s="10" t="s">
        <v>319</v>
      </c>
      <c r="C201" s="10" t="s">
        <v>342</v>
      </c>
      <c r="D201" s="10" t="s">
        <v>346</v>
      </c>
      <c r="E201" s="11">
        <v>45864</v>
      </c>
      <c r="F201" s="17">
        <v>45892</v>
      </c>
      <c r="G201" s="14">
        <f t="shared" ca="1" si="66"/>
        <v>207</v>
      </c>
      <c r="H201" s="17">
        <v>499</v>
      </c>
      <c r="I201" s="17">
        <v>235</v>
      </c>
      <c r="J201" s="53">
        <f t="shared" si="67"/>
        <v>876</v>
      </c>
      <c r="K201" s="17">
        <v>900</v>
      </c>
      <c r="L201" s="66">
        <v>24</v>
      </c>
      <c r="M201" s="52">
        <f t="shared" ca="1" si="68"/>
        <v>0.11594202898550725</v>
      </c>
      <c r="N201" s="50">
        <f t="shared" si="69"/>
        <v>0.80451009251471861</v>
      </c>
      <c r="O201" s="52">
        <f t="shared" si="70"/>
        <v>7.3170731707317069E-2</v>
      </c>
      <c r="P201" s="56">
        <f t="shared" si="71"/>
        <v>6</v>
      </c>
      <c r="Q201" s="54">
        <f t="shared" si="72"/>
        <v>146</v>
      </c>
      <c r="R201" s="55">
        <f t="shared" si="73"/>
        <v>52.905811623246493</v>
      </c>
      <c r="S201" s="55">
        <f t="shared" si="74"/>
        <v>2.666666666666667</v>
      </c>
      <c r="T201" s="13">
        <f t="shared" si="75"/>
        <v>1</v>
      </c>
      <c r="U201" s="13">
        <f t="shared" si="76"/>
        <v>1</v>
      </c>
      <c r="V201" s="13">
        <f t="shared" si="77"/>
        <v>2</v>
      </c>
      <c r="W201" s="13">
        <f t="shared" ca="1" si="78"/>
        <v>3</v>
      </c>
      <c r="X201" s="13">
        <f t="shared" ca="1" si="79"/>
        <v>7</v>
      </c>
      <c r="Y201" s="61" t="str">
        <f t="shared" ca="1" si="80"/>
        <v>MONITOR</v>
      </c>
      <c r="Z201" s="51">
        <v>14</v>
      </c>
      <c r="AA201" s="53">
        <v>46059</v>
      </c>
      <c r="AB201" s="53">
        <f t="shared" si="81"/>
        <v>45920</v>
      </c>
      <c r="AC201" s="72">
        <f t="shared" si="82"/>
        <v>19.857142857142858</v>
      </c>
      <c r="AD201" s="67" t="str">
        <f t="shared" ca="1" si="83"/>
        <v>STABLE</v>
      </c>
      <c r="AE201" s="67" t="str">
        <f t="shared" si="84"/>
        <v>SLOW SELLING</v>
      </c>
      <c r="AF201" s="67" t="str">
        <f t="shared" si="85"/>
        <v>AT RISK</v>
      </c>
      <c r="AG201" s="67" t="str">
        <f t="shared" si="86"/>
        <v>FEASIBLE</v>
      </c>
      <c r="AH201" s="73" t="str">
        <f t="shared" ca="1" si="87"/>
        <v>MONITOR</v>
      </c>
    </row>
    <row r="202" spans="1:34" x14ac:dyDescent="0.35">
      <c r="A202" s="25" t="s">
        <v>216</v>
      </c>
      <c r="B202" s="10" t="s">
        <v>319</v>
      </c>
      <c r="C202" s="10" t="s">
        <v>342</v>
      </c>
      <c r="D202" s="10" t="s">
        <v>346</v>
      </c>
      <c r="E202" s="11">
        <v>45864</v>
      </c>
      <c r="F202" s="17">
        <v>45892</v>
      </c>
      <c r="G202" s="14">
        <f t="shared" ca="1" si="66"/>
        <v>207</v>
      </c>
      <c r="H202" s="17">
        <v>499</v>
      </c>
      <c r="I202" s="17">
        <v>239</v>
      </c>
      <c r="J202" s="53">
        <f t="shared" si="67"/>
        <v>660</v>
      </c>
      <c r="K202" s="17">
        <v>900</v>
      </c>
      <c r="L202" s="66">
        <v>240</v>
      </c>
      <c r="M202" s="52">
        <f t="shared" ca="1" si="68"/>
        <v>1.1594202898550725</v>
      </c>
      <c r="N202" s="50">
        <f t="shared" si="69"/>
        <v>0.80451009251471861</v>
      </c>
      <c r="O202" s="52">
        <f t="shared" si="70"/>
        <v>0.73170731707317072</v>
      </c>
      <c r="P202" s="56">
        <f t="shared" si="71"/>
        <v>60</v>
      </c>
      <c r="Q202" s="54">
        <f t="shared" si="72"/>
        <v>11</v>
      </c>
      <c r="R202" s="55">
        <f t="shared" si="73"/>
        <v>52.104208416833664</v>
      </c>
      <c r="S202" s="55">
        <f t="shared" si="74"/>
        <v>26.666666666666668</v>
      </c>
      <c r="T202" s="13">
        <f t="shared" si="75"/>
        <v>2</v>
      </c>
      <c r="U202" s="13">
        <f t="shared" si="76"/>
        <v>1</v>
      </c>
      <c r="V202" s="13">
        <f t="shared" si="77"/>
        <v>2</v>
      </c>
      <c r="W202" s="13">
        <f t="shared" ca="1" si="78"/>
        <v>3</v>
      </c>
      <c r="X202" s="13">
        <f t="shared" ca="1" si="79"/>
        <v>8</v>
      </c>
      <c r="Y202" s="61" t="str">
        <f t="shared" ca="1" si="80"/>
        <v>MONITOR</v>
      </c>
      <c r="Z202" s="51">
        <v>14</v>
      </c>
      <c r="AA202" s="53">
        <v>46059</v>
      </c>
      <c r="AB202" s="53">
        <f t="shared" si="81"/>
        <v>45920</v>
      </c>
      <c r="AC202" s="72">
        <f t="shared" si="82"/>
        <v>19.857142857142858</v>
      </c>
      <c r="AD202" s="67" t="str">
        <f t="shared" ca="1" si="83"/>
        <v>STABLE</v>
      </c>
      <c r="AE202" s="67" t="str">
        <f t="shared" si="84"/>
        <v>SLOW SELLING</v>
      </c>
      <c r="AF202" s="67" t="str">
        <f t="shared" si="85"/>
        <v>AT RISK</v>
      </c>
      <c r="AG202" s="67" t="str">
        <f t="shared" si="86"/>
        <v>FEASIBLE</v>
      </c>
      <c r="AH202" s="73" t="str">
        <f t="shared" ca="1" si="87"/>
        <v>MONITOR</v>
      </c>
    </row>
    <row r="203" spans="1:34" x14ac:dyDescent="0.35">
      <c r="A203" s="25" t="s">
        <v>217</v>
      </c>
      <c r="B203" s="10" t="s">
        <v>319</v>
      </c>
      <c r="C203" s="10" t="s">
        <v>342</v>
      </c>
      <c r="D203" s="10" t="s">
        <v>346</v>
      </c>
      <c r="E203" s="11">
        <v>45864</v>
      </c>
      <c r="F203" s="17">
        <v>45892</v>
      </c>
      <c r="G203" s="14">
        <f t="shared" ca="1" si="66"/>
        <v>207</v>
      </c>
      <c r="H203" s="17">
        <v>499</v>
      </c>
      <c r="I203" s="17">
        <v>235</v>
      </c>
      <c r="J203" s="53">
        <f t="shared" si="67"/>
        <v>823</v>
      </c>
      <c r="K203" s="17">
        <v>900</v>
      </c>
      <c r="L203" s="66">
        <v>77</v>
      </c>
      <c r="M203" s="52">
        <f t="shared" ca="1" si="68"/>
        <v>0.3719806763285024</v>
      </c>
      <c r="N203" s="50">
        <f t="shared" si="69"/>
        <v>0.80451009251471861</v>
      </c>
      <c r="O203" s="52">
        <f t="shared" si="70"/>
        <v>0.2347560975609756</v>
      </c>
      <c r="P203" s="56">
        <f t="shared" si="71"/>
        <v>19.25</v>
      </c>
      <c r="Q203" s="54">
        <f t="shared" si="72"/>
        <v>42.753246753246756</v>
      </c>
      <c r="R203" s="55">
        <f t="shared" si="73"/>
        <v>52.905811623246493</v>
      </c>
      <c r="S203" s="55">
        <f t="shared" si="74"/>
        <v>8.5555555555555554</v>
      </c>
      <c r="T203" s="13">
        <f t="shared" si="75"/>
        <v>1</v>
      </c>
      <c r="U203" s="13">
        <f t="shared" si="76"/>
        <v>1</v>
      </c>
      <c r="V203" s="13">
        <f t="shared" si="77"/>
        <v>2</v>
      </c>
      <c r="W203" s="13">
        <f t="shared" ca="1" si="78"/>
        <v>3</v>
      </c>
      <c r="X203" s="13">
        <f t="shared" ca="1" si="79"/>
        <v>7</v>
      </c>
      <c r="Y203" s="61" t="str">
        <f t="shared" ca="1" si="80"/>
        <v>MONITOR</v>
      </c>
      <c r="Z203" s="51">
        <v>14</v>
      </c>
      <c r="AA203" s="53">
        <v>46059</v>
      </c>
      <c r="AB203" s="53">
        <f t="shared" si="81"/>
        <v>45920</v>
      </c>
      <c r="AC203" s="72">
        <f t="shared" si="82"/>
        <v>19.857142857142858</v>
      </c>
      <c r="AD203" s="67" t="str">
        <f t="shared" ca="1" si="83"/>
        <v>STABLE</v>
      </c>
      <c r="AE203" s="67" t="str">
        <f t="shared" si="84"/>
        <v>SLOW SELLING</v>
      </c>
      <c r="AF203" s="67" t="str">
        <f t="shared" si="85"/>
        <v>AT RISK</v>
      </c>
      <c r="AG203" s="67" t="str">
        <f t="shared" si="86"/>
        <v>FEASIBLE</v>
      </c>
      <c r="AH203" s="73" t="str">
        <f t="shared" ca="1" si="87"/>
        <v>MONITOR</v>
      </c>
    </row>
    <row r="204" spans="1:34" x14ac:dyDescent="0.35">
      <c r="A204" s="25" t="s">
        <v>218</v>
      </c>
      <c r="B204" s="10" t="s">
        <v>330</v>
      </c>
      <c r="C204" s="10" t="s">
        <v>342</v>
      </c>
      <c r="D204" s="10" t="s">
        <v>346</v>
      </c>
      <c r="E204" s="11">
        <v>45920</v>
      </c>
      <c r="F204" s="17">
        <v>45892</v>
      </c>
      <c r="G204" s="14">
        <f t="shared" ca="1" si="66"/>
        <v>207</v>
      </c>
      <c r="H204" s="17">
        <v>499</v>
      </c>
      <c r="I204" s="17">
        <v>240</v>
      </c>
      <c r="J204" s="53">
        <f t="shared" si="67"/>
        <v>891</v>
      </c>
      <c r="K204" s="17">
        <v>900</v>
      </c>
      <c r="L204" s="66">
        <v>9</v>
      </c>
      <c r="M204" s="52">
        <f t="shared" ca="1" si="68"/>
        <v>4.3478260869565216E-2</v>
      </c>
      <c r="N204" s="50">
        <f t="shared" si="69"/>
        <v>0.80451009251471861</v>
      </c>
      <c r="O204" s="52">
        <f t="shared" si="70"/>
        <v>2.7439024390243903E-2</v>
      </c>
      <c r="P204" s="56">
        <f t="shared" si="71"/>
        <v>2.25</v>
      </c>
      <c r="Q204" s="54">
        <f t="shared" si="72"/>
        <v>396</v>
      </c>
      <c r="R204" s="55">
        <f t="shared" si="73"/>
        <v>51.903807615230455</v>
      </c>
      <c r="S204" s="55">
        <f t="shared" si="74"/>
        <v>1</v>
      </c>
      <c r="T204" s="13">
        <f t="shared" si="75"/>
        <v>1</v>
      </c>
      <c r="U204" s="13">
        <f t="shared" si="76"/>
        <v>1</v>
      </c>
      <c r="V204" s="13">
        <f t="shared" si="77"/>
        <v>2</v>
      </c>
      <c r="W204" s="13">
        <f t="shared" ca="1" si="78"/>
        <v>3</v>
      </c>
      <c r="X204" s="13">
        <f t="shared" ca="1" si="79"/>
        <v>7</v>
      </c>
      <c r="Y204" s="61" t="str">
        <f t="shared" ca="1" si="80"/>
        <v>MONITOR</v>
      </c>
      <c r="Z204" s="51">
        <v>14</v>
      </c>
      <c r="AA204" s="53">
        <v>46059</v>
      </c>
      <c r="AB204" s="53">
        <f t="shared" si="81"/>
        <v>45920</v>
      </c>
      <c r="AC204" s="72">
        <f t="shared" si="82"/>
        <v>19.857142857142858</v>
      </c>
      <c r="AD204" s="67" t="str">
        <f t="shared" ca="1" si="83"/>
        <v>STABLE</v>
      </c>
      <c r="AE204" s="67" t="str">
        <f t="shared" si="84"/>
        <v>SLOW SELLING</v>
      </c>
      <c r="AF204" s="67" t="str">
        <f t="shared" si="85"/>
        <v>AT RISK</v>
      </c>
      <c r="AG204" s="67" t="str">
        <f t="shared" si="86"/>
        <v>FEASIBLE</v>
      </c>
      <c r="AH204" s="73" t="str">
        <f t="shared" ca="1" si="87"/>
        <v>MONITOR</v>
      </c>
    </row>
    <row r="205" spans="1:34" x14ac:dyDescent="0.35">
      <c r="A205" s="25" t="s">
        <v>219</v>
      </c>
      <c r="B205" s="10" t="s">
        <v>332</v>
      </c>
      <c r="C205" s="10" t="s">
        <v>342</v>
      </c>
      <c r="D205" s="10" t="s">
        <v>346</v>
      </c>
      <c r="E205" s="11">
        <v>45892</v>
      </c>
      <c r="F205" s="17">
        <v>45892</v>
      </c>
      <c r="G205" s="14">
        <f t="shared" ca="1" si="66"/>
        <v>207</v>
      </c>
      <c r="H205" s="17">
        <v>399</v>
      </c>
      <c r="I205" s="17">
        <v>225</v>
      </c>
      <c r="J205" s="53">
        <f t="shared" si="67"/>
        <v>703</v>
      </c>
      <c r="K205" s="17">
        <v>1100</v>
      </c>
      <c r="L205" s="66">
        <v>397</v>
      </c>
      <c r="M205" s="52">
        <f t="shared" ca="1" si="68"/>
        <v>1.9178743961352658</v>
      </c>
      <c r="N205" s="50">
        <f t="shared" si="69"/>
        <v>0.80451009251471861</v>
      </c>
      <c r="O205" s="52">
        <f t="shared" si="70"/>
        <v>1.2103658536585367</v>
      </c>
      <c r="P205" s="56">
        <f t="shared" si="71"/>
        <v>99.25</v>
      </c>
      <c r="Q205" s="54">
        <f t="shared" si="72"/>
        <v>7.0831234256926949</v>
      </c>
      <c r="R205" s="55">
        <f t="shared" si="73"/>
        <v>43.609022556390975</v>
      </c>
      <c r="S205" s="55">
        <f t="shared" si="74"/>
        <v>36.090909090909093</v>
      </c>
      <c r="T205" s="13">
        <f t="shared" si="75"/>
        <v>3</v>
      </c>
      <c r="U205" s="13">
        <f t="shared" si="76"/>
        <v>1</v>
      </c>
      <c r="V205" s="13">
        <f t="shared" si="77"/>
        <v>1</v>
      </c>
      <c r="W205" s="13">
        <f t="shared" ca="1" si="78"/>
        <v>3</v>
      </c>
      <c r="X205" s="13">
        <f t="shared" ca="1" si="79"/>
        <v>8</v>
      </c>
      <c r="Y205" s="61" t="str">
        <f t="shared" ca="1" si="80"/>
        <v>MONITOR</v>
      </c>
      <c r="Z205" s="51">
        <v>14</v>
      </c>
      <c r="AA205" s="53">
        <v>46059</v>
      </c>
      <c r="AB205" s="53">
        <f t="shared" si="81"/>
        <v>45920</v>
      </c>
      <c r="AC205" s="72">
        <f t="shared" si="82"/>
        <v>19.857142857142858</v>
      </c>
      <c r="AD205" s="67" t="str">
        <f t="shared" ca="1" si="83"/>
        <v>STABLE</v>
      </c>
      <c r="AE205" s="67" t="str">
        <f t="shared" si="84"/>
        <v>FAST SELLING</v>
      </c>
      <c r="AF205" s="67" t="str">
        <f t="shared" si="85"/>
        <v>AT RISK</v>
      </c>
      <c r="AG205" s="67" t="str">
        <f t="shared" si="86"/>
        <v>FEASIBLE</v>
      </c>
      <c r="AH205" s="73" t="str">
        <f t="shared" ca="1" si="87"/>
        <v>MONITOR</v>
      </c>
    </row>
    <row r="206" spans="1:34" x14ac:dyDescent="0.35">
      <c r="A206" s="25" t="s">
        <v>220</v>
      </c>
      <c r="B206" s="10" t="s">
        <v>332</v>
      </c>
      <c r="C206" s="10" t="s">
        <v>342</v>
      </c>
      <c r="D206" s="10" t="s">
        <v>346</v>
      </c>
      <c r="E206" s="11">
        <v>45892</v>
      </c>
      <c r="F206" s="17">
        <v>45892</v>
      </c>
      <c r="G206" s="14">
        <f t="shared" ca="1" si="66"/>
        <v>207</v>
      </c>
      <c r="H206" s="17">
        <v>399</v>
      </c>
      <c r="I206" s="17">
        <v>225</v>
      </c>
      <c r="J206" s="53">
        <f t="shared" si="67"/>
        <v>867</v>
      </c>
      <c r="K206" s="17">
        <v>1100</v>
      </c>
      <c r="L206" s="66">
        <v>233</v>
      </c>
      <c r="M206" s="52">
        <f t="shared" ca="1" si="68"/>
        <v>1.1256038647342994</v>
      </c>
      <c r="N206" s="50">
        <f t="shared" si="69"/>
        <v>0.80451009251471861</v>
      </c>
      <c r="O206" s="52">
        <f t="shared" si="70"/>
        <v>0.71036585365853655</v>
      </c>
      <c r="P206" s="56">
        <f t="shared" si="71"/>
        <v>58.25</v>
      </c>
      <c r="Q206" s="54">
        <f t="shared" si="72"/>
        <v>14.884120171673819</v>
      </c>
      <c r="R206" s="55">
        <f t="shared" si="73"/>
        <v>43.609022556390975</v>
      </c>
      <c r="S206" s="55">
        <f t="shared" si="74"/>
        <v>21.181818181818183</v>
      </c>
      <c r="T206" s="13">
        <f t="shared" si="75"/>
        <v>2</v>
      </c>
      <c r="U206" s="13">
        <f t="shared" si="76"/>
        <v>1</v>
      </c>
      <c r="V206" s="13">
        <f t="shared" si="77"/>
        <v>1</v>
      </c>
      <c r="W206" s="13">
        <f t="shared" ca="1" si="78"/>
        <v>3</v>
      </c>
      <c r="X206" s="13">
        <f t="shared" ca="1" si="79"/>
        <v>7</v>
      </c>
      <c r="Y206" s="61" t="str">
        <f t="shared" ca="1" si="80"/>
        <v>MONITOR</v>
      </c>
      <c r="Z206" s="51">
        <v>14</v>
      </c>
      <c r="AA206" s="53">
        <v>46059</v>
      </c>
      <c r="AB206" s="53">
        <f t="shared" si="81"/>
        <v>45920</v>
      </c>
      <c r="AC206" s="72">
        <f t="shared" si="82"/>
        <v>19.857142857142858</v>
      </c>
      <c r="AD206" s="67" t="str">
        <f t="shared" ca="1" si="83"/>
        <v>STABLE</v>
      </c>
      <c r="AE206" s="67" t="str">
        <f t="shared" si="84"/>
        <v>SLOW SELLING</v>
      </c>
      <c r="AF206" s="67" t="str">
        <f t="shared" si="85"/>
        <v>AT RISK</v>
      </c>
      <c r="AG206" s="67" t="str">
        <f t="shared" si="86"/>
        <v>FEASIBLE</v>
      </c>
      <c r="AH206" s="73" t="str">
        <f t="shared" ca="1" si="87"/>
        <v>MONITOR</v>
      </c>
    </row>
    <row r="207" spans="1:34" x14ac:dyDescent="0.35">
      <c r="A207" s="25" t="s">
        <v>221</v>
      </c>
      <c r="B207" s="10" t="s">
        <v>332</v>
      </c>
      <c r="C207" s="10" t="s">
        <v>342</v>
      </c>
      <c r="D207" s="10" t="s">
        <v>346</v>
      </c>
      <c r="E207" s="11">
        <v>45892</v>
      </c>
      <c r="F207" s="17">
        <v>45892</v>
      </c>
      <c r="G207" s="14">
        <f t="shared" ca="1" si="66"/>
        <v>207</v>
      </c>
      <c r="H207" s="17">
        <v>399</v>
      </c>
      <c r="I207" s="17">
        <v>225</v>
      </c>
      <c r="J207" s="53">
        <f t="shared" si="67"/>
        <v>939</v>
      </c>
      <c r="K207" s="17">
        <v>1100</v>
      </c>
      <c r="L207" s="66">
        <v>161</v>
      </c>
      <c r="M207" s="52">
        <f t="shared" ca="1" si="68"/>
        <v>0.77777777777777779</v>
      </c>
      <c r="N207" s="50">
        <f t="shared" si="69"/>
        <v>0.80451009251471861</v>
      </c>
      <c r="O207" s="52">
        <f t="shared" si="70"/>
        <v>0.49085365853658536</v>
      </c>
      <c r="P207" s="56">
        <f t="shared" si="71"/>
        <v>40.25</v>
      </c>
      <c r="Q207" s="54">
        <f t="shared" si="72"/>
        <v>23.329192546583851</v>
      </c>
      <c r="R207" s="55">
        <f t="shared" si="73"/>
        <v>43.609022556390975</v>
      </c>
      <c r="S207" s="55">
        <f t="shared" si="74"/>
        <v>14.636363636363637</v>
      </c>
      <c r="T207" s="13">
        <f t="shared" si="75"/>
        <v>1</v>
      </c>
      <c r="U207" s="13">
        <f t="shared" si="76"/>
        <v>1</v>
      </c>
      <c r="V207" s="13">
        <f t="shared" si="77"/>
        <v>1</v>
      </c>
      <c r="W207" s="13">
        <f t="shared" ca="1" si="78"/>
        <v>3</v>
      </c>
      <c r="X207" s="13">
        <f t="shared" ca="1" si="79"/>
        <v>6</v>
      </c>
      <c r="Y207" s="61" t="str">
        <f t="shared" ca="1" si="80"/>
        <v>MONITOR</v>
      </c>
      <c r="Z207" s="51">
        <v>14</v>
      </c>
      <c r="AA207" s="53">
        <v>46059</v>
      </c>
      <c r="AB207" s="53">
        <f t="shared" si="81"/>
        <v>45920</v>
      </c>
      <c r="AC207" s="72">
        <f t="shared" si="82"/>
        <v>19.857142857142858</v>
      </c>
      <c r="AD207" s="67" t="str">
        <f t="shared" ca="1" si="83"/>
        <v>STABLE</v>
      </c>
      <c r="AE207" s="67" t="str">
        <f t="shared" si="84"/>
        <v>SLOW SELLING</v>
      </c>
      <c r="AF207" s="67" t="str">
        <f t="shared" si="85"/>
        <v>AT RISK</v>
      </c>
      <c r="AG207" s="67" t="str">
        <f t="shared" si="86"/>
        <v>FEASIBLE</v>
      </c>
      <c r="AH207" s="73" t="str">
        <f t="shared" ca="1" si="87"/>
        <v>MONITOR</v>
      </c>
    </row>
    <row r="208" spans="1:34" x14ac:dyDescent="0.35">
      <c r="A208" s="25" t="s">
        <v>222</v>
      </c>
      <c r="B208" s="10" t="s">
        <v>332</v>
      </c>
      <c r="C208" s="10" t="s">
        <v>342</v>
      </c>
      <c r="D208" s="10" t="s">
        <v>346</v>
      </c>
      <c r="E208" s="11">
        <v>45892</v>
      </c>
      <c r="F208" s="17">
        <v>45892</v>
      </c>
      <c r="G208" s="14">
        <f t="shared" ca="1" si="66"/>
        <v>207</v>
      </c>
      <c r="H208" s="17">
        <v>399</v>
      </c>
      <c r="I208" s="17">
        <v>225</v>
      </c>
      <c r="J208" s="53">
        <f t="shared" si="67"/>
        <v>938</v>
      </c>
      <c r="K208" s="17">
        <v>1100</v>
      </c>
      <c r="L208" s="66">
        <v>162</v>
      </c>
      <c r="M208" s="52">
        <f t="shared" ca="1" si="68"/>
        <v>0.78260869565217395</v>
      </c>
      <c r="N208" s="50">
        <f t="shared" si="69"/>
        <v>0.80451009251471861</v>
      </c>
      <c r="O208" s="52">
        <f t="shared" si="70"/>
        <v>0.49390243902439024</v>
      </c>
      <c r="P208" s="56">
        <f t="shared" si="71"/>
        <v>40.5</v>
      </c>
      <c r="Q208" s="54">
        <f t="shared" si="72"/>
        <v>23.160493827160494</v>
      </c>
      <c r="R208" s="55">
        <f t="shared" si="73"/>
        <v>43.609022556390975</v>
      </c>
      <c r="S208" s="55">
        <f t="shared" si="74"/>
        <v>14.727272727272728</v>
      </c>
      <c r="T208" s="13">
        <f t="shared" si="75"/>
        <v>1</v>
      </c>
      <c r="U208" s="13">
        <f t="shared" si="76"/>
        <v>1</v>
      </c>
      <c r="V208" s="13">
        <f t="shared" si="77"/>
        <v>1</v>
      </c>
      <c r="W208" s="13">
        <f t="shared" ca="1" si="78"/>
        <v>3</v>
      </c>
      <c r="X208" s="13">
        <f t="shared" ca="1" si="79"/>
        <v>6</v>
      </c>
      <c r="Y208" s="61" t="str">
        <f t="shared" ca="1" si="80"/>
        <v>MONITOR</v>
      </c>
      <c r="Z208" s="51">
        <v>14</v>
      </c>
      <c r="AA208" s="53">
        <v>46059</v>
      </c>
      <c r="AB208" s="53">
        <f t="shared" si="81"/>
        <v>45920</v>
      </c>
      <c r="AC208" s="72">
        <f t="shared" si="82"/>
        <v>19.857142857142858</v>
      </c>
      <c r="AD208" s="67" t="str">
        <f t="shared" ca="1" si="83"/>
        <v>STABLE</v>
      </c>
      <c r="AE208" s="67" t="str">
        <f t="shared" si="84"/>
        <v>SLOW SELLING</v>
      </c>
      <c r="AF208" s="67" t="str">
        <f t="shared" si="85"/>
        <v>AT RISK</v>
      </c>
      <c r="AG208" s="67" t="str">
        <f t="shared" si="86"/>
        <v>FEASIBLE</v>
      </c>
      <c r="AH208" s="73" t="str">
        <f t="shared" ca="1" si="87"/>
        <v>MONITOR</v>
      </c>
    </row>
    <row r="209" spans="1:34" x14ac:dyDescent="0.35">
      <c r="A209" s="25" t="s">
        <v>223</v>
      </c>
      <c r="B209" s="10" t="s">
        <v>316</v>
      </c>
      <c r="C209" s="10" t="s">
        <v>345</v>
      </c>
      <c r="D209" s="10" t="s">
        <v>346</v>
      </c>
      <c r="E209" s="11">
        <v>45864</v>
      </c>
      <c r="F209" s="17">
        <v>45892</v>
      </c>
      <c r="G209" s="14">
        <f t="shared" ca="1" si="66"/>
        <v>207</v>
      </c>
      <c r="H209" s="17">
        <v>799</v>
      </c>
      <c r="I209" s="17">
        <v>380</v>
      </c>
      <c r="J209" s="53">
        <f t="shared" si="67"/>
        <v>848</v>
      </c>
      <c r="K209" s="17">
        <v>1000</v>
      </c>
      <c r="L209" s="66">
        <v>152</v>
      </c>
      <c r="M209" s="52">
        <f t="shared" ca="1" si="68"/>
        <v>0.7342995169082126</v>
      </c>
      <c r="N209" s="50">
        <f t="shared" si="69"/>
        <v>0.73224085365853642</v>
      </c>
      <c r="O209" s="52">
        <f t="shared" si="70"/>
        <v>0.46341463414634149</v>
      </c>
      <c r="P209" s="56">
        <f t="shared" si="71"/>
        <v>38</v>
      </c>
      <c r="Q209" s="54">
        <f t="shared" si="72"/>
        <v>22.315789473684209</v>
      </c>
      <c r="R209" s="55">
        <f t="shared" si="73"/>
        <v>52.440550688360453</v>
      </c>
      <c r="S209" s="55">
        <f t="shared" si="74"/>
        <v>15.2</v>
      </c>
      <c r="T209" s="13">
        <f t="shared" si="75"/>
        <v>1</v>
      </c>
      <c r="U209" s="13">
        <f t="shared" si="76"/>
        <v>1</v>
      </c>
      <c r="V209" s="13">
        <f t="shared" si="77"/>
        <v>2</v>
      </c>
      <c r="W209" s="13">
        <f t="shared" ca="1" si="78"/>
        <v>3</v>
      </c>
      <c r="X209" s="13">
        <f t="shared" ca="1" si="79"/>
        <v>7</v>
      </c>
      <c r="Y209" s="61" t="str">
        <f t="shared" ca="1" si="80"/>
        <v>MONITOR</v>
      </c>
      <c r="Z209" s="51">
        <v>14</v>
      </c>
      <c r="AA209" s="53">
        <v>46059</v>
      </c>
      <c r="AB209" s="53">
        <f t="shared" si="81"/>
        <v>45920</v>
      </c>
      <c r="AC209" s="72">
        <f t="shared" si="82"/>
        <v>19.857142857142858</v>
      </c>
      <c r="AD209" s="67" t="str">
        <f t="shared" ca="1" si="83"/>
        <v>STABLE</v>
      </c>
      <c r="AE209" s="67" t="str">
        <f t="shared" si="84"/>
        <v>SLOW SELLING</v>
      </c>
      <c r="AF209" s="67" t="str">
        <f t="shared" si="85"/>
        <v>AT RISK</v>
      </c>
      <c r="AG209" s="67" t="str">
        <f t="shared" si="86"/>
        <v>FEASIBLE</v>
      </c>
      <c r="AH209" s="73" t="str">
        <f t="shared" ca="1" si="87"/>
        <v>MONITOR</v>
      </c>
    </row>
    <row r="210" spans="1:34" x14ac:dyDescent="0.35">
      <c r="A210" s="25" t="s">
        <v>224</v>
      </c>
      <c r="B210" s="10" t="s">
        <v>316</v>
      </c>
      <c r="C210" s="10" t="s">
        <v>345</v>
      </c>
      <c r="D210" s="10" t="s">
        <v>346</v>
      </c>
      <c r="E210" s="11">
        <v>45864</v>
      </c>
      <c r="F210" s="17">
        <v>45892</v>
      </c>
      <c r="G210" s="14">
        <f t="shared" ca="1" si="66"/>
        <v>207</v>
      </c>
      <c r="H210" s="17">
        <v>799</v>
      </c>
      <c r="I210" s="17">
        <v>380</v>
      </c>
      <c r="J210" s="53">
        <f t="shared" si="67"/>
        <v>812</v>
      </c>
      <c r="K210" s="17">
        <v>1000</v>
      </c>
      <c r="L210" s="66">
        <v>188</v>
      </c>
      <c r="M210" s="52">
        <f t="shared" ca="1" si="68"/>
        <v>0.90821256038647347</v>
      </c>
      <c r="N210" s="50">
        <f t="shared" si="69"/>
        <v>0.73224085365853642</v>
      </c>
      <c r="O210" s="52">
        <f t="shared" si="70"/>
        <v>0.57317073170731703</v>
      </c>
      <c r="P210" s="56">
        <f t="shared" si="71"/>
        <v>46.999999999999993</v>
      </c>
      <c r="Q210" s="54">
        <f t="shared" si="72"/>
        <v>17.276595744680854</v>
      </c>
      <c r="R210" s="55">
        <f t="shared" si="73"/>
        <v>52.440550688360453</v>
      </c>
      <c r="S210" s="55">
        <f t="shared" si="74"/>
        <v>18.8</v>
      </c>
      <c r="T210" s="13">
        <f t="shared" si="75"/>
        <v>1</v>
      </c>
      <c r="U210" s="13">
        <f t="shared" si="76"/>
        <v>1</v>
      </c>
      <c r="V210" s="13">
        <f t="shared" si="77"/>
        <v>2</v>
      </c>
      <c r="W210" s="13">
        <f t="shared" ca="1" si="78"/>
        <v>3</v>
      </c>
      <c r="X210" s="13">
        <f t="shared" ca="1" si="79"/>
        <v>7</v>
      </c>
      <c r="Y210" s="61" t="str">
        <f t="shared" ca="1" si="80"/>
        <v>MONITOR</v>
      </c>
      <c r="Z210" s="51">
        <v>14</v>
      </c>
      <c r="AA210" s="53">
        <v>46059</v>
      </c>
      <c r="AB210" s="53">
        <f t="shared" si="81"/>
        <v>45920</v>
      </c>
      <c r="AC210" s="72">
        <f t="shared" si="82"/>
        <v>19.857142857142858</v>
      </c>
      <c r="AD210" s="67" t="str">
        <f t="shared" ca="1" si="83"/>
        <v>STABLE</v>
      </c>
      <c r="AE210" s="67" t="str">
        <f t="shared" si="84"/>
        <v>SLOW SELLING</v>
      </c>
      <c r="AF210" s="67" t="str">
        <f t="shared" si="85"/>
        <v>AT RISK</v>
      </c>
      <c r="AG210" s="67" t="str">
        <f t="shared" si="86"/>
        <v>FEASIBLE</v>
      </c>
      <c r="AH210" s="73" t="str">
        <f t="shared" ca="1" si="87"/>
        <v>MONITOR</v>
      </c>
    </row>
    <row r="211" spans="1:34" x14ac:dyDescent="0.35">
      <c r="A211" s="25" t="s">
        <v>225</v>
      </c>
      <c r="B211" s="10" t="s">
        <v>316</v>
      </c>
      <c r="C211" s="10" t="s">
        <v>345</v>
      </c>
      <c r="D211" s="10" t="s">
        <v>346</v>
      </c>
      <c r="E211" s="11">
        <v>45920</v>
      </c>
      <c r="F211" s="17">
        <v>45892</v>
      </c>
      <c r="G211" s="14">
        <f t="shared" ca="1" si="66"/>
        <v>207</v>
      </c>
      <c r="H211" s="17">
        <v>799</v>
      </c>
      <c r="I211" s="17">
        <v>380</v>
      </c>
      <c r="J211" s="53">
        <f t="shared" si="67"/>
        <v>850</v>
      </c>
      <c r="K211" s="17">
        <v>1000</v>
      </c>
      <c r="L211" s="66">
        <v>150</v>
      </c>
      <c r="M211" s="52">
        <f t="shared" ca="1" si="68"/>
        <v>0.72463768115942029</v>
      </c>
      <c r="N211" s="50">
        <f t="shared" si="69"/>
        <v>0.73224085365853642</v>
      </c>
      <c r="O211" s="52">
        <f t="shared" si="70"/>
        <v>0.45731707317073172</v>
      </c>
      <c r="P211" s="56">
        <f t="shared" si="71"/>
        <v>37.5</v>
      </c>
      <c r="Q211" s="54">
        <f t="shared" si="72"/>
        <v>22.666666666666668</v>
      </c>
      <c r="R211" s="55">
        <f t="shared" si="73"/>
        <v>52.440550688360453</v>
      </c>
      <c r="S211" s="55">
        <f t="shared" si="74"/>
        <v>15</v>
      </c>
      <c r="T211" s="13">
        <f t="shared" si="75"/>
        <v>1</v>
      </c>
      <c r="U211" s="13">
        <f t="shared" si="76"/>
        <v>1</v>
      </c>
      <c r="V211" s="13">
        <f t="shared" si="77"/>
        <v>2</v>
      </c>
      <c r="W211" s="13">
        <f t="shared" ca="1" si="78"/>
        <v>3</v>
      </c>
      <c r="X211" s="13">
        <f t="shared" ca="1" si="79"/>
        <v>7</v>
      </c>
      <c r="Y211" s="61" t="str">
        <f t="shared" ca="1" si="80"/>
        <v>MONITOR</v>
      </c>
      <c r="Z211" s="51">
        <v>14</v>
      </c>
      <c r="AA211" s="53">
        <v>46059</v>
      </c>
      <c r="AB211" s="53">
        <f t="shared" si="81"/>
        <v>45920</v>
      </c>
      <c r="AC211" s="72">
        <f t="shared" si="82"/>
        <v>19.857142857142858</v>
      </c>
      <c r="AD211" s="67" t="str">
        <f t="shared" ca="1" si="83"/>
        <v>STABLE</v>
      </c>
      <c r="AE211" s="67" t="str">
        <f t="shared" si="84"/>
        <v>SLOW SELLING</v>
      </c>
      <c r="AF211" s="67" t="str">
        <f t="shared" si="85"/>
        <v>AT RISK</v>
      </c>
      <c r="AG211" s="67" t="str">
        <f t="shared" si="86"/>
        <v>FEASIBLE</v>
      </c>
      <c r="AH211" s="73" t="str">
        <f t="shared" ca="1" si="87"/>
        <v>MONITOR</v>
      </c>
    </row>
    <row r="212" spans="1:34" x14ac:dyDescent="0.35">
      <c r="A212" s="25" t="s">
        <v>226</v>
      </c>
      <c r="B212" s="10" t="s">
        <v>316</v>
      </c>
      <c r="C212" s="10" t="s">
        <v>345</v>
      </c>
      <c r="D212" s="10" t="s">
        <v>346</v>
      </c>
      <c r="E212" s="11">
        <v>45920</v>
      </c>
      <c r="F212" s="17">
        <v>45892</v>
      </c>
      <c r="G212" s="14">
        <f t="shared" ca="1" si="66"/>
        <v>207</v>
      </c>
      <c r="H212" s="17">
        <v>799</v>
      </c>
      <c r="I212" s="17">
        <v>380</v>
      </c>
      <c r="J212" s="53">
        <f t="shared" si="67"/>
        <v>538</v>
      </c>
      <c r="K212" s="17">
        <v>1000</v>
      </c>
      <c r="L212" s="66">
        <v>462</v>
      </c>
      <c r="M212" s="52">
        <f t="shared" ca="1" si="68"/>
        <v>2.2318840579710146</v>
      </c>
      <c r="N212" s="50">
        <f t="shared" si="69"/>
        <v>0.73224085365853642</v>
      </c>
      <c r="O212" s="52">
        <f t="shared" si="70"/>
        <v>1.4085365853658536</v>
      </c>
      <c r="P212" s="56">
        <f t="shared" si="71"/>
        <v>115.5</v>
      </c>
      <c r="Q212" s="54">
        <f t="shared" si="72"/>
        <v>4.6580086580086579</v>
      </c>
      <c r="R212" s="55">
        <f t="shared" si="73"/>
        <v>52.440550688360453</v>
      </c>
      <c r="S212" s="55">
        <f t="shared" si="74"/>
        <v>46.2</v>
      </c>
      <c r="T212" s="13">
        <f t="shared" si="75"/>
        <v>3</v>
      </c>
      <c r="U212" s="13">
        <f t="shared" si="76"/>
        <v>2</v>
      </c>
      <c r="V212" s="13">
        <f t="shared" si="77"/>
        <v>2</v>
      </c>
      <c r="W212" s="13">
        <f t="shared" ca="1" si="78"/>
        <v>3</v>
      </c>
      <c r="X212" s="13">
        <f t="shared" ca="1" si="79"/>
        <v>10</v>
      </c>
      <c r="Y212" s="61" t="str">
        <f t="shared" ca="1" si="80"/>
        <v>RE-BUY</v>
      </c>
      <c r="Z212" s="51">
        <v>14</v>
      </c>
      <c r="AA212" s="53">
        <v>46059</v>
      </c>
      <c r="AB212" s="53">
        <f t="shared" si="81"/>
        <v>45920</v>
      </c>
      <c r="AC212" s="72">
        <f t="shared" si="82"/>
        <v>19.857142857142858</v>
      </c>
      <c r="AD212" s="67" t="str">
        <f t="shared" ca="1" si="83"/>
        <v>STABLE</v>
      </c>
      <c r="AE212" s="67" t="str">
        <f t="shared" si="84"/>
        <v>FAST SELLING</v>
      </c>
      <c r="AF212" s="67" t="str">
        <f t="shared" si="85"/>
        <v>AT RISK</v>
      </c>
      <c r="AG212" s="67" t="str">
        <f t="shared" si="86"/>
        <v>FEASIBLE</v>
      </c>
      <c r="AH212" s="73" t="str">
        <f t="shared" ca="1" si="87"/>
        <v>IMMEDIATE REBUY</v>
      </c>
    </row>
    <row r="213" spans="1:34" x14ac:dyDescent="0.35">
      <c r="A213" s="25" t="s">
        <v>227</v>
      </c>
      <c r="B213" s="10" t="s">
        <v>316</v>
      </c>
      <c r="C213" s="10" t="s">
        <v>345</v>
      </c>
      <c r="D213" s="10" t="s">
        <v>346</v>
      </c>
      <c r="E213" s="11">
        <v>45878</v>
      </c>
      <c r="F213" s="17">
        <v>45892</v>
      </c>
      <c r="G213" s="14">
        <f t="shared" ca="1" si="66"/>
        <v>207</v>
      </c>
      <c r="H213" s="17">
        <v>699</v>
      </c>
      <c r="I213" s="17">
        <v>380</v>
      </c>
      <c r="J213" s="53">
        <f t="shared" si="67"/>
        <v>677</v>
      </c>
      <c r="K213" s="17">
        <v>1000</v>
      </c>
      <c r="L213" s="66">
        <v>323</v>
      </c>
      <c r="M213" s="52">
        <f t="shared" ca="1" si="68"/>
        <v>1.5603864734299517</v>
      </c>
      <c r="N213" s="50">
        <f t="shared" si="69"/>
        <v>0.73224085365853642</v>
      </c>
      <c r="O213" s="52">
        <f t="shared" si="70"/>
        <v>0.9847560975609756</v>
      </c>
      <c r="P213" s="56">
        <f t="shared" si="71"/>
        <v>80.75</v>
      </c>
      <c r="Q213" s="54">
        <f t="shared" si="72"/>
        <v>8.3839009287925705</v>
      </c>
      <c r="R213" s="55">
        <f t="shared" si="73"/>
        <v>45.636623748211733</v>
      </c>
      <c r="S213" s="55">
        <f t="shared" si="74"/>
        <v>32.300000000000004</v>
      </c>
      <c r="T213" s="13">
        <f t="shared" si="75"/>
        <v>3</v>
      </c>
      <c r="U213" s="13">
        <f t="shared" si="76"/>
        <v>1</v>
      </c>
      <c r="V213" s="13">
        <f t="shared" si="77"/>
        <v>2</v>
      </c>
      <c r="W213" s="13">
        <f t="shared" ca="1" si="78"/>
        <v>3</v>
      </c>
      <c r="X213" s="13">
        <f t="shared" ca="1" si="79"/>
        <v>9</v>
      </c>
      <c r="Y213" s="61" t="str">
        <f t="shared" ca="1" si="80"/>
        <v>RE-BUY</v>
      </c>
      <c r="Z213" s="51">
        <v>14</v>
      </c>
      <c r="AA213" s="53">
        <v>46059</v>
      </c>
      <c r="AB213" s="53">
        <f t="shared" si="81"/>
        <v>45920</v>
      </c>
      <c r="AC213" s="72">
        <f t="shared" si="82"/>
        <v>19.857142857142858</v>
      </c>
      <c r="AD213" s="67" t="str">
        <f t="shared" ca="1" si="83"/>
        <v>STABLE</v>
      </c>
      <c r="AE213" s="67" t="str">
        <f t="shared" si="84"/>
        <v>FAST SELLING</v>
      </c>
      <c r="AF213" s="67" t="str">
        <f t="shared" si="85"/>
        <v>AT RISK</v>
      </c>
      <c r="AG213" s="67" t="str">
        <f t="shared" si="86"/>
        <v>FEASIBLE</v>
      </c>
      <c r="AH213" s="73" t="str">
        <f t="shared" ca="1" si="87"/>
        <v>IMMEDIATE REBUY</v>
      </c>
    </row>
    <row r="214" spans="1:34" x14ac:dyDescent="0.35">
      <c r="A214" s="25" t="s">
        <v>228</v>
      </c>
      <c r="B214" s="10" t="s">
        <v>316</v>
      </c>
      <c r="C214" s="10" t="s">
        <v>345</v>
      </c>
      <c r="D214" s="10" t="s">
        <v>346</v>
      </c>
      <c r="E214" s="11">
        <v>45878</v>
      </c>
      <c r="F214" s="17">
        <v>45892</v>
      </c>
      <c r="G214" s="14">
        <f t="shared" ca="1" si="66"/>
        <v>207</v>
      </c>
      <c r="H214" s="17">
        <v>699</v>
      </c>
      <c r="I214" s="17">
        <v>380</v>
      </c>
      <c r="J214" s="53">
        <f t="shared" si="67"/>
        <v>708</v>
      </c>
      <c r="K214" s="17">
        <v>1000</v>
      </c>
      <c r="L214" s="66">
        <v>292</v>
      </c>
      <c r="M214" s="52">
        <f t="shared" ca="1" si="68"/>
        <v>1.4106280193236715</v>
      </c>
      <c r="N214" s="50">
        <f t="shared" si="69"/>
        <v>0.73224085365853642</v>
      </c>
      <c r="O214" s="52">
        <f t="shared" si="70"/>
        <v>0.8902439024390244</v>
      </c>
      <c r="P214" s="56">
        <f t="shared" si="71"/>
        <v>73</v>
      </c>
      <c r="Q214" s="54">
        <f t="shared" si="72"/>
        <v>9.6986301369863011</v>
      </c>
      <c r="R214" s="55">
        <f t="shared" si="73"/>
        <v>45.636623748211733</v>
      </c>
      <c r="S214" s="55">
        <f t="shared" si="74"/>
        <v>29.2</v>
      </c>
      <c r="T214" s="13">
        <f t="shared" si="75"/>
        <v>3</v>
      </c>
      <c r="U214" s="13">
        <f t="shared" si="76"/>
        <v>1</v>
      </c>
      <c r="V214" s="13">
        <f t="shared" si="77"/>
        <v>2</v>
      </c>
      <c r="W214" s="13">
        <f t="shared" ca="1" si="78"/>
        <v>3</v>
      </c>
      <c r="X214" s="13">
        <f t="shared" ca="1" si="79"/>
        <v>9</v>
      </c>
      <c r="Y214" s="61" t="str">
        <f t="shared" ca="1" si="80"/>
        <v>RE-BUY</v>
      </c>
      <c r="Z214" s="51">
        <v>14</v>
      </c>
      <c r="AA214" s="53">
        <v>46059</v>
      </c>
      <c r="AB214" s="53">
        <f t="shared" si="81"/>
        <v>45920</v>
      </c>
      <c r="AC214" s="72">
        <f t="shared" si="82"/>
        <v>19.857142857142858</v>
      </c>
      <c r="AD214" s="67" t="str">
        <f t="shared" ca="1" si="83"/>
        <v>STABLE</v>
      </c>
      <c r="AE214" s="67" t="str">
        <f t="shared" si="84"/>
        <v>FAST SELLING</v>
      </c>
      <c r="AF214" s="67" t="str">
        <f t="shared" si="85"/>
        <v>AT RISK</v>
      </c>
      <c r="AG214" s="67" t="str">
        <f t="shared" si="86"/>
        <v>FEASIBLE</v>
      </c>
      <c r="AH214" s="73" t="str">
        <f t="shared" ca="1" si="87"/>
        <v>IMMEDIATE REBUY</v>
      </c>
    </row>
    <row r="215" spans="1:34" x14ac:dyDescent="0.35">
      <c r="A215" s="25" t="s">
        <v>229</v>
      </c>
      <c r="B215" s="10" t="s">
        <v>327</v>
      </c>
      <c r="C215" s="10" t="s">
        <v>345</v>
      </c>
      <c r="D215" s="10" t="s">
        <v>346</v>
      </c>
      <c r="E215" s="11">
        <v>45864</v>
      </c>
      <c r="F215" s="17">
        <v>45892</v>
      </c>
      <c r="G215" s="14">
        <f t="shared" ca="1" si="66"/>
        <v>207</v>
      </c>
      <c r="H215" s="17">
        <v>799</v>
      </c>
      <c r="I215" s="17">
        <v>400</v>
      </c>
      <c r="J215" s="53">
        <f t="shared" si="67"/>
        <v>833</v>
      </c>
      <c r="K215" s="17">
        <v>1050</v>
      </c>
      <c r="L215" s="66">
        <v>217</v>
      </c>
      <c r="M215" s="52">
        <f t="shared" ca="1" si="68"/>
        <v>1.0483091787439613</v>
      </c>
      <c r="N215" s="50">
        <f t="shared" si="69"/>
        <v>0.73224085365853642</v>
      </c>
      <c r="O215" s="52">
        <f t="shared" si="70"/>
        <v>0.66158536585365857</v>
      </c>
      <c r="P215" s="56">
        <f t="shared" si="71"/>
        <v>54.25</v>
      </c>
      <c r="Q215" s="54">
        <f t="shared" si="72"/>
        <v>15.35483870967742</v>
      </c>
      <c r="R215" s="55">
        <f t="shared" si="73"/>
        <v>49.937421777221523</v>
      </c>
      <c r="S215" s="55">
        <f t="shared" si="74"/>
        <v>20.666666666666668</v>
      </c>
      <c r="T215" s="13">
        <f t="shared" si="75"/>
        <v>2</v>
      </c>
      <c r="U215" s="13">
        <f t="shared" si="76"/>
        <v>1</v>
      </c>
      <c r="V215" s="13">
        <f t="shared" si="77"/>
        <v>2</v>
      </c>
      <c r="W215" s="13">
        <f t="shared" ca="1" si="78"/>
        <v>3</v>
      </c>
      <c r="X215" s="13">
        <f t="shared" ca="1" si="79"/>
        <v>8</v>
      </c>
      <c r="Y215" s="61" t="str">
        <f t="shared" ca="1" si="80"/>
        <v>MONITOR</v>
      </c>
      <c r="Z215" s="51">
        <v>14</v>
      </c>
      <c r="AA215" s="53">
        <v>46059</v>
      </c>
      <c r="AB215" s="53">
        <f t="shared" si="81"/>
        <v>45920</v>
      </c>
      <c r="AC215" s="72">
        <f t="shared" si="82"/>
        <v>19.857142857142858</v>
      </c>
      <c r="AD215" s="67" t="str">
        <f t="shared" ca="1" si="83"/>
        <v>STABLE</v>
      </c>
      <c r="AE215" s="67" t="str">
        <f t="shared" si="84"/>
        <v>SLOW SELLING</v>
      </c>
      <c r="AF215" s="67" t="str">
        <f t="shared" si="85"/>
        <v>AT RISK</v>
      </c>
      <c r="AG215" s="67" t="str">
        <f t="shared" si="86"/>
        <v>FEASIBLE</v>
      </c>
      <c r="AH215" s="73" t="str">
        <f t="shared" ca="1" si="87"/>
        <v>MONITOR</v>
      </c>
    </row>
    <row r="216" spans="1:34" x14ac:dyDescent="0.35">
      <c r="A216" s="25" t="s">
        <v>230</v>
      </c>
      <c r="B216" s="15" t="s">
        <v>329</v>
      </c>
      <c r="C216" s="10" t="s">
        <v>345</v>
      </c>
      <c r="D216" s="10" t="s">
        <v>346</v>
      </c>
      <c r="E216" s="11">
        <v>45871</v>
      </c>
      <c r="F216" s="17">
        <v>45892</v>
      </c>
      <c r="G216" s="14">
        <f t="shared" ca="1" si="66"/>
        <v>207</v>
      </c>
      <c r="H216" s="17">
        <v>599</v>
      </c>
      <c r="I216" s="17">
        <v>315</v>
      </c>
      <c r="J216" s="53">
        <f t="shared" si="67"/>
        <v>1178</v>
      </c>
      <c r="K216" s="17">
        <v>1450</v>
      </c>
      <c r="L216" s="66">
        <v>272</v>
      </c>
      <c r="M216" s="52">
        <f t="shared" ca="1" si="68"/>
        <v>1.3140096618357489</v>
      </c>
      <c r="N216" s="50">
        <f t="shared" si="69"/>
        <v>0.73224085365853642</v>
      </c>
      <c r="O216" s="52">
        <f t="shared" si="70"/>
        <v>0.82926829268292679</v>
      </c>
      <c r="P216" s="56">
        <f t="shared" si="71"/>
        <v>68</v>
      </c>
      <c r="Q216" s="54">
        <f t="shared" si="72"/>
        <v>17.323529411764707</v>
      </c>
      <c r="R216" s="55">
        <f t="shared" si="73"/>
        <v>47.412353923205345</v>
      </c>
      <c r="S216" s="55">
        <f t="shared" si="74"/>
        <v>18.758620689655174</v>
      </c>
      <c r="T216" s="13">
        <f t="shared" si="75"/>
        <v>3</v>
      </c>
      <c r="U216" s="13">
        <f t="shared" si="76"/>
        <v>1</v>
      </c>
      <c r="V216" s="13">
        <f t="shared" si="77"/>
        <v>2</v>
      </c>
      <c r="W216" s="13">
        <f t="shared" ca="1" si="78"/>
        <v>3</v>
      </c>
      <c r="X216" s="13">
        <f t="shared" ca="1" si="79"/>
        <v>9</v>
      </c>
      <c r="Y216" s="61" t="str">
        <f t="shared" ca="1" si="80"/>
        <v>RE-BUY</v>
      </c>
      <c r="Z216" s="51">
        <v>14</v>
      </c>
      <c r="AA216" s="53">
        <v>46059</v>
      </c>
      <c r="AB216" s="53">
        <f t="shared" si="81"/>
        <v>45920</v>
      </c>
      <c r="AC216" s="72">
        <f t="shared" si="82"/>
        <v>19.857142857142858</v>
      </c>
      <c r="AD216" s="67" t="str">
        <f t="shared" ca="1" si="83"/>
        <v>STABLE</v>
      </c>
      <c r="AE216" s="67" t="str">
        <f t="shared" si="84"/>
        <v>FAST SELLING</v>
      </c>
      <c r="AF216" s="67" t="str">
        <f t="shared" si="85"/>
        <v>AT RISK</v>
      </c>
      <c r="AG216" s="67" t="str">
        <f t="shared" si="86"/>
        <v>FEASIBLE</v>
      </c>
      <c r="AH216" s="73" t="str">
        <f t="shared" ca="1" si="87"/>
        <v>IMMEDIATE REBUY</v>
      </c>
    </row>
    <row r="217" spans="1:34" x14ac:dyDescent="0.35">
      <c r="A217" s="25" t="s">
        <v>231</v>
      </c>
      <c r="B217" s="10" t="s">
        <v>316</v>
      </c>
      <c r="C217" s="10" t="s">
        <v>345</v>
      </c>
      <c r="D217" s="10" t="s">
        <v>346</v>
      </c>
      <c r="E217" s="11">
        <v>45871</v>
      </c>
      <c r="F217" s="17">
        <v>45892</v>
      </c>
      <c r="G217" s="14">
        <f t="shared" ca="1" si="66"/>
        <v>207</v>
      </c>
      <c r="H217" s="17">
        <v>799</v>
      </c>
      <c r="I217" s="17">
        <v>400</v>
      </c>
      <c r="J217" s="53">
        <f t="shared" si="67"/>
        <v>1357</v>
      </c>
      <c r="K217" s="17">
        <v>1450</v>
      </c>
      <c r="L217" s="66">
        <v>93</v>
      </c>
      <c r="M217" s="52">
        <f t="shared" ca="1" si="68"/>
        <v>0.44927536231884058</v>
      </c>
      <c r="N217" s="50">
        <f t="shared" si="69"/>
        <v>0.73224085365853642</v>
      </c>
      <c r="O217" s="52">
        <f t="shared" si="70"/>
        <v>0.28353658536585363</v>
      </c>
      <c r="P217" s="56">
        <f t="shared" si="71"/>
        <v>23.249999999999996</v>
      </c>
      <c r="Q217" s="54">
        <f t="shared" si="72"/>
        <v>58.365591397849471</v>
      </c>
      <c r="R217" s="55">
        <f t="shared" si="73"/>
        <v>49.937421777221523</v>
      </c>
      <c r="S217" s="55">
        <f t="shared" si="74"/>
        <v>6.4137931034482758</v>
      </c>
      <c r="T217" s="13">
        <f t="shared" si="75"/>
        <v>1</v>
      </c>
      <c r="U217" s="13">
        <f t="shared" si="76"/>
        <v>1</v>
      </c>
      <c r="V217" s="13">
        <f t="shared" si="77"/>
        <v>2</v>
      </c>
      <c r="W217" s="13">
        <f t="shared" ca="1" si="78"/>
        <v>3</v>
      </c>
      <c r="X217" s="13">
        <f t="shared" ca="1" si="79"/>
        <v>7</v>
      </c>
      <c r="Y217" s="61" t="str">
        <f t="shared" ca="1" si="80"/>
        <v>MONITOR</v>
      </c>
      <c r="Z217" s="51">
        <v>14</v>
      </c>
      <c r="AA217" s="53">
        <v>46059</v>
      </c>
      <c r="AB217" s="53">
        <f t="shared" si="81"/>
        <v>45920</v>
      </c>
      <c r="AC217" s="72">
        <f t="shared" si="82"/>
        <v>19.857142857142858</v>
      </c>
      <c r="AD217" s="67" t="str">
        <f t="shared" ca="1" si="83"/>
        <v>STABLE</v>
      </c>
      <c r="AE217" s="67" t="str">
        <f t="shared" si="84"/>
        <v>SLOW SELLING</v>
      </c>
      <c r="AF217" s="67" t="str">
        <f t="shared" si="85"/>
        <v>AT RISK</v>
      </c>
      <c r="AG217" s="67" t="str">
        <f t="shared" si="86"/>
        <v>FEASIBLE</v>
      </c>
      <c r="AH217" s="73" t="str">
        <f t="shared" ca="1" si="87"/>
        <v>MONITOR</v>
      </c>
    </row>
    <row r="218" spans="1:34" x14ac:dyDescent="0.35">
      <c r="A218" s="25" t="s">
        <v>232</v>
      </c>
      <c r="B218" s="10" t="s">
        <v>327</v>
      </c>
      <c r="C218" s="10" t="s">
        <v>345</v>
      </c>
      <c r="D218" s="10" t="s">
        <v>346</v>
      </c>
      <c r="E218" s="11">
        <v>45864</v>
      </c>
      <c r="F218" s="17">
        <v>45892</v>
      </c>
      <c r="G218" s="14">
        <f t="shared" ca="1" si="66"/>
        <v>207</v>
      </c>
      <c r="H218" s="17">
        <v>799</v>
      </c>
      <c r="I218" s="17">
        <v>400</v>
      </c>
      <c r="J218" s="53">
        <f t="shared" si="67"/>
        <v>608</v>
      </c>
      <c r="K218" s="17">
        <v>750</v>
      </c>
      <c r="L218" s="66">
        <v>142</v>
      </c>
      <c r="M218" s="52">
        <f t="shared" ca="1" si="68"/>
        <v>0.68599033816425126</v>
      </c>
      <c r="N218" s="50">
        <f t="shared" si="69"/>
        <v>0.73224085365853642</v>
      </c>
      <c r="O218" s="52">
        <f t="shared" si="70"/>
        <v>0.43292682926829268</v>
      </c>
      <c r="P218" s="56">
        <f t="shared" si="71"/>
        <v>35.5</v>
      </c>
      <c r="Q218" s="54">
        <f t="shared" si="72"/>
        <v>17.12676056338028</v>
      </c>
      <c r="R218" s="55">
        <f t="shared" si="73"/>
        <v>49.937421777221523</v>
      </c>
      <c r="S218" s="55">
        <f t="shared" si="74"/>
        <v>18.933333333333334</v>
      </c>
      <c r="T218" s="13">
        <f t="shared" si="75"/>
        <v>1</v>
      </c>
      <c r="U218" s="13">
        <f t="shared" si="76"/>
        <v>1</v>
      </c>
      <c r="V218" s="13">
        <f t="shared" si="77"/>
        <v>2</v>
      </c>
      <c r="W218" s="13">
        <f t="shared" ca="1" si="78"/>
        <v>3</v>
      </c>
      <c r="X218" s="13">
        <f t="shared" ca="1" si="79"/>
        <v>7</v>
      </c>
      <c r="Y218" s="61" t="str">
        <f t="shared" ca="1" si="80"/>
        <v>MONITOR</v>
      </c>
      <c r="Z218" s="51">
        <v>14</v>
      </c>
      <c r="AA218" s="53">
        <v>46059</v>
      </c>
      <c r="AB218" s="53">
        <f t="shared" si="81"/>
        <v>45920</v>
      </c>
      <c r="AC218" s="72">
        <f t="shared" si="82"/>
        <v>19.857142857142858</v>
      </c>
      <c r="AD218" s="67" t="str">
        <f t="shared" ca="1" si="83"/>
        <v>STABLE</v>
      </c>
      <c r="AE218" s="67" t="str">
        <f t="shared" si="84"/>
        <v>SLOW SELLING</v>
      </c>
      <c r="AF218" s="67" t="str">
        <f t="shared" si="85"/>
        <v>AT RISK</v>
      </c>
      <c r="AG218" s="67" t="str">
        <f t="shared" si="86"/>
        <v>FEASIBLE</v>
      </c>
      <c r="AH218" s="73" t="str">
        <f t="shared" ca="1" si="87"/>
        <v>MONITOR</v>
      </c>
    </row>
    <row r="219" spans="1:34" x14ac:dyDescent="0.35">
      <c r="A219" s="25" t="s">
        <v>233</v>
      </c>
      <c r="B219" s="10" t="s">
        <v>327</v>
      </c>
      <c r="C219" s="10" t="s">
        <v>345</v>
      </c>
      <c r="D219" s="10" t="s">
        <v>346</v>
      </c>
      <c r="E219" s="11">
        <v>45892</v>
      </c>
      <c r="F219" s="17">
        <v>45892</v>
      </c>
      <c r="G219" s="14">
        <f t="shared" ca="1" si="66"/>
        <v>207</v>
      </c>
      <c r="H219" s="17">
        <v>799</v>
      </c>
      <c r="I219" s="17">
        <v>400</v>
      </c>
      <c r="J219" s="53">
        <f t="shared" si="67"/>
        <v>632</v>
      </c>
      <c r="K219" s="17">
        <v>750</v>
      </c>
      <c r="L219" s="66">
        <v>118</v>
      </c>
      <c r="M219" s="52">
        <f t="shared" ca="1" si="68"/>
        <v>0.57004830917874394</v>
      </c>
      <c r="N219" s="50">
        <f t="shared" si="69"/>
        <v>0.73224085365853642</v>
      </c>
      <c r="O219" s="52">
        <f t="shared" si="70"/>
        <v>0.3597560975609756</v>
      </c>
      <c r="P219" s="56">
        <f t="shared" si="71"/>
        <v>29.5</v>
      </c>
      <c r="Q219" s="54">
        <f t="shared" si="72"/>
        <v>21.423728813559322</v>
      </c>
      <c r="R219" s="55">
        <f t="shared" si="73"/>
        <v>49.937421777221523</v>
      </c>
      <c r="S219" s="55">
        <f t="shared" si="74"/>
        <v>15.733333333333333</v>
      </c>
      <c r="T219" s="13">
        <f t="shared" si="75"/>
        <v>1</v>
      </c>
      <c r="U219" s="13">
        <f t="shared" si="76"/>
        <v>1</v>
      </c>
      <c r="V219" s="13">
        <f t="shared" si="77"/>
        <v>2</v>
      </c>
      <c r="W219" s="13">
        <f t="shared" ca="1" si="78"/>
        <v>3</v>
      </c>
      <c r="X219" s="13">
        <f t="shared" ca="1" si="79"/>
        <v>7</v>
      </c>
      <c r="Y219" s="61" t="str">
        <f t="shared" ca="1" si="80"/>
        <v>MONITOR</v>
      </c>
      <c r="Z219" s="51">
        <v>14</v>
      </c>
      <c r="AA219" s="53">
        <v>46059</v>
      </c>
      <c r="AB219" s="53">
        <f t="shared" si="81"/>
        <v>45920</v>
      </c>
      <c r="AC219" s="72">
        <f t="shared" si="82"/>
        <v>19.857142857142858</v>
      </c>
      <c r="AD219" s="67" t="str">
        <f t="shared" ca="1" si="83"/>
        <v>STABLE</v>
      </c>
      <c r="AE219" s="67" t="str">
        <f t="shared" si="84"/>
        <v>SLOW SELLING</v>
      </c>
      <c r="AF219" s="67" t="str">
        <f t="shared" si="85"/>
        <v>AT RISK</v>
      </c>
      <c r="AG219" s="67" t="str">
        <f t="shared" si="86"/>
        <v>FEASIBLE</v>
      </c>
      <c r="AH219" s="73" t="str">
        <f t="shared" ca="1" si="87"/>
        <v>MONITOR</v>
      </c>
    </row>
    <row r="220" spans="1:34" x14ac:dyDescent="0.35">
      <c r="A220" s="25" t="s">
        <v>234</v>
      </c>
      <c r="B220" s="10" t="s">
        <v>327</v>
      </c>
      <c r="C220" s="10" t="s">
        <v>345</v>
      </c>
      <c r="D220" s="10" t="s">
        <v>346</v>
      </c>
      <c r="E220" s="11">
        <v>45920</v>
      </c>
      <c r="F220" s="17">
        <v>45892</v>
      </c>
      <c r="G220" s="14">
        <f t="shared" ca="1" si="66"/>
        <v>207</v>
      </c>
      <c r="H220" s="17">
        <v>799</v>
      </c>
      <c r="I220" s="17">
        <v>400</v>
      </c>
      <c r="J220" s="53">
        <f t="shared" si="67"/>
        <v>791</v>
      </c>
      <c r="K220" s="17">
        <v>1050</v>
      </c>
      <c r="L220" s="66">
        <v>259</v>
      </c>
      <c r="M220" s="52">
        <f t="shared" ca="1" si="68"/>
        <v>1.251207729468599</v>
      </c>
      <c r="N220" s="50">
        <f t="shared" si="69"/>
        <v>0.73224085365853642</v>
      </c>
      <c r="O220" s="52">
        <f t="shared" si="70"/>
        <v>0.78963414634146345</v>
      </c>
      <c r="P220" s="56">
        <f t="shared" si="71"/>
        <v>64.75</v>
      </c>
      <c r="Q220" s="54">
        <f t="shared" si="72"/>
        <v>12.216216216216216</v>
      </c>
      <c r="R220" s="55">
        <f t="shared" si="73"/>
        <v>49.937421777221523</v>
      </c>
      <c r="S220" s="55">
        <f t="shared" si="74"/>
        <v>24.666666666666668</v>
      </c>
      <c r="T220" s="13">
        <f t="shared" si="75"/>
        <v>3</v>
      </c>
      <c r="U220" s="13">
        <f t="shared" si="76"/>
        <v>1</v>
      </c>
      <c r="V220" s="13">
        <f t="shared" si="77"/>
        <v>2</v>
      </c>
      <c r="W220" s="13">
        <f t="shared" ca="1" si="78"/>
        <v>3</v>
      </c>
      <c r="X220" s="13">
        <f t="shared" ca="1" si="79"/>
        <v>9</v>
      </c>
      <c r="Y220" s="61" t="str">
        <f t="shared" ca="1" si="80"/>
        <v>RE-BUY</v>
      </c>
      <c r="Z220" s="51">
        <v>14</v>
      </c>
      <c r="AA220" s="53">
        <v>46059</v>
      </c>
      <c r="AB220" s="53">
        <f t="shared" si="81"/>
        <v>45920</v>
      </c>
      <c r="AC220" s="72">
        <f t="shared" si="82"/>
        <v>19.857142857142858</v>
      </c>
      <c r="AD220" s="67" t="str">
        <f t="shared" ca="1" si="83"/>
        <v>STABLE</v>
      </c>
      <c r="AE220" s="67" t="str">
        <f t="shared" si="84"/>
        <v>FAST SELLING</v>
      </c>
      <c r="AF220" s="67" t="str">
        <f t="shared" si="85"/>
        <v>AT RISK</v>
      </c>
      <c r="AG220" s="67" t="str">
        <f t="shared" si="86"/>
        <v>FEASIBLE</v>
      </c>
      <c r="AH220" s="73" t="str">
        <f t="shared" ca="1" si="87"/>
        <v>IMMEDIATE REBUY</v>
      </c>
    </row>
    <row r="221" spans="1:34" x14ac:dyDescent="0.35">
      <c r="A221" s="25" t="s">
        <v>235</v>
      </c>
      <c r="B221" s="10" t="s">
        <v>327</v>
      </c>
      <c r="C221" s="10" t="s">
        <v>345</v>
      </c>
      <c r="D221" s="10" t="s">
        <v>346</v>
      </c>
      <c r="E221" s="11">
        <v>45920</v>
      </c>
      <c r="F221" s="17">
        <v>45892</v>
      </c>
      <c r="G221" s="14">
        <f t="shared" ca="1" si="66"/>
        <v>207</v>
      </c>
      <c r="H221" s="17">
        <v>799</v>
      </c>
      <c r="I221" s="17">
        <v>400</v>
      </c>
      <c r="J221" s="53">
        <f t="shared" si="67"/>
        <v>816</v>
      </c>
      <c r="K221" s="17">
        <v>1050</v>
      </c>
      <c r="L221" s="66">
        <v>234</v>
      </c>
      <c r="M221" s="52">
        <f t="shared" ca="1" si="68"/>
        <v>1.1304347826086956</v>
      </c>
      <c r="N221" s="50">
        <f t="shared" si="69"/>
        <v>0.73224085365853642</v>
      </c>
      <c r="O221" s="52">
        <f t="shared" si="70"/>
        <v>0.71341463414634143</v>
      </c>
      <c r="P221" s="56">
        <f t="shared" si="71"/>
        <v>58.5</v>
      </c>
      <c r="Q221" s="54">
        <f t="shared" si="72"/>
        <v>13.948717948717949</v>
      </c>
      <c r="R221" s="55">
        <f t="shared" si="73"/>
        <v>49.937421777221523</v>
      </c>
      <c r="S221" s="55">
        <f t="shared" si="74"/>
        <v>22.285714285714285</v>
      </c>
      <c r="T221" s="13">
        <f t="shared" si="75"/>
        <v>2</v>
      </c>
      <c r="U221" s="13">
        <f t="shared" si="76"/>
        <v>1</v>
      </c>
      <c r="V221" s="13">
        <f t="shared" si="77"/>
        <v>2</v>
      </c>
      <c r="W221" s="13">
        <f t="shared" ca="1" si="78"/>
        <v>3</v>
      </c>
      <c r="X221" s="13">
        <f t="shared" ca="1" si="79"/>
        <v>8</v>
      </c>
      <c r="Y221" s="61" t="str">
        <f t="shared" ca="1" si="80"/>
        <v>MONITOR</v>
      </c>
      <c r="Z221" s="51">
        <v>14</v>
      </c>
      <c r="AA221" s="53">
        <v>46059</v>
      </c>
      <c r="AB221" s="53">
        <f t="shared" si="81"/>
        <v>45920</v>
      </c>
      <c r="AC221" s="72">
        <f t="shared" si="82"/>
        <v>19.857142857142858</v>
      </c>
      <c r="AD221" s="67" t="str">
        <f t="shared" ca="1" si="83"/>
        <v>STABLE</v>
      </c>
      <c r="AE221" s="67" t="str">
        <f t="shared" si="84"/>
        <v>SLOW SELLING</v>
      </c>
      <c r="AF221" s="67" t="str">
        <f t="shared" si="85"/>
        <v>AT RISK</v>
      </c>
      <c r="AG221" s="67" t="str">
        <f t="shared" si="86"/>
        <v>FEASIBLE</v>
      </c>
      <c r="AH221" s="73" t="str">
        <f t="shared" ca="1" si="87"/>
        <v>MONITOR</v>
      </c>
    </row>
    <row r="222" spans="1:34" x14ac:dyDescent="0.35">
      <c r="A222" s="25" t="s">
        <v>236</v>
      </c>
      <c r="B222" s="10" t="s">
        <v>327</v>
      </c>
      <c r="C222" s="10" t="s">
        <v>345</v>
      </c>
      <c r="D222" s="10" t="s">
        <v>346</v>
      </c>
      <c r="E222" s="11">
        <v>45920</v>
      </c>
      <c r="F222" s="17">
        <v>45892</v>
      </c>
      <c r="G222" s="14">
        <f t="shared" ca="1" si="66"/>
        <v>207</v>
      </c>
      <c r="H222" s="17">
        <v>799</v>
      </c>
      <c r="I222" s="17">
        <v>400</v>
      </c>
      <c r="J222" s="53">
        <f t="shared" si="67"/>
        <v>687</v>
      </c>
      <c r="K222" s="17">
        <v>1050</v>
      </c>
      <c r="L222" s="66">
        <v>363</v>
      </c>
      <c r="M222" s="52">
        <f t="shared" ca="1" si="68"/>
        <v>1.7536231884057971</v>
      </c>
      <c r="N222" s="50">
        <f t="shared" si="69"/>
        <v>0.73224085365853642</v>
      </c>
      <c r="O222" s="52">
        <f t="shared" si="70"/>
        <v>1.1067073170731707</v>
      </c>
      <c r="P222" s="56">
        <f t="shared" si="71"/>
        <v>90.75</v>
      </c>
      <c r="Q222" s="54">
        <f t="shared" si="72"/>
        <v>7.5702479338842972</v>
      </c>
      <c r="R222" s="55">
        <f t="shared" si="73"/>
        <v>49.937421777221523</v>
      </c>
      <c r="S222" s="55">
        <f t="shared" si="74"/>
        <v>34.571428571428569</v>
      </c>
      <c r="T222" s="13">
        <f t="shared" si="75"/>
        <v>3</v>
      </c>
      <c r="U222" s="13">
        <f t="shared" si="76"/>
        <v>1</v>
      </c>
      <c r="V222" s="13">
        <f t="shared" si="77"/>
        <v>2</v>
      </c>
      <c r="W222" s="13">
        <f t="shared" ca="1" si="78"/>
        <v>3</v>
      </c>
      <c r="X222" s="13">
        <f t="shared" ca="1" si="79"/>
        <v>9</v>
      </c>
      <c r="Y222" s="61" t="str">
        <f t="shared" ca="1" si="80"/>
        <v>RE-BUY</v>
      </c>
      <c r="Z222" s="51">
        <v>14</v>
      </c>
      <c r="AA222" s="53">
        <v>46059</v>
      </c>
      <c r="AB222" s="53">
        <f t="shared" si="81"/>
        <v>45920</v>
      </c>
      <c r="AC222" s="72">
        <f t="shared" si="82"/>
        <v>19.857142857142858</v>
      </c>
      <c r="AD222" s="67" t="str">
        <f t="shared" ca="1" si="83"/>
        <v>STABLE</v>
      </c>
      <c r="AE222" s="67" t="str">
        <f t="shared" si="84"/>
        <v>FAST SELLING</v>
      </c>
      <c r="AF222" s="67" t="str">
        <f t="shared" si="85"/>
        <v>AT RISK</v>
      </c>
      <c r="AG222" s="67" t="str">
        <f t="shared" si="86"/>
        <v>FEASIBLE</v>
      </c>
      <c r="AH222" s="73" t="str">
        <f t="shared" ca="1" si="87"/>
        <v>IMMEDIATE REBUY</v>
      </c>
    </row>
    <row r="223" spans="1:34" x14ac:dyDescent="0.35">
      <c r="A223" s="25" t="s">
        <v>237</v>
      </c>
      <c r="B223" s="10" t="s">
        <v>333</v>
      </c>
      <c r="C223" s="10" t="s">
        <v>345</v>
      </c>
      <c r="D223" s="10" t="s">
        <v>346</v>
      </c>
      <c r="E223" s="11">
        <v>45913</v>
      </c>
      <c r="F223" s="17">
        <v>45892</v>
      </c>
      <c r="G223" s="14">
        <f t="shared" ca="1" si="66"/>
        <v>207</v>
      </c>
      <c r="H223" s="17">
        <v>799</v>
      </c>
      <c r="I223" s="17">
        <v>420</v>
      </c>
      <c r="J223" s="53">
        <f t="shared" si="67"/>
        <v>1517</v>
      </c>
      <c r="K223" s="17">
        <v>1750</v>
      </c>
      <c r="L223" s="66">
        <v>233</v>
      </c>
      <c r="M223" s="52">
        <f t="shared" ca="1" si="68"/>
        <v>1.1256038647342994</v>
      </c>
      <c r="N223" s="50">
        <f t="shared" si="69"/>
        <v>0.73224085365853642</v>
      </c>
      <c r="O223" s="52">
        <f t="shared" si="70"/>
        <v>0.71036585365853655</v>
      </c>
      <c r="P223" s="56">
        <f t="shared" si="71"/>
        <v>58.25</v>
      </c>
      <c r="Q223" s="54">
        <f t="shared" si="72"/>
        <v>26.042918454935624</v>
      </c>
      <c r="R223" s="55">
        <f t="shared" si="73"/>
        <v>47.434292866082608</v>
      </c>
      <c r="S223" s="55">
        <f t="shared" si="74"/>
        <v>13.314285714285715</v>
      </c>
      <c r="T223" s="13">
        <f t="shared" si="75"/>
        <v>2</v>
      </c>
      <c r="U223" s="13">
        <f t="shared" si="76"/>
        <v>1</v>
      </c>
      <c r="V223" s="13">
        <f t="shared" si="77"/>
        <v>2</v>
      </c>
      <c r="W223" s="13">
        <f t="shared" ca="1" si="78"/>
        <v>3</v>
      </c>
      <c r="X223" s="13">
        <f t="shared" ca="1" si="79"/>
        <v>8</v>
      </c>
      <c r="Y223" s="61" t="str">
        <f t="shared" ca="1" si="80"/>
        <v>MONITOR</v>
      </c>
      <c r="Z223" s="51">
        <v>14</v>
      </c>
      <c r="AA223" s="53">
        <v>46059</v>
      </c>
      <c r="AB223" s="53">
        <f t="shared" si="81"/>
        <v>45920</v>
      </c>
      <c r="AC223" s="72">
        <f t="shared" si="82"/>
        <v>19.857142857142858</v>
      </c>
      <c r="AD223" s="67" t="str">
        <f t="shared" ca="1" si="83"/>
        <v>STABLE</v>
      </c>
      <c r="AE223" s="67" t="str">
        <f t="shared" si="84"/>
        <v>SLOW SELLING</v>
      </c>
      <c r="AF223" s="67" t="str">
        <f t="shared" si="85"/>
        <v>AT RISK</v>
      </c>
      <c r="AG223" s="67" t="str">
        <f t="shared" si="86"/>
        <v>FEASIBLE</v>
      </c>
      <c r="AH223" s="73" t="str">
        <f t="shared" ca="1" si="87"/>
        <v>MONITOR</v>
      </c>
    </row>
    <row r="224" spans="1:34" x14ac:dyDescent="0.35">
      <c r="A224" s="25" t="s">
        <v>238</v>
      </c>
      <c r="B224" s="10" t="s">
        <v>333</v>
      </c>
      <c r="C224" s="10" t="s">
        <v>345</v>
      </c>
      <c r="D224" s="10" t="s">
        <v>346</v>
      </c>
      <c r="E224" s="11">
        <v>45913</v>
      </c>
      <c r="F224" s="17">
        <v>45892</v>
      </c>
      <c r="G224" s="14">
        <f t="shared" ca="1" si="66"/>
        <v>207</v>
      </c>
      <c r="H224" s="17">
        <v>799</v>
      </c>
      <c r="I224" s="17">
        <v>420</v>
      </c>
      <c r="J224" s="53">
        <f t="shared" si="67"/>
        <v>1320</v>
      </c>
      <c r="K224" s="17">
        <v>1750</v>
      </c>
      <c r="L224" s="66">
        <v>430</v>
      </c>
      <c r="M224" s="52">
        <f t="shared" ca="1" si="68"/>
        <v>2.0772946859903381</v>
      </c>
      <c r="N224" s="50">
        <f t="shared" si="69"/>
        <v>0.73224085365853642</v>
      </c>
      <c r="O224" s="52">
        <f t="shared" si="70"/>
        <v>1.3109756097560976</v>
      </c>
      <c r="P224" s="56">
        <f t="shared" si="71"/>
        <v>107.5</v>
      </c>
      <c r="Q224" s="54">
        <f t="shared" si="72"/>
        <v>12.279069767441861</v>
      </c>
      <c r="R224" s="55">
        <f t="shared" si="73"/>
        <v>47.434292866082608</v>
      </c>
      <c r="S224" s="55">
        <f t="shared" si="74"/>
        <v>24.571428571428573</v>
      </c>
      <c r="T224" s="13">
        <f t="shared" si="75"/>
        <v>3</v>
      </c>
      <c r="U224" s="13">
        <f t="shared" si="76"/>
        <v>1</v>
      </c>
      <c r="V224" s="13">
        <f t="shared" si="77"/>
        <v>2</v>
      </c>
      <c r="W224" s="13">
        <f t="shared" ca="1" si="78"/>
        <v>3</v>
      </c>
      <c r="X224" s="13">
        <f t="shared" ca="1" si="79"/>
        <v>9</v>
      </c>
      <c r="Y224" s="61" t="str">
        <f t="shared" ca="1" si="80"/>
        <v>RE-BUY</v>
      </c>
      <c r="Z224" s="51">
        <v>14</v>
      </c>
      <c r="AA224" s="53">
        <v>46059</v>
      </c>
      <c r="AB224" s="53">
        <f t="shared" si="81"/>
        <v>45920</v>
      </c>
      <c r="AC224" s="72">
        <f t="shared" si="82"/>
        <v>19.857142857142858</v>
      </c>
      <c r="AD224" s="67" t="str">
        <f t="shared" ca="1" si="83"/>
        <v>STABLE</v>
      </c>
      <c r="AE224" s="67" t="str">
        <f t="shared" si="84"/>
        <v>FAST SELLING</v>
      </c>
      <c r="AF224" s="67" t="str">
        <f t="shared" si="85"/>
        <v>AT RISK</v>
      </c>
      <c r="AG224" s="67" t="str">
        <f t="shared" si="86"/>
        <v>FEASIBLE</v>
      </c>
      <c r="AH224" s="73" t="str">
        <f t="shared" ca="1" si="87"/>
        <v>IMMEDIATE REBUY</v>
      </c>
    </row>
    <row r="225" spans="1:34" x14ac:dyDescent="0.35">
      <c r="A225" s="25" t="s">
        <v>239</v>
      </c>
      <c r="B225" s="10" t="s">
        <v>333</v>
      </c>
      <c r="C225" s="10" t="s">
        <v>345</v>
      </c>
      <c r="D225" s="10" t="s">
        <v>346</v>
      </c>
      <c r="E225" s="11">
        <v>45913</v>
      </c>
      <c r="F225" s="17">
        <v>45892</v>
      </c>
      <c r="G225" s="14">
        <f t="shared" ca="1" si="66"/>
        <v>207</v>
      </c>
      <c r="H225" s="17">
        <v>799</v>
      </c>
      <c r="I225" s="17">
        <v>420</v>
      </c>
      <c r="J225" s="53">
        <f t="shared" si="67"/>
        <v>1209</v>
      </c>
      <c r="K225" s="17">
        <v>1600</v>
      </c>
      <c r="L225" s="66">
        <v>391</v>
      </c>
      <c r="M225" s="52">
        <f t="shared" ca="1" si="68"/>
        <v>1.8888888888888888</v>
      </c>
      <c r="N225" s="50">
        <f t="shared" si="69"/>
        <v>0.73224085365853642</v>
      </c>
      <c r="O225" s="52">
        <f t="shared" si="70"/>
        <v>1.1920731707317074</v>
      </c>
      <c r="P225" s="56">
        <f t="shared" si="71"/>
        <v>97.75</v>
      </c>
      <c r="Q225" s="54">
        <f t="shared" si="72"/>
        <v>12.368286445012787</v>
      </c>
      <c r="R225" s="55">
        <f t="shared" si="73"/>
        <v>47.434292866082608</v>
      </c>
      <c r="S225" s="55">
        <f t="shared" si="74"/>
        <v>24.4375</v>
      </c>
      <c r="T225" s="13">
        <f t="shared" si="75"/>
        <v>3</v>
      </c>
      <c r="U225" s="13">
        <f t="shared" si="76"/>
        <v>1</v>
      </c>
      <c r="V225" s="13">
        <f t="shared" si="77"/>
        <v>2</v>
      </c>
      <c r="W225" s="13">
        <f t="shared" ca="1" si="78"/>
        <v>3</v>
      </c>
      <c r="X225" s="13">
        <f t="shared" ca="1" si="79"/>
        <v>9</v>
      </c>
      <c r="Y225" s="61" t="str">
        <f t="shared" ca="1" si="80"/>
        <v>RE-BUY</v>
      </c>
      <c r="Z225" s="51">
        <v>14</v>
      </c>
      <c r="AA225" s="53">
        <v>46059</v>
      </c>
      <c r="AB225" s="53">
        <f t="shared" si="81"/>
        <v>45920</v>
      </c>
      <c r="AC225" s="72">
        <f t="shared" si="82"/>
        <v>19.857142857142858</v>
      </c>
      <c r="AD225" s="67" t="str">
        <f t="shared" ca="1" si="83"/>
        <v>STABLE</v>
      </c>
      <c r="AE225" s="67" t="str">
        <f t="shared" si="84"/>
        <v>FAST SELLING</v>
      </c>
      <c r="AF225" s="67" t="str">
        <f t="shared" si="85"/>
        <v>AT RISK</v>
      </c>
      <c r="AG225" s="67" t="str">
        <f t="shared" si="86"/>
        <v>FEASIBLE</v>
      </c>
      <c r="AH225" s="73" t="str">
        <f t="shared" ca="1" si="87"/>
        <v>IMMEDIATE REBUY</v>
      </c>
    </row>
    <row r="226" spans="1:34" x14ac:dyDescent="0.35">
      <c r="A226" s="25" t="s">
        <v>240</v>
      </c>
      <c r="B226" s="10" t="s">
        <v>333</v>
      </c>
      <c r="C226" s="10" t="s">
        <v>345</v>
      </c>
      <c r="D226" s="10" t="s">
        <v>346</v>
      </c>
      <c r="E226" s="11">
        <v>45962</v>
      </c>
      <c r="F226" s="17">
        <v>45892</v>
      </c>
      <c r="G226" s="14">
        <f t="shared" ca="1" si="66"/>
        <v>207</v>
      </c>
      <c r="H226" s="17">
        <v>799</v>
      </c>
      <c r="I226" s="17">
        <v>420</v>
      </c>
      <c r="J226" s="53">
        <f t="shared" si="67"/>
        <v>827</v>
      </c>
      <c r="K226" s="17">
        <v>1450</v>
      </c>
      <c r="L226" s="66">
        <v>623</v>
      </c>
      <c r="M226" s="52">
        <f t="shared" ca="1" si="68"/>
        <v>3.0096618357487923</v>
      </c>
      <c r="N226" s="50">
        <f t="shared" si="69"/>
        <v>0.73224085365853642</v>
      </c>
      <c r="O226" s="52">
        <f t="shared" si="70"/>
        <v>1.899390243902439</v>
      </c>
      <c r="P226" s="56">
        <f t="shared" si="71"/>
        <v>155.75</v>
      </c>
      <c r="Q226" s="54">
        <f t="shared" si="72"/>
        <v>5.3097913322632424</v>
      </c>
      <c r="R226" s="55">
        <f t="shared" si="73"/>
        <v>47.434292866082608</v>
      </c>
      <c r="S226" s="55">
        <f t="shared" si="74"/>
        <v>42.96551724137931</v>
      </c>
      <c r="T226" s="13">
        <f t="shared" si="75"/>
        <v>3</v>
      </c>
      <c r="U226" s="13">
        <f t="shared" si="76"/>
        <v>2</v>
      </c>
      <c r="V226" s="13">
        <f t="shared" si="77"/>
        <v>2</v>
      </c>
      <c r="W226" s="13">
        <f t="shared" ca="1" si="78"/>
        <v>3</v>
      </c>
      <c r="X226" s="13">
        <f t="shared" ca="1" si="79"/>
        <v>10</v>
      </c>
      <c r="Y226" s="61" t="str">
        <f t="shared" ca="1" si="80"/>
        <v>RE-BUY</v>
      </c>
      <c r="Z226" s="51">
        <v>14</v>
      </c>
      <c r="AA226" s="53">
        <v>46059</v>
      </c>
      <c r="AB226" s="53">
        <f t="shared" si="81"/>
        <v>45920</v>
      </c>
      <c r="AC226" s="72">
        <f t="shared" si="82"/>
        <v>19.857142857142858</v>
      </c>
      <c r="AD226" s="67" t="str">
        <f t="shared" ca="1" si="83"/>
        <v>STABLE</v>
      </c>
      <c r="AE226" s="67" t="str">
        <f t="shared" si="84"/>
        <v>FAST SELLING</v>
      </c>
      <c r="AF226" s="67" t="str">
        <f t="shared" si="85"/>
        <v>AT RISK</v>
      </c>
      <c r="AG226" s="67" t="str">
        <f t="shared" si="86"/>
        <v>FEASIBLE</v>
      </c>
      <c r="AH226" s="73" t="str">
        <f t="shared" ca="1" si="87"/>
        <v>IMMEDIATE REBUY</v>
      </c>
    </row>
    <row r="227" spans="1:34" x14ac:dyDescent="0.35">
      <c r="A227" s="25" t="s">
        <v>241</v>
      </c>
      <c r="B227" s="10" t="s">
        <v>333</v>
      </c>
      <c r="C227" s="10" t="s">
        <v>345</v>
      </c>
      <c r="D227" s="10" t="s">
        <v>346</v>
      </c>
      <c r="E227" s="11">
        <v>45962</v>
      </c>
      <c r="F227" s="17">
        <v>45892</v>
      </c>
      <c r="G227" s="14">
        <f t="shared" ca="1" si="66"/>
        <v>207</v>
      </c>
      <c r="H227" s="17">
        <v>799</v>
      </c>
      <c r="I227" s="17">
        <v>420</v>
      </c>
      <c r="J227" s="53">
        <f t="shared" si="67"/>
        <v>1148</v>
      </c>
      <c r="K227" s="17">
        <v>1450</v>
      </c>
      <c r="L227" s="66">
        <v>302</v>
      </c>
      <c r="M227" s="52">
        <f t="shared" ca="1" si="68"/>
        <v>1.4589371980676329</v>
      </c>
      <c r="N227" s="50">
        <f t="shared" si="69"/>
        <v>0.73224085365853642</v>
      </c>
      <c r="O227" s="52">
        <f t="shared" si="70"/>
        <v>0.92073170731707321</v>
      </c>
      <c r="P227" s="56">
        <f t="shared" si="71"/>
        <v>75.5</v>
      </c>
      <c r="Q227" s="54">
        <f t="shared" si="72"/>
        <v>15.205298013245033</v>
      </c>
      <c r="R227" s="55">
        <f t="shared" si="73"/>
        <v>47.434292866082608</v>
      </c>
      <c r="S227" s="55">
        <f t="shared" si="74"/>
        <v>20.827586206896552</v>
      </c>
      <c r="T227" s="13">
        <f t="shared" si="75"/>
        <v>3</v>
      </c>
      <c r="U227" s="13">
        <f t="shared" si="76"/>
        <v>1</v>
      </c>
      <c r="V227" s="13">
        <f t="shared" si="77"/>
        <v>2</v>
      </c>
      <c r="W227" s="13">
        <f t="shared" ca="1" si="78"/>
        <v>3</v>
      </c>
      <c r="X227" s="13">
        <f t="shared" ca="1" si="79"/>
        <v>9</v>
      </c>
      <c r="Y227" s="61" t="str">
        <f t="shared" ca="1" si="80"/>
        <v>RE-BUY</v>
      </c>
      <c r="Z227" s="51">
        <v>14</v>
      </c>
      <c r="AA227" s="53">
        <v>46059</v>
      </c>
      <c r="AB227" s="53">
        <f t="shared" si="81"/>
        <v>45920</v>
      </c>
      <c r="AC227" s="72">
        <f t="shared" si="82"/>
        <v>19.857142857142858</v>
      </c>
      <c r="AD227" s="67" t="str">
        <f t="shared" ca="1" si="83"/>
        <v>STABLE</v>
      </c>
      <c r="AE227" s="67" t="str">
        <f t="shared" si="84"/>
        <v>FAST SELLING</v>
      </c>
      <c r="AF227" s="67" t="str">
        <f t="shared" si="85"/>
        <v>AT RISK</v>
      </c>
      <c r="AG227" s="67" t="str">
        <f t="shared" si="86"/>
        <v>FEASIBLE</v>
      </c>
      <c r="AH227" s="73" t="str">
        <f t="shared" ca="1" si="87"/>
        <v>IMMEDIATE REBUY</v>
      </c>
    </row>
    <row r="228" spans="1:34" x14ac:dyDescent="0.35">
      <c r="A228" s="25" t="s">
        <v>242</v>
      </c>
      <c r="B228" s="10" t="s">
        <v>333</v>
      </c>
      <c r="C228" s="10" t="s">
        <v>345</v>
      </c>
      <c r="D228" s="10" t="s">
        <v>346</v>
      </c>
      <c r="E228" s="11">
        <v>45913</v>
      </c>
      <c r="F228" s="17">
        <v>45892</v>
      </c>
      <c r="G228" s="14">
        <f t="shared" ca="1" si="66"/>
        <v>207</v>
      </c>
      <c r="H228" s="17">
        <v>799</v>
      </c>
      <c r="I228" s="17">
        <v>420</v>
      </c>
      <c r="J228" s="53">
        <f t="shared" si="67"/>
        <v>1143</v>
      </c>
      <c r="K228" s="17">
        <v>1450</v>
      </c>
      <c r="L228" s="66">
        <v>307</v>
      </c>
      <c r="M228" s="52">
        <f t="shared" ca="1" si="68"/>
        <v>1.4830917874396135</v>
      </c>
      <c r="N228" s="50">
        <f t="shared" si="69"/>
        <v>0.73224085365853642</v>
      </c>
      <c r="O228" s="52">
        <f t="shared" si="70"/>
        <v>0.93597560975609762</v>
      </c>
      <c r="P228" s="56">
        <f t="shared" si="71"/>
        <v>76.75</v>
      </c>
      <c r="Q228" s="54">
        <f t="shared" si="72"/>
        <v>14.892508143322475</v>
      </c>
      <c r="R228" s="55">
        <f t="shared" si="73"/>
        <v>47.434292866082608</v>
      </c>
      <c r="S228" s="55">
        <f t="shared" si="74"/>
        <v>21.172413793103448</v>
      </c>
      <c r="T228" s="13">
        <f t="shared" si="75"/>
        <v>3</v>
      </c>
      <c r="U228" s="13">
        <f t="shared" si="76"/>
        <v>1</v>
      </c>
      <c r="V228" s="13">
        <f t="shared" si="77"/>
        <v>2</v>
      </c>
      <c r="W228" s="13">
        <f t="shared" ca="1" si="78"/>
        <v>3</v>
      </c>
      <c r="X228" s="13">
        <f t="shared" ca="1" si="79"/>
        <v>9</v>
      </c>
      <c r="Y228" s="61" t="str">
        <f t="shared" ca="1" si="80"/>
        <v>RE-BUY</v>
      </c>
      <c r="Z228" s="51">
        <v>14</v>
      </c>
      <c r="AA228" s="53">
        <v>46059</v>
      </c>
      <c r="AB228" s="53">
        <f t="shared" si="81"/>
        <v>45920</v>
      </c>
      <c r="AC228" s="72">
        <f t="shared" si="82"/>
        <v>19.857142857142858</v>
      </c>
      <c r="AD228" s="67" t="str">
        <f t="shared" ca="1" si="83"/>
        <v>STABLE</v>
      </c>
      <c r="AE228" s="67" t="str">
        <f t="shared" si="84"/>
        <v>FAST SELLING</v>
      </c>
      <c r="AF228" s="67" t="str">
        <f t="shared" si="85"/>
        <v>AT RISK</v>
      </c>
      <c r="AG228" s="67" t="str">
        <f t="shared" si="86"/>
        <v>FEASIBLE</v>
      </c>
      <c r="AH228" s="73" t="str">
        <f t="shared" ca="1" si="87"/>
        <v>IMMEDIATE REBUY</v>
      </c>
    </row>
    <row r="229" spans="1:34" x14ac:dyDescent="0.35">
      <c r="A229" s="25" t="s">
        <v>243</v>
      </c>
      <c r="B229" s="10" t="s">
        <v>333</v>
      </c>
      <c r="C229" s="10" t="s">
        <v>345</v>
      </c>
      <c r="D229" s="10" t="s">
        <v>346</v>
      </c>
      <c r="E229" s="11">
        <v>45962</v>
      </c>
      <c r="F229" s="17">
        <v>45892</v>
      </c>
      <c r="G229" s="14">
        <f t="shared" ca="1" si="66"/>
        <v>207</v>
      </c>
      <c r="H229" s="17">
        <v>799</v>
      </c>
      <c r="I229" s="17">
        <v>340</v>
      </c>
      <c r="J229" s="53">
        <f t="shared" si="67"/>
        <v>824</v>
      </c>
      <c r="K229" s="17">
        <v>1050</v>
      </c>
      <c r="L229" s="66">
        <v>226</v>
      </c>
      <c r="M229" s="52">
        <f t="shared" ca="1" si="68"/>
        <v>1.0917874396135265</v>
      </c>
      <c r="N229" s="50">
        <f t="shared" si="69"/>
        <v>0.73224085365853642</v>
      </c>
      <c r="O229" s="52">
        <f t="shared" si="70"/>
        <v>0.68902439024390238</v>
      </c>
      <c r="P229" s="56">
        <f t="shared" si="71"/>
        <v>56.499999999999993</v>
      </c>
      <c r="Q229" s="54">
        <f t="shared" si="72"/>
        <v>14.584070796460178</v>
      </c>
      <c r="R229" s="55">
        <f t="shared" si="73"/>
        <v>57.446808510638306</v>
      </c>
      <c r="S229" s="55">
        <f t="shared" si="74"/>
        <v>21.523809523809522</v>
      </c>
      <c r="T229" s="13">
        <f t="shared" si="75"/>
        <v>2</v>
      </c>
      <c r="U229" s="13">
        <f t="shared" si="76"/>
        <v>1</v>
      </c>
      <c r="V229" s="13">
        <f t="shared" si="77"/>
        <v>2</v>
      </c>
      <c r="W229" s="13">
        <f t="shared" ca="1" si="78"/>
        <v>3</v>
      </c>
      <c r="X229" s="13">
        <f t="shared" ca="1" si="79"/>
        <v>8</v>
      </c>
      <c r="Y229" s="61" t="str">
        <f t="shared" ca="1" si="80"/>
        <v>MONITOR</v>
      </c>
      <c r="Z229" s="51">
        <v>14</v>
      </c>
      <c r="AA229" s="53">
        <v>46059</v>
      </c>
      <c r="AB229" s="53">
        <f t="shared" si="81"/>
        <v>45920</v>
      </c>
      <c r="AC229" s="72">
        <f t="shared" si="82"/>
        <v>19.857142857142858</v>
      </c>
      <c r="AD229" s="67" t="str">
        <f t="shared" ca="1" si="83"/>
        <v>STABLE</v>
      </c>
      <c r="AE229" s="67" t="str">
        <f t="shared" si="84"/>
        <v>SLOW SELLING</v>
      </c>
      <c r="AF229" s="67" t="str">
        <f t="shared" si="85"/>
        <v>AT RISK</v>
      </c>
      <c r="AG229" s="67" t="str">
        <f t="shared" si="86"/>
        <v>FEASIBLE</v>
      </c>
      <c r="AH229" s="73" t="str">
        <f t="shared" ca="1" si="87"/>
        <v>MONITOR</v>
      </c>
    </row>
    <row r="230" spans="1:34" x14ac:dyDescent="0.35">
      <c r="A230" s="25" t="s">
        <v>244</v>
      </c>
      <c r="B230" s="10" t="s">
        <v>333</v>
      </c>
      <c r="C230" s="10" t="s">
        <v>345</v>
      </c>
      <c r="D230" s="10" t="s">
        <v>346</v>
      </c>
      <c r="E230" s="11">
        <v>45913</v>
      </c>
      <c r="F230" s="17">
        <v>45892</v>
      </c>
      <c r="G230" s="14">
        <f t="shared" ca="1" si="66"/>
        <v>207</v>
      </c>
      <c r="H230" s="17">
        <v>799</v>
      </c>
      <c r="I230" s="17">
        <v>340</v>
      </c>
      <c r="J230" s="53">
        <f t="shared" si="67"/>
        <v>763</v>
      </c>
      <c r="K230" s="17">
        <v>1050</v>
      </c>
      <c r="L230" s="66">
        <v>287</v>
      </c>
      <c r="M230" s="52">
        <f t="shared" ca="1" si="68"/>
        <v>1.3864734299516908</v>
      </c>
      <c r="N230" s="50">
        <f t="shared" si="69"/>
        <v>0.73224085365853642</v>
      </c>
      <c r="O230" s="52">
        <f t="shared" si="70"/>
        <v>0.875</v>
      </c>
      <c r="P230" s="56">
        <f t="shared" si="71"/>
        <v>71.75</v>
      </c>
      <c r="Q230" s="54">
        <f t="shared" si="72"/>
        <v>10.634146341463415</v>
      </c>
      <c r="R230" s="55">
        <f t="shared" si="73"/>
        <v>57.446808510638306</v>
      </c>
      <c r="S230" s="55">
        <f t="shared" si="74"/>
        <v>27.333333333333332</v>
      </c>
      <c r="T230" s="13">
        <f t="shared" si="75"/>
        <v>3</v>
      </c>
      <c r="U230" s="13">
        <f t="shared" si="76"/>
        <v>1</v>
      </c>
      <c r="V230" s="13">
        <f t="shared" si="77"/>
        <v>2</v>
      </c>
      <c r="W230" s="13">
        <f t="shared" ca="1" si="78"/>
        <v>3</v>
      </c>
      <c r="X230" s="13">
        <f t="shared" ca="1" si="79"/>
        <v>9</v>
      </c>
      <c r="Y230" s="61" t="str">
        <f t="shared" ca="1" si="80"/>
        <v>RE-BUY</v>
      </c>
      <c r="Z230" s="51">
        <v>14</v>
      </c>
      <c r="AA230" s="53">
        <v>46059</v>
      </c>
      <c r="AB230" s="53">
        <f t="shared" si="81"/>
        <v>45920</v>
      </c>
      <c r="AC230" s="72">
        <f t="shared" si="82"/>
        <v>19.857142857142858</v>
      </c>
      <c r="AD230" s="67" t="str">
        <f t="shared" ca="1" si="83"/>
        <v>STABLE</v>
      </c>
      <c r="AE230" s="67" t="str">
        <f t="shared" si="84"/>
        <v>FAST SELLING</v>
      </c>
      <c r="AF230" s="67" t="str">
        <f t="shared" si="85"/>
        <v>AT RISK</v>
      </c>
      <c r="AG230" s="67" t="str">
        <f t="shared" si="86"/>
        <v>FEASIBLE</v>
      </c>
      <c r="AH230" s="73" t="str">
        <f t="shared" ca="1" si="87"/>
        <v>IMMEDIATE REBUY</v>
      </c>
    </row>
    <row r="231" spans="1:34" x14ac:dyDescent="0.35">
      <c r="A231" s="25" t="s">
        <v>245</v>
      </c>
      <c r="B231" s="10" t="s">
        <v>333</v>
      </c>
      <c r="C231" s="10" t="s">
        <v>345</v>
      </c>
      <c r="D231" s="10" t="s">
        <v>346</v>
      </c>
      <c r="E231" s="11">
        <v>45913</v>
      </c>
      <c r="F231" s="17">
        <v>45892</v>
      </c>
      <c r="G231" s="14">
        <f t="shared" ca="1" si="66"/>
        <v>207</v>
      </c>
      <c r="H231" s="17">
        <v>799</v>
      </c>
      <c r="I231" s="17">
        <v>340</v>
      </c>
      <c r="J231" s="53">
        <f t="shared" si="67"/>
        <v>739</v>
      </c>
      <c r="K231" s="17">
        <v>1050</v>
      </c>
      <c r="L231" s="66">
        <v>311</v>
      </c>
      <c r="M231" s="52">
        <f t="shared" ca="1" si="68"/>
        <v>1.5024154589371981</v>
      </c>
      <c r="N231" s="50">
        <f t="shared" si="69"/>
        <v>0.73224085365853642</v>
      </c>
      <c r="O231" s="52">
        <f t="shared" si="70"/>
        <v>0.94817073170731703</v>
      </c>
      <c r="P231" s="56">
        <f t="shared" si="71"/>
        <v>77.75</v>
      </c>
      <c r="Q231" s="54">
        <f t="shared" si="72"/>
        <v>9.504823151125402</v>
      </c>
      <c r="R231" s="55">
        <f t="shared" si="73"/>
        <v>57.446808510638306</v>
      </c>
      <c r="S231" s="55">
        <f t="shared" si="74"/>
        <v>29.619047619047617</v>
      </c>
      <c r="T231" s="13">
        <f t="shared" si="75"/>
        <v>3</v>
      </c>
      <c r="U231" s="13">
        <f t="shared" si="76"/>
        <v>1</v>
      </c>
      <c r="V231" s="13">
        <f t="shared" si="77"/>
        <v>2</v>
      </c>
      <c r="W231" s="13">
        <f t="shared" ca="1" si="78"/>
        <v>3</v>
      </c>
      <c r="X231" s="13">
        <f t="shared" ca="1" si="79"/>
        <v>9</v>
      </c>
      <c r="Y231" s="61" t="str">
        <f t="shared" ca="1" si="80"/>
        <v>RE-BUY</v>
      </c>
      <c r="Z231" s="51">
        <v>14</v>
      </c>
      <c r="AA231" s="53">
        <v>46059</v>
      </c>
      <c r="AB231" s="53">
        <f t="shared" si="81"/>
        <v>45920</v>
      </c>
      <c r="AC231" s="72">
        <f t="shared" si="82"/>
        <v>19.857142857142858</v>
      </c>
      <c r="AD231" s="67" t="str">
        <f t="shared" ca="1" si="83"/>
        <v>STABLE</v>
      </c>
      <c r="AE231" s="67" t="str">
        <f t="shared" si="84"/>
        <v>FAST SELLING</v>
      </c>
      <c r="AF231" s="67" t="str">
        <f t="shared" si="85"/>
        <v>AT RISK</v>
      </c>
      <c r="AG231" s="67" t="str">
        <f t="shared" si="86"/>
        <v>FEASIBLE</v>
      </c>
      <c r="AH231" s="73" t="str">
        <f t="shared" ca="1" si="87"/>
        <v>IMMEDIATE REBUY</v>
      </c>
    </row>
    <row r="232" spans="1:34" x14ac:dyDescent="0.35">
      <c r="A232" s="25" t="s">
        <v>246</v>
      </c>
      <c r="B232" s="10" t="s">
        <v>333</v>
      </c>
      <c r="C232" s="10" t="s">
        <v>345</v>
      </c>
      <c r="D232" s="10" t="s">
        <v>346</v>
      </c>
      <c r="E232" s="11">
        <v>45913</v>
      </c>
      <c r="F232" s="17">
        <v>45892</v>
      </c>
      <c r="G232" s="14">
        <f t="shared" ca="1" si="66"/>
        <v>207</v>
      </c>
      <c r="H232" s="17">
        <v>799</v>
      </c>
      <c r="I232" s="17">
        <v>340</v>
      </c>
      <c r="J232" s="53">
        <f t="shared" si="67"/>
        <v>692</v>
      </c>
      <c r="K232" s="17">
        <v>1050</v>
      </c>
      <c r="L232" s="66">
        <v>358</v>
      </c>
      <c r="M232" s="52">
        <f t="shared" ca="1" si="68"/>
        <v>1.7294685990338163</v>
      </c>
      <c r="N232" s="50">
        <f t="shared" si="69"/>
        <v>0.73224085365853642</v>
      </c>
      <c r="O232" s="52">
        <f t="shared" si="70"/>
        <v>1.0914634146341464</v>
      </c>
      <c r="P232" s="56">
        <f t="shared" si="71"/>
        <v>89.5</v>
      </c>
      <c r="Q232" s="54">
        <f t="shared" si="72"/>
        <v>7.7318435754189947</v>
      </c>
      <c r="R232" s="55">
        <f t="shared" si="73"/>
        <v>57.446808510638306</v>
      </c>
      <c r="S232" s="55">
        <f t="shared" si="74"/>
        <v>34.095238095238095</v>
      </c>
      <c r="T232" s="13">
        <f t="shared" si="75"/>
        <v>3</v>
      </c>
      <c r="U232" s="13">
        <f t="shared" si="76"/>
        <v>1</v>
      </c>
      <c r="V232" s="13">
        <f t="shared" si="77"/>
        <v>2</v>
      </c>
      <c r="W232" s="13">
        <f t="shared" ca="1" si="78"/>
        <v>3</v>
      </c>
      <c r="X232" s="13">
        <f t="shared" ca="1" si="79"/>
        <v>9</v>
      </c>
      <c r="Y232" s="61" t="str">
        <f t="shared" ca="1" si="80"/>
        <v>RE-BUY</v>
      </c>
      <c r="Z232" s="51">
        <v>14</v>
      </c>
      <c r="AA232" s="53">
        <v>46059</v>
      </c>
      <c r="AB232" s="53">
        <f t="shared" si="81"/>
        <v>45920</v>
      </c>
      <c r="AC232" s="72">
        <f t="shared" si="82"/>
        <v>19.857142857142858</v>
      </c>
      <c r="AD232" s="67" t="str">
        <f t="shared" ca="1" si="83"/>
        <v>STABLE</v>
      </c>
      <c r="AE232" s="67" t="str">
        <f t="shared" si="84"/>
        <v>FAST SELLING</v>
      </c>
      <c r="AF232" s="67" t="str">
        <f t="shared" si="85"/>
        <v>AT RISK</v>
      </c>
      <c r="AG232" s="67" t="str">
        <f t="shared" si="86"/>
        <v>FEASIBLE</v>
      </c>
      <c r="AH232" s="73" t="str">
        <f t="shared" ca="1" si="87"/>
        <v>IMMEDIATE REBUY</v>
      </c>
    </row>
    <row r="233" spans="1:34" x14ac:dyDescent="0.35">
      <c r="A233" s="25" t="s">
        <v>247</v>
      </c>
      <c r="B233" s="10" t="s">
        <v>333</v>
      </c>
      <c r="C233" s="10" t="s">
        <v>345</v>
      </c>
      <c r="D233" s="10" t="s">
        <v>346</v>
      </c>
      <c r="E233" s="11">
        <v>45962</v>
      </c>
      <c r="F233" s="17">
        <v>45892</v>
      </c>
      <c r="G233" s="14">
        <f t="shared" ca="1" si="66"/>
        <v>207</v>
      </c>
      <c r="H233" s="17">
        <v>799</v>
      </c>
      <c r="I233" s="17">
        <v>340</v>
      </c>
      <c r="J233" s="53">
        <f t="shared" si="67"/>
        <v>934</v>
      </c>
      <c r="K233" s="17">
        <v>1050</v>
      </c>
      <c r="L233" s="66">
        <v>116</v>
      </c>
      <c r="M233" s="52">
        <f t="shared" ca="1" si="68"/>
        <v>0.56038647342995174</v>
      </c>
      <c r="N233" s="50">
        <f t="shared" si="69"/>
        <v>0.73224085365853642</v>
      </c>
      <c r="O233" s="52">
        <f t="shared" si="70"/>
        <v>0.35365853658536583</v>
      </c>
      <c r="P233" s="56">
        <f t="shared" si="71"/>
        <v>29</v>
      </c>
      <c r="Q233" s="54">
        <f t="shared" si="72"/>
        <v>32.206896551724135</v>
      </c>
      <c r="R233" s="55">
        <f t="shared" si="73"/>
        <v>57.446808510638306</v>
      </c>
      <c r="S233" s="55">
        <f t="shared" si="74"/>
        <v>11.047619047619047</v>
      </c>
      <c r="T233" s="13">
        <f t="shared" si="75"/>
        <v>1</v>
      </c>
      <c r="U233" s="13">
        <f t="shared" si="76"/>
        <v>1</v>
      </c>
      <c r="V233" s="13">
        <f t="shared" si="77"/>
        <v>2</v>
      </c>
      <c r="W233" s="13">
        <f t="shared" ca="1" si="78"/>
        <v>3</v>
      </c>
      <c r="X233" s="13">
        <f t="shared" ca="1" si="79"/>
        <v>7</v>
      </c>
      <c r="Y233" s="61" t="str">
        <f t="shared" ca="1" si="80"/>
        <v>MONITOR</v>
      </c>
      <c r="Z233" s="51">
        <v>14</v>
      </c>
      <c r="AA233" s="53">
        <v>46059</v>
      </c>
      <c r="AB233" s="53">
        <f t="shared" si="81"/>
        <v>45920</v>
      </c>
      <c r="AC233" s="72">
        <f t="shared" si="82"/>
        <v>19.857142857142858</v>
      </c>
      <c r="AD233" s="67" t="str">
        <f t="shared" ca="1" si="83"/>
        <v>STABLE</v>
      </c>
      <c r="AE233" s="67" t="str">
        <f t="shared" si="84"/>
        <v>SLOW SELLING</v>
      </c>
      <c r="AF233" s="67" t="str">
        <f t="shared" si="85"/>
        <v>AT RISK</v>
      </c>
      <c r="AG233" s="67" t="str">
        <f t="shared" si="86"/>
        <v>FEASIBLE</v>
      </c>
      <c r="AH233" s="73" t="str">
        <f t="shared" ca="1" si="87"/>
        <v>MONITOR</v>
      </c>
    </row>
    <row r="234" spans="1:34" x14ac:dyDescent="0.35">
      <c r="A234" s="25" t="s">
        <v>248</v>
      </c>
      <c r="B234" s="10" t="s">
        <v>333</v>
      </c>
      <c r="C234" s="10" t="s">
        <v>345</v>
      </c>
      <c r="D234" s="10" t="s">
        <v>346</v>
      </c>
      <c r="E234" s="11">
        <v>45913</v>
      </c>
      <c r="F234" s="17">
        <v>45892</v>
      </c>
      <c r="G234" s="14">
        <f t="shared" ca="1" si="66"/>
        <v>207</v>
      </c>
      <c r="H234" s="17">
        <v>799</v>
      </c>
      <c r="I234" s="17">
        <v>340</v>
      </c>
      <c r="J234" s="53">
        <f t="shared" si="67"/>
        <v>715</v>
      </c>
      <c r="K234" s="17">
        <v>1050</v>
      </c>
      <c r="L234" s="66">
        <v>335</v>
      </c>
      <c r="M234" s="52">
        <f t="shared" ca="1" si="68"/>
        <v>1.6183574879227054</v>
      </c>
      <c r="N234" s="50">
        <f t="shared" si="69"/>
        <v>0.73224085365853642</v>
      </c>
      <c r="O234" s="52">
        <f t="shared" si="70"/>
        <v>1.0213414634146341</v>
      </c>
      <c r="P234" s="56">
        <f t="shared" si="71"/>
        <v>83.749999999999986</v>
      </c>
      <c r="Q234" s="54">
        <f t="shared" si="72"/>
        <v>8.5373134328358216</v>
      </c>
      <c r="R234" s="55">
        <f t="shared" si="73"/>
        <v>57.446808510638306</v>
      </c>
      <c r="S234" s="55">
        <f t="shared" si="74"/>
        <v>31.904761904761902</v>
      </c>
      <c r="T234" s="13">
        <f t="shared" si="75"/>
        <v>3</v>
      </c>
      <c r="U234" s="13">
        <f t="shared" si="76"/>
        <v>1</v>
      </c>
      <c r="V234" s="13">
        <f t="shared" si="77"/>
        <v>2</v>
      </c>
      <c r="W234" s="13">
        <f t="shared" ca="1" si="78"/>
        <v>3</v>
      </c>
      <c r="X234" s="13">
        <f t="shared" ca="1" si="79"/>
        <v>9</v>
      </c>
      <c r="Y234" s="61" t="str">
        <f t="shared" ca="1" si="80"/>
        <v>RE-BUY</v>
      </c>
      <c r="Z234" s="51">
        <v>14</v>
      </c>
      <c r="AA234" s="53">
        <v>46059</v>
      </c>
      <c r="AB234" s="53">
        <f t="shared" si="81"/>
        <v>45920</v>
      </c>
      <c r="AC234" s="72">
        <f t="shared" si="82"/>
        <v>19.857142857142858</v>
      </c>
      <c r="AD234" s="67" t="str">
        <f t="shared" ca="1" si="83"/>
        <v>STABLE</v>
      </c>
      <c r="AE234" s="67" t="str">
        <f t="shared" si="84"/>
        <v>FAST SELLING</v>
      </c>
      <c r="AF234" s="67" t="str">
        <f t="shared" si="85"/>
        <v>AT RISK</v>
      </c>
      <c r="AG234" s="67" t="str">
        <f t="shared" si="86"/>
        <v>FEASIBLE</v>
      </c>
      <c r="AH234" s="73" t="str">
        <f t="shared" ca="1" si="87"/>
        <v>IMMEDIATE REBUY</v>
      </c>
    </row>
    <row r="235" spans="1:34" x14ac:dyDescent="0.35">
      <c r="A235" s="25" t="s">
        <v>249</v>
      </c>
      <c r="B235" s="10" t="s">
        <v>316</v>
      </c>
      <c r="C235" s="10" t="s">
        <v>345</v>
      </c>
      <c r="D235" s="10" t="s">
        <v>346</v>
      </c>
      <c r="E235" s="11">
        <v>45878</v>
      </c>
      <c r="F235" s="17">
        <v>45892</v>
      </c>
      <c r="G235" s="14">
        <f t="shared" ca="1" si="66"/>
        <v>207</v>
      </c>
      <c r="H235" s="17">
        <v>799</v>
      </c>
      <c r="I235" s="17">
        <v>400</v>
      </c>
      <c r="J235" s="53">
        <f t="shared" si="67"/>
        <v>1322</v>
      </c>
      <c r="K235" s="17">
        <v>1600</v>
      </c>
      <c r="L235" s="66">
        <v>278</v>
      </c>
      <c r="M235" s="52">
        <f t="shared" ca="1" si="68"/>
        <v>1.3429951690821256</v>
      </c>
      <c r="N235" s="50">
        <f t="shared" si="69"/>
        <v>0.73224085365853642</v>
      </c>
      <c r="O235" s="52">
        <f t="shared" si="70"/>
        <v>0.84756097560975607</v>
      </c>
      <c r="P235" s="56">
        <f t="shared" si="71"/>
        <v>69.5</v>
      </c>
      <c r="Q235" s="54">
        <f t="shared" si="72"/>
        <v>19.021582733812949</v>
      </c>
      <c r="R235" s="55">
        <f t="shared" si="73"/>
        <v>49.937421777221523</v>
      </c>
      <c r="S235" s="55">
        <f t="shared" si="74"/>
        <v>17.375</v>
      </c>
      <c r="T235" s="13">
        <f t="shared" si="75"/>
        <v>3</v>
      </c>
      <c r="U235" s="13">
        <f t="shared" si="76"/>
        <v>1</v>
      </c>
      <c r="V235" s="13">
        <f t="shared" si="77"/>
        <v>2</v>
      </c>
      <c r="W235" s="13">
        <f t="shared" ca="1" si="78"/>
        <v>3</v>
      </c>
      <c r="X235" s="13">
        <f t="shared" ca="1" si="79"/>
        <v>9</v>
      </c>
      <c r="Y235" s="61" t="str">
        <f t="shared" ca="1" si="80"/>
        <v>RE-BUY</v>
      </c>
      <c r="Z235" s="51">
        <v>14</v>
      </c>
      <c r="AA235" s="53">
        <v>46059</v>
      </c>
      <c r="AB235" s="53">
        <f t="shared" si="81"/>
        <v>45920</v>
      </c>
      <c r="AC235" s="72">
        <f t="shared" si="82"/>
        <v>19.857142857142858</v>
      </c>
      <c r="AD235" s="67" t="str">
        <f t="shared" ca="1" si="83"/>
        <v>STABLE</v>
      </c>
      <c r="AE235" s="67" t="str">
        <f t="shared" si="84"/>
        <v>FAST SELLING</v>
      </c>
      <c r="AF235" s="67" t="str">
        <f t="shared" si="85"/>
        <v>AT RISK</v>
      </c>
      <c r="AG235" s="67" t="str">
        <f t="shared" si="86"/>
        <v>FEASIBLE</v>
      </c>
      <c r="AH235" s="73" t="str">
        <f t="shared" ca="1" si="87"/>
        <v>IMMEDIATE REBUY</v>
      </c>
    </row>
    <row r="236" spans="1:34" x14ac:dyDescent="0.35">
      <c r="A236" s="25" t="s">
        <v>250</v>
      </c>
      <c r="B236" s="10" t="s">
        <v>316</v>
      </c>
      <c r="C236" s="10" t="s">
        <v>345</v>
      </c>
      <c r="D236" s="10" t="s">
        <v>346</v>
      </c>
      <c r="E236" s="11">
        <v>45864</v>
      </c>
      <c r="F236" s="17">
        <v>45892</v>
      </c>
      <c r="G236" s="14">
        <f t="shared" ca="1" si="66"/>
        <v>207</v>
      </c>
      <c r="H236" s="17">
        <v>599</v>
      </c>
      <c r="I236" s="17">
        <v>345</v>
      </c>
      <c r="J236" s="53">
        <f t="shared" si="67"/>
        <v>1351</v>
      </c>
      <c r="K236" s="17">
        <v>1500</v>
      </c>
      <c r="L236" s="66">
        <v>149</v>
      </c>
      <c r="M236" s="52">
        <f t="shared" ca="1" si="68"/>
        <v>0.71980676328502413</v>
      </c>
      <c r="N236" s="50">
        <f t="shared" si="69"/>
        <v>0.73224085365853642</v>
      </c>
      <c r="O236" s="52">
        <f t="shared" si="70"/>
        <v>0.45426829268292684</v>
      </c>
      <c r="P236" s="56">
        <f t="shared" si="71"/>
        <v>37.25</v>
      </c>
      <c r="Q236" s="54">
        <f t="shared" si="72"/>
        <v>36.268456375838923</v>
      </c>
      <c r="R236" s="55">
        <f t="shared" si="73"/>
        <v>42.404006677796332</v>
      </c>
      <c r="S236" s="55">
        <f t="shared" si="74"/>
        <v>9.9333333333333336</v>
      </c>
      <c r="T236" s="13">
        <f t="shared" si="75"/>
        <v>1</v>
      </c>
      <c r="U236" s="13">
        <f t="shared" si="76"/>
        <v>1</v>
      </c>
      <c r="V236" s="13">
        <f t="shared" si="77"/>
        <v>1</v>
      </c>
      <c r="W236" s="13">
        <f t="shared" ca="1" si="78"/>
        <v>3</v>
      </c>
      <c r="X236" s="13">
        <f t="shared" ca="1" si="79"/>
        <v>6</v>
      </c>
      <c r="Y236" s="61" t="str">
        <f t="shared" ca="1" si="80"/>
        <v>MONITOR</v>
      </c>
      <c r="Z236" s="51">
        <v>14</v>
      </c>
      <c r="AA236" s="53">
        <v>46059</v>
      </c>
      <c r="AB236" s="53">
        <f t="shared" si="81"/>
        <v>45920</v>
      </c>
      <c r="AC236" s="72">
        <f t="shared" si="82"/>
        <v>19.857142857142858</v>
      </c>
      <c r="AD236" s="67" t="str">
        <f t="shared" ca="1" si="83"/>
        <v>STABLE</v>
      </c>
      <c r="AE236" s="67" t="str">
        <f t="shared" si="84"/>
        <v>SLOW SELLING</v>
      </c>
      <c r="AF236" s="67" t="str">
        <f t="shared" si="85"/>
        <v>AT RISK</v>
      </c>
      <c r="AG236" s="67" t="str">
        <f t="shared" si="86"/>
        <v>FEASIBLE</v>
      </c>
      <c r="AH236" s="73" t="str">
        <f t="shared" ca="1" si="87"/>
        <v>MONITOR</v>
      </c>
    </row>
    <row r="237" spans="1:34" x14ac:dyDescent="0.35">
      <c r="A237" s="25" t="s">
        <v>251</v>
      </c>
      <c r="B237" s="10" t="s">
        <v>316</v>
      </c>
      <c r="C237" s="10" t="s">
        <v>345</v>
      </c>
      <c r="D237" s="10" t="s">
        <v>346</v>
      </c>
      <c r="E237" s="11">
        <v>45864</v>
      </c>
      <c r="F237" s="17">
        <v>45892</v>
      </c>
      <c r="G237" s="14">
        <f t="shared" ca="1" si="66"/>
        <v>207</v>
      </c>
      <c r="H237" s="17">
        <v>599</v>
      </c>
      <c r="I237" s="17">
        <v>345</v>
      </c>
      <c r="J237" s="53">
        <f t="shared" si="67"/>
        <v>1324</v>
      </c>
      <c r="K237" s="17">
        <v>1500</v>
      </c>
      <c r="L237" s="66">
        <v>176</v>
      </c>
      <c r="M237" s="52">
        <f t="shared" ca="1" si="68"/>
        <v>0.85024154589371981</v>
      </c>
      <c r="N237" s="50">
        <f t="shared" si="69"/>
        <v>0.73224085365853642</v>
      </c>
      <c r="O237" s="52">
        <f t="shared" si="70"/>
        <v>0.53658536585365857</v>
      </c>
      <c r="P237" s="56">
        <f t="shared" si="71"/>
        <v>44</v>
      </c>
      <c r="Q237" s="54">
        <f t="shared" si="72"/>
        <v>30.09090909090909</v>
      </c>
      <c r="R237" s="55">
        <f t="shared" si="73"/>
        <v>42.404006677796332</v>
      </c>
      <c r="S237" s="55">
        <f t="shared" si="74"/>
        <v>11.733333333333333</v>
      </c>
      <c r="T237" s="13">
        <f t="shared" si="75"/>
        <v>1</v>
      </c>
      <c r="U237" s="13">
        <f t="shared" si="76"/>
        <v>1</v>
      </c>
      <c r="V237" s="13">
        <f t="shared" si="77"/>
        <v>1</v>
      </c>
      <c r="W237" s="13">
        <f t="shared" ca="1" si="78"/>
        <v>3</v>
      </c>
      <c r="X237" s="13">
        <f t="shared" ca="1" si="79"/>
        <v>6</v>
      </c>
      <c r="Y237" s="61" t="str">
        <f t="shared" ca="1" si="80"/>
        <v>MONITOR</v>
      </c>
      <c r="Z237" s="51">
        <v>14</v>
      </c>
      <c r="AA237" s="53">
        <v>46059</v>
      </c>
      <c r="AB237" s="53">
        <f t="shared" si="81"/>
        <v>45920</v>
      </c>
      <c r="AC237" s="72">
        <f t="shared" si="82"/>
        <v>19.857142857142858</v>
      </c>
      <c r="AD237" s="67" t="str">
        <f t="shared" ca="1" si="83"/>
        <v>STABLE</v>
      </c>
      <c r="AE237" s="67" t="str">
        <f t="shared" si="84"/>
        <v>SLOW SELLING</v>
      </c>
      <c r="AF237" s="67" t="str">
        <f t="shared" si="85"/>
        <v>AT RISK</v>
      </c>
      <c r="AG237" s="67" t="str">
        <f t="shared" si="86"/>
        <v>FEASIBLE</v>
      </c>
      <c r="AH237" s="73" t="str">
        <f t="shared" ca="1" si="87"/>
        <v>MONITOR</v>
      </c>
    </row>
    <row r="238" spans="1:34" x14ac:dyDescent="0.35">
      <c r="A238" s="25" t="s">
        <v>252</v>
      </c>
      <c r="B238" s="15" t="s">
        <v>323</v>
      </c>
      <c r="C238" s="10" t="s">
        <v>345</v>
      </c>
      <c r="D238" s="10" t="s">
        <v>346</v>
      </c>
      <c r="E238" s="11">
        <v>45878</v>
      </c>
      <c r="F238" s="17">
        <v>45892</v>
      </c>
      <c r="G238" s="14">
        <f t="shared" ca="1" si="66"/>
        <v>207</v>
      </c>
      <c r="H238" s="17">
        <v>499</v>
      </c>
      <c r="I238" s="17">
        <v>230</v>
      </c>
      <c r="J238" s="53">
        <f t="shared" si="67"/>
        <v>714</v>
      </c>
      <c r="K238" s="17">
        <v>750</v>
      </c>
      <c r="L238" s="66">
        <v>36</v>
      </c>
      <c r="M238" s="52">
        <f t="shared" ca="1" si="68"/>
        <v>0.17391304347826086</v>
      </c>
      <c r="N238" s="50">
        <f t="shared" si="69"/>
        <v>0.73224085365853642</v>
      </c>
      <c r="O238" s="52">
        <f t="shared" si="70"/>
        <v>0.10975609756097561</v>
      </c>
      <c r="P238" s="56">
        <f t="shared" si="71"/>
        <v>9</v>
      </c>
      <c r="Q238" s="54">
        <f t="shared" si="72"/>
        <v>79.333333333333329</v>
      </c>
      <c r="R238" s="55">
        <f t="shared" si="73"/>
        <v>53.907815631262523</v>
      </c>
      <c r="S238" s="55">
        <f t="shared" si="74"/>
        <v>4.8</v>
      </c>
      <c r="T238" s="13">
        <f t="shared" si="75"/>
        <v>1</v>
      </c>
      <c r="U238" s="13">
        <f t="shared" si="76"/>
        <v>1</v>
      </c>
      <c r="V238" s="13">
        <f t="shared" si="77"/>
        <v>2</v>
      </c>
      <c r="W238" s="13">
        <f t="shared" ca="1" si="78"/>
        <v>3</v>
      </c>
      <c r="X238" s="13">
        <f t="shared" ca="1" si="79"/>
        <v>7</v>
      </c>
      <c r="Y238" s="61" t="str">
        <f t="shared" ca="1" si="80"/>
        <v>MONITOR</v>
      </c>
      <c r="Z238" s="51">
        <v>14</v>
      </c>
      <c r="AA238" s="53">
        <v>46059</v>
      </c>
      <c r="AB238" s="53">
        <f t="shared" si="81"/>
        <v>45920</v>
      </c>
      <c r="AC238" s="72">
        <f t="shared" si="82"/>
        <v>19.857142857142858</v>
      </c>
      <c r="AD238" s="67" t="str">
        <f t="shared" ca="1" si="83"/>
        <v>STABLE</v>
      </c>
      <c r="AE238" s="67" t="str">
        <f t="shared" si="84"/>
        <v>SLOW SELLING</v>
      </c>
      <c r="AF238" s="67" t="str">
        <f t="shared" si="85"/>
        <v>AT RISK</v>
      </c>
      <c r="AG238" s="67" t="str">
        <f t="shared" si="86"/>
        <v>FEASIBLE</v>
      </c>
      <c r="AH238" s="73" t="str">
        <f t="shared" ca="1" si="87"/>
        <v>MONITOR</v>
      </c>
    </row>
    <row r="239" spans="1:34" x14ac:dyDescent="0.35">
      <c r="A239" s="25" t="s">
        <v>253</v>
      </c>
      <c r="B239" s="15" t="s">
        <v>323</v>
      </c>
      <c r="C239" s="10" t="s">
        <v>345</v>
      </c>
      <c r="D239" s="10" t="s">
        <v>346</v>
      </c>
      <c r="E239" s="11">
        <v>45864</v>
      </c>
      <c r="F239" s="17">
        <v>45892</v>
      </c>
      <c r="G239" s="14">
        <f t="shared" ca="1" si="66"/>
        <v>207</v>
      </c>
      <c r="H239" s="17">
        <v>499</v>
      </c>
      <c r="I239" s="17">
        <v>230</v>
      </c>
      <c r="J239" s="53">
        <f t="shared" si="67"/>
        <v>953</v>
      </c>
      <c r="K239" s="17">
        <v>1000</v>
      </c>
      <c r="L239" s="66">
        <v>47</v>
      </c>
      <c r="M239" s="52">
        <f t="shared" ca="1" si="68"/>
        <v>0.22705314009661837</v>
      </c>
      <c r="N239" s="50">
        <f t="shared" si="69"/>
        <v>0.73224085365853642</v>
      </c>
      <c r="O239" s="52">
        <f t="shared" si="70"/>
        <v>0.14329268292682926</v>
      </c>
      <c r="P239" s="56">
        <f t="shared" si="71"/>
        <v>11.749999999999998</v>
      </c>
      <c r="Q239" s="54">
        <f t="shared" si="72"/>
        <v>81.106382978723417</v>
      </c>
      <c r="R239" s="55">
        <f t="shared" si="73"/>
        <v>53.907815631262523</v>
      </c>
      <c r="S239" s="55">
        <f t="shared" si="74"/>
        <v>4.7</v>
      </c>
      <c r="T239" s="13">
        <f t="shared" si="75"/>
        <v>1</v>
      </c>
      <c r="U239" s="13">
        <f t="shared" si="76"/>
        <v>1</v>
      </c>
      <c r="V239" s="13">
        <f t="shared" si="77"/>
        <v>2</v>
      </c>
      <c r="W239" s="13">
        <f t="shared" ca="1" si="78"/>
        <v>3</v>
      </c>
      <c r="X239" s="13">
        <f t="shared" ca="1" si="79"/>
        <v>7</v>
      </c>
      <c r="Y239" s="61" t="str">
        <f t="shared" ca="1" si="80"/>
        <v>MONITOR</v>
      </c>
      <c r="Z239" s="51">
        <v>14</v>
      </c>
      <c r="AA239" s="53">
        <v>46059</v>
      </c>
      <c r="AB239" s="53">
        <f t="shared" si="81"/>
        <v>45920</v>
      </c>
      <c r="AC239" s="72">
        <f t="shared" si="82"/>
        <v>19.857142857142858</v>
      </c>
      <c r="AD239" s="67" t="str">
        <f t="shared" ca="1" si="83"/>
        <v>STABLE</v>
      </c>
      <c r="AE239" s="67" t="str">
        <f t="shared" si="84"/>
        <v>SLOW SELLING</v>
      </c>
      <c r="AF239" s="67" t="str">
        <f t="shared" si="85"/>
        <v>AT RISK</v>
      </c>
      <c r="AG239" s="67" t="str">
        <f t="shared" si="86"/>
        <v>FEASIBLE</v>
      </c>
      <c r="AH239" s="73" t="str">
        <f t="shared" ca="1" si="87"/>
        <v>MONITOR</v>
      </c>
    </row>
    <row r="240" spans="1:34" x14ac:dyDescent="0.35">
      <c r="A240" s="25" t="s">
        <v>254</v>
      </c>
      <c r="B240" s="15" t="s">
        <v>323</v>
      </c>
      <c r="C240" s="10" t="s">
        <v>345</v>
      </c>
      <c r="D240" s="10" t="s">
        <v>346</v>
      </c>
      <c r="E240" s="11">
        <v>45864</v>
      </c>
      <c r="F240" s="17">
        <v>45892</v>
      </c>
      <c r="G240" s="14">
        <f t="shared" ca="1" si="66"/>
        <v>207</v>
      </c>
      <c r="H240" s="17">
        <v>499</v>
      </c>
      <c r="I240" s="17">
        <v>230</v>
      </c>
      <c r="J240" s="53">
        <f t="shared" si="67"/>
        <v>936</v>
      </c>
      <c r="K240" s="17">
        <v>1000</v>
      </c>
      <c r="L240" s="66">
        <v>64</v>
      </c>
      <c r="M240" s="52">
        <f t="shared" ca="1" si="68"/>
        <v>0.30917874396135264</v>
      </c>
      <c r="N240" s="50">
        <f t="shared" si="69"/>
        <v>0.73224085365853642</v>
      </c>
      <c r="O240" s="52">
        <f t="shared" si="70"/>
        <v>0.1951219512195122</v>
      </c>
      <c r="P240" s="56">
        <f t="shared" si="71"/>
        <v>16</v>
      </c>
      <c r="Q240" s="54">
        <f t="shared" si="72"/>
        <v>58.5</v>
      </c>
      <c r="R240" s="55">
        <f t="shared" si="73"/>
        <v>53.907815631262523</v>
      </c>
      <c r="S240" s="55">
        <f t="shared" si="74"/>
        <v>6.4</v>
      </c>
      <c r="T240" s="13">
        <f t="shared" si="75"/>
        <v>1</v>
      </c>
      <c r="U240" s="13">
        <f t="shared" si="76"/>
        <v>1</v>
      </c>
      <c r="V240" s="13">
        <f t="shared" si="77"/>
        <v>2</v>
      </c>
      <c r="W240" s="13">
        <f t="shared" ca="1" si="78"/>
        <v>3</v>
      </c>
      <c r="X240" s="13">
        <f t="shared" ca="1" si="79"/>
        <v>7</v>
      </c>
      <c r="Y240" s="61" t="str">
        <f t="shared" ca="1" si="80"/>
        <v>MONITOR</v>
      </c>
      <c r="Z240" s="51">
        <v>14</v>
      </c>
      <c r="AA240" s="53">
        <v>46059</v>
      </c>
      <c r="AB240" s="53">
        <f t="shared" si="81"/>
        <v>45920</v>
      </c>
      <c r="AC240" s="72">
        <f t="shared" si="82"/>
        <v>19.857142857142858</v>
      </c>
      <c r="AD240" s="67" t="str">
        <f t="shared" ca="1" si="83"/>
        <v>STABLE</v>
      </c>
      <c r="AE240" s="67" t="str">
        <f t="shared" si="84"/>
        <v>SLOW SELLING</v>
      </c>
      <c r="AF240" s="67" t="str">
        <f t="shared" si="85"/>
        <v>AT RISK</v>
      </c>
      <c r="AG240" s="67" t="str">
        <f t="shared" si="86"/>
        <v>FEASIBLE</v>
      </c>
      <c r="AH240" s="73" t="str">
        <f t="shared" ca="1" si="87"/>
        <v>MONITOR</v>
      </c>
    </row>
    <row r="241" spans="1:34" x14ac:dyDescent="0.35">
      <c r="A241" s="25" t="s">
        <v>255</v>
      </c>
      <c r="B241" s="15" t="s">
        <v>323</v>
      </c>
      <c r="C241" s="10" t="s">
        <v>345</v>
      </c>
      <c r="D241" s="10" t="s">
        <v>346</v>
      </c>
      <c r="E241" s="11">
        <v>45920</v>
      </c>
      <c r="F241" s="17">
        <v>45892</v>
      </c>
      <c r="G241" s="14">
        <f t="shared" ca="1" si="66"/>
        <v>207</v>
      </c>
      <c r="H241" s="17">
        <v>499</v>
      </c>
      <c r="I241" s="17">
        <v>230</v>
      </c>
      <c r="J241" s="53">
        <f t="shared" si="67"/>
        <v>770</v>
      </c>
      <c r="K241" s="17">
        <v>1000</v>
      </c>
      <c r="L241" s="66">
        <v>230</v>
      </c>
      <c r="M241" s="52">
        <f t="shared" ca="1" si="68"/>
        <v>1.1111111111111112</v>
      </c>
      <c r="N241" s="50">
        <f t="shared" si="69"/>
        <v>0.73224085365853642</v>
      </c>
      <c r="O241" s="52">
        <f t="shared" si="70"/>
        <v>0.70121951219512191</v>
      </c>
      <c r="P241" s="56">
        <f t="shared" si="71"/>
        <v>57.5</v>
      </c>
      <c r="Q241" s="54">
        <f t="shared" si="72"/>
        <v>13.391304347826088</v>
      </c>
      <c r="R241" s="55">
        <f t="shared" si="73"/>
        <v>53.907815631262523</v>
      </c>
      <c r="S241" s="55">
        <f t="shared" si="74"/>
        <v>23</v>
      </c>
      <c r="T241" s="13">
        <f t="shared" si="75"/>
        <v>2</v>
      </c>
      <c r="U241" s="13">
        <f t="shared" si="76"/>
        <v>1</v>
      </c>
      <c r="V241" s="13">
        <f t="shared" si="77"/>
        <v>2</v>
      </c>
      <c r="W241" s="13">
        <f t="shared" ca="1" si="78"/>
        <v>3</v>
      </c>
      <c r="X241" s="13">
        <f t="shared" ca="1" si="79"/>
        <v>8</v>
      </c>
      <c r="Y241" s="61" t="str">
        <f t="shared" ca="1" si="80"/>
        <v>MONITOR</v>
      </c>
      <c r="Z241" s="51">
        <v>14</v>
      </c>
      <c r="AA241" s="53">
        <v>46059</v>
      </c>
      <c r="AB241" s="53">
        <f t="shared" si="81"/>
        <v>45920</v>
      </c>
      <c r="AC241" s="72">
        <f t="shared" si="82"/>
        <v>19.857142857142858</v>
      </c>
      <c r="AD241" s="67" t="str">
        <f t="shared" ca="1" si="83"/>
        <v>STABLE</v>
      </c>
      <c r="AE241" s="67" t="str">
        <f t="shared" si="84"/>
        <v>SLOW SELLING</v>
      </c>
      <c r="AF241" s="67" t="str">
        <f t="shared" si="85"/>
        <v>AT RISK</v>
      </c>
      <c r="AG241" s="67" t="str">
        <f t="shared" si="86"/>
        <v>FEASIBLE</v>
      </c>
      <c r="AH241" s="73" t="str">
        <f t="shared" ca="1" si="87"/>
        <v>MONITOR</v>
      </c>
    </row>
    <row r="242" spans="1:34" x14ac:dyDescent="0.35">
      <c r="A242" s="25" t="s">
        <v>188</v>
      </c>
      <c r="B242" s="15" t="s">
        <v>331</v>
      </c>
      <c r="C242" s="10" t="s">
        <v>342</v>
      </c>
      <c r="D242" s="10" t="s">
        <v>346</v>
      </c>
      <c r="E242" s="11">
        <v>45962</v>
      </c>
      <c r="F242" s="17">
        <v>45892</v>
      </c>
      <c r="G242" s="14">
        <f t="shared" ca="1" si="66"/>
        <v>207</v>
      </c>
      <c r="H242" s="18">
        <v>199</v>
      </c>
      <c r="I242" s="18">
        <v>135</v>
      </c>
      <c r="J242" s="53">
        <f t="shared" si="67"/>
        <v>1970</v>
      </c>
      <c r="K242" s="18">
        <v>2000</v>
      </c>
      <c r="L242" s="66">
        <v>30</v>
      </c>
      <c r="M242" s="52">
        <f t="shared" ca="1" si="68"/>
        <v>0.14492753623188406</v>
      </c>
      <c r="N242" s="50">
        <f t="shared" si="69"/>
        <v>0.80451009251471861</v>
      </c>
      <c r="O242" s="52">
        <f t="shared" si="70"/>
        <v>9.1463414634146339E-2</v>
      </c>
      <c r="P242" s="56">
        <f t="shared" si="71"/>
        <v>7.5</v>
      </c>
      <c r="Q242" s="54">
        <f t="shared" si="72"/>
        <v>262.66666666666669</v>
      </c>
      <c r="R242" s="55">
        <f t="shared" si="73"/>
        <v>32.1608040201005</v>
      </c>
      <c r="S242" s="55">
        <f t="shared" si="74"/>
        <v>1.5</v>
      </c>
      <c r="T242" s="13">
        <f t="shared" si="75"/>
        <v>1</v>
      </c>
      <c r="U242" s="13">
        <f t="shared" si="76"/>
        <v>1</v>
      </c>
      <c r="V242" s="13">
        <f t="shared" si="77"/>
        <v>1</v>
      </c>
      <c r="W242" s="13">
        <f t="shared" ca="1" si="78"/>
        <v>3</v>
      </c>
      <c r="X242" s="13">
        <f t="shared" ca="1" si="79"/>
        <v>6</v>
      </c>
      <c r="Y242" s="61" t="str">
        <f t="shared" ca="1" si="80"/>
        <v>MONITOR</v>
      </c>
      <c r="Z242" s="51">
        <v>14</v>
      </c>
      <c r="AA242" s="53">
        <v>46059</v>
      </c>
      <c r="AB242" s="53">
        <f t="shared" si="81"/>
        <v>45920</v>
      </c>
      <c r="AC242" s="72">
        <f t="shared" si="82"/>
        <v>19.857142857142858</v>
      </c>
      <c r="AD242" s="67" t="str">
        <f t="shared" ca="1" si="83"/>
        <v>STABLE</v>
      </c>
      <c r="AE242" s="67" t="str">
        <f t="shared" si="84"/>
        <v>SLOW SELLING</v>
      </c>
      <c r="AF242" s="67" t="str">
        <f t="shared" si="85"/>
        <v>AT RISK</v>
      </c>
      <c r="AG242" s="67" t="str">
        <f t="shared" si="86"/>
        <v>FEASIBLE</v>
      </c>
      <c r="AH242" s="73" t="str">
        <f t="shared" ca="1" si="87"/>
        <v>MONITOR</v>
      </c>
    </row>
    <row r="243" spans="1:34" x14ac:dyDescent="0.35">
      <c r="A243" s="25" t="s">
        <v>256</v>
      </c>
      <c r="B243" s="10" t="s">
        <v>334</v>
      </c>
      <c r="C243" s="10" t="s">
        <v>342</v>
      </c>
      <c r="D243" s="10" t="s">
        <v>346</v>
      </c>
      <c r="E243" s="11">
        <v>45976</v>
      </c>
      <c r="F243" s="17">
        <v>45892</v>
      </c>
      <c r="G243" s="14">
        <f t="shared" ca="1" si="66"/>
        <v>207</v>
      </c>
      <c r="H243" s="17">
        <v>999</v>
      </c>
      <c r="I243" s="17">
        <v>435</v>
      </c>
      <c r="J243" s="53">
        <f t="shared" si="67"/>
        <v>400</v>
      </c>
      <c r="K243" s="18">
        <v>400</v>
      </c>
      <c r="L243" s="67">
        <v>0</v>
      </c>
      <c r="M243" s="52">
        <f t="shared" ca="1" si="68"/>
        <v>0</v>
      </c>
      <c r="N243" s="50">
        <f t="shared" si="69"/>
        <v>0.80451009251471861</v>
      </c>
      <c r="O243" s="52">
        <f t="shared" si="70"/>
        <v>0</v>
      </c>
      <c r="P243" s="56">
        <f t="shared" si="71"/>
        <v>0</v>
      </c>
      <c r="Q243" s="54" t="e">
        <f t="shared" si="72"/>
        <v>#DIV/0!</v>
      </c>
      <c r="R243" s="55">
        <f t="shared" si="73"/>
        <v>56.456456456456458</v>
      </c>
      <c r="S243" s="55">
        <f t="shared" si="74"/>
        <v>0</v>
      </c>
      <c r="T243" s="13">
        <f t="shared" si="75"/>
        <v>1</v>
      </c>
      <c r="U243" s="13" t="e">
        <f t="shared" si="76"/>
        <v>#DIV/0!</v>
      </c>
      <c r="V243" s="13">
        <f t="shared" si="77"/>
        <v>2</v>
      </c>
      <c r="W243" s="13">
        <f t="shared" ca="1" si="78"/>
        <v>3</v>
      </c>
      <c r="X243" s="13" t="e">
        <f t="shared" ca="1" si="79"/>
        <v>#DIV/0!</v>
      </c>
      <c r="Y243" s="61" t="str">
        <f t="shared" ca="1" si="80"/>
        <v>EXIT</v>
      </c>
      <c r="Z243" s="51">
        <v>14</v>
      </c>
      <c r="AA243" s="53">
        <v>46059</v>
      </c>
      <c r="AB243" s="53">
        <f t="shared" si="81"/>
        <v>45920</v>
      </c>
      <c r="AC243" s="72">
        <f t="shared" si="82"/>
        <v>19.857142857142858</v>
      </c>
      <c r="AD243" s="67" t="str">
        <f t="shared" ca="1" si="83"/>
        <v>STABLE</v>
      </c>
      <c r="AE243" s="67" t="str">
        <f t="shared" si="84"/>
        <v>SLOW SELLING</v>
      </c>
      <c r="AF243" s="67" t="e">
        <f t="shared" si="85"/>
        <v>#DIV/0!</v>
      </c>
      <c r="AG243" s="67" t="str">
        <f t="shared" si="86"/>
        <v>FEASIBLE</v>
      </c>
      <c r="AH243" s="73" t="str">
        <f t="shared" ca="1" si="87"/>
        <v>MONITOR</v>
      </c>
    </row>
    <row r="244" spans="1:34" x14ac:dyDescent="0.35">
      <c r="A244" s="25" t="s">
        <v>257</v>
      </c>
      <c r="B244" s="10" t="s">
        <v>335</v>
      </c>
      <c r="C244" s="10" t="s">
        <v>341</v>
      </c>
      <c r="D244" s="10" t="s">
        <v>346</v>
      </c>
      <c r="E244" s="11">
        <v>45920</v>
      </c>
      <c r="F244" s="17">
        <v>45892</v>
      </c>
      <c r="G244" s="14">
        <f t="shared" ca="1" si="66"/>
        <v>207</v>
      </c>
      <c r="H244" s="17">
        <v>499</v>
      </c>
      <c r="I244" s="17">
        <v>255</v>
      </c>
      <c r="J244" s="53">
        <f t="shared" si="67"/>
        <v>1450</v>
      </c>
      <c r="K244" s="17">
        <v>1500</v>
      </c>
      <c r="L244" s="66">
        <v>50</v>
      </c>
      <c r="M244" s="52">
        <f t="shared" ca="1" si="68"/>
        <v>0.24154589371980675</v>
      </c>
      <c r="N244" s="50">
        <f t="shared" si="69"/>
        <v>0.92883099285538351</v>
      </c>
      <c r="O244" s="52">
        <f t="shared" si="70"/>
        <v>0.1524390243902439</v>
      </c>
      <c r="P244" s="56">
        <f t="shared" si="71"/>
        <v>12.5</v>
      </c>
      <c r="Q244" s="54">
        <f t="shared" si="72"/>
        <v>116</v>
      </c>
      <c r="R244" s="55">
        <f t="shared" si="73"/>
        <v>48.897795591182366</v>
      </c>
      <c r="S244" s="55">
        <f t="shared" si="74"/>
        <v>3.3333333333333335</v>
      </c>
      <c r="T244" s="13">
        <f t="shared" si="75"/>
        <v>1</v>
      </c>
      <c r="U244" s="13">
        <f t="shared" si="76"/>
        <v>1</v>
      </c>
      <c r="V244" s="13">
        <f t="shared" si="77"/>
        <v>2</v>
      </c>
      <c r="W244" s="13">
        <f t="shared" ca="1" si="78"/>
        <v>3</v>
      </c>
      <c r="X244" s="13">
        <f t="shared" ca="1" si="79"/>
        <v>7</v>
      </c>
      <c r="Y244" s="61" t="str">
        <f t="shared" ca="1" si="80"/>
        <v>MONITOR</v>
      </c>
      <c r="Z244" s="51">
        <v>14</v>
      </c>
      <c r="AA244" s="53">
        <v>46059</v>
      </c>
      <c r="AB244" s="53">
        <f t="shared" si="81"/>
        <v>45920</v>
      </c>
      <c r="AC244" s="72">
        <f t="shared" si="82"/>
        <v>19.857142857142858</v>
      </c>
      <c r="AD244" s="67" t="str">
        <f t="shared" ca="1" si="83"/>
        <v>STABLE</v>
      </c>
      <c r="AE244" s="67" t="str">
        <f t="shared" si="84"/>
        <v>SLOW SELLING</v>
      </c>
      <c r="AF244" s="67" t="str">
        <f t="shared" si="85"/>
        <v>AT RISK</v>
      </c>
      <c r="AG244" s="67" t="str">
        <f t="shared" si="86"/>
        <v>FEASIBLE</v>
      </c>
      <c r="AH244" s="73" t="str">
        <f t="shared" ca="1" si="87"/>
        <v>MONITOR</v>
      </c>
    </row>
    <row r="245" spans="1:34" x14ac:dyDescent="0.35">
      <c r="A245" s="25" t="s">
        <v>258</v>
      </c>
      <c r="B245" s="10" t="s">
        <v>335</v>
      </c>
      <c r="C245" s="10" t="s">
        <v>341</v>
      </c>
      <c r="D245" s="10" t="s">
        <v>346</v>
      </c>
      <c r="E245" s="11">
        <v>45878</v>
      </c>
      <c r="F245" s="17">
        <v>45892</v>
      </c>
      <c r="G245" s="14">
        <f t="shared" ca="1" si="66"/>
        <v>207</v>
      </c>
      <c r="H245" s="17">
        <v>499</v>
      </c>
      <c r="I245" s="17">
        <v>255</v>
      </c>
      <c r="J245" s="53">
        <f t="shared" si="67"/>
        <v>1173</v>
      </c>
      <c r="K245" s="17">
        <v>1500</v>
      </c>
      <c r="L245" s="66">
        <v>327</v>
      </c>
      <c r="M245" s="52">
        <f t="shared" ca="1" si="68"/>
        <v>1.5797101449275361</v>
      </c>
      <c r="N245" s="50">
        <f t="shared" si="69"/>
        <v>0.92883099285538351</v>
      </c>
      <c r="O245" s="52">
        <f t="shared" si="70"/>
        <v>0.99695121951219512</v>
      </c>
      <c r="P245" s="56">
        <f t="shared" si="71"/>
        <v>81.75</v>
      </c>
      <c r="Q245" s="54">
        <f t="shared" si="72"/>
        <v>14.348623853211009</v>
      </c>
      <c r="R245" s="55">
        <f t="shared" si="73"/>
        <v>48.897795591182366</v>
      </c>
      <c r="S245" s="55">
        <f t="shared" si="74"/>
        <v>21.8</v>
      </c>
      <c r="T245" s="13">
        <f t="shared" si="75"/>
        <v>3</v>
      </c>
      <c r="U245" s="13">
        <f t="shared" si="76"/>
        <v>1</v>
      </c>
      <c r="V245" s="13">
        <f t="shared" si="77"/>
        <v>2</v>
      </c>
      <c r="W245" s="13">
        <f t="shared" ca="1" si="78"/>
        <v>3</v>
      </c>
      <c r="X245" s="13">
        <f t="shared" ca="1" si="79"/>
        <v>9</v>
      </c>
      <c r="Y245" s="61" t="str">
        <f t="shared" ca="1" si="80"/>
        <v>RE-BUY</v>
      </c>
      <c r="Z245" s="51">
        <v>14</v>
      </c>
      <c r="AA245" s="53">
        <v>46059</v>
      </c>
      <c r="AB245" s="53">
        <f t="shared" si="81"/>
        <v>45920</v>
      </c>
      <c r="AC245" s="72">
        <f t="shared" si="82"/>
        <v>19.857142857142858</v>
      </c>
      <c r="AD245" s="67" t="str">
        <f t="shared" ca="1" si="83"/>
        <v>STABLE</v>
      </c>
      <c r="AE245" s="67" t="str">
        <f t="shared" si="84"/>
        <v>FAST SELLING</v>
      </c>
      <c r="AF245" s="67" t="str">
        <f t="shared" si="85"/>
        <v>AT RISK</v>
      </c>
      <c r="AG245" s="67" t="str">
        <f t="shared" si="86"/>
        <v>FEASIBLE</v>
      </c>
      <c r="AH245" s="73" t="str">
        <f t="shared" ca="1" si="87"/>
        <v>IMMEDIATE REBUY</v>
      </c>
    </row>
    <row r="246" spans="1:34" x14ac:dyDescent="0.35">
      <c r="A246" s="25" t="s">
        <v>259</v>
      </c>
      <c r="B246" s="10" t="s">
        <v>335</v>
      </c>
      <c r="C246" s="10" t="s">
        <v>341</v>
      </c>
      <c r="D246" s="10" t="s">
        <v>346</v>
      </c>
      <c r="E246" s="11">
        <v>45878</v>
      </c>
      <c r="F246" s="17">
        <v>45892</v>
      </c>
      <c r="G246" s="14">
        <f t="shared" ca="1" si="66"/>
        <v>207</v>
      </c>
      <c r="H246" s="17">
        <v>499</v>
      </c>
      <c r="I246" s="17">
        <v>255</v>
      </c>
      <c r="J246" s="53">
        <f t="shared" si="67"/>
        <v>1220</v>
      </c>
      <c r="K246" s="17">
        <v>1500</v>
      </c>
      <c r="L246" s="66">
        <v>280</v>
      </c>
      <c r="M246" s="52">
        <f t="shared" ca="1" si="68"/>
        <v>1.3526570048309179</v>
      </c>
      <c r="N246" s="50">
        <f t="shared" si="69"/>
        <v>0.92883099285538351</v>
      </c>
      <c r="O246" s="52">
        <f t="shared" si="70"/>
        <v>0.85365853658536583</v>
      </c>
      <c r="P246" s="56">
        <f t="shared" si="71"/>
        <v>70</v>
      </c>
      <c r="Q246" s="54">
        <f t="shared" si="72"/>
        <v>17.428571428571427</v>
      </c>
      <c r="R246" s="55">
        <f t="shared" si="73"/>
        <v>48.897795591182366</v>
      </c>
      <c r="S246" s="55">
        <f t="shared" si="74"/>
        <v>18.666666666666668</v>
      </c>
      <c r="T246" s="13">
        <f t="shared" si="75"/>
        <v>2</v>
      </c>
      <c r="U246" s="13">
        <f t="shared" si="76"/>
        <v>1</v>
      </c>
      <c r="V246" s="13">
        <f t="shared" si="77"/>
        <v>2</v>
      </c>
      <c r="W246" s="13">
        <f t="shared" ca="1" si="78"/>
        <v>3</v>
      </c>
      <c r="X246" s="13">
        <f t="shared" ca="1" si="79"/>
        <v>8</v>
      </c>
      <c r="Y246" s="61" t="str">
        <f t="shared" ca="1" si="80"/>
        <v>MONITOR</v>
      </c>
      <c r="Z246" s="51">
        <v>14</v>
      </c>
      <c r="AA246" s="53">
        <v>46059</v>
      </c>
      <c r="AB246" s="53">
        <f t="shared" si="81"/>
        <v>45920</v>
      </c>
      <c r="AC246" s="72">
        <f t="shared" si="82"/>
        <v>19.857142857142858</v>
      </c>
      <c r="AD246" s="67" t="str">
        <f t="shared" ca="1" si="83"/>
        <v>STABLE</v>
      </c>
      <c r="AE246" s="67" t="str">
        <f t="shared" si="84"/>
        <v>SLOW SELLING</v>
      </c>
      <c r="AF246" s="67" t="str">
        <f t="shared" si="85"/>
        <v>AT RISK</v>
      </c>
      <c r="AG246" s="67" t="str">
        <f t="shared" si="86"/>
        <v>FEASIBLE</v>
      </c>
      <c r="AH246" s="73" t="str">
        <f t="shared" ca="1" si="87"/>
        <v>MONITOR</v>
      </c>
    </row>
    <row r="247" spans="1:34" x14ac:dyDescent="0.35">
      <c r="A247" s="25" t="s">
        <v>260</v>
      </c>
      <c r="B247" s="10" t="s">
        <v>335</v>
      </c>
      <c r="C247" s="10" t="s">
        <v>341</v>
      </c>
      <c r="D247" s="10" t="s">
        <v>346</v>
      </c>
      <c r="E247" s="11">
        <v>45920</v>
      </c>
      <c r="F247" s="17">
        <v>45892</v>
      </c>
      <c r="G247" s="14">
        <f t="shared" ca="1" si="66"/>
        <v>207</v>
      </c>
      <c r="H247" s="17">
        <v>499</v>
      </c>
      <c r="I247" s="17">
        <v>255</v>
      </c>
      <c r="J247" s="53">
        <f t="shared" si="67"/>
        <v>1324</v>
      </c>
      <c r="K247" s="17">
        <v>1500</v>
      </c>
      <c r="L247" s="66">
        <v>176</v>
      </c>
      <c r="M247" s="52">
        <f t="shared" ca="1" si="68"/>
        <v>0.85024154589371981</v>
      </c>
      <c r="N247" s="50">
        <f t="shared" si="69"/>
        <v>0.92883099285538351</v>
      </c>
      <c r="O247" s="52">
        <f t="shared" si="70"/>
        <v>0.53658536585365857</v>
      </c>
      <c r="P247" s="56">
        <f t="shared" si="71"/>
        <v>44</v>
      </c>
      <c r="Q247" s="54">
        <f t="shared" si="72"/>
        <v>30.09090909090909</v>
      </c>
      <c r="R247" s="55">
        <f t="shared" si="73"/>
        <v>48.897795591182366</v>
      </c>
      <c r="S247" s="55">
        <f t="shared" si="74"/>
        <v>11.733333333333333</v>
      </c>
      <c r="T247" s="13">
        <f t="shared" si="75"/>
        <v>1</v>
      </c>
      <c r="U247" s="13">
        <f t="shared" si="76"/>
        <v>1</v>
      </c>
      <c r="V247" s="13">
        <f t="shared" si="77"/>
        <v>2</v>
      </c>
      <c r="W247" s="13">
        <f t="shared" ca="1" si="78"/>
        <v>3</v>
      </c>
      <c r="X247" s="13">
        <f t="shared" ca="1" si="79"/>
        <v>7</v>
      </c>
      <c r="Y247" s="61" t="str">
        <f t="shared" ca="1" si="80"/>
        <v>MONITOR</v>
      </c>
      <c r="Z247" s="51">
        <v>14</v>
      </c>
      <c r="AA247" s="53">
        <v>46059</v>
      </c>
      <c r="AB247" s="53">
        <f t="shared" si="81"/>
        <v>45920</v>
      </c>
      <c r="AC247" s="72">
        <f t="shared" si="82"/>
        <v>19.857142857142858</v>
      </c>
      <c r="AD247" s="67" t="str">
        <f t="shared" ca="1" si="83"/>
        <v>STABLE</v>
      </c>
      <c r="AE247" s="67" t="str">
        <f t="shared" si="84"/>
        <v>SLOW SELLING</v>
      </c>
      <c r="AF247" s="67" t="str">
        <f t="shared" si="85"/>
        <v>AT RISK</v>
      </c>
      <c r="AG247" s="67" t="str">
        <f t="shared" si="86"/>
        <v>FEASIBLE</v>
      </c>
      <c r="AH247" s="73" t="str">
        <f t="shared" ca="1" si="87"/>
        <v>MONITOR</v>
      </c>
    </row>
    <row r="248" spans="1:34" x14ac:dyDescent="0.35">
      <c r="A248" s="25" t="s">
        <v>261</v>
      </c>
      <c r="B248" s="10" t="s">
        <v>336</v>
      </c>
      <c r="C248" s="10" t="s">
        <v>341</v>
      </c>
      <c r="D248" s="10" t="s">
        <v>346</v>
      </c>
      <c r="E248" s="11">
        <v>45850</v>
      </c>
      <c r="F248" s="17">
        <v>45892</v>
      </c>
      <c r="G248" s="14">
        <f t="shared" ca="1" si="66"/>
        <v>207</v>
      </c>
      <c r="H248" s="17">
        <v>499</v>
      </c>
      <c r="I248" s="17">
        <v>297</v>
      </c>
      <c r="J248" s="53">
        <f t="shared" si="67"/>
        <v>2233</v>
      </c>
      <c r="K248" s="17">
        <v>2500</v>
      </c>
      <c r="L248" s="66">
        <v>267</v>
      </c>
      <c r="M248" s="52">
        <f t="shared" ca="1" si="68"/>
        <v>1.2898550724637681</v>
      </c>
      <c r="N248" s="50">
        <f t="shared" si="69"/>
        <v>0.92883099285538351</v>
      </c>
      <c r="O248" s="52">
        <f t="shared" si="70"/>
        <v>0.81402439024390238</v>
      </c>
      <c r="P248" s="56">
        <f t="shared" si="71"/>
        <v>66.75</v>
      </c>
      <c r="Q248" s="54">
        <f t="shared" si="72"/>
        <v>33.453183520599254</v>
      </c>
      <c r="R248" s="55">
        <f t="shared" si="73"/>
        <v>40.480961923847694</v>
      </c>
      <c r="S248" s="55">
        <f t="shared" si="74"/>
        <v>10.68</v>
      </c>
      <c r="T248" s="13">
        <f t="shared" si="75"/>
        <v>2</v>
      </c>
      <c r="U248" s="13">
        <f t="shared" si="76"/>
        <v>1</v>
      </c>
      <c r="V248" s="13">
        <f t="shared" si="77"/>
        <v>1</v>
      </c>
      <c r="W248" s="13">
        <f t="shared" ca="1" si="78"/>
        <v>3</v>
      </c>
      <c r="X248" s="13">
        <f t="shared" ca="1" si="79"/>
        <v>7</v>
      </c>
      <c r="Y248" s="61" t="str">
        <f t="shared" ca="1" si="80"/>
        <v>MONITOR</v>
      </c>
      <c r="Z248" s="51">
        <v>14</v>
      </c>
      <c r="AA248" s="53">
        <v>46059</v>
      </c>
      <c r="AB248" s="53">
        <f t="shared" si="81"/>
        <v>45920</v>
      </c>
      <c r="AC248" s="72">
        <f t="shared" si="82"/>
        <v>19.857142857142858</v>
      </c>
      <c r="AD248" s="67" t="str">
        <f t="shared" ca="1" si="83"/>
        <v>STABLE</v>
      </c>
      <c r="AE248" s="67" t="str">
        <f t="shared" si="84"/>
        <v>SLOW SELLING</v>
      </c>
      <c r="AF248" s="67" t="str">
        <f t="shared" si="85"/>
        <v>AT RISK</v>
      </c>
      <c r="AG248" s="67" t="str">
        <f t="shared" si="86"/>
        <v>FEASIBLE</v>
      </c>
      <c r="AH248" s="73" t="str">
        <f t="shared" ca="1" si="87"/>
        <v>MONITOR</v>
      </c>
    </row>
    <row r="249" spans="1:34" x14ac:dyDescent="0.35">
      <c r="A249" s="25" t="s">
        <v>262</v>
      </c>
      <c r="B249" s="10" t="s">
        <v>336</v>
      </c>
      <c r="C249" s="10" t="s">
        <v>341</v>
      </c>
      <c r="D249" s="10" t="s">
        <v>346</v>
      </c>
      <c r="E249" s="11">
        <v>45850</v>
      </c>
      <c r="F249" s="17">
        <v>45892</v>
      </c>
      <c r="G249" s="14">
        <f t="shared" ca="1" si="66"/>
        <v>207</v>
      </c>
      <c r="H249" s="17">
        <v>499</v>
      </c>
      <c r="I249" s="17">
        <v>297</v>
      </c>
      <c r="J249" s="53">
        <f t="shared" si="67"/>
        <v>2285</v>
      </c>
      <c r="K249" s="17">
        <v>2500</v>
      </c>
      <c r="L249" s="66">
        <v>215</v>
      </c>
      <c r="M249" s="52">
        <f t="shared" ca="1" si="68"/>
        <v>1.038647342995169</v>
      </c>
      <c r="N249" s="50">
        <f t="shared" si="69"/>
        <v>0.92883099285538351</v>
      </c>
      <c r="O249" s="52">
        <f t="shared" si="70"/>
        <v>0.65548780487804881</v>
      </c>
      <c r="P249" s="56">
        <f t="shared" si="71"/>
        <v>53.75</v>
      </c>
      <c r="Q249" s="54">
        <f t="shared" si="72"/>
        <v>42.511627906976742</v>
      </c>
      <c r="R249" s="55">
        <f t="shared" si="73"/>
        <v>40.480961923847694</v>
      </c>
      <c r="S249" s="55">
        <f t="shared" si="74"/>
        <v>8.6</v>
      </c>
      <c r="T249" s="13">
        <f t="shared" si="75"/>
        <v>1</v>
      </c>
      <c r="U249" s="13">
        <f t="shared" si="76"/>
        <v>1</v>
      </c>
      <c r="V249" s="13">
        <f t="shared" si="77"/>
        <v>1</v>
      </c>
      <c r="W249" s="13">
        <f t="shared" ca="1" si="78"/>
        <v>3</v>
      </c>
      <c r="X249" s="13">
        <f t="shared" ca="1" si="79"/>
        <v>6</v>
      </c>
      <c r="Y249" s="61" t="str">
        <f t="shared" ca="1" si="80"/>
        <v>MONITOR</v>
      </c>
      <c r="Z249" s="51">
        <v>14</v>
      </c>
      <c r="AA249" s="53">
        <v>46059</v>
      </c>
      <c r="AB249" s="53">
        <f t="shared" si="81"/>
        <v>45920</v>
      </c>
      <c r="AC249" s="72">
        <f t="shared" si="82"/>
        <v>19.857142857142858</v>
      </c>
      <c r="AD249" s="67" t="str">
        <f t="shared" ca="1" si="83"/>
        <v>STABLE</v>
      </c>
      <c r="AE249" s="67" t="str">
        <f t="shared" si="84"/>
        <v>SLOW SELLING</v>
      </c>
      <c r="AF249" s="67" t="str">
        <f t="shared" si="85"/>
        <v>AT RISK</v>
      </c>
      <c r="AG249" s="67" t="str">
        <f t="shared" si="86"/>
        <v>FEASIBLE</v>
      </c>
      <c r="AH249" s="73" t="str">
        <f t="shared" ca="1" si="87"/>
        <v>MONITOR</v>
      </c>
    </row>
    <row r="250" spans="1:34" x14ac:dyDescent="0.35">
      <c r="A250" s="25" t="s">
        <v>263</v>
      </c>
      <c r="B250" s="10" t="s">
        <v>336</v>
      </c>
      <c r="C250" s="10" t="s">
        <v>341</v>
      </c>
      <c r="D250" s="10" t="s">
        <v>346</v>
      </c>
      <c r="E250" s="11">
        <v>45850</v>
      </c>
      <c r="F250" s="17">
        <v>45892</v>
      </c>
      <c r="G250" s="14">
        <f t="shared" ca="1" si="66"/>
        <v>207</v>
      </c>
      <c r="H250" s="17">
        <v>499</v>
      </c>
      <c r="I250" s="17">
        <v>297</v>
      </c>
      <c r="J250" s="53">
        <f t="shared" si="67"/>
        <v>2461</v>
      </c>
      <c r="K250" s="17">
        <v>2500</v>
      </c>
      <c r="L250" s="66">
        <v>39</v>
      </c>
      <c r="M250" s="52">
        <f t="shared" ca="1" si="68"/>
        <v>0.18840579710144928</v>
      </c>
      <c r="N250" s="50">
        <f t="shared" si="69"/>
        <v>0.92883099285538351</v>
      </c>
      <c r="O250" s="52">
        <f t="shared" si="70"/>
        <v>0.11890243902439024</v>
      </c>
      <c r="P250" s="56">
        <f t="shared" si="71"/>
        <v>9.75</v>
      </c>
      <c r="Q250" s="54">
        <f t="shared" si="72"/>
        <v>252.41025641025641</v>
      </c>
      <c r="R250" s="55">
        <f t="shared" si="73"/>
        <v>40.480961923847694</v>
      </c>
      <c r="S250" s="55">
        <f t="shared" si="74"/>
        <v>1.5599999999999998</v>
      </c>
      <c r="T250" s="13">
        <f t="shared" si="75"/>
        <v>1</v>
      </c>
      <c r="U250" s="13">
        <f t="shared" si="76"/>
        <v>1</v>
      </c>
      <c r="V250" s="13">
        <f t="shared" si="77"/>
        <v>1</v>
      </c>
      <c r="W250" s="13">
        <f t="shared" ca="1" si="78"/>
        <v>3</v>
      </c>
      <c r="X250" s="13">
        <f t="shared" ca="1" si="79"/>
        <v>6</v>
      </c>
      <c r="Y250" s="61" t="str">
        <f t="shared" ca="1" si="80"/>
        <v>MONITOR</v>
      </c>
      <c r="Z250" s="51">
        <v>14</v>
      </c>
      <c r="AA250" s="53">
        <v>46059</v>
      </c>
      <c r="AB250" s="53">
        <f t="shared" si="81"/>
        <v>45920</v>
      </c>
      <c r="AC250" s="72">
        <f t="shared" si="82"/>
        <v>19.857142857142858</v>
      </c>
      <c r="AD250" s="67" t="str">
        <f t="shared" ca="1" si="83"/>
        <v>STABLE</v>
      </c>
      <c r="AE250" s="67" t="str">
        <f t="shared" si="84"/>
        <v>SLOW SELLING</v>
      </c>
      <c r="AF250" s="67" t="str">
        <f t="shared" si="85"/>
        <v>AT RISK</v>
      </c>
      <c r="AG250" s="67" t="str">
        <f t="shared" si="86"/>
        <v>FEASIBLE</v>
      </c>
      <c r="AH250" s="73" t="str">
        <f t="shared" ca="1" si="87"/>
        <v>MONITOR</v>
      </c>
    </row>
    <row r="251" spans="1:34" x14ac:dyDescent="0.35">
      <c r="A251" s="25" t="s">
        <v>264</v>
      </c>
      <c r="B251" s="10" t="s">
        <v>336</v>
      </c>
      <c r="C251" s="10" t="s">
        <v>341</v>
      </c>
      <c r="D251" s="10" t="s">
        <v>346</v>
      </c>
      <c r="E251" s="11">
        <v>45850</v>
      </c>
      <c r="F251" s="17">
        <v>45892</v>
      </c>
      <c r="G251" s="14">
        <f t="shared" ca="1" si="66"/>
        <v>207</v>
      </c>
      <c r="H251" s="17">
        <v>499</v>
      </c>
      <c r="I251" s="17">
        <v>297</v>
      </c>
      <c r="J251" s="53">
        <f t="shared" si="67"/>
        <v>2437</v>
      </c>
      <c r="K251" s="17">
        <v>2500</v>
      </c>
      <c r="L251" s="66">
        <v>63</v>
      </c>
      <c r="M251" s="52">
        <f t="shared" ca="1" si="68"/>
        <v>0.30434782608695654</v>
      </c>
      <c r="N251" s="50">
        <f t="shared" si="69"/>
        <v>0.92883099285538351</v>
      </c>
      <c r="O251" s="52">
        <f t="shared" si="70"/>
        <v>0.19207317073170732</v>
      </c>
      <c r="P251" s="56">
        <f t="shared" si="71"/>
        <v>15.75</v>
      </c>
      <c r="Q251" s="54">
        <f t="shared" si="72"/>
        <v>154.73015873015873</v>
      </c>
      <c r="R251" s="55">
        <f t="shared" si="73"/>
        <v>40.480961923847694</v>
      </c>
      <c r="S251" s="55">
        <f t="shared" si="74"/>
        <v>2.52</v>
      </c>
      <c r="T251" s="13">
        <f t="shared" si="75"/>
        <v>1</v>
      </c>
      <c r="U251" s="13">
        <f t="shared" si="76"/>
        <v>1</v>
      </c>
      <c r="V251" s="13">
        <f t="shared" si="77"/>
        <v>1</v>
      </c>
      <c r="W251" s="13">
        <f t="shared" ca="1" si="78"/>
        <v>3</v>
      </c>
      <c r="X251" s="13">
        <f t="shared" ca="1" si="79"/>
        <v>6</v>
      </c>
      <c r="Y251" s="61" t="str">
        <f t="shared" ca="1" si="80"/>
        <v>MONITOR</v>
      </c>
      <c r="Z251" s="51">
        <v>14</v>
      </c>
      <c r="AA251" s="53">
        <v>46059</v>
      </c>
      <c r="AB251" s="53">
        <f t="shared" si="81"/>
        <v>45920</v>
      </c>
      <c r="AC251" s="72">
        <f t="shared" si="82"/>
        <v>19.857142857142858</v>
      </c>
      <c r="AD251" s="67" t="str">
        <f t="shared" ca="1" si="83"/>
        <v>STABLE</v>
      </c>
      <c r="AE251" s="67" t="str">
        <f t="shared" si="84"/>
        <v>SLOW SELLING</v>
      </c>
      <c r="AF251" s="67" t="str">
        <f t="shared" si="85"/>
        <v>AT RISK</v>
      </c>
      <c r="AG251" s="67" t="str">
        <f t="shared" si="86"/>
        <v>FEASIBLE</v>
      </c>
      <c r="AH251" s="73" t="str">
        <f t="shared" ca="1" si="87"/>
        <v>MONITOR</v>
      </c>
    </row>
    <row r="252" spans="1:34" x14ac:dyDescent="0.35">
      <c r="A252" s="25" t="s">
        <v>265</v>
      </c>
      <c r="B252" s="10" t="s">
        <v>337</v>
      </c>
      <c r="C252" s="10" t="s">
        <v>341</v>
      </c>
      <c r="D252" s="10" t="s">
        <v>346</v>
      </c>
      <c r="E252" s="11">
        <v>45871</v>
      </c>
      <c r="F252" s="17">
        <v>45892</v>
      </c>
      <c r="G252" s="14">
        <f t="shared" ca="1" si="66"/>
        <v>207</v>
      </c>
      <c r="H252" s="17">
        <v>699</v>
      </c>
      <c r="I252" s="17">
        <v>335</v>
      </c>
      <c r="J252" s="53">
        <f t="shared" si="67"/>
        <v>798</v>
      </c>
      <c r="K252" s="17">
        <v>1000</v>
      </c>
      <c r="L252" s="66">
        <v>202</v>
      </c>
      <c r="M252" s="52">
        <f t="shared" ca="1" si="68"/>
        <v>0.97584541062801933</v>
      </c>
      <c r="N252" s="50">
        <f t="shared" si="69"/>
        <v>0.92883099285538351</v>
      </c>
      <c r="O252" s="52">
        <f t="shared" si="70"/>
        <v>0.61585365853658536</v>
      </c>
      <c r="P252" s="56">
        <f t="shared" si="71"/>
        <v>50.5</v>
      </c>
      <c r="Q252" s="54">
        <f t="shared" si="72"/>
        <v>15.801980198019802</v>
      </c>
      <c r="R252" s="55">
        <f t="shared" si="73"/>
        <v>52.074391988555078</v>
      </c>
      <c r="S252" s="55">
        <f t="shared" si="74"/>
        <v>20.200000000000003</v>
      </c>
      <c r="T252" s="13">
        <f t="shared" si="75"/>
        <v>1</v>
      </c>
      <c r="U252" s="13">
        <f t="shared" si="76"/>
        <v>1</v>
      </c>
      <c r="V252" s="13">
        <f t="shared" si="77"/>
        <v>2</v>
      </c>
      <c r="W252" s="13">
        <f t="shared" ca="1" si="78"/>
        <v>3</v>
      </c>
      <c r="X252" s="13">
        <f t="shared" ca="1" si="79"/>
        <v>7</v>
      </c>
      <c r="Y252" s="61" t="str">
        <f t="shared" ca="1" si="80"/>
        <v>MONITOR</v>
      </c>
      <c r="Z252" s="51">
        <v>14</v>
      </c>
      <c r="AA252" s="53">
        <v>46059</v>
      </c>
      <c r="AB252" s="53">
        <f t="shared" si="81"/>
        <v>45920</v>
      </c>
      <c r="AC252" s="72">
        <f t="shared" si="82"/>
        <v>19.857142857142858</v>
      </c>
      <c r="AD252" s="67" t="str">
        <f t="shared" ca="1" si="83"/>
        <v>STABLE</v>
      </c>
      <c r="AE252" s="67" t="str">
        <f t="shared" si="84"/>
        <v>SLOW SELLING</v>
      </c>
      <c r="AF252" s="67" t="str">
        <f t="shared" si="85"/>
        <v>AT RISK</v>
      </c>
      <c r="AG252" s="67" t="str">
        <f t="shared" si="86"/>
        <v>FEASIBLE</v>
      </c>
      <c r="AH252" s="73" t="str">
        <f t="shared" ca="1" si="87"/>
        <v>MONITOR</v>
      </c>
    </row>
    <row r="253" spans="1:34" x14ac:dyDescent="0.35">
      <c r="A253" s="25" t="s">
        <v>266</v>
      </c>
      <c r="B253" s="10" t="s">
        <v>336</v>
      </c>
      <c r="C253" s="10" t="s">
        <v>341</v>
      </c>
      <c r="D253" s="10" t="s">
        <v>346</v>
      </c>
      <c r="E253" s="11">
        <v>45871</v>
      </c>
      <c r="F253" s="17">
        <v>45892</v>
      </c>
      <c r="G253" s="14">
        <f t="shared" ca="1" si="66"/>
        <v>207</v>
      </c>
      <c r="H253" s="17">
        <v>699</v>
      </c>
      <c r="I253" s="17">
        <v>300</v>
      </c>
      <c r="J253" s="53">
        <f t="shared" si="67"/>
        <v>1240</v>
      </c>
      <c r="K253" s="17">
        <v>1400</v>
      </c>
      <c r="L253" s="66">
        <v>160</v>
      </c>
      <c r="M253" s="52">
        <f t="shared" ca="1" si="68"/>
        <v>0.77294685990338163</v>
      </c>
      <c r="N253" s="50">
        <f t="shared" si="69"/>
        <v>0.92883099285538351</v>
      </c>
      <c r="O253" s="52">
        <f t="shared" si="70"/>
        <v>0.48780487804878048</v>
      </c>
      <c r="P253" s="56">
        <f t="shared" si="71"/>
        <v>40</v>
      </c>
      <c r="Q253" s="54">
        <f t="shared" si="72"/>
        <v>31</v>
      </c>
      <c r="R253" s="55">
        <f t="shared" si="73"/>
        <v>57.081545064377679</v>
      </c>
      <c r="S253" s="55">
        <f t="shared" si="74"/>
        <v>11.428571428571429</v>
      </c>
      <c r="T253" s="13">
        <f t="shared" si="75"/>
        <v>1</v>
      </c>
      <c r="U253" s="13">
        <f t="shared" si="76"/>
        <v>1</v>
      </c>
      <c r="V253" s="13">
        <f t="shared" si="77"/>
        <v>2</v>
      </c>
      <c r="W253" s="13">
        <f t="shared" ca="1" si="78"/>
        <v>3</v>
      </c>
      <c r="X253" s="13">
        <f t="shared" ca="1" si="79"/>
        <v>7</v>
      </c>
      <c r="Y253" s="61" t="str">
        <f t="shared" ca="1" si="80"/>
        <v>MONITOR</v>
      </c>
      <c r="Z253" s="51">
        <v>14</v>
      </c>
      <c r="AA253" s="53">
        <v>46059</v>
      </c>
      <c r="AB253" s="53">
        <f t="shared" si="81"/>
        <v>45920</v>
      </c>
      <c r="AC253" s="72">
        <f t="shared" si="82"/>
        <v>19.857142857142858</v>
      </c>
      <c r="AD253" s="67" t="str">
        <f t="shared" ca="1" si="83"/>
        <v>STABLE</v>
      </c>
      <c r="AE253" s="67" t="str">
        <f t="shared" si="84"/>
        <v>SLOW SELLING</v>
      </c>
      <c r="AF253" s="67" t="str">
        <f t="shared" si="85"/>
        <v>AT RISK</v>
      </c>
      <c r="AG253" s="67" t="str">
        <f t="shared" si="86"/>
        <v>FEASIBLE</v>
      </c>
      <c r="AH253" s="73" t="str">
        <f t="shared" ca="1" si="87"/>
        <v>MONITOR</v>
      </c>
    </row>
    <row r="254" spans="1:34" x14ac:dyDescent="0.35">
      <c r="A254" s="25" t="s">
        <v>267</v>
      </c>
      <c r="B254" s="10" t="s">
        <v>336</v>
      </c>
      <c r="C254" s="10" t="s">
        <v>341</v>
      </c>
      <c r="D254" s="10" t="s">
        <v>346</v>
      </c>
      <c r="E254" s="11">
        <v>45871</v>
      </c>
      <c r="F254" s="17">
        <v>45892</v>
      </c>
      <c r="G254" s="14">
        <f t="shared" ca="1" si="66"/>
        <v>207</v>
      </c>
      <c r="H254" s="17">
        <v>699</v>
      </c>
      <c r="I254" s="17">
        <v>320</v>
      </c>
      <c r="J254" s="53">
        <f t="shared" si="67"/>
        <v>1122</v>
      </c>
      <c r="K254" s="17">
        <v>1300</v>
      </c>
      <c r="L254" s="66">
        <v>178</v>
      </c>
      <c r="M254" s="52">
        <f t="shared" ca="1" si="68"/>
        <v>0.85990338164251212</v>
      </c>
      <c r="N254" s="50">
        <f t="shared" si="69"/>
        <v>0.92883099285538351</v>
      </c>
      <c r="O254" s="52">
        <f t="shared" si="70"/>
        <v>0.54268292682926833</v>
      </c>
      <c r="P254" s="56">
        <f t="shared" si="71"/>
        <v>44.5</v>
      </c>
      <c r="Q254" s="54">
        <f t="shared" si="72"/>
        <v>25.213483146067414</v>
      </c>
      <c r="R254" s="55">
        <f t="shared" si="73"/>
        <v>54.220314735336196</v>
      </c>
      <c r="S254" s="55">
        <f t="shared" si="74"/>
        <v>13.692307692307693</v>
      </c>
      <c r="T254" s="13">
        <f t="shared" si="75"/>
        <v>1</v>
      </c>
      <c r="U254" s="13">
        <f t="shared" si="76"/>
        <v>1</v>
      </c>
      <c r="V254" s="13">
        <f t="shared" si="77"/>
        <v>2</v>
      </c>
      <c r="W254" s="13">
        <f t="shared" ca="1" si="78"/>
        <v>3</v>
      </c>
      <c r="X254" s="13">
        <f t="shared" ca="1" si="79"/>
        <v>7</v>
      </c>
      <c r="Y254" s="61" t="str">
        <f t="shared" ca="1" si="80"/>
        <v>MONITOR</v>
      </c>
      <c r="Z254" s="51">
        <v>14</v>
      </c>
      <c r="AA254" s="53">
        <v>46059</v>
      </c>
      <c r="AB254" s="53">
        <f t="shared" si="81"/>
        <v>45920</v>
      </c>
      <c r="AC254" s="72">
        <f t="shared" si="82"/>
        <v>19.857142857142858</v>
      </c>
      <c r="AD254" s="67" t="str">
        <f t="shared" ca="1" si="83"/>
        <v>STABLE</v>
      </c>
      <c r="AE254" s="67" t="str">
        <f t="shared" si="84"/>
        <v>SLOW SELLING</v>
      </c>
      <c r="AF254" s="67" t="str">
        <f t="shared" si="85"/>
        <v>AT RISK</v>
      </c>
      <c r="AG254" s="67" t="str">
        <f t="shared" si="86"/>
        <v>FEASIBLE</v>
      </c>
      <c r="AH254" s="73" t="str">
        <f t="shared" ca="1" si="87"/>
        <v>MONITOR</v>
      </c>
    </row>
    <row r="255" spans="1:34" x14ac:dyDescent="0.35">
      <c r="A255" s="25" t="s">
        <v>268</v>
      </c>
      <c r="B255" s="10" t="s">
        <v>336</v>
      </c>
      <c r="C255" s="10" t="s">
        <v>341</v>
      </c>
      <c r="D255" s="10" t="s">
        <v>346</v>
      </c>
      <c r="E255" s="11">
        <v>45920</v>
      </c>
      <c r="F255" s="17">
        <v>45892</v>
      </c>
      <c r="G255" s="14">
        <f t="shared" ca="1" si="66"/>
        <v>207</v>
      </c>
      <c r="H255" s="17">
        <v>699</v>
      </c>
      <c r="I255" s="17">
        <v>320</v>
      </c>
      <c r="J255" s="53">
        <f t="shared" si="67"/>
        <v>1215</v>
      </c>
      <c r="K255" s="17">
        <v>1300</v>
      </c>
      <c r="L255" s="66">
        <v>85</v>
      </c>
      <c r="M255" s="52">
        <f t="shared" ca="1" si="68"/>
        <v>0.41062801932367149</v>
      </c>
      <c r="N255" s="50">
        <f t="shared" si="69"/>
        <v>0.92883099285538351</v>
      </c>
      <c r="O255" s="52">
        <f t="shared" si="70"/>
        <v>0.25914634146341464</v>
      </c>
      <c r="P255" s="56">
        <f t="shared" si="71"/>
        <v>21.25</v>
      </c>
      <c r="Q255" s="54">
        <f t="shared" si="72"/>
        <v>57.176470588235297</v>
      </c>
      <c r="R255" s="55">
        <f t="shared" si="73"/>
        <v>54.220314735336196</v>
      </c>
      <c r="S255" s="55">
        <f t="shared" si="74"/>
        <v>6.5384615384615392</v>
      </c>
      <c r="T255" s="13">
        <f t="shared" si="75"/>
        <v>1</v>
      </c>
      <c r="U255" s="13">
        <f t="shared" si="76"/>
        <v>1</v>
      </c>
      <c r="V255" s="13">
        <f t="shared" si="77"/>
        <v>2</v>
      </c>
      <c r="W255" s="13">
        <f t="shared" ca="1" si="78"/>
        <v>3</v>
      </c>
      <c r="X255" s="13">
        <f t="shared" ca="1" si="79"/>
        <v>7</v>
      </c>
      <c r="Y255" s="61" t="str">
        <f t="shared" ca="1" si="80"/>
        <v>MONITOR</v>
      </c>
      <c r="Z255" s="51">
        <v>14</v>
      </c>
      <c r="AA255" s="53">
        <v>46059</v>
      </c>
      <c r="AB255" s="53">
        <f t="shared" si="81"/>
        <v>45920</v>
      </c>
      <c r="AC255" s="72">
        <f t="shared" si="82"/>
        <v>19.857142857142858</v>
      </c>
      <c r="AD255" s="67" t="str">
        <f t="shared" ca="1" si="83"/>
        <v>STABLE</v>
      </c>
      <c r="AE255" s="67" t="str">
        <f t="shared" si="84"/>
        <v>SLOW SELLING</v>
      </c>
      <c r="AF255" s="67" t="str">
        <f t="shared" si="85"/>
        <v>AT RISK</v>
      </c>
      <c r="AG255" s="67" t="str">
        <f t="shared" si="86"/>
        <v>FEASIBLE</v>
      </c>
      <c r="AH255" s="73" t="str">
        <f t="shared" ca="1" si="87"/>
        <v>MONITOR</v>
      </c>
    </row>
    <row r="256" spans="1:34" x14ac:dyDescent="0.35">
      <c r="A256" s="25" t="s">
        <v>269</v>
      </c>
      <c r="B256" s="10" t="s">
        <v>335</v>
      </c>
      <c r="C256" s="10" t="s">
        <v>341</v>
      </c>
      <c r="D256" s="10" t="s">
        <v>346</v>
      </c>
      <c r="E256" s="11">
        <v>45920</v>
      </c>
      <c r="F256" s="17">
        <v>45892</v>
      </c>
      <c r="G256" s="14">
        <f t="shared" ca="1" si="66"/>
        <v>207</v>
      </c>
      <c r="H256" s="17">
        <v>799</v>
      </c>
      <c r="I256" s="17">
        <v>325</v>
      </c>
      <c r="J256" s="53">
        <f t="shared" si="67"/>
        <v>947</v>
      </c>
      <c r="K256" s="17">
        <v>1050</v>
      </c>
      <c r="L256" s="66">
        <v>103</v>
      </c>
      <c r="M256" s="52">
        <f t="shared" ca="1" si="68"/>
        <v>0.49758454106280192</v>
      </c>
      <c r="N256" s="50">
        <f t="shared" si="69"/>
        <v>0.92883099285538351</v>
      </c>
      <c r="O256" s="52">
        <f t="shared" si="70"/>
        <v>0.31402439024390244</v>
      </c>
      <c r="P256" s="56">
        <f t="shared" si="71"/>
        <v>25.75</v>
      </c>
      <c r="Q256" s="54">
        <f t="shared" si="72"/>
        <v>36.776699029126213</v>
      </c>
      <c r="R256" s="55">
        <f t="shared" si="73"/>
        <v>59.324155193992489</v>
      </c>
      <c r="S256" s="55">
        <f t="shared" si="74"/>
        <v>9.8095238095238102</v>
      </c>
      <c r="T256" s="13">
        <f t="shared" si="75"/>
        <v>1</v>
      </c>
      <c r="U256" s="13">
        <f t="shared" si="76"/>
        <v>1</v>
      </c>
      <c r="V256" s="13">
        <f t="shared" si="77"/>
        <v>2</v>
      </c>
      <c r="W256" s="13">
        <f t="shared" ca="1" si="78"/>
        <v>3</v>
      </c>
      <c r="X256" s="13">
        <f t="shared" ca="1" si="79"/>
        <v>7</v>
      </c>
      <c r="Y256" s="61" t="str">
        <f t="shared" ca="1" si="80"/>
        <v>MONITOR</v>
      </c>
      <c r="Z256" s="51">
        <v>14</v>
      </c>
      <c r="AA256" s="53">
        <v>46059</v>
      </c>
      <c r="AB256" s="53">
        <f t="shared" si="81"/>
        <v>45920</v>
      </c>
      <c r="AC256" s="72">
        <f t="shared" si="82"/>
        <v>19.857142857142858</v>
      </c>
      <c r="AD256" s="67" t="str">
        <f t="shared" ca="1" si="83"/>
        <v>STABLE</v>
      </c>
      <c r="AE256" s="67" t="str">
        <f t="shared" si="84"/>
        <v>SLOW SELLING</v>
      </c>
      <c r="AF256" s="67" t="str">
        <f t="shared" si="85"/>
        <v>AT RISK</v>
      </c>
      <c r="AG256" s="67" t="str">
        <f t="shared" si="86"/>
        <v>FEASIBLE</v>
      </c>
      <c r="AH256" s="73" t="str">
        <f t="shared" ca="1" si="87"/>
        <v>MONITOR</v>
      </c>
    </row>
    <row r="257" spans="1:34" x14ac:dyDescent="0.35">
      <c r="A257" s="25" t="s">
        <v>270</v>
      </c>
      <c r="B257" s="10" t="s">
        <v>335</v>
      </c>
      <c r="C257" s="10" t="s">
        <v>341</v>
      </c>
      <c r="D257" s="10" t="s">
        <v>346</v>
      </c>
      <c r="E257" s="11">
        <v>45920</v>
      </c>
      <c r="F257" s="17">
        <v>45892</v>
      </c>
      <c r="G257" s="14">
        <f t="shared" ca="1" si="66"/>
        <v>207</v>
      </c>
      <c r="H257" s="17">
        <v>799</v>
      </c>
      <c r="I257" s="17">
        <v>325</v>
      </c>
      <c r="J257" s="53">
        <f t="shared" si="67"/>
        <v>923</v>
      </c>
      <c r="K257" s="17">
        <v>1050</v>
      </c>
      <c r="L257" s="66">
        <v>127</v>
      </c>
      <c r="M257" s="52">
        <f t="shared" ca="1" si="68"/>
        <v>0.61352657004830913</v>
      </c>
      <c r="N257" s="50">
        <f t="shared" si="69"/>
        <v>0.92883099285538351</v>
      </c>
      <c r="O257" s="52">
        <f t="shared" si="70"/>
        <v>0.38719512195121952</v>
      </c>
      <c r="P257" s="56">
        <f t="shared" si="71"/>
        <v>31.75</v>
      </c>
      <c r="Q257" s="54">
        <f t="shared" si="72"/>
        <v>29.070866141732285</v>
      </c>
      <c r="R257" s="55">
        <f t="shared" si="73"/>
        <v>59.324155193992489</v>
      </c>
      <c r="S257" s="55">
        <f t="shared" si="74"/>
        <v>12.095238095238095</v>
      </c>
      <c r="T257" s="13">
        <f t="shared" si="75"/>
        <v>1</v>
      </c>
      <c r="U257" s="13">
        <f t="shared" si="76"/>
        <v>1</v>
      </c>
      <c r="V257" s="13">
        <f t="shared" si="77"/>
        <v>2</v>
      </c>
      <c r="W257" s="13">
        <f t="shared" ca="1" si="78"/>
        <v>3</v>
      </c>
      <c r="X257" s="13">
        <f t="shared" ca="1" si="79"/>
        <v>7</v>
      </c>
      <c r="Y257" s="61" t="str">
        <f t="shared" ca="1" si="80"/>
        <v>MONITOR</v>
      </c>
      <c r="Z257" s="51">
        <v>14</v>
      </c>
      <c r="AA257" s="53">
        <v>46059</v>
      </c>
      <c r="AB257" s="53">
        <f t="shared" si="81"/>
        <v>45920</v>
      </c>
      <c r="AC257" s="72">
        <f t="shared" si="82"/>
        <v>19.857142857142858</v>
      </c>
      <c r="AD257" s="67" t="str">
        <f t="shared" ca="1" si="83"/>
        <v>STABLE</v>
      </c>
      <c r="AE257" s="67" t="str">
        <f t="shared" si="84"/>
        <v>SLOW SELLING</v>
      </c>
      <c r="AF257" s="67" t="str">
        <f t="shared" si="85"/>
        <v>AT RISK</v>
      </c>
      <c r="AG257" s="67" t="str">
        <f t="shared" si="86"/>
        <v>FEASIBLE</v>
      </c>
      <c r="AH257" s="73" t="str">
        <f t="shared" ca="1" si="87"/>
        <v>MONITOR</v>
      </c>
    </row>
    <row r="258" spans="1:34" x14ac:dyDescent="0.35">
      <c r="A258" s="25" t="s">
        <v>271</v>
      </c>
      <c r="B258" s="10" t="s">
        <v>335</v>
      </c>
      <c r="C258" s="10" t="s">
        <v>341</v>
      </c>
      <c r="D258" s="10" t="s">
        <v>346</v>
      </c>
      <c r="E258" s="11">
        <v>45920</v>
      </c>
      <c r="F258" s="17">
        <v>45892</v>
      </c>
      <c r="G258" s="14">
        <f t="shared" ca="1" si="66"/>
        <v>207</v>
      </c>
      <c r="H258" s="17">
        <v>799</v>
      </c>
      <c r="I258" s="17">
        <v>325</v>
      </c>
      <c r="J258" s="53">
        <f t="shared" si="67"/>
        <v>1050</v>
      </c>
      <c r="K258" s="17">
        <v>1050</v>
      </c>
      <c r="L258" s="67">
        <v>0</v>
      </c>
      <c r="M258" s="52">
        <f t="shared" ca="1" si="68"/>
        <v>0</v>
      </c>
      <c r="N258" s="50">
        <f t="shared" si="69"/>
        <v>0.92883099285538351</v>
      </c>
      <c r="O258" s="52">
        <f t="shared" si="70"/>
        <v>0</v>
      </c>
      <c r="P258" s="56">
        <f t="shared" si="71"/>
        <v>0</v>
      </c>
      <c r="Q258" s="54" t="e">
        <f t="shared" si="72"/>
        <v>#DIV/0!</v>
      </c>
      <c r="R258" s="55">
        <f t="shared" si="73"/>
        <v>59.324155193992489</v>
      </c>
      <c r="S258" s="55">
        <f t="shared" si="74"/>
        <v>0</v>
      </c>
      <c r="T258" s="13">
        <f t="shared" si="75"/>
        <v>1</v>
      </c>
      <c r="U258" s="13" t="e">
        <f t="shared" si="76"/>
        <v>#DIV/0!</v>
      </c>
      <c r="V258" s="13">
        <f t="shared" si="77"/>
        <v>2</v>
      </c>
      <c r="W258" s="13">
        <f t="shared" ca="1" si="78"/>
        <v>3</v>
      </c>
      <c r="X258" s="13" t="e">
        <f t="shared" ca="1" si="79"/>
        <v>#DIV/0!</v>
      </c>
      <c r="Y258" s="61" t="str">
        <f t="shared" ca="1" si="80"/>
        <v>EXIT</v>
      </c>
      <c r="Z258" s="51">
        <v>14</v>
      </c>
      <c r="AA258" s="53">
        <v>46059</v>
      </c>
      <c r="AB258" s="53">
        <f t="shared" si="81"/>
        <v>45920</v>
      </c>
      <c r="AC258" s="72">
        <f t="shared" si="82"/>
        <v>19.857142857142858</v>
      </c>
      <c r="AD258" s="67" t="str">
        <f t="shared" ca="1" si="83"/>
        <v>STABLE</v>
      </c>
      <c r="AE258" s="67" t="str">
        <f t="shared" si="84"/>
        <v>SLOW SELLING</v>
      </c>
      <c r="AF258" s="67" t="e">
        <f t="shared" si="85"/>
        <v>#DIV/0!</v>
      </c>
      <c r="AG258" s="67" t="str">
        <f t="shared" si="86"/>
        <v>FEASIBLE</v>
      </c>
      <c r="AH258" s="73" t="str">
        <f t="shared" ca="1" si="87"/>
        <v>MONITOR</v>
      </c>
    </row>
    <row r="259" spans="1:34" x14ac:dyDescent="0.35">
      <c r="A259" s="25" t="s">
        <v>272</v>
      </c>
      <c r="B259" s="10" t="s">
        <v>335</v>
      </c>
      <c r="C259" s="10" t="s">
        <v>341</v>
      </c>
      <c r="D259" s="10" t="s">
        <v>346</v>
      </c>
      <c r="E259" s="11">
        <v>45920</v>
      </c>
      <c r="F259" s="17">
        <v>45892</v>
      </c>
      <c r="G259" s="14">
        <f t="shared" ref="G259:G300" ca="1" si="88">TODAY()-F259</f>
        <v>207</v>
      </c>
      <c r="H259" s="17">
        <v>799</v>
      </c>
      <c r="I259" s="17">
        <v>325</v>
      </c>
      <c r="J259" s="53">
        <f t="shared" ref="J259:J300" si="89">K259-L259</f>
        <v>1050</v>
      </c>
      <c r="K259" s="17">
        <v>1050</v>
      </c>
      <c r="L259" s="67">
        <v>0</v>
      </c>
      <c r="M259" s="52">
        <f t="shared" ref="M259:M300" ca="1" si="90">L259/G259</f>
        <v>0</v>
      </c>
      <c r="N259" s="50">
        <f t="shared" ref="N259:N300" si="91">AVERAGEIFS(O:O,C:C,C259)</f>
        <v>0.92883099285538351</v>
      </c>
      <c r="O259" s="52">
        <f t="shared" ref="O259:O300" si="92">L259/328</f>
        <v>0</v>
      </c>
      <c r="P259" s="56">
        <f t="shared" ref="P259:P300" si="93">O259*82</f>
        <v>0</v>
      </c>
      <c r="Q259" s="54" t="e">
        <f t="shared" ref="Q259:Q300" si="94">J259/P259</f>
        <v>#DIV/0!</v>
      </c>
      <c r="R259" s="55">
        <f t="shared" ref="R259:R300" si="95">(H259-I259)/H259*100</f>
        <v>59.324155193992489</v>
      </c>
      <c r="S259" s="55">
        <f t="shared" ref="S259:S299" si="96">L259/K259*100</f>
        <v>0</v>
      </c>
      <c r="T259" s="13">
        <f t="shared" ref="T259:T300" si="97">IF(O259&gt;=N259,3,IF(O259&gt;=0.8*N259,2,1))</f>
        <v>1</v>
      </c>
      <c r="U259" s="13" t="e">
        <f t="shared" ref="U259:U300" si="98">IF(Q259&lt;=4,3,IF(Q259&lt;=6,2,1))</f>
        <v>#DIV/0!</v>
      </c>
      <c r="V259" s="13">
        <f t="shared" ref="V259:V300" si="99">IF(R259&gt;=60,3,IF(R259&gt;=45,2,1))</f>
        <v>2</v>
      </c>
      <c r="W259" s="13">
        <f t="shared" ref="W259:W300" ca="1" si="100">IF(M259&lt;=10,3,IF(M259&lt;=25,2,1))</f>
        <v>3</v>
      </c>
      <c r="X259" s="13" t="e">
        <f t="shared" ref="X259:X300" ca="1" si="101">T259+U259+V259+W259</f>
        <v>#DIV/0!</v>
      </c>
      <c r="Y259" s="61" t="str">
        <f t="shared" ref="Y259:Y300" ca="1" si="102">IFERROR(IF(X259&gt;=9,"RE-BUY",IF(X259&gt;=6,"MONITOR","EXIT")),"EXIT")</f>
        <v>EXIT</v>
      </c>
      <c r="Z259" s="51">
        <v>14</v>
      </c>
      <c r="AA259" s="53">
        <v>46059</v>
      </c>
      <c r="AB259" s="53">
        <f t="shared" ref="AB259:AB300" si="103">F259+28</f>
        <v>45920</v>
      </c>
      <c r="AC259" s="72">
        <f t="shared" ref="AC259:AC300" si="104">(AA259-AB259)/7</f>
        <v>19.857142857142858</v>
      </c>
      <c r="AD259" s="67" t="str">
        <f t="shared" ref="AD259:AD300" ca="1" si="105">IF(G259&gt;=21,"STABLE","TOO EARLY")</f>
        <v>STABLE</v>
      </c>
      <c r="AE259" s="67" t="str">
        <f t="shared" ref="AE259:AE300" si="106">IF(O259&gt;=N259,"FAST SELLING","SLOW SELLING")</f>
        <v>SLOW SELLING</v>
      </c>
      <c r="AF259" s="67" t="e">
        <f t="shared" ref="AF259:AF300" si="107">IF(U259&lt;=Z259,"AT RISK","SAFE")</f>
        <v>#DIV/0!</v>
      </c>
      <c r="AG259" s="67" t="str">
        <f t="shared" ref="AG259:AG300" si="108">IF(Z259&lt;=AC259,"FEASIBLE","NOT FEASIBLE")</f>
        <v>FEASIBLE</v>
      </c>
      <c r="AH259" s="73" t="str">
        <f t="shared" ref="AH259:AH300" ca="1" si="109">IF(AND(Y259="RE-BUY",AD259="STABLE",AE259="FAST SELLING",AG259="FEASIBLE"),"IMMEDIATE REBUY","MONITOR")</f>
        <v>MONITOR</v>
      </c>
    </row>
    <row r="260" spans="1:34" x14ac:dyDescent="0.35">
      <c r="A260" s="25" t="s">
        <v>273</v>
      </c>
      <c r="B260" s="10" t="s">
        <v>335</v>
      </c>
      <c r="C260" s="10" t="s">
        <v>343</v>
      </c>
      <c r="D260" s="10" t="s">
        <v>346</v>
      </c>
      <c r="E260" s="11">
        <v>45920</v>
      </c>
      <c r="F260" s="17">
        <v>45892</v>
      </c>
      <c r="G260" s="14">
        <f t="shared" ca="1" si="88"/>
        <v>207</v>
      </c>
      <c r="H260" s="17">
        <v>799</v>
      </c>
      <c r="I260" s="17">
        <v>355</v>
      </c>
      <c r="J260" s="53">
        <f t="shared" si="89"/>
        <v>648</v>
      </c>
      <c r="K260" s="17">
        <v>750</v>
      </c>
      <c r="L260" s="66">
        <v>102</v>
      </c>
      <c r="M260" s="52">
        <f t="shared" ca="1" si="90"/>
        <v>0.49275362318840582</v>
      </c>
      <c r="N260" s="50">
        <f t="shared" si="91"/>
        <v>0.56143292682926838</v>
      </c>
      <c r="O260" s="52">
        <f t="shared" si="92"/>
        <v>0.31097560975609756</v>
      </c>
      <c r="P260" s="56">
        <f t="shared" si="93"/>
        <v>25.5</v>
      </c>
      <c r="Q260" s="54">
        <f t="shared" si="94"/>
        <v>25.411764705882351</v>
      </c>
      <c r="R260" s="55">
        <f t="shared" si="95"/>
        <v>55.569461827284108</v>
      </c>
      <c r="S260" s="55">
        <f t="shared" si="96"/>
        <v>13.600000000000001</v>
      </c>
      <c r="T260" s="13">
        <f t="shared" si="97"/>
        <v>1</v>
      </c>
      <c r="U260" s="13">
        <f t="shared" si="98"/>
        <v>1</v>
      </c>
      <c r="V260" s="13">
        <f t="shared" si="99"/>
        <v>2</v>
      </c>
      <c r="W260" s="13">
        <f t="shared" ca="1" si="100"/>
        <v>3</v>
      </c>
      <c r="X260" s="13">
        <f t="shared" ca="1" si="101"/>
        <v>7</v>
      </c>
      <c r="Y260" s="61" t="str">
        <f t="shared" ca="1" si="102"/>
        <v>MONITOR</v>
      </c>
      <c r="Z260" s="51">
        <v>14</v>
      </c>
      <c r="AA260" s="53">
        <v>46059</v>
      </c>
      <c r="AB260" s="53">
        <f t="shared" si="103"/>
        <v>45920</v>
      </c>
      <c r="AC260" s="72">
        <f t="shared" si="104"/>
        <v>19.857142857142858</v>
      </c>
      <c r="AD260" s="67" t="str">
        <f t="shared" ca="1" si="105"/>
        <v>STABLE</v>
      </c>
      <c r="AE260" s="67" t="str">
        <f t="shared" si="106"/>
        <v>SLOW SELLING</v>
      </c>
      <c r="AF260" s="67" t="str">
        <f t="shared" si="107"/>
        <v>AT RISK</v>
      </c>
      <c r="AG260" s="67" t="str">
        <f t="shared" si="108"/>
        <v>FEASIBLE</v>
      </c>
      <c r="AH260" s="73" t="str">
        <f t="shared" ca="1" si="109"/>
        <v>MONITOR</v>
      </c>
    </row>
    <row r="261" spans="1:34" x14ac:dyDescent="0.35">
      <c r="A261" s="25" t="s">
        <v>274</v>
      </c>
      <c r="B261" s="10" t="s">
        <v>335</v>
      </c>
      <c r="C261" s="10" t="s">
        <v>343</v>
      </c>
      <c r="D261" s="10" t="s">
        <v>346</v>
      </c>
      <c r="E261" s="11">
        <v>45920</v>
      </c>
      <c r="F261" s="17">
        <v>45892</v>
      </c>
      <c r="G261" s="14">
        <f t="shared" ca="1" si="88"/>
        <v>207</v>
      </c>
      <c r="H261" s="17">
        <v>799</v>
      </c>
      <c r="I261" s="17">
        <v>355</v>
      </c>
      <c r="J261" s="53">
        <f t="shared" si="89"/>
        <v>694</v>
      </c>
      <c r="K261" s="17">
        <v>750</v>
      </c>
      <c r="L261" s="66">
        <v>56</v>
      </c>
      <c r="M261" s="52">
        <f t="shared" ca="1" si="90"/>
        <v>0.27053140096618356</v>
      </c>
      <c r="N261" s="50">
        <f t="shared" si="91"/>
        <v>0.56143292682926838</v>
      </c>
      <c r="O261" s="52">
        <f t="shared" si="92"/>
        <v>0.17073170731707318</v>
      </c>
      <c r="P261" s="56">
        <f t="shared" si="93"/>
        <v>14.000000000000002</v>
      </c>
      <c r="Q261" s="54">
        <f t="shared" si="94"/>
        <v>49.571428571428562</v>
      </c>
      <c r="R261" s="55">
        <f t="shared" si="95"/>
        <v>55.569461827284108</v>
      </c>
      <c r="S261" s="55">
        <f t="shared" si="96"/>
        <v>7.4666666666666677</v>
      </c>
      <c r="T261" s="13">
        <f t="shared" si="97"/>
        <v>1</v>
      </c>
      <c r="U261" s="13">
        <f t="shared" si="98"/>
        <v>1</v>
      </c>
      <c r="V261" s="13">
        <f t="shared" si="99"/>
        <v>2</v>
      </c>
      <c r="W261" s="13">
        <f t="shared" ca="1" si="100"/>
        <v>3</v>
      </c>
      <c r="X261" s="13">
        <f t="shared" ca="1" si="101"/>
        <v>7</v>
      </c>
      <c r="Y261" s="61" t="str">
        <f t="shared" ca="1" si="102"/>
        <v>MONITOR</v>
      </c>
      <c r="Z261" s="51">
        <v>14</v>
      </c>
      <c r="AA261" s="53">
        <v>46059</v>
      </c>
      <c r="AB261" s="53">
        <f t="shared" si="103"/>
        <v>45920</v>
      </c>
      <c r="AC261" s="72">
        <f t="shared" si="104"/>
        <v>19.857142857142858</v>
      </c>
      <c r="AD261" s="67" t="str">
        <f t="shared" ca="1" si="105"/>
        <v>STABLE</v>
      </c>
      <c r="AE261" s="67" t="str">
        <f t="shared" si="106"/>
        <v>SLOW SELLING</v>
      </c>
      <c r="AF261" s="67" t="str">
        <f t="shared" si="107"/>
        <v>AT RISK</v>
      </c>
      <c r="AG261" s="67" t="str">
        <f t="shared" si="108"/>
        <v>FEASIBLE</v>
      </c>
      <c r="AH261" s="73" t="str">
        <f t="shared" ca="1" si="109"/>
        <v>MONITOR</v>
      </c>
    </row>
    <row r="262" spans="1:34" x14ac:dyDescent="0.35">
      <c r="A262" s="25" t="s">
        <v>275</v>
      </c>
      <c r="B262" s="10" t="s">
        <v>335</v>
      </c>
      <c r="C262" s="10" t="s">
        <v>343</v>
      </c>
      <c r="D262" s="10" t="s">
        <v>346</v>
      </c>
      <c r="E262" s="11">
        <v>45941</v>
      </c>
      <c r="F262" s="17">
        <v>45892</v>
      </c>
      <c r="G262" s="14">
        <f t="shared" ca="1" si="88"/>
        <v>207</v>
      </c>
      <c r="H262" s="17">
        <v>599</v>
      </c>
      <c r="I262" s="17">
        <v>280</v>
      </c>
      <c r="J262" s="53">
        <f t="shared" si="89"/>
        <v>671</v>
      </c>
      <c r="K262" s="17">
        <v>750</v>
      </c>
      <c r="L262" s="66">
        <v>79</v>
      </c>
      <c r="M262" s="52">
        <f t="shared" ca="1" si="90"/>
        <v>0.38164251207729466</v>
      </c>
      <c r="N262" s="50">
        <f t="shared" si="91"/>
        <v>0.56143292682926838</v>
      </c>
      <c r="O262" s="52">
        <f t="shared" si="92"/>
        <v>0.24085365853658536</v>
      </c>
      <c r="P262" s="56">
        <f t="shared" si="93"/>
        <v>19.75</v>
      </c>
      <c r="Q262" s="54">
        <f t="shared" si="94"/>
        <v>33.974683544303801</v>
      </c>
      <c r="R262" s="55">
        <f t="shared" si="95"/>
        <v>53.255425709515855</v>
      </c>
      <c r="S262" s="55">
        <f t="shared" si="96"/>
        <v>10.533333333333333</v>
      </c>
      <c r="T262" s="13">
        <f t="shared" si="97"/>
        <v>1</v>
      </c>
      <c r="U262" s="13">
        <f t="shared" si="98"/>
        <v>1</v>
      </c>
      <c r="V262" s="13">
        <f t="shared" si="99"/>
        <v>2</v>
      </c>
      <c r="W262" s="13">
        <f t="shared" ca="1" si="100"/>
        <v>3</v>
      </c>
      <c r="X262" s="13">
        <f t="shared" ca="1" si="101"/>
        <v>7</v>
      </c>
      <c r="Y262" s="61" t="str">
        <f t="shared" ca="1" si="102"/>
        <v>MONITOR</v>
      </c>
      <c r="Z262" s="51">
        <v>14</v>
      </c>
      <c r="AA262" s="53">
        <v>46059</v>
      </c>
      <c r="AB262" s="53">
        <f t="shared" si="103"/>
        <v>45920</v>
      </c>
      <c r="AC262" s="72">
        <f t="shared" si="104"/>
        <v>19.857142857142858</v>
      </c>
      <c r="AD262" s="67" t="str">
        <f t="shared" ca="1" si="105"/>
        <v>STABLE</v>
      </c>
      <c r="AE262" s="67" t="str">
        <f t="shared" si="106"/>
        <v>SLOW SELLING</v>
      </c>
      <c r="AF262" s="67" t="str">
        <f t="shared" si="107"/>
        <v>AT RISK</v>
      </c>
      <c r="AG262" s="67" t="str">
        <f t="shared" si="108"/>
        <v>FEASIBLE</v>
      </c>
      <c r="AH262" s="73" t="str">
        <f t="shared" ca="1" si="109"/>
        <v>MONITOR</v>
      </c>
    </row>
    <row r="263" spans="1:34" x14ac:dyDescent="0.35">
      <c r="A263" s="25" t="s">
        <v>276</v>
      </c>
      <c r="B263" s="10" t="s">
        <v>335</v>
      </c>
      <c r="C263" s="10" t="s">
        <v>343</v>
      </c>
      <c r="D263" s="10" t="s">
        <v>346</v>
      </c>
      <c r="E263" s="11">
        <v>45864</v>
      </c>
      <c r="F263" s="17">
        <v>45892</v>
      </c>
      <c r="G263" s="14">
        <f t="shared" ca="1" si="88"/>
        <v>207</v>
      </c>
      <c r="H263" s="17">
        <v>499</v>
      </c>
      <c r="I263" s="17">
        <v>275</v>
      </c>
      <c r="J263" s="53">
        <f t="shared" si="89"/>
        <v>669</v>
      </c>
      <c r="K263" s="17">
        <v>800</v>
      </c>
      <c r="L263" s="66">
        <v>131</v>
      </c>
      <c r="M263" s="52">
        <f t="shared" ca="1" si="90"/>
        <v>0.63285024154589375</v>
      </c>
      <c r="N263" s="50">
        <f t="shared" si="91"/>
        <v>0.56143292682926838</v>
      </c>
      <c r="O263" s="52">
        <f t="shared" si="92"/>
        <v>0.39939024390243905</v>
      </c>
      <c r="P263" s="56">
        <f t="shared" si="93"/>
        <v>32.75</v>
      </c>
      <c r="Q263" s="54">
        <f t="shared" si="94"/>
        <v>20.427480916030536</v>
      </c>
      <c r="R263" s="55">
        <f t="shared" si="95"/>
        <v>44.889779559118239</v>
      </c>
      <c r="S263" s="55">
        <f t="shared" si="96"/>
        <v>16.375</v>
      </c>
      <c r="T263" s="13">
        <f t="shared" si="97"/>
        <v>1</v>
      </c>
      <c r="U263" s="13">
        <f t="shared" si="98"/>
        <v>1</v>
      </c>
      <c r="V263" s="13">
        <f t="shared" si="99"/>
        <v>1</v>
      </c>
      <c r="W263" s="13">
        <f t="shared" ca="1" si="100"/>
        <v>3</v>
      </c>
      <c r="X263" s="13">
        <f t="shared" ca="1" si="101"/>
        <v>6</v>
      </c>
      <c r="Y263" s="61" t="str">
        <f t="shared" ca="1" si="102"/>
        <v>MONITOR</v>
      </c>
      <c r="Z263" s="51">
        <v>14</v>
      </c>
      <c r="AA263" s="53">
        <v>46059</v>
      </c>
      <c r="AB263" s="53">
        <f t="shared" si="103"/>
        <v>45920</v>
      </c>
      <c r="AC263" s="72">
        <f t="shared" si="104"/>
        <v>19.857142857142858</v>
      </c>
      <c r="AD263" s="67" t="str">
        <f t="shared" ca="1" si="105"/>
        <v>STABLE</v>
      </c>
      <c r="AE263" s="67" t="str">
        <f t="shared" si="106"/>
        <v>SLOW SELLING</v>
      </c>
      <c r="AF263" s="67" t="str">
        <f t="shared" si="107"/>
        <v>AT RISK</v>
      </c>
      <c r="AG263" s="67" t="str">
        <f t="shared" si="108"/>
        <v>FEASIBLE</v>
      </c>
      <c r="AH263" s="73" t="str">
        <f t="shared" ca="1" si="109"/>
        <v>MONITOR</v>
      </c>
    </row>
    <row r="264" spans="1:34" x14ac:dyDescent="0.35">
      <c r="A264" s="25" t="s">
        <v>277</v>
      </c>
      <c r="B264" s="10" t="s">
        <v>335</v>
      </c>
      <c r="C264" s="10" t="s">
        <v>343</v>
      </c>
      <c r="D264" s="10" t="s">
        <v>346</v>
      </c>
      <c r="E264" s="11">
        <v>45864</v>
      </c>
      <c r="F264" s="17">
        <v>45892</v>
      </c>
      <c r="G264" s="14">
        <f t="shared" ca="1" si="88"/>
        <v>207</v>
      </c>
      <c r="H264" s="17">
        <v>499</v>
      </c>
      <c r="I264" s="17">
        <v>275</v>
      </c>
      <c r="J264" s="53">
        <f t="shared" si="89"/>
        <v>654</v>
      </c>
      <c r="K264" s="17">
        <v>800</v>
      </c>
      <c r="L264" s="66">
        <v>146</v>
      </c>
      <c r="M264" s="52">
        <f t="shared" ca="1" si="90"/>
        <v>0.70531400966183577</v>
      </c>
      <c r="N264" s="50">
        <f t="shared" si="91"/>
        <v>0.56143292682926838</v>
      </c>
      <c r="O264" s="52">
        <f t="shared" si="92"/>
        <v>0.4451219512195122</v>
      </c>
      <c r="P264" s="56">
        <f t="shared" si="93"/>
        <v>36.5</v>
      </c>
      <c r="Q264" s="54">
        <f t="shared" si="94"/>
        <v>17.917808219178081</v>
      </c>
      <c r="R264" s="55">
        <f t="shared" si="95"/>
        <v>44.889779559118239</v>
      </c>
      <c r="S264" s="55">
        <f t="shared" si="96"/>
        <v>18.25</v>
      </c>
      <c r="T264" s="13">
        <f t="shared" si="97"/>
        <v>1</v>
      </c>
      <c r="U264" s="13">
        <f t="shared" si="98"/>
        <v>1</v>
      </c>
      <c r="V264" s="13">
        <f t="shared" si="99"/>
        <v>1</v>
      </c>
      <c r="W264" s="13">
        <f t="shared" ca="1" si="100"/>
        <v>3</v>
      </c>
      <c r="X264" s="13">
        <f t="shared" ca="1" si="101"/>
        <v>6</v>
      </c>
      <c r="Y264" s="61" t="str">
        <f t="shared" ca="1" si="102"/>
        <v>MONITOR</v>
      </c>
      <c r="Z264" s="51">
        <v>14</v>
      </c>
      <c r="AA264" s="53">
        <v>46059</v>
      </c>
      <c r="AB264" s="53">
        <f t="shared" si="103"/>
        <v>45920</v>
      </c>
      <c r="AC264" s="72">
        <f t="shared" si="104"/>
        <v>19.857142857142858</v>
      </c>
      <c r="AD264" s="67" t="str">
        <f t="shared" ca="1" si="105"/>
        <v>STABLE</v>
      </c>
      <c r="AE264" s="67" t="str">
        <f t="shared" si="106"/>
        <v>SLOW SELLING</v>
      </c>
      <c r="AF264" s="67" t="str">
        <f t="shared" si="107"/>
        <v>AT RISK</v>
      </c>
      <c r="AG264" s="67" t="str">
        <f t="shared" si="108"/>
        <v>FEASIBLE</v>
      </c>
      <c r="AH264" s="73" t="str">
        <f t="shared" ca="1" si="109"/>
        <v>MONITOR</v>
      </c>
    </row>
    <row r="265" spans="1:34" x14ac:dyDescent="0.35">
      <c r="A265" s="25" t="s">
        <v>278</v>
      </c>
      <c r="B265" s="10" t="s">
        <v>335</v>
      </c>
      <c r="C265" s="10" t="s">
        <v>343</v>
      </c>
      <c r="D265" s="10" t="s">
        <v>346</v>
      </c>
      <c r="E265" s="11">
        <v>45864</v>
      </c>
      <c r="F265" s="17">
        <v>45892</v>
      </c>
      <c r="G265" s="14">
        <f t="shared" ca="1" si="88"/>
        <v>207</v>
      </c>
      <c r="H265" s="17">
        <v>499</v>
      </c>
      <c r="I265" s="17">
        <v>275</v>
      </c>
      <c r="J265" s="53">
        <f t="shared" si="89"/>
        <v>608</v>
      </c>
      <c r="K265" s="17">
        <v>800</v>
      </c>
      <c r="L265" s="66">
        <v>192</v>
      </c>
      <c r="M265" s="52">
        <f t="shared" ca="1" si="90"/>
        <v>0.92753623188405798</v>
      </c>
      <c r="N265" s="50">
        <f t="shared" si="91"/>
        <v>0.56143292682926838</v>
      </c>
      <c r="O265" s="52">
        <f t="shared" si="92"/>
        <v>0.58536585365853655</v>
      </c>
      <c r="P265" s="56">
        <f t="shared" si="93"/>
        <v>48</v>
      </c>
      <c r="Q265" s="54">
        <f t="shared" si="94"/>
        <v>12.666666666666666</v>
      </c>
      <c r="R265" s="55">
        <f t="shared" si="95"/>
        <v>44.889779559118239</v>
      </c>
      <c r="S265" s="55">
        <f t="shared" si="96"/>
        <v>24</v>
      </c>
      <c r="T265" s="13">
        <f t="shared" si="97"/>
        <v>3</v>
      </c>
      <c r="U265" s="13">
        <f t="shared" si="98"/>
        <v>1</v>
      </c>
      <c r="V265" s="13">
        <f t="shared" si="99"/>
        <v>1</v>
      </c>
      <c r="W265" s="13">
        <f t="shared" ca="1" si="100"/>
        <v>3</v>
      </c>
      <c r="X265" s="13">
        <f t="shared" ca="1" si="101"/>
        <v>8</v>
      </c>
      <c r="Y265" s="61" t="str">
        <f t="shared" ca="1" si="102"/>
        <v>MONITOR</v>
      </c>
      <c r="Z265" s="51">
        <v>14</v>
      </c>
      <c r="AA265" s="53">
        <v>46059</v>
      </c>
      <c r="AB265" s="53">
        <f t="shared" si="103"/>
        <v>45920</v>
      </c>
      <c r="AC265" s="72">
        <f t="shared" si="104"/>
        <v>19.857142857142858</v>
      </c>
      <c r="AD265" s="67" t="str">
        <f t="shared" ca="1" si="105"/>
        <v>STABLE</v>
      </c>
      <c r="AE265" s="67" t="str">
        <f t="shared" si="106"/>
        <v>FAST SELLING</v>
      </c>
      <c r="AF265" s="67" t="str">
        <f t="shared" si="107"/>
        <v>AT RISK</v>
      </c>
      <c r="AG265" s="67" t="str">
        <f t="shared" si="108"/>
        <v>FEASIBLE</v>
      </c>
      <c r="AH265" s="73" t="str">
        <f t="shared" ca="1" si="109"/>
        <v>MONITOR</v>
      </c>
    </row>
    <row r="266" spans="1:34" x14ac:dyDescent="0.35">
      <c r="A266" s="25" t="s">
        <v>279</v>
      </c>
      <c r="B266" s="10" t="s">
        <v>335</v>
      </c>
      <c r="C266" s="10" t="s">
        <v>343</v>
      </c>
      <c r="D266" s="10" t="s">
        <v>346</v>
      </c>
      <c r="E266" s="11">
        <v>45864</v>
      </c>
      <c r="F266" s="17">
        <v>45892</v>
      </c>
      <c r="G266" s="14">
        <f t="shared" ca="1" si="88"/>
        <v>207</v>
      </c>
      <c r="H266" s="17">
        <v>499</v>
      </c>
      <c r="I266" s="17">
        <v>275</v>
      </c>
      <c r="J266" s="53">
        <f t="shared" si="89"/>
        <v>697</v>
      </c>
      <c r="K266" s="17">
        <v>800</v>
      </c>
      <c r="L266" s="66">
        <v>103</v>
      </c>
      <c r="M266" s="52">
        <f t="shared" ca="1" si="90"/>
        <v>0.49758454106280192</v>
      </c>
      <c r="N266" s="50">
        <f t="shared" si="91"/>
        <v>0.56143292682926838</v>
      </c>
      <c r="O266" s="52">
        <f t="shared" si="92"/>
        <v>0.31402439024390244</v>
      </c>
      <c r="P266" s="56">
        <f t="shared" si="93"/>
        <v>25.75</v>
      </c>
      <c r="Q266" s="54">
        <f t="shared" si="94"/>
        <v>27.067961165048544</v>
      </c>
      <c r="R266" s="55">
        <f t="shared" si="95"/>
        <v>44.889779559118239</v>
      </c>
      <c r="S266" s="55">
        <f t="shared" si="96"/>
        <v>12.875</v>
      </c>
      <c r="T266" s="13">
        <f t="shared" si="97"/>
        <v>1</v>
      </c>
      <c r="U266" s="13">
        <f t="shared" si="98"/>
        <v>1</v>
      </c>
      <c r="V266" s="13">
        <f t="shared" si="99"/>
        <v>1</v>
      </c>
      <c r="W266" s="13">
        <f t="shared" ca="1" si="100"/>
        <v>3</v>
      </c>
      <c r="X266" s="13">
        <f t="shared" ca="1" si="101"/>
        <v>6</v>
      </c>
      <c r="Y266" s="61" t="str">
        <f t="shared" ca="1" si="102"/>
        <v>MONITOR</v>
      </c>
      <c r="Z266" s="51">
        <v>14</v>
      </c>
      <c r="AA266" s="53">
        <v>46059</v>
      </c>
      <c r="AB266" s="53">
        <f t="shared" si="103"/>
        <v>45920</v>
      </c>
      <c r="AC266" s="72">
        <f t="shared" si="104"/>
        <v>19.857142857142858</v>
      </c>
      <c r="AD266" s="67" t="str">
        <f t="shared" ca="1" si="105"/>
        <v>STABLE</v>
      </c>
      <c r="AE266" s="67" t="str">
        <f t="shared" si="106"/>
        <v>SLOW SELLING</v>
      </c>
      <c r="AF266" s="67" t="str">
        <f t="shared" si="107"/>
        <v>AT RISK</v>
      </c>
      <c r="AG266" s="67" t="str">
        <f t="shared" si="108"/>
        <v>FEASIBLE</v>
      </c>
      <c r="AH266" s="73" t="str">
        <f t="shared" ca="1" si="109"/>
        <v>MONITOR</v>
      </c>
    </row>
    <row r="267" spans="1:34" x14ac:dyDescent="0.35">
      <c r="A267" s="25" t="s">
        <v>280</v>
      </c>
      <c r="B267" s="10" t="s">
        <v>335</v>
      </c>
      <c r="C267" s="10" t="s">
        <v>343</v>
      </c>
      <c r="D267" s="10" t="s">
        <v>346</v>
      </c>
      <c r="E267" s="11">
        <v>45920</v>
      </c>
      <c r="F267" s="17">
        <v>45892</v>
      </c>
      <c r="G267" s="14">
        <f t="shared" ca="1" si="88"/>
        <v>207</v>
      </c>
      <c r="H267" s="17">
        <v>999</v>
      </c>
      <c r="I267" s="17">
        <v>400</v>
      </c>
      <c r="J267" s="53">
        <f t="shared" si="89"/>
        <v>750</v>
      </c>
      <c r="K267" s="17">
        <v>750</v>
      </c>
      <c r="L267" s="67">
        <v>0</v>
      </c>
      <c r="M267" s="52">
        <f t="shared" ca="1" si="90"/>
        <v>0</v>
      </c>
      <c r="N267" s="50">
        <f t="shared" si="91"/>
        <v>0.56143292682926838</v>
      </c>
      <c r="O267" s="52">
        <f t="shared" si="92"/>
        <v>0</v>
      </c>
      <c r="P267" s="56">
        <f t="shared" si="93"/>
        <v>0</v>
      </c>
      <c r="Q267" s="54" t="e">
        <f t="shared" si="94"/>
        <v>#DIV/0!</v>
      </c>
      <c r="R267" s="55">
        <f t="shared" si="95"/>
        <v>59.95995995995996</v>
      </c>
      <c r="S267" s="55">
        <f t="shared" si="96"/>
        <v>0</v>
      </c>
      <c r="T267" s="13">
        <f t="shared" si="97"/>
        <v>1</v>
      </c>
      <c r="U267" s="13" t="e">
        <f t="shared" si="98"/>
        <v>#DIV/0!</v>
      </c>
      <c r="V267" s="13">
        <f t="shared" si="99"/>
        <v>2</v>
      </c>
      <c r="W267" s="13">
        <f t="shared" ca="1" si="100"/>
        <v>3</v>
      </c>
      <c r="X267" s="13" t="e">
        <f t="shared" ca="1" si="101"/>
        <v>#DIV/0!</v>
      </c>
      <c r="Y267" s="61" t="str">
        <f t="shared" ca="1" si="102"/>
        <v>EXIT</v>
      </c>
      <c r="Z267" s="51">
        <v>14</v>
      </c>
      <c r="AA267" s="53">
        <v>46059</v>
      </c>
      <c r="AB267" s="53">
        <f t="shared" si="103"/>
        <v>45920</v>
      </c>
      <c r="AC267" s="72">
        <f t="shared" si="104"/>
        <v>19.857142857142858</v>
      </c>
      <c r="AD267" s="67" t="str">
        <f t="shared" ca="1" si="105"/>
        <v>STABLE</v>
      </c>
      <c r="AE267" s="67" t="str">
        <f t="shared" si="106"/>
        <v>SLOW SELLING</v>
      </c>
      <c r="AF267" s="67" t="e">
        <f t="shared" si="107"/>
        <v>#DIV/0!</v>
      </c>
      <c r="AG267" s="67" t="str">
        <f t="shared" si="108"/>
        <v>FEASIBLE</v>
      </c>
      <c r="AH267" s="73" t="str">
        <f t="shared" ca="1" si="109"/>
        <v>MONITOR</v>
      </c>
    </row>
    <row r="268" spans="1:34" x14ac:dyDescent="0.35">
      <c r="A268" s="25" t="s">
        <v>281</v>
      </c>
      <c r="B268" s="10" t="s">
        <v>335</v>
      </c>
      <c r="C268" s="10" t="s">
        <v>343</v>
      </c>
      <c r="D268" s="10" t="s">
        <v>346</v>
      </c>
      <c r="E268" s="11">
        <v>45920</v>
      </c>
      <c r="F268" s="17">
        <v>45892</v>
      </c>
      <c r="G268" s="14">
        <f t="shared" ca="1" si="88"/>
        <v>207</v>
      </c>
      <c r="H268" s="17">
        <v>799</v>
      </c>
      <c r="I268" s="17">
        <v>325</v>
      </c>
      <c r="J268" s="53">
        <f t="shared" si="89"/>
        <v>909</v>
      </c>
      <c r="K268" s="17">
        <v>1050</v>
      </c>
      <c r="L268" s="66">
        <v>141</v>
      </c>
      <c r="M268" s="52">
        <f t="shared" ca="1" si="90"/>
        <v>0.6811594202898551</v>
      </c>
      <c r="N268" s="50">
        <f t="shared" si="91"/>
        <v>0.56143292682926838</v>
      </c>
      <c r="O268" s="52">
        <f t="shared" si="92"/>
        <v>0.4298780487804878</v>
      </c>
      <c r="P268" s="56">
        <f t="shared" si="93"/>
        <v>35.25</v>
      </c>
      <c r="Q268" s="54">
        <f t="shared" si="94"/>
        <v>25.787234042553191</v>
      </c>
      <c r="R268" s="55">
        <f t="shared" si="95"/>
        <v>59.324155193992489</v>
      </c>
      <c r="S268" s="55">
        <f t="shared" si="96"/>
        <v>13.428571428571429</v>
      </c>
      <c r="T268" s="13">
        <f t="shared" si="97"/>
        <v>1</v>
      </c>
      <c r="U268" s="13">
        <f t="shared" si="98"/>
        <v>1</v>
      </c>
      <c r="V268" s="13">
        <f t="shared" si="99"/>
        <v>2</v>
      </c>
      <c r="W268" s="13">
        <f t="shared" ca="1" si="100"/>
        <v>3</v>
      </c>
      <c r="X268" s="13">
        <f t="shared" ca="1" si="101"/>
        <v>7</v>
      </c>
      <c r="Y268" s="61" t="str">
        <f t="shared" ca="1" si="102"/>
        <v>MONITOR</v>
      </c>
      <c r="Z268" s="51">
        <v>14</v>
      </c>
      <c r="AA268" s="53">
        <v>46059</v>
      </c>
      <c r="AB268" s="53">
        <f t="shared" si="103"/>
        <v>45920</v>
      </c>
      <c r="AC268" s="72">
        <f t="shared" si="104"/>
        <v>19.857142857142858</v>
      </c>
      <c r="AD268" s="67" t="str">
        <f t="shared" ca="1" si="105"/>
        <v>STABLE</v>
      </c>
      <c r="AE268" s="67" t="str">
        <f t="shared" si="106"/>
        <v>SLOW SELLING</v>
      </c>
      <c r="AF268" s="67" t="str">
        <f t="shared" si="107"/>
        <v>AT RISK</v>
      </c>
      <c r="AG268" s="67" t="str">
        <f t="shared" si="108"/>
        <v>FEASIBLE</v>
      </c>
      <c r="AH268" s="73" t="str">
        <f t="shared" ca="1" si="109"/>
        <v>MONITOR</v>
      </c>
    </row>
    <row r="269" spans="1:34" x14ac:dyDescent="0.35">
      <c r="A269" s="25" t="s">
        <v>282</v>
      </c>
      <c r="B269" s="10" t="s">
        <v>338</v>
      </c>
      <c r="C269" s="10" t="s">
        <v>343</v>
      </c>
      <c r="D269" s="10" t="s">
        <v>346</v>
      </c>
      <c r="E269" s="11">
        <v>45920</v>
      </c>
      <c r="F269" s="17">
        <v>45892</v>
      </c>
      <c r="G269" s="14">
        <f t="shared" ca="1" si="88"/>
        <v>207</v>
      </c>
      <c r="H269" s="17">
        <v>799</v>
      </c>
      <c r="I269" s="17">
        <v>385</v>
      </c>
      <c r="J269" s="53">
        <f t="shared" si="89"/>
        <v>727</v>
      </c>
      <c r="K269" s="17">
        <v>1050</v>
      </c>
      <c r="L269" s="66">
        <v>323</v>
      </c>
      <c r="M269" s="52">
        <f t="shared" ca="1" si="90"/>
        <v>1.5603864734299517</v>
      </c>
      <c r="N269" s="50">
        <f t="shared" si="91"/>
        <v>0.56143292682926838</v>
      </c>
      <c r="O269" s="52">
        <f t="shared" si="92"/>
        <v>0.9847560975609756</v>
      </c>
      <c r="P269" s="56">
        <f t="shared" si="93"/>
        <v>80.75</v>
      </c>
      <c r="Q269" s="54">
        <f t="shared" si="94"/>
        <v>9.0030959752321973</v>
      </c>
      <c r="R269" s="55">
        <f t="shared" si="95"/>
        <v>51.814768460575721</v>
      </c>
      <c r="S269" s="55">
        <f t="shared" si="96"/>
        <v>30.761904761904763</v>
      </c>
      <c r="T269" s="13">
        <f t="shared" si="97"/>
        <v>3</v>
      </c>
      <c r="U269" s="13">
        <f t="shared" si="98"/>
        <v>1</v>
      </c>
      <c r="V269" s="13">
        <f t="shared" si="99"/>
        <v>2</v>
      </c>
      <c r="W269" s="13">
        <f t="shared" ca="1" si="100"/>
        <v>3</v>
      </c>
      <c r="X269" s="13">
        <f t="shared" ca="1" si="101"/>
        <v>9</v>
      </c>
      <c r="Y269" s="61" t="str">
        <f t="shared" ca="1" si="102"/>
        <v>RE-BUY</v>
      </c>
      <c r="Z269" s="51">
        <v>14</v>
      </c>
      <c r="AA269" s="53">
        <v>46059</v>
      </c>
      <c r="AB269" s="53">
        <f t="shared" si="103"/>
        <v>45920</v>
      </c>
      <c r="AC269" s="72">
        <f t="shared" si="104"/>
        <v>19.857142857142858</v>
      </c>
      <c r="AD269" s="67" t="str">
        <f t="shared" ca="1" si="105"/>
        <v>STABLE</v>
      </c>
      <c r="AE269" s="67" t="str">
        <f t="shared" si="106"/>
        <v>FAST SELLING</v>
      </c>
      <c r="AF269" s="67" t="str">
        <f t="shared" si="107"/>
        <v>AT RISK</v>
      </c>
      <c r="AG269" s="67" t="str">
        <f t="shared" si="108"/>
        <v>FEASIBLE</v>
      </c>
      <c r="AH269" s="73" t="str">
        <f t="shared" ca="1" si="109"/>
        <v>IMMEDIATE REBUY</v>
      </c>
    </row>
    <row r="270" spans="1:34" x14ac:dyDescent="0.35">
      <c r="A270" s="25" t="s">
        <v>283</v>
      </c>
      <c r="B270" s="10" t="s">
        <v>335</v>
      </c>
      <c r="C270" s="10" t="s">
        <v>343</v>
      </c>
      <c r="D270" s="10" t="s">
        <v>346</v>
      </c>
      <c r="E270" s="11">
        <v>45885</v>
      </c>
      <c r="F270" s="17">
        <v>45892</v>
      </c>
      <c r="G270" s="14">
        <f t="shared" ca="1" si="88"/>
        <v>207</v>
      </c>
      <c r="H270" s="17">
        <v>799</v>
      </c>
      <c r="I270" s="17">
        <v>345</v>
      </c>
      <c r="J270" s="53">
        <f t="shared" si="89"/>
        <v>467</v>
      </c>
      <c r="K270" s="17">
        <v>750</v>
      </c>
      <c r="L270" s="66">
        <v>283</v>
      </c>
      <c r="M270" s="52">
        <f t="shared" ca="1" si="90"/>
        <v>1.3671497584541064</v>
      </c>
      <c r="N270" s="50">
        <f t="shared" si="91"/>
        <v>0.56143292682926838</v>
      </c>
      <c r="O270" s="52">
        <f t="shared" si="92"/>
        <v>0.86280487804878048</v>
      </c>
      <c r="P270" s="56">
        <f t="shared" si="93"/>
        <v>70.75</v>
      </c>
      <c r="Q270" s="54">
        <f t="shared" si="94"/>
        <v>6.6007067137809186</v>
      </c>
      <c r="R270" s="55">
        <f t="shared" si="95"/>
        <v>56.821026282853573</v>
      </c>
      <c r="S270" s="55">
        <f t="shared" si="96"/>
        <v>37.733333333333334</v>
      </c>
      <c r="T270" s="13">
        <f t="shared" si="97"/>
        <v>3</v>
      </c>
      <c r="U270" s="13">
        <f t="shared" si="98"/>
        <v>1</v>
      </c>
      <c r="V270" s="13">
        <f t="shared" si="99"/>
        <v>2</v>
      </c>
      <c r="W270" s="13">
        <f t="shared" ca="1" si="100"/>
        <v>3</v>
      </c>
      <c r="X270" s="13">
        <f t="shared" ca="1" si="101"/>
        <v>9</v>
      </c>
      <c r="Y270" s="61" t="str">
        <f t="shared" ca="1" si="102"/>
        <v>RE-BUY</v>
      </c>
      <c r="Z270" s="51">
        <v>14</v>
      </c>
      <c r="AA270" s="53">
        <v>46059</v>
      </c>
      <c r="AB270" s="53">
        <f t="shared" si="103"/>
        <v>45920</v>
      </c>
      <c r="AC270" s="72">
        <f t="shared" si="104"/>
        <v>19.857142857142858</v>
      </c>
      <c r="AD270" s="67" t="str">
        <f t="shared" ca="1" si="105"/>
        <v>STABLE</v>
      </c>
      <c r="AE270" s="67" t="str">
        <f t="shared" si="106"/>
        <v>FAST SELLING</v>
      </c>
      <c r="AF270" s="67" t="str">
        <f t="shared" si="107"/>
        <v>AT RISK</v>
      </c>
      <c r="AG270" s="67" t="str">
        <f t="shared" si="108"/>
        <v>FEASIBLE</v>
      </c>
      <c r="AH270" s="73" t="str">
        <f t="shared" ca="1" si="109"/>
        <v>IMMEDIATE REBUY</v>
      </c>
    </row>
    <row r="271" spans="1:34" x14ac:dyDescent="0.35">
      <c r="A271" s="25" t="s">
        <v>284</v>
      </c>
      <c r="B271" s="10" t="s">
        <v>335</v>
      </c>
      <c r="C271" s="10" t="s">
        <v>343</v>
      </c>
      <c r="D271" s="10" t="s">
        <v>346</v>
      </c>
      <c r="E271" s="11">
        <v>45885</v>
      </c>
      <c r="F271" s="17">
        <v>45892</v>
      </c>
      <c r="G271" s="14">
        <f t="shared" ca="1" si="88"/>
        <v>207</v>
      </c>
      <c r="H271" s="17">
        <v>799</v>
      </c>
      <c r="I271" s="17">
        <v>345</v>
      </c>
      <c r="J271" s="53">
        <f t="shared" si="89"/>
        <v>544</v>
      </c>
      <c r="K271" s="17">
        <v>750</v>
      </c>
      <c r="L271" s="66">
        <v>206</v>
      </c>
      <c r="M271" s="52">
        <f t="shared" ca="1" si="90"/>
        <v>0.99516908212560384</v>
      </c>
      <c r="N271" s="50">
        <f t="shared" si="91"/>
        <v>0.56143292682926838</v>
      </c>
      <c r="O271" s="52">
        <f t="shared" si="92"/>
        <v>0.62804878048780488</v>
      </c>
      <c r="P271" s="56">
        <f t="shared" si="93"/>
        <v>51.5</v>
      </c>
      <c r="Q271" s="54">
        <f t="shared" si="94"/>
        <v>10.563106796116505</v>
      </c>
      <c r="R271" s="55">
        <f t="shared" si="95"/>
        <v>56.821026282853573</v>
      </c>
      <c r="S271" s="55">
        <f t="shared" si="96"/>
        <v>27.466666666666669</v>
      </c>
      <c r="T271" s="13">
        <f t="shared" si="97"/>
        <v>3</v>
      </c>
      <c r="U271" s="13">
        <f t="shared" si="98"/>
        <v>1</v>
      </c>
      <c r="V271" s="13">
        <f t="shared" si="99"/>
        <v>2</v>
      </c>
      <c r="W271" s="13">
        <f t="shared" ca="1" si="100"/>
        <v>3</v>
      </c>
      <c r="X271" s="13">
        <f t="shared" ca="1" si="101"/>
        <v>9</v>
      </c>
      <c r="Y271" s="61" t="str">
        <f t="shared" ca="1" si="102"/>
        <v>RE-BUY</v>
      </c>
      <c r="Z271" s="51">
        <v>14</v>
      </c>
      <c r="AA271" s="53">
        <v>46059</v>
      </c>
      <c r="AB271" s="53">
        <f t="shared" si="103"/>
        <v>45920</v>
      </c>
      <c r="AC271" s="72">
        <f t="shared" si="104"/>
        <v>19.857142857142858</v>
      </c>
      <c r="AD271" s="67" t="str">
        <f t="shared" ca="1" si="105"/>
        <v>STABLE</v>
      </c>
      <c r="AE271" s="67" t="str">
        <f t="shared" si="106"/>
        <v>FAST SELLING</v>
      </c>
      <c r="AF271" s="67" t="str">
        <f t="shared" si="107"/>
        <v>AT RISK</v>
      </c>
      <c r="AG271" s="67" t="str">
        <f t="shared" si="108"/>
        <v>FEASIBLE</v>
      </c>
      <c r="AH271" s="73" t="str">
        <f t="shared" ca="1" si="109"/>
        <v>IMMEDIATE REBUY</v>
      </c>
    </row>
    <row r="272" spans="1:34" x14ac:dyDescent="0.35">
      <c r="A272" s="25" t="s">
        <v>285</v>
      </c>
      <c r="B272" s="10" t="s">
        <v>335</v>
      </c>
      <c r="C272" s="10" t="s">
        <v>343</v>
      </c>
      <c r="D272" s="10" t="s">
        <v>346</v>
      </c>
      <c r="E272" s="11">
        <v>45885</v>
      </c>
      <c r="F272" s="17">
        <v>45892</v>
      </c>
      <c r="G272" s="14">
        <f t="shared" ca="1" si="88"/>
        <v>207</v>
      </c>
      <c r="H272" s="17">
        <v>799</v>
      </c>
      <c r="I272" s="17">
        <v>345</v>
      </c>
      <c r="J272" s="53">
        <f t="shared" si="89"/>
        <v>519</v>
      </c>
      <c r="K272" s="17">
        <v>750</v>
      </c>
      <c r="L272" s="66">
        <v>231</v>
      </c>
      <c r="M272" s="52">
        <f t="shared" ca="1" si="90"/>
        <v>1.1159420289855073</v>
      </c>
      <c r="N272" s="50">
        <f t="shared" si="91"/>
        <v>0.56143292682926838</v>
      </c>
      <c r="O272" s="52">
        <f t="shared" si="92"/>
        <v>0.70426829268292679</v>
      </c>
      <c r="P272" s="56">
        <f t="shared" si="93"/>
        <v>57.75</v>
      </c>
      <c r="Q272" s="54">
        <f t="shared" si="94"/>
        <v>8.9870129870129869</v>
      </c>
      <c r="R272" s="55">
        <f t="shared" si="95"/>
        <v>56.821026282853573</v>
      </c>
      <c r="S272" s="55">
        <f t="shared" si="96"/>
        <v>30.8</v>
      </c>
      <c r="T272" s="13">
        <f t="shared" si="97"/>
        <v>3</v>
      </c>
      <c r="U272" s="13">
        <f t="shared" si="98"/>
        <v>1</v>
      </c>
      <c r="V272" s="13">
        <f t="shared" si="99"/>
        <v>2</v>
      </c>
      <c r="W272" s="13">
        <f t="shared" ca="1" si="100"/>
        <v>3</v>
      </c>
      <c r="X272" s="13">
        <f t="shared" ca="1" si="101"/>
        <v>9</v>
      </c>
      <c r="Y272" s="61" t="str">
        <f t="shared" ca="1" si="102"/>
        <v>RE-BUY</v>
      </c>
      <c r="Z272" s="51">
        <v>14</v>
      </c>
      <c r="AA272" s="53">
        <v>46059</v>
      </c>
      <c r="AB272" s="53">
        <f t="shared" si="103"/>
        <v>45920</v>
      </c>
      <c r="AC272" s="72">
        <f t="shared" si="104"/>
        <v>19.857142857142858</v>
      </c>
      <c r="AD272" s="67" t="str">
        <f t="shared" ca="1" si="105"/>
        <v>STABLE</v>
      </c>
      <c r="AE272" s="67" t="str">
        <f t="shared" si="106"/>
        <v>FAST SELLING</v>
      </c>
      <c r="AF272" s="67" t="str">
        <f t="shared" si="107"/>
        <v>AT RISK</v>
      </c>
      <c r="AG272" s="67" t="str">
        <f t="shared" si="108"/>
        <v>FEASIBLE</v>
      </c>
      <c r="AH272" s="73" t="str">
        <f t="shared" ca="1" si="109"/>
        <v>IMMEDIATE REBUY</v>
      </c>
    </row>
    <row r="273" spans="1:34" x14ac:dyDescent="0.35">
      <c r="A273" s="25" t="s">
        <v>286</v>
      </c>
      <c r="B273" s="10" t="s">
        <v>335</v>
      </c>
      <c r="C273" s="10" t="s">
        <v>343</v>
      </c>
      <c r="D273" s="10" t="s">
        <v>346</v>
      </c>
      <c r="E273" s="11">
        <v>45885</v>
      </c>
      <c r="F273" s="17">
        <v>45892</v>
      </c>
      <c r="G273" s="14">
        <f t="shared" ca="1" si="88"/>
        <v>207</v>
      </c>
      <c r="H273" s="17">
        <v>799</v>
      </c>
      <c r="I273" s="17">
        <v>345</v>
      </c>
      <c r="J273" s="53">
        <f t="shared" si="89"/>
        <v>594</v>
      </c>
      <c r="K273" s="17">
        <v>750</v>
      </c>
      <c r="L273" s="66">
        <v>156</v>
      </c>
      <c r="M273" s="52">
        <f t="shared" ca="1" si="90"/>
        <v>0.75362318840579712</v>
      </c>
      <c r="N273" s="50">
        <f t="shared" si="91"/>
        <v>0.56143292682926838</v>
      </c>
      <c r="O273" s="52">
        <f t="shared" si="92"/>
        <v>0.47560975609756095</v>
      </c>
      <c r="P273" s="56">
        <f t="shared" si="93"/>
        <v>39</v>
      </c>
      <c r="Q273" s="54">
        <f t="shared" si="94"/>
        <v>15.23076923076923</v>
      </c>
      <c r="R273" s="55">
        <f t="shared" si="95"/>
        <v>56.821026282853573</v>
      </c>
      <c r="S273" s="55">
        <f t="shared" si="96"/>
        <v>20.8</v>
      </c>
      <c r="T273" s="13">
        <f t="shared" si="97"/>
        <v>2</v>
      </c>
      <c r="U273" s="13">
        <f t="shared" si="98"/>
        <v>1</v>
      </c>
      <c r="V273" s="13">
        <f t="shared" si="99"/>
        <v>2</v>
      </c>
      <c r="W273" s="13">
        <f t="shared" ca="1" si="100"/>
        <v>3</v>
      </c>
      <c r="X273" s="13">
        <f t="shared" ca="1" si="101"/>
        <v>8</v>
      </c>
      <c r="Y273" s="61" t="str">
        <f t="shared" ca="1" si="102"/>
        <v>MONITOR</v>
      </c>
      <c r="Z273" s="51">
        <v>14</v>
      </c>
      <c r="AA273" s="53">
        <v>46059</v>
      </c>
      <c r="AB273" s="53">
        <f t="shared" si="103"/>
        <v>45920</v>
      </c>
      <c r="AC273" s="72">
        <f t="shared" si="104"/>
        <v>19.857142857142858</v>
      </c>
      <c r="AD273" s="67" t="str">
        <f t="shared" ca="1" si="105"/>
        <v>STABLE</v>
      </c>
      <c r="AE273" s="67" t="str">
        <f t="shared" si="106"/>
        <v>SLOW SELLING</v>
      </c>
      <c r="AF273" s="67" t="str">
        <f t="shared" si="107"/>
        <v>AT RISK</v>
      </c>
      <c r="AG273" s="67" t="str">
        <f t="shared" si="108"/>
        <v>FEASIBLE</v>
      </c>
      <c r="AH273" s="73" t="str">
        <f t="shared" ca="1" si="109"/>
        <v>MONITOR</v>
      </c>
    </row>
    <row r="274" spans="1:34" x14ac:dyDescent="0.35">
      <c r="A274" s="25" t="s">
        <v>287</v>
      </c>
      <c r="B274" s="10" t="s">
        <v>335</v>
      </c>
      <c r="C274" s="10" t="s">
        <v>343</v>
      </c>
      <c r="D274" s="10" t="s">
        <v>346</v>
      </c>
      <c r="E274" s="11">
        <v>45941</v>
      </c>
      <c r="F274" s="17">
        <v>45892</v>
      </c>
      <c r="G274" s="14">
        <f t="shared" ca="1" si="88"/>
        <v>207</v>
      </c>
      <c r="H274" s="17">
        <v>599</v>
      </c>
      <c r="I274" s="17">
        <v>270</v>
      </c>
      <c r="J274" s="53">
        <f t="shared" si="89"/>
        <v>672</v>
      </c>
      <c r="K274" s="17">
        <v>750</v>
      </c>
      <c r="L274" s="66">
        <v>78</v>
      </c>
      <c r="M274" s="52">
        <f t="shared" ca="1" si="90"/>
        <v>0.37681159420289856</v>
      </c>
      <c r="N274" s="50">
        <f t="shared" si="91"/>
        <v>0.56143292682926838</v>
      </c>
      <c r="O274" s="52">
        <f t="shared" si="92"/>
        <v>0.23780487804878048</v>
      </c>
      <c r="P274" s="56">
        <f t="shared" si="93"/>
        <v>19.5</v>
      </c>
      <c r="Q274" s="54">
        <f t="shared" si="94"/>
        <v>34.46153846153846</v>
      </c>
      <c r="R274" s="55">
        <f t="shared" si="95"/>
        <v>54.924874791318871</v>
      </c>
      <c r="S274" s="55">
        <f t="shared" si="96"/>
        <v>10.4</v>
      </c>
      <c r="T274" s="13">
        <f t="shared" si="97"/>
        <v>1</v>
      </c>
      <c r="U274" s="13">
        <f t="shared" si="98"/>
        <v>1</v>
      </c>
      <c r="V274" s="13">
        <f t="shared" si="99"/>
        <v>2</v>
      </c>
      <c r="W274" s="13">
        <f t="shared" ca="1" si="100"/>
        <v>3</v>
      </c>
      <c r="X274" s="13">
        <f t="shared" ca="1" si="101"/>
        <v>7</v>
      </c>
      <c r="Y274" s="61" t="str">
        <f t="shared" ca="1" si="102"/>
        <v>MONITOR</v>
      </c>
      <c r="Z274" s="51">
        <v>14</v>
      </c>
      <c r="AA274" s="53">
        <v>46059</v>
      </c>
      <c r="AB274" s="53">
        <f t="shared" si="103"/>
        <v>45920</v>
      </c>
      <c r="AC274" s="72">
        <f t="shared" si="104"/>
        <v>19.857142857142858</v>
      </c>
      <c r="AD274" s="67" t="str">
        <f t="shared" ca="1" si="105"/>
        <v>STABLE</v>
      </c>
      <c r="AE274" s="67" t="str">
        <f t="shared" si="106"/>
        <v>SLOW SELLING</v>
      </c>
      <c r="AF274" s="67" t="str">
        <f t="shared" si="107"/>
        <v>AT RISK</v>
      </c>
      <c r="AG274" s="67" t="str">
        <f t="shared" si="108"/>
        <v>FEASIBLE</v>
      </c>
      <c r="AH274" s="73" t="str">
        <f t="shared" ca="1" si="109"/>
        <v>MONITOR</v>
      </c>
    </row>
    <row r="275" spans="1:34" x14ac:dyDescent="0.35">
      <c r="A275" s="25" t="s">
        <v>288</v>
      </c>
      <c r="B275" s="10" t="s">
        <v>335</v>
      </c>
      <c r="C275" s="10" t="s">
        <v>343</v>
      </c>
      <c r="D275" s="10" t="s">
        <v>346</v>
      </c>
      <c r="E275" s="11">
        <v>45920</v>
      </c>
      <c r="F275" s="17">
        <v>45892</v>
      </c>
      <c r="G275" s="14">
        <f t="shared" ca="1" si="88"/>
        <v>207</v>
      </c>
      <c r="H275" s="17">
        <v>499</v>
      </c>
      <c r="I275" s="17">
        <v>240</v>
      </c>
      <c r="J275" s="53">
        <f t="shared" si="89"/>
        <v>545</v>
      </c>
      <c r="K275" s="17">
        <v>750</v>
      </c>
      <c r="L275" s="66">
        <v>205</v>
      </c>
      <c r="M275" s="52">
        <f t="shared" ca="1" si="90"/>
        <v>0.99033816425120769</v>
      </c>
      <c r="N275" s="50">
        <f t="shared" si="91"/>
        <v>0.56143292682926838</v>
      </c>
      <c r="O275" s="52">
        <f t="shared" si="92"/>
        <v>0.625</v>
      </c>
      <c r="P275" s="56">
        <f t="shared" si="93"/>
        <v>51.25</v>
      </c>
      <c r="Q275" s="54">
        <f t="shared" si="94"/>
        <v>10.634146341463415</v>
      </c>
      <c r="R275" s="55">
        <f t="shared" si="95"/>
        <v>51.903807615230455</v>
      </c>
      <c r="S275" s="55">
        <f t="shared" si="96"/>
        <v>27.333333333333332</v>
      </c>
      <c r="T275" s="13">
        <f t="shared" si="97"/>
        <v>3</v>
      </c>
      <c r="U275" s="13">
        <f t="shared" si="98"/>
        <v>1</v>
      </c>
      <c r="V275" s="13">
        <f t="shared" si="99"/>
        <v>2</v>
      </c>
      <c r="W275" s="13">
        <f t="shared" ca="1" si="100"/>
        <v>3</v>
      </c>
      <c r="X275" s="13">
        <f t="shared" ca="1" si="101"/>
        <v>9</v>
      </c>
      <c r="Y275" s="61" t="str">
        <f t="shared" ca="1" si="102"/>
        <v>RE-BUY</v>
      </c>
      <c r="Z275" s="51">
        <v>14</v>
      </c>
      <c r="AA275" s="53">
        <v>46059</v>
      </c>
      <c r="AB275" s="53">
        <f t="shared" si="103"/>
        <v>45920</v>
      </c>
      <c r="AC275" s="72">
        <f t="shared" si="104"/>
        <v>19.857142857142858</v>
      </c>
      <c r="AD275" s="67" t="str">
        <f t="shared" ca="1" si="105"/>
        <v>STABLE</v>
      </c>
      <c r="AE275" s="67" t="str">
        <f t="shared" si="106"/>
        <v>FAST SELLING</v>
      </c>
      <c r="AF275" s="67" t="str">
        <f t="shared" si="107"/>
        <v>AT RISK</v>
      </c>
      <c r="AG275" s="67" t="str">
        <f t="shared" si="108"/>
        <v>FEASIBLE</v>
      </c>
      <c r="AH275" s="73" t="str">
        <f t="shared" ca="1" si="109"/>
        <v>IMMEDIATE REBUY</v>
      </c>
    </row>
    <row r="276" spans="1:34" x14ac:dyDescent="0.35">
      <c r="A276" s="25" t="s">
        <v>289</v>
      </c>
      <c r="B276" s="10" t="s">
        <v>334</v>
      </c>
      <c r="C276" s="10" t="s">
        <v>342</v>
      </c>
      <c r="D276" s="10" t="s">
        <v>346</v>
      </c>
      <c r="E276" s="11">
        <v>45920</v>
      </c>
      <c r="F276" s="17">
        <v>45892</v>
      </c>
      <c r="G276" s="14">
        <f t="shared" ca="1" si="88"/>
        <v>207</v>
      </c>
      <c r="H276" s="17">
        <v>999</v>
      </c>
      <c r="I276" s="17">
        <v>435</v>
      </c>
      <c r="J276" s="53">
        <f t="shared" si="89"/>
        <v>900</v>
      </c>
      <c r="K276" s="17">
        <v>900</v>
      </c>
      <c r="L276" s="67">
        <v>0</v>
      </c>
      <c r="M276" s="52">
        <f t="shared" ca="1" si="90"/>
        <v>0</v>
      </c>
      <c r="N276" s="50">
        <f t="shared" si="91"/>
        <v>0.80451009251471861</v>
      </c>
      <c r="O276" s="52">
        <f t="shared" si="92"/>
        <v>0</v>
      </c>
      <c r="P276" s="56">
        <f t="shared" si="93"/>
        <v>0</v>
      </c>
      <c r="Q276" s="54" t="e">
        <f t="shared" si="94"/>
        <v>#DIV/0!</v>
      </c>
      <c r="R276" s="55">
        <f t="shared" si="95"/>
        <v>56.456456456456458</v>
      </c>
      <c r="S276" s="55">
        <f t="shared" si="96"/>
        <v>0</v>
      </c>
      <c r="T276" s="13">
        <f t="shared" si="97"/>
        <v>1</v>
      </c>
      <c r="U276" s="13" t="e">
        <f t="shared" si="98"/>
        <v>#DIV/0!</v>
      </c>
      <c r="V276" s="13">
        <f t="shared" si="99"/>
        <v>2</v>
      </c>
      <c r="W276" s="13">
        <f t="shared" ca="1" si="100"/>
        <v>3</v>
      </c>
      <c r="X276" s="13" t="e">
        <f t="shared" ca="1" si="101"/>
        <v>#DIV/0!</v>
      </c>
      <c r="Y276" s="61" t="str">
        <f t="shared" ca="1" si="102"/>
        <v>EXIT</v>
      </c>
      <c r="Z276" s="51">
        <v>14</v>
      </c>
      <c r="AA276" s="53">
        <v>46059</v>
      </c>
      <c r="AB276" s="53">
        <f t="shared" si="103"/>
        <v>45920</v>
      </c>
      <c r="AC276" s="72">
        <f t="shared" si="104"/>
        <v>19.857142857142858</v>
      </c>
      <c r="AD276" s="67" t="str">
        <f t="shared" ca="1" si="105"/>
        <v>STABLE</v>
      </c>
      <c r="AE276" s="67" t="str">
        <f t="shared" si="106"/>
        <v>SLOW SELLING</v>
      </c>
      <c r="AF276" s="67" t="e">
        <f t="shared" si="107"/>
        <v>#DIV/0!</v>
      </c>
      <c r="AG276" s="67" t="str">
        <f t="shared" si="108"/>
        <v>FEASIBLE</v>
      </c>
      <c r="AH276" s="73" t="str">
        <f t="shared" ca="1" si="109"/>
        <v>MONITOR</v>
      </c>
    </row>
    <row r="277" spans="1:34" x14ac:dyDescent="0.35">
      <c r="A277" s="25" t="s">
        <v>290</v>
      </c>
      <c r="B277" s="10" t="s">
        <v>334</v>
      </c>
      <c r="C277" s="10" t="s">
        <v>342</v>
      </c>
      <c r="D277" s="10" t="s">
        <v>346</v>
      </c>
      <c r="E277" s="11">
        <v>45920</v>
      </c>
      <c r="F277" s="17">
        <v>45892</v>
      </c>
      <c r="G277" s="14">
        <f t="shared" ca="1" si="88"/>
        <v>207</v>
      </c>
      <c r="H277" s="17">
        <v>999</v>
      </c>
      <c r="I277" s="17">
        <v>435</v>
      </c>
      <c r="J277" s="53">
        <f t="shared" si="89"/>
        <v>734</v>
      </c>
      <c r="K277" s="17">
        <v>900</v>
      </c>
      <c r="L277" s="66">
        <v>166</v>
      </c>
      <c r="M277" s="52">
        <f t="shared" ca="1" si="90"/>
        <v>0.80193236714975846</v>
      </c>
      <c r="N277" s="50">
        <f t="shared" si="91"/>
        <v>0.80451009251471861</v>
      </c>
      <c r="O277" s="52">
        <f t="shared" si="92"/>
        <v>0.50609756097560976</v>
      </c>
      <c r="P277" s="56">
        <f t="shared" si="93"/>
        <v>41.5</v>
      </c>
      <c r="Q277" s="54">
        <f t="shared" si="94"/>
        <v>17.686746987951807</v>
      </c>
      <c r="R277" s="55">
        <f t="shared" si="95"/>
        <v>56.456456456456458</v>
      </c>
      <c r="S277" s="55">
        <f t="shared" si="96"/>
        <v>18.444444444444443</v>
      </c>
      <c r="T277" s="13">
        <f t="shared" si="97"/>
        <v>1</v>
      </c>
      <c r="U277" s="13">
        <f t="shared" si="98"/>
        <v>1</v>
      </c>
      <c r="V277" s="13">
        <f t="shared" si="99"/>
        <v>2</v>
      </c>
      <c r="W277" s="13">
        <f t="shared" ca="1" si="100"/>
        <v>3</v>
      </c>
      <c r="X277" s="13">
        <f t="shared" ca="1" si="101"/>
        <v>7</v>
      </c>
      <c r="Y277" s="61" t="str">
        <f t="shared" ca="1" si="102"/>
        <v>MONITOR</v>
      </c>
      <c r="Z277" s="51">
        <v>14</v>
      </c>
      <c r="AA277" s="53">
        <v>46059</v>
      </c>
      <c r="AB277" s="53">
        <f t="shared" si="103"/>
        <v>45920</v>
      </c>
      <c r="AC277" s="72">
        <f t="shared" si="104"/>
        <v>19.857142857142858</v>
      </c>
      <c r="AD277" s="67" t="str">
        <f t="shared" ca="1" si="105"/>
        <v>STABLE</v>
      </c>
      <c r="AE277" s="67" t="str">
        <f t="shared" si="106"/>
        <v>SLOW SELLING</v>
      </c>
      <c r="AF277" s="67" t="str">
        <f t="shared" si="107"/>
        <v>AT RISK</v>
      </c>
      <c r="AG277" s="67" t="str">
        <f t="shared" si="108"/>
        <v>FEASIBLE</v>
      </c>
      <c r="AH277" s="73" t="str">
        <f t="shared" ca="1" si="109"/>
        <v>MONITOR</v>
      </c>
    </row>
    <row r="278" spans="1:34" x14ac:dyDescent="0.35">
      <c r="A278" s="25" t="s">
        <v>291</v>
      </c>
      <c r="B278" s="10" t="s">
        <v>334</v>
      </c>
      <c r="C278" s="10" t="s">
        <v>342</v>
      </c>
      <c r="D278" s="10" t="s">
        <v>346</v>
      </c>
      <c r="E278" s="11">
        <v>45920</v>
      </c>
      <c r="F278" s="17">
        <v>45892</v>
      </c>
      <c r="G278" s="14">
        <f t="shared" ca="1" si="88"/>
        <v>207</v>
      </c>
      <c r="H278" s="17">
        <v>999</v>
      </c>
      <c r="I278" s="17">
        <v>460</v>
      </c>
      <c r="J278" s="53">
        <f t="shared" si="89"/>
        <v>846</v>
      </c>
      <c r="K278" s="17">
        <v>900</v>
      </c>
      <c r="L278" s="66">
        <v>54</v>
      </c>
      <c r="M278" s="52">
        <f t="shared" ca="1" si="90"/>
        <v>0.2608695652173913</v>
      </c>
      <c r="N278" s="50">
        <f t="shared" si="91"/>
        <v>0.80451009251471861</v>
      </c>
      <c r="O278" s="52">
        <f t="shared" si="92"/>
        <v>0.16463414634146342</v>
      </c>
      <c r="P278" s="56">
        <f t="shared" si="93"/>
        <v>13.5</v>
      </c>
      <c r="Q278" s="54">
        <f t="shared" si="94"/>
        <v>62.666666666666664</v>
      </c>
      <c r="R278" s="55">
        <f t="shared" si="95"/>
        <v>53.953953953953956</v>
      </c>
      <c r="S278" s="55">
        <f t="shared" si="96"/>
        <v>6</v>
      </c>
      <c r="T278" s="13">
        <f t="shared" si="97"/>
        <v>1</v>
      </c>
      <c r="U278" s="13">
        <f t="shared" si="98"/>
        <v>1</v>
      </c>
      <c r="V278" s="13">
        <f t="shared" si="99"/>
        <v>2</v>
      </c>
      <c r="W278" s="13">
        <f t="shared" ca="1" si="100"/>
        <v>3</v>
      </c>
      <c r="X278" s="13">
        <f t="shared" ca="1" si="101"/>
        <v>7</v>
      </c>
      <c r="Y278" s="61" t="str">
        <f t="shared" ca="1" si="102"/>
        <v>MONITOR</v>
      </c>
      <c r="Z278" s="51">
        <v>14</v>
      </c>
      <c r="AA278" s="53">
        <v>46059</v>
      </c>
      <c r="AB278" s="53">
        <f t="shared" si="103"/>
        <v>45920</v>
      </c>
      <c r="AC278" s="72">
        <f t="shared" si="104"/>
        <v>19.857142857142858</v>
      </c>
      <c r="AD278" s="67" t="str">
        <f t="shared" ca="1" si="105"/>
        <v>STABLE</v>
      </c>
      <c r="AE278" s="67" t="str">
        <f t="shared" si="106"/>
        <v>SLOW SELLING</v>
      </c>
      <c r="AF278" s="67" t="str">
        <f t="shared" si="107"/>
        <v>AT RISK</v>
      </c>
      <c r="AG278" s="67" t="str">
        <f t="shared" si="108"/>
        <v>FEASIBLE</v>
      </c>
      <c r="AH278" s="73" t="str">
        <f t="shared" ca="1" si="109"/>
        <v>MONITOR</v>
      </c>
    </row>
    <row r="279" spans="1:34" x14ac:dyDescent="0.35">
      <c r="A279" s="25" t="s">
        <v>292</v>
      </c>
      <c r="B279" s="10" t="s">
        <v>334</v>
      </c>
      <c r="C279" s="10" t="s">
        <v>342</v>
      </c>
      <c r="D279" s="10" t="s">
        <v>346</v>
      </c>
      <c r="E279" s="11">
        <v>45920</v>
      </c>
      <c r="F279" s="17">
        <v>45892</v>
      </c>
      <c r="G279" s="14">
        <f t="shared" ca="1" si="88"/>
        <v>207</v>
      </c>
      <c r="H279" s="17">
        <v>999</v>
      </c>
      <c r="I279" s="17">
        <v>460</v>
      </c>
      <c r="J279" s="53">
        <f t="shared" si="89"/>
        <v>691</v>
      </c>
      <c r="K279" s="17">
        <v>900</v>
      </c>
      <c r="L279" s="66">
        <v>209</v>
      </c>
      <c r="M279" s="52">
        <f t="shared" ca="1" si="90"/>
        <v>1.0096618357487923</v>
      </c>
      <c r="N279" s="50">
        <f t="shared" si="91"/>
        <v>0.80451009251471861</v>
      </c>
      <c r="O279" s="52">
        <f t="shared" si="92"/>
        <v>0.63719512195121952</v>
      </c>
      <c r="P279" s="56">
        <f t="shared" si="93"/>
        <v>52.25</v>
      </c>
      <c r="Q279" s="54">
        <f t="shared" si="94"/>
        <v>13.224880382775119</v>
      </c>
      <c r="R279" s="55">
        <f t="shared" si="95"/>
        <v>53.953953953953956</v>
      </c>
      <c r="S279" s="55">
        <f t="shared" si="96"/>
        <v>23.222222222222221</v>
      </c>
      <c r="T279" s="13">
        <f t="shared" si="97"/>
        <v>1</v>
      </c>
      <c r="U279" s="13">
        <f t="shared" si="98"/>
        <v>1</v>
      </c>
      <c r="V279" s="13">
        <f t="shared" si="99"/>
        <v>2</v>
      </c>
      <c r="W279" s="13">
        <f t="shared" ca="1" si="100"/>
        <v>3</v>
      </c>
      <c r="X279" s="13">
        <f t="shared" ca="1" si="101"/>
        <v>7</v>
      </c>
      <c r="Y279" s="61" t="str">
        <f t="shared" ca="1" si="102"/>
        <v>MONITOR</v>
      </c>
      <c r="Z279" s="51">
        <v>14</v>
      </c>
      <c r="AA279" s="53">
        <v>46059</v>
      </c>
      <c r="AB279" s="53">
        <f t="shared" si="103"/>
        <v>45920</v>
      </c>
      <c r="AC279" s="72">
        <f t="shared" si="104"/>
        <v>19.857142857142858</v>
      </c>
      <c r="AD279" s="67" t="str">
        <f t="shared" ca="1" si="105"/>
        <v>STABLE</v>
      </c>
      <c r="AE279" s="67" t="str">
        <f t="shared" si="106"/>
        <v>SLOW SELLING</v>
      </c>
      <c r="AF279" s="67" t="str">
        <f t="shared" si="107"/>
        <v>AT RISK</v>
      </c>
      <c r="AG279" s="67" t="str">
        <f t="shared" si="108"/>
        <v>FEASIBLE</v>
      </c>
      <c r="AH279" s="73" t="str">
        <f t="shared" ca="1" si="109"/>
        <v>MONITOR</v>
      </c>
    </row>
    <row r="280" spans="1:34" x14ac:dyDescent="0.35">
      <c r="A280" s="25" t="s">
        <v>293</v>
      </c>
      <c r="B280" s="10" t="s">
        <v>338</v>
      </c>
      <c r="C280" s="10" t="s">
        <v>342</v>
      </c>
      <c r="D280" s="10" t="s">
        <v>346</v>
      </c>
      <c r="E280" s="11">
        <v>45976</v>
      </c>
      <c r="F280" s="17">
        <v>45892</v>
      </c>
      <c r="G280" s="14">
        <f t="shared" ca="1" si="88"/>
        <v>207</v>
      </c>
      <c r="H280" s="17">
        <v>799</v>
      </c>
      <c r="I280" s="17">
        <v>360</v>
      </c>
      <c r="J280" s="53">
        <f t="shared" si="89"/>
        <v>800</v>
      </c>
      <c r="K280" s="18">
        <v>800</v>
      </c>
      <c r="L280" s="67">
        <v>0</v>
      </c>
      <c r="M280" s="52">
        <f t="shared" ca="1" si="90"/>
        <v>0</v>
      </c>
      <c r="N280" s="50">
        <f t="shared" si="91"/>
        <v>0.80451009251471861</v>
      </c>
      <c r="O280" s="52">
        <f t="shared" si="92"/>
        <v>0</v>
      </c>
      <c r="P280" s="56">
        <f t="shared" si="93"/>
        <v>0</v>
      </c>
      <c r="Q280" s="54" t="e">
        <f t="shared" si="94"/>
        <v>#DIV/0!</v>
      </c>
      <c r="R280" s="55">
        <f t="shared" si="95"/>
        <v>54.943679599499376</v>
      </c>
      <c r="S280" s="55">
        <f t="shared" si="96"/>
        <v>0</v>
      </c>
      <c r="T280" s="13">
        <f t="shared" si="97"/>
        <v>1</v>
      </c>
      <c r="U280" s="13" t="e">
        <f t="shared" si="98"/>
        <v>#DIV/0!</v>
      </c>
      <c r="V280" s="13">
        <f t="shared" si="99"/>
        <v>2</v>
      </c>
      <c r="W280" s="13">
        <f t="shared" ca="1" si="100"/>
        <v>3</v>
      </c>
      <c r="X280" s="13" t="e">
        <f t="shared" ca="1" si="101"/>
        <v>#DIV/0!</v>
      </c>
      <c r="Y280" s="61" t="str">
        <f t="shared" ca="1" si="102"/>
        <v>EXIT</v>
      </c>
      <c r="Z280" s="51">
        <v>14</v>
      </c>
      <c r="AA280" s="53">
        <v>46059</v>
      </c>
      <c r="AB280" s="53">
        <f t="shared" si="103"/>
        <v>45920</v>
      </c>
      <c r="AC280" s="72">
        <f t="shared" si="104"/>
        <v>19.857142857142858</v>
      </c>
      <c r="AD280" s="67" t="str">
        <f t="shared" ca="1" si="105"/>
        <v>STABLE</v>
      </c>
      <c r="AE280" s="67" t="str">
        <f t="shared" si="106"/>
        <v>SLOW SELLING</v>
      </c>
      <c r="AF280" s="67" t="e">
        <f t="shared" si="107"/>
        <v>#DIV/0!</v>
      </c>
      <c r="AG280" s="67" t="str">
        <f t="shared" si="108"/>
        <v>FEASIBLE</v>
      </c>
      <c r="AH280" s="73" t="str">
        <f t="shared" ca="1" si="109"/>
        <v>MONITOR</v>
      </c>
    </row>
    <row r="281" spans="1:34" x14ac:dyDescent="0.35">
      <c r="A281" s="25" t="s">
        <v>294</v>
      </c>
      <c r="B281" s="10" t="s">
        <v>335</v>
      </c>
      <c r="C281" s="10" t="s">
        <v>342</v>
      </c>
      <c r="D281" s="10" t="s">
        <v>346</v>
      </c>
      <c r="E281" s="11">
        <v>45892</v>
      </c>
      <c r="F281" s="17">
        <v>45892</v>
      </c>
      <c r="G281" s="14">
        <f t="shared" ca="1" si="88"/>
        <v>207</v>
      </c>
      <c r="H281" s="17">
        <v>399</v>
      </c>
      <c r="I281" s="17">
        <v>205</v>
      </c>
      <c r="J281" s="53">
        <f t="shared" si="89"/>
        <v>632</v>
      </c>
      <c r="K281" s="17">
        <v>1000</v>
      </c>
      <c r="L281" s="66">
        <v>368</v>
      </c>
      <c r="M281" s="52">
        <f t="shared" ca="1" si="90"/>
        <v>1.7777777777777777</v>
      </c>
      <c r="N281" s="50">
        <f t="shared" si="91"/>
        <v>0.80451009251471861</v>
      </c>
      <c r="O281" s="52">
        <f t="shared" si="92"/>
        <v>1.1219512195121952</v>
      </c>
      <c r="P281" s="56">
        <f t="shared" si="93"/>
        <v>92.000000000000014</v>
      </c>
      <c r="Q281" s="54">
        <f t="shared" si="94"/>
        <v>6.8695652173913029</v>
      </c>
      <c r="R281" s="55">
        <f t="shared" si="95"/>
        <v>48.62155388471178</v>
      </c>
      <c r="S281" s="55">
        <f t="shared" si="96"/>
        <v>36.799999999999997</v>
      </c>
      <c r="T281" s="13">
        <f t="shared" si="97"/>
        <v>3</v>
      </c>
      <c r="U281" s="13">
        <f t="shared" si="98"/>
        <v>1</v>
      </c>
      <c r="V281" s="13">
        <f t="shared" si="99"/>
        <v>2</v>
      </c>
      <c r="W281" s="13">
        <f t="shared" ca="1" si="100"/>
        <v>3</v>
      </c>
      <c r="X281" s="13">
        <f t="shared" ca="1" si="101"/>
        <v>9</v>
      </c>
      <c r="Y281" s="61" t="str">
        <f t="shared" ca="1" si="102"/>
        <v>RE-BUY</v>
      </c>
      <c r="Z281" s="51">
        <v>14</v>
      </c>
      <c r="AA281" s="53">
        <v>46059</v>
      </c>
      <c r="AB281" s="53">
        <f t="shared" si="103"/>
        <v>45920</v>
      </c>
      <c r="AC281" s="72">
        <f t="shared" si="104"/>
        <v>19.857142857142858</v>
      </c>
      <c r="AD281" s="67" t="str">
        <f t="shared" ca="1" si="105"/>
        <v>STABLE</v>
      </c>
      <c r="AE281" s="67" t="str">
        <f t="shared" si="106"/>
        <v>FAST SELLING</v>
      </c>
      <c r="AF281" s="67" t="str">
        <f t="shared" si="107"/>
        <v>AT RISK</v>
      </c>
      <c r="AG281" s="67" t="str">
        <f t="shared" si="108"/>
        <v>FEASIBLE</v>
      </c>
      <c r="AH281" s="73" t="str">
        <f t="shared" ca="1" si="109"/>
        <v>IMMEDIATE REBUY</v>
      </c>
    </row>
    <row r="282" spans="1:34" x14ac:dyDescent="0.35">
      <c r="A282" s="25" t="s">
        <v>295</v>
      </c>
      <c r="B282" s="10" t="s">
        <v>335</v>
      </c>
      <c r="C282" s="10" t="s">
        <v>342</v>
      </c>
      <c r="D282" s="10" t="s">
        <v>346</v>
      </c>
      <c r="E282" s="11">
        <v>45892</v>
      </c>
      <c r="F282" s="17">
        <v>45892</v>
      </c>
      <c r="G282" s="14">
        <f t="shared" ca="1" si="88"/>
        <v>207</v>
      </c>
      <c r="H282" s="17">
        <v>399</v>
      </c>
      <c r="I282" s="17">
        <v>205</v>
      </c>
      <c r="J282" s="53">
        <f t="shared" si="89"/>
        <v>840</v>
      </c>
      <c r="K282" s="17">
        <v>1000</v>
      </c>
      <c r="L282" s="66">
        <v>160</v>
      </c>
      <c r="M282" s="52">
        <f t="shared" ca="1" si="90"/>
        <v>0.77294685990338163</v>
      </c>
      <c r="N282" s="50">
        <f t="shared" si="91"/>
        <v>0.80451009251471861</v>
      </c>
      <c r="O282" s="52">
        <f t="shared" si="92"/>
        <v>0.48780487804878048</v>
      </c>
      <c r="P282" s="56">
        <f t="shared" si="93"/>
        <v>40</v>
      </c>
      <c r="Q282" s="54">
        <f t="shared" si="94"/>
        <v>21</v>
      </c>
      <c r="R282" s="55">
        <f t="shared" si="95"/>
        <v>48.62155388471178</v>
      </c>
      <c r="S282" s="55">
        <f t="shared" si="96"/>
        <v>16</v>
      </c>
      <c r="T282" s="13">
        <f t="shared" si="97"/>
        <v>1</v>
      </c>
      <c r="U282" s="13">
        <f t="shared" si="98"/>
        <v>1</v>
      </c>
      <c r="V282" s="13">
        <f t="shared" si="99"/>
        <v>2</v>
      </c>
      <c r="W282" s="13">
        <f t="shared" ca="1" si="100"/>
        <v>3</v>
      </c>
      <c r="X282" s="13">
        <f t="shared" ca="1" si="101"/>
        <v>7</v>
      </c>
      <c r="Y282" s="61" t="str">
        <f t="shared" ca="1" si="102"/>
        <v>MONITOR</v>
      </c>
      <c r="Z282" s="51">
        <v>14</v>
      </c>
      <c r="AA282" s="53">
        <v>46059</v>
      </c>
      <c r="AB282" s="53">
        <f t="shared" si="103"/>
        <v>45920</v>
      </c>
      <c r="AC282" s="72">
        <f t="shared" si="104"/>
        <v>19.857142857142858</v>
      </c>
      <c r="AD282" s="67" t="str">
        <f t="shared" ca="1" si="105"/>
        <v>STABLE</v>
      </c>
      <c r="AE282" s="67" t="str">
        <f t="shared" si="106"/>
        <v>SLOW SELLING</v>
      </c>
      <c r="AF282" s="67" t="str">
        <f t="shared" si="107"/>
        <v>AT RISK</v>
      </c>
      <c r="AG282" s="67" t="str">
        <f t="shared" si="108"/>
        <v>FEASIBLE</v>
      </c>
      <c r="AH282" s="73" t="str">
        <f t="shared" ca="1" si="109"/>
        <v>MONITOR</v>
      </c>
    </row>
    <row r="283" spans="1:34" x14ac:dyDescent="0.35">
      <c r="A283" s="25" t="s">
        <v>296</v>
      </c>
      <c r="B283" s="10" t="s">
        <v>335</v>
      </c>
      <c r="C283" s="10" t="s">
        <v>342</v>
      </c>
      <c r="D283" s="10" t="s">
        <v>346</v>
      </c>
      <c r="E283" s="11">
        <v>45920</v>
      </c>
      <c r="F283" s="17">
        <v>45892</v>
      </c>
      <c r="G283" s="14">
        <f t="shared" ca="1" si="88"/>
        <v>207</v>
      </c>
      <c r="H283" s="17">
        <v>399</v>
      </c>
      <c r="I283" s="17">
        <v>295</v>
      </c>
      <c r="J283" s="53">
        <f t="shared" si="89"/>
        <v>603</v>
      </c>
      <c r="K283" s="17">
        <v>1000</v>
      </c>
      <c r="L283" s="66">
        <v>397</v>
      </c>
      <c r="M283" s="52">
        <f t="shared" ca="1" si="90"/>
        <v>1.9178743961352658</v>
      </c>
      <c r="N283" s="50">
        <f t="shared" si="91"/>
        <v>0.80451009251471861</v>
      </c>
      <c r="O283" s="52">
        <f t="shared" si="92"/>
        <v>1.2103658536585367</v>
      </c>
      <c r="P283" s="56">
        <f t="shared" si="93"/>
        <v>99.25</v>
      </c>
      <c r="Q283" s="54">
        <f t="shared" si="94"/>
        <v>6.0755667506297231</v>
      </c>
      <c r="R283" s="55">
        <f t="shared" si="95"/>
        <v>26.065162907268167</v>
      </c>
      <c r="S283" s="55">
        <f t="shared" si="96"/>
        <v>39.700000000000003</v>
      </c>
      <c r="T283" s="13">
        <f t="shared" si="97"/>
        <v>3</v>
      </c>
      <c r="U283" s="13">
        <f t="shared" si="98"/>
        <v>1</v>
      </c>
      <c r="V283" s="13">
        <f t="shared" si="99"/>
        <v>1</v>
      </c>
      <c r="W283" s="13">
        <f t="shared" ca="1" si="100"/>
        <v>3</v>
      </c>
      <c r="X283" s="13">
        <f t="shared" ca="1" si="101"/>
        <v>8</v>
      </c>
      <c r="Y283" s="61" t="str">
        <f t="shared" ca="1" si="102"/>
        <v>MONITOR</v>
      </c>
      <c r="Z283" s="51">
        <v>14</v>
      </c>
      <c r="AA283" s="53">
        <v>46059</v>
      </c>
      <c r="AB283" s="53">
        <f t="shared" si="103"/>
        <v>45920</v>
      </c>
      <c r="AC283" s="72">
        <f t="shared" si="104"/>
        <v>19.857142857142858</v>
      </c>
      <c r="AD283" s="67" t="str">
        <f t="shared" ca="1" si="105"/>
        <v>STABLE</v>
      </c>
      <c r="AE283" s="67" t="str">
        <f t="shared" si="106"/>
        <v>FAST SELLING</v>
      </c>
      <c r="AF283" s="67" t="str">
        <f t="shared" si="107"/>
        <v>AT RISK</v>
      </c>
      <c r="AG283" s="67" t="str">
        <f t="shared" si="108"/>
        <v>FEASIBLE</v>
      </c>
      <c r="AH283" s="73" t="str">
        <f t="shared" ca="1" si="109"/>
        <v>MONITOR</v>
      </c>
    </row>
    <row r="284" spans="1:34" x14ac:dyDescent="0.35">
      <c r="A284" s="25" t="s">
        <v>297</v>
      </c>
      <c r="B284" s="10" t="s">
        <v>335</v>
      </c>
      <c r="C284" s="10" t="s">
        <v>345</v>
      </c>
      <c r="D284" s="10" t="s">
        <v>346</v>
      </c>
      <c r="E284" s="11">
        <v>45892</v>
      </c>
      <c r="F284" s="17">
        <v>45892</v>
      </c>
      <c r="G284" s="14">
        <f t="shared" ca="1" si="88"/>
        <v>207</v>
      </c>
      <c r="H284" s="17">
        <v>599</v>
      </c>
      <c r="I284" s="17">
        <v>300</v>
      </c>
      <c r="J284" s="53">
        <f t="shared" si="89"/>
        <v>519</v>
      </c>
      <c r="K284" s="17">
        <v>750</v>
      </c>
      <c r="L284" s="66">
        <v>231</v>
      </c>
      <c r="M284" s="52">
        <f t="shared" ca="1" si="90"/>
        <v>1.1159420289855073</v>
      </c>
      <c r="N284" s="50">
        <f t="shared" si="91"/>
        <v>0.73224085365853642</v>
      </c>
      <c r="O284" s="52">
        <f t="shared" si="92"/>
        <v>0.70426829268292679</v>
      </c>
      <c r="P284" s="56">
        <f t="shared" si="93"/>
        <v>57.75</v>
      </c>
      <c r="Q284" s="54">
        <f t="shared" si="94"/>
        <v>8.9870129870129869</v>
      </c>
      <c r="R284" s="55">
        <f t="shared" si="95"/>
        <v>49.916527545909851</v>
      </c>
      <c r="S284" s="55">
        <f t="shared" si="96"/>
        <v>30.8</v>
      </c>
      <c r="T284" s="13">
        <f t="shared" si="97"/>
        <v>2</v>
      </c>
      <c r="U284" s="13">
        <f t="shared" si="98"/>
        <v>1</v>
      </c>
      <c r="V284" s="13">
        <f t="shared" si="99"/>
        <v>2</v>
      </c>
      <c r="W284" s="13">
        <f t="shared" ca="1" si="100"/>
        <v>3</v>
      </c>
      <c r="X284" s="13">
        <f t="shared" ca="1" si="101"/>
        <v>8</v>
      </c>
      <c r="Y284" s="61" t="str">
        <f t="shared" ca="1" si="102"/>
        <v>MONITOR</v>
      </c>
      <c r="Z284" s="51">
        <v>14</v>
      </c>
      <c r="AA284" s="53">
        <v>46059</v>
      </c>
      <c r="AB284" s="53">
        <f t="shared" si="103"/>
        <v>45920</v>
      </c>
      <c r="AC284" s="72">
        <f t="shared" si="104"/>
        <v>19.857142857142858</v>
      </c>
      <c r="AD284" s="67" t="str">
        <f t="shared" ca="1" si="105"/>
        <v>STABLE</v>
      </c>
      <c r="AE284" s="67" t="str">
        <f t="shared" si="106"/>
        <v>SLOW SELLING</v>
      </c>
      <c r="AF284" s="67" t="str">
        <f t="shared" si="107"/>
        <v>AT RISK</v>
      </c>
      <c r="AG284" s="67" t="str">
        <f t="shared" si="108"/>
        <v>FEASIBLE</v>
      </c>
      <c r="AH284" s="73" t="str">
        <f t="shared" ca="1" si="109"/>
        <v>MONITOR</v>
      </c>
    </row>
    <row r="285" spans="1:34" x14ac:dyDescent="0.35">
      <c r="A285" s="25" t="s">
        <v>298</v>
      </c>
      <c r="B285" s="10" t="s">
        <v>337</v>
      </c>
      <c r="C285" s="10" t="s">
        <v>345</v>
      </c>
      <c r="D285" s="10" t="s">
        <v>346</v>
      </c>
      <c r="E285" s="11">
        <v>45864</v>
      </c>
      <c r="F285" s="17">
        <v>45892</v>
      </c>
      <c r="G285" s="14">
        <f t="shared" ca="1" si="88"/>
        <v>207</v>
      </c>
      <c r="H285" s="17">
        <v>599</v>
      </c>
      <c r="I285" s="17">
        <v>300</v>
      </c>
      <c r="J285" s="53">
        <f t="shared" si="89"/>
        <v>1328</v>
      </c>
      <c r="K285" s="17">
        <v>1450</v>
      </c>
      <c r="L285" s="66">
        <v>122</v>
      </c>
      <c r="M285" s="52">
        <f t="shared" ca="1" si="90"/>
        <v>0.58937198067632846</v>
      </c>
      <c r="N285" s="50">
        <f t="shared" si="91"/>
        <v>0.73224085365853642</v>
      </c>
      <c r="O285" s="52">
        <f t="shared" si="92"/>
        <v>0.37195121951219512</v>
      </c>
      <c r="P285" s="56">
        <f t="shared" si="93"/>
        <v>30.5</v>
      </c>
      <c r="Q285" s="54">
        <f t="shared" si="94"/>
        <v>43.540983606557376</v>
      </c>
      <c r="R285" s="55">
        <f t="shared" si="95"/>
        <v>49.916527545909851</v>
      </c>
      <c r="S285" s="55">
        <f t="shared" si="96"/>
        <v>8.4137931034482758</v>
      </c>
      <c r="T285" s="13">
        <f t="shared" si="97"/>
        <v>1</v>
      </c>
      <c r="U285" s="13">
        <f t="shared" si="98"/>
        <v>1</v>
      </c>
      <c r="V285" s="13">
        <f t="shared" si="99"/>
        <v>2</v>
      </c>
      <c r="W285" s="13">
        <f t="shared" ca="1" si="100"/>
        <v>3</v>
      </c>
      <c r="X285" s="13">
        <f t="shared" ca="1" si="101"/>
        <v>7</v>
      </c>
      <c r="Y285" s="61" t="str">
        <f t="shared" ca="1" si="102"/>
        <v>MONITOR</v>
      </c>
      <c r="Z285" s="51">
        <v>14</v>
      </c>
      <c r="AA285" s="53">
        <v>46059</v>
      </c>
      <c r="AB285" s="53">
        <f t="shared" si="103"/>
        <v>45920</v>
      </c>
      <c r="AC285" s="72">
        <f t="shared" si="104"/>
        <v>19.857142857142858</v>
      </c>
      <c r="AD285" s="67" t="str">
        <f t="shared" ca="1" si="105"/>
        <v>STABLE</v>
      </c>
      <c r="AE285" s="67" t="str">
        <f t="shared" si="106"/>
        <v>SLOW SELLING</v>
      </c>
      <c r="AF285" s="67" t="str">
        <f t="shared" si="107"/>
        <v>AT RISK</v>
      </c>
      <c r="AG285" s="67" t="str">
        <f t="shared" si="108"/>
        <v>FEASIBLE</v>
      </c>
      <c r="AH285" s="73" t="str">
        <f t="shared" ca="1" si="109"/>
        <v>MONITOR</v>
      </c>
    </row>
    <row r="286" spans="1:34" x14ac:dyDescent="0.35">
      <c r="A286" s="25" t="s">
        <v>299</v>
      </c>
      <c r="B286" s="10" t="s">
        <v>337</v>
      </c>
      <c r="C286" s="10" t="s">
        <v>345</v>
      </c>
      <c r="D286" s="10" t="s">
        <v>346</v>
      </c>
      <c r="E286" s="11">
        <v>45864</v>
      </c>
      <c r="F286" s="17">
        <v>45892</v>
      </c>
      <c r="G286" s="14">
        <f t="shared" ca="1" si="88"/>
        <v>207</v>
      </c>
      <c r="H286" s="17">
        <v>599</v>
      </c>
      <c r="I286" s="17">
        <v>300</v>
      </c>
      <c r="J286" s="53">
        <f t="shared" si="89"/>
        <v>1309</v>
      </c>
      <c r="K286" s="17">
        <v>1450</v>
      </c>
      <c r="L286" s="66">
        <v>141</v>
      </c>
      <c r="M286" s="52">
        <f t="shared" ca="1" si="90"/>
        <v>0.6811594202898551</v>
      </c>
      <c r="N286" s="50">
        <f t="shared" si="91"/>
        <v>0.73224085365853642</v>
      </c>
      <c r="O286" s="52">
        <f t="shared" si="92"/>
        <v>0.4298780487804878</v>
      </c>
      <c r="P286" s="56">
        <f t="shared" si="93"/>
        <v>35.25</v>
      </c>
      <c r="Q286" s="54">
        <f t="shared" si="94"/>
        <v>37.134751773049643</v>
      </c>
      <c r="R286" s="55">
        <f t="shared" si="95"/>
        <v>49.916527545909851</v>
      </c>
      <c r="S286" s="55">
        <f t="shared" si="96"/>
        <v>9.7241379310344822</v>
      </c>
      <c r="T286" s="13">
        <f t="shared" si="97"/>
        <v>1</v>
      </c>
      <c r="U286" s="13">
        <f t="shared" si="98"/>
        <v>1</v>
      </c>
      <c r="V286" s="13">
        <f t="shared" si="99"/>
        <v>2</v>
      </c>
      <c r="W286" s="13">
        <f t="shared" ca="1" si="100"/>
        <v>3</v>
      </c>
      <c r="X286" s="13">
        <f t="shared" ca="1" si="101"/>
        <v>7</v>
      </c>
      <c r="Y286" s="61" t="str">
        <f t="shared" ca="1" si="102"/>
        <v>MONITOR</v>
      </c>
      <c r="Z286" s="51">
        <v>14</v>
      </c>
      <c r="AA286" s="53">
        <v>46059</v>
      </c>
      <c r="AB286" s="53">
        <f t="shared" si="103"/>
        <v>45920</v>
      </c>
      <c r="AC286" s="72">
        <f t="shared" si="104"/>
        <v>19.857142857142858</v>
      </c>
      <c r="AD286" s="67" t="str">
        <f t="shared" ca="1" si="105"/>
        <v>STABLE</v>
      </c>
      <c r="AE286" s="67" t="str">
        <f t="shared" si="106"/>
        <v>SLOW SELLING</v>
      </c>
      <c r="AF286" s="67" t="str">
        <f t="shared" si="107"/>
        <v>AT RISK</v>
      </c>
      <c r="AG286" s="67" t="str">
        <f t="shared" si="108"/>
        <v>FEASIBLE</v>
      </c>
      <c r="AH286" s="73" t="str">
        <f t="shared" ca="1" si="109"/>
        <v>MONITOR</v>
      </c>
    </row>
    <row r="287" spans="1:34" x14ac:dyDescent="0.35">
      <c r="A287" s="25" t="s">
        <v>300</v>
      </c>
      <c r="B287" s="10" t="s">
        <v>337</v>
      </c>
      <c r="C287" s="10" t="s">
        <v>345</v>
      </c>
      <c r="D287" s="10" t="s">
        <v>346</v>
      </c>
      <c r="E287" s="11">
        <v>45864</v>
      </c>
      <c r="F287" s="17">
        <v>45892</v>
      </c>
      <c r="G287" s="14">
        <f t="shared" ca="1" si="88"/>
        <v>207</v>
      </c>
      <c r="H287" s="17">
        <v>599</v>
      </c>
      <c r="I287" s="17">
        <v>300</v>
      </c>
      <c r="J287" s="53">
        <f t="shared" si="89"/>
        <v>1212</v>
      </c>
      <c r="K287" s="17">
        <v>1450</v>
      </c>
      <c r="L287" s="66">
        <v>238</v>
      </c>
      <c r="M287" s="52">
        <f t="shared" ca="1" si="90"/>
        <v>1.1497584541062802</v>
      </c>
      <c r="N287" s="50">
        <f t="shared" si="91"/>
        <v>0.73224085365853642</v>
      </c>
      <c r="O287" s="52">
        <f t="shared" si="92"/>
        <v>0.72560975609756095</v>
      </c>
      <c r="P287" s="56">
        <f t="shared" si="93"/>
        <v>59.5</v>
      </c>
      <c r="Q287" s="54">
        <f t="shared" si="94"/>
        <v>20.369747899159663</v>
      </c>
      <c r="R287" s="55">
        <f t="shared" si="95"/>
        <v>49.916527545909851</v>
      </c>
      <c r="S287" s="55">
        <f t="shared" si="96"/>
        <v>16.413793103448278</v>
      </c>
      <c r="T287" s="13">
        <f t="shared" si="97"/>
        <v>2</v>
      </c>
      <c r="U287" s="13">
        <f t="shared" si="98"/>
        <v>1</v>
      </c>
      <c r="V287" s="13">
        <f t="shared" si="99"/>
        <v>2</v>
      </c>
      <c r="W287" s="13">
        <f t="shared" ca="1" si="100"/>
        <v>3</v>
      </c>
      <c r="X287" s="13">
        <f t="shared" ca="1" si="101"/>
        <v>8</v>
      </c>
      <c r="Y287" s="61" t="str">
        <f t="shared" ca="1" si="102"/>
        <v>MONITOR</v>
      </c>
      <c r="Z287" s="51">
        <v>14</v>
      </c>
      <c r="AA287" s="53">
        <v>46059</v>
      </c>
      <c r="AB287" s="53">
        <f t="shared" si="103"/>
        <v>45920</v>
      </c>
      <c r="AC287" s="72">
        <f t="shared" si="104"/>
        <v>19.857142857142858</v>
      </c>
      <c r="AD287" s="67" t="str">
        <f t="shared" ca="1" si="105"/>
        <v>STABLE</v>
      </c>
      <c r="AE287" s="67" t="str">
        <f t="shared" si="106"/>
        <v>SLOW SELLING</v>
      </c>
      <c r="AF287" s="67" t="str">
        <f t="shared" si="107"/>
        <v>AT RISK</v>
      </c>
      <c r="AG287" s="67" t="str">
        <f t="shared" si="108"/>
        <v>FEASIBLE</v>
      </c>
      <c r="AH287" s="73" t="str">
        <f t="shared" ca="1" si="109"/>
        <v>MONITOR</v>
      </c>
    </row>
    <row r="288" spans="1:34" x14ac:dyDescent="0.35">
      <c r="A288" s="25" t="s">
        <v>301</v>
      </c>
      <c r="B288" s="10" t="s">
        <v>337</v>
      </c>
      <c r="C288" s="10" t="s">
        <v>345</v>
      </c>
      <c r="D288" s="10" t="s">
        <v>346</v>
      </c>
      <c r="E288" s="11">
        <v>45864</v>
      </c>
      <c r="F288" s="17">
        <v>45892</v>
      </c>
      <c r="G288" s="14">
        <f t="shared" ca="1" si="88"/>
        <v>207</v>
      </c>
      <c r="H288" s="17">
        <v>599</v>
      </c>
      <c r="I288" s="17">
        <v>275</v>
      </c>
      <c r="J288" s="53">
        <f t="shared" si="89"/>
        <v>1152</v>
      </c>
      <c r="K288" s="17">
        <v>1450</v>
      </c>
      <c r="L288" s="66">
        <v>298</v>
      </c>
      <c r="M288" s="52">
        <f t="shared" ca="1" si="90"/>
        <v>1.4396135265700483</v>
      </c>
      <c r="N288" s="50">
        <f t="shared" si="91"/>
        <v>0.73224085365853642</v>
      </c>
      <c r="O288" s="52">
        <f t="shared" si="92"/>
        <v>0.90853658536585369</v>
      </c>
      <c r="P288" s="56">
        <f t="shared" si="93"/>
        <v>74.5</v>
      </c>
      <c r="Q288" s="54">
        <f t="shared" si="94"/>
        <v>15.463087248322148</v>
      </c>
      <c r="R288" s="55">
        <f t="shared" si="95"/>
        <v>54.090150250417359</v>
      </c>
      <c r="S288" s="55">
        <f t="shared" si="96"/>
        <v>20.551724137931036</v>
      </c>
      <c r="T288" s="13">
        <f t="shared" si="97"/>
        <v>3</v>
      </c>
      <c r="U288" s="13">
        <f t="shared" si="98"/>
        <v>1</v>
      </c>
      <c r="V288" s="13">
        <f t="shared" si="99"/>
        <v>2</v>
      </c>
      <c r="W288" s="13">
        <f t="shared" ca="1" si="100"/>
        <v>3</v>
      </c>
      <c r="X288" s="13">
        <f t="shared" ca="1" si="101"/>
        <v>9</v>
      </c>
      <c r="Y288" s="61" t="str">
        <f t="shared" ca="1" si="102"/>
        <v>RE-BUY</v>
      </c>
      <c r="Z288" s="51">
        <v>14</v>
      </c>
      <c r="AA288" s="53">
        <v>46059</v>
      </c>
      <c r="AB288" s="53">
        <f t="shared" si="103"/>
        <v>45920</v>
      </c>
      <c r="AC288" s="72">
        <f t="shared" si="104"/>
        <v>19.857142857142858</v>
      </c>
      <c r="AD288" s="67" t="str">
        <f t="shared" ca="1" si="105"/>
        <v>STABLE</v>
      </c>
      <c r="AE288" s="67" t="str">
        <f t="shared" si="106"/>
        <v>FAST SELLING</v>
      </c>
      <c r="AF288" s="67" t="str">
        <f t="shared" si="107"/>
        <v>AT RISK</v>
      </c>
      <c r="AG288" s="67" t="str">
        <f t="shared" si="108"/>
        <v>FEASIBLE</v>
      </c>
      <c r="AH288" s="73" t="str">
        <f t="shared" ca="1" si="109"/>
        <v>IMMEDIATE REBUY</v>
      </c>
    </row>
    <row r="289" spans="1:35" x14ac:dyDescent="0.35">
      <c r="A289" s="25" t="s">
        <v>302</v>
      </c>
      <c r="B289" s="10" t="s">
        <v>339</v>
      </c>
      <c r="C289" s="10" t="s">
        <v>345</v>
      </c>
      <c r="D289" s="10" t="s">
        <v>346</v>
      </c>
      <c r="E289" s="11">
        <v>45892</v>
      </c>
      <c r="F289" s="17">
        <v>45892</v>
      </c>
      <c r="G289" s="14">
        <f t="shared" ca="1" si="88"/>
        <v>207</v>
      </c>
      <c r="H289" s="17">
        <v>499</v>
      </c>
      <c r="I289" s="17">
        <v>275</v>
      </c>
      <c r="J289" s="53">
        <f t="shared" si="89"/>
        <v>1409</v>
      </c>
      <c r="K289" s="17">
        <v>1600</v>
      </c>
      <c r="L289" s="66">
        <v>191</v>
      </c>
      <c r="M289" s="52">
        <f t="shared" ca="1" si="90"/>
        <v>0.92270531400966183</v>
      </c>
      <c r="N289" s="50">
        <f t="shared" si="91"/>
        <v>0.73224085365853642</v>
      </c>
      <c r="O289" s="52">
        <f t="shared" si="92"/>
        <v>0.58231707317073167</v>
      </c>
      <c r="P289" s="56">
        <f t="shared" si="93"/>
        <v>47.75</v>
      </c>
      <c r="Q289" s="54">
        <f t="shared" si="94"/>
        <v>29.507853403141361</v>
      </c>
      <c r="R289" s="55">
        <f t="shared" si="95"/>
        <v>44.889779559118239</v>
      </c>
      <c r="S289" s="55">
        <f t="shared" si="96"/>
        <v>11.9375</v>
      </c>
      <c r="T289" s="13">
        <f t="shared" si="97"/>
        <v>1</v>
      </c>
      <c r="U289" s="13">
        <f t="shared" si="98"/>
        <v>1</v>
      </c>
      <c r="V289" s="13">
        <f t="shared" si="99"/>
        <v>1</v>
      </c>
      <c r="W289" s="13">
        <f t="shared" ca="1" si="100"/>
        <v>3</v>
      </c>
      <c r="X289" s="13">
        <f t="shared" ca="1" si="101"/>
        <v>6</v>
      </c>
      <c r="Y289" s="61" t="str">
        <f t="shared" ca="1" si="102"/>
        <v>MONITOR</v>
      </c>
      <c r="Z289" s="51">
        <v>14</v>
      </c>
      <c r="AA289" s="53">
        <v>46059</v>
      </c>
      <c r="AB289" s="53">
        <f t="shared" si="103"/>
        <v>45920</v>
      </c>
      <c r="AC289" s="72">
        <f t="shared" si="104"/>
        <v>19.857142857142858</v>
      </c>
      <c r="AD289" s="67" t="str">
        <f t="shared" ca="1" si="105"/>
        <v>STABLE</v>
      </c>
      <c r="AE289" s="67" t="str">
        <f t="shared" si="106"/>
        <v>SLOW SELLING</v>
      </c>
      <c r="AF289" s="67" t="str">
        <f t="shared" si="107"/>
        <v>AT RISK</v>
      </c>
      <c r="AG289" s="67" t="str">
        <f t="shared" si="108"/>
        <v>FEASIBLE</v>
      </c>
      <c r="AH289" s="73" t="str">
        <f t="shared" ca="1" si="109"/>
        <v>MONITOR</v>
      </c>
    </row>
    <row r="290" spans="1:35" x14ac:dyDescent="0.35">
      <c r="A290" s="25" t="s">
        <v>303</v>
      </c>
      <c r="B290" s="10" t="s">
        <v>339</v>
      </c>
      <c r="C290" s="10" t="s">
        <v>345</v>
      </c>
      <c r="D290" s="10" t="s">
        <v>346</v>
      </c>
      <c r="E290" s="11">
        <v>45892</v>
      </c>
      <c r="F290" s="17">
        <v>45892</v>
      </c>
      <c r="G290" s="14">
        <f t="shared" ca="1" si="88"/>
        <v>207</v>
      </c>
      <c r="H290" s="17">
        <v>499</v>
      </c>
      <c r="I290" s="17">
        <v>230</v>
      </c>
      <c r="J290" s="53">
        <f t="shared" si="89"/>
        <v>1378</v>
      </c>
      <c r="K290" s="17">
        <v>1600</v>
      </c>
      <c r="L290" s="66">
        <v>222</v>
      </c>
      <c r="M290" s="52">
        <f t="shared" ca="1" si="90"/>
        <v>1.0724637681159421</v>
      </c>
      <c r="N290" s="50">
        <f t="shared" si="91"/>
        <v>0.73224085365853642</v>
      </c>
      <c r="O290" s="52">
        <f t="shared" si="92"/>
        <v>0.67682926829268297</v>
      </c>
      <c r="P290" s="56">
        <f t="shared" si="93"/>
        <v>55.500000000000007</v>
      </c>
      <c r="Q290" s="54">
        <f t="shared" si="94"/>
        <v>24.828828828828826</v>
      </c>
      <c r="R290" s="55">
        <f t="shared" si="95"/>
        <v>53.907815631262523</v>
      </c>
      <c r="S290" s="55">
        <f t="shared" si="96"/>
        <v>13.875000000000002</v>
      </c>
      <c r="T290" s="13">
        <f t="shared" si="97"/>
        <v>2</v>
      </c>
      <c r="U290" s="13">
        <f t="shared" si="98"/>
        <v>1</v>
      </c>
      <c r="V290" s="13">
        <f t="shared" si="99"/>
        <v>2</v>
      </c>
      <c r="W290" s="13">
        <f t="shared" ca="1" si="100"/>
        <v>3</v>
      </c>
      <c r="X290" s="13">
        <f t="shared" ca="1" si="101"/>
        <v>8</v>
      </c>
      <c r="Y290" s="61" t="str">
        <f t="shared" ca="1" si="102"/>
        <v>MONITOR</v>
      </c>
      <c r="Z290" s="51">
        <v>14</v>
      </c>
      <c r="AA290" s="53">
        <v>46059</v>
      </c>
      <c r="AB290" s="53">
        <f t="shared" si="103"/>
        <v>45920</v>
      </c>
      <c r="AC290" s="72">
        <f t="shared" si="104"/>
        <v>19.857142857142858</v>
      </c>
      <c r="AD290" s="67" t="str">
        <f t="shared" ca="1" si="105"/>
        <v>STABLE</v>
      </c>
      <c r="AE290" s="67" t="str">
        <f t="shared" si="106"/>
        <v>SLOW SELLING</v>
      </c>
      <c r="AF290" s="67" t="str">
        <f t="shared" si="107"/>
        <v>AT RISK</v>
      </c>
      <c r="AG290" s="67" t="str">
        <f t="shared" si="108"/>
        <v>FEASIBLE</v>
      </c>
      <c r="AH290" s="73" t="str">
        <f t="shared" ca="1" si="109"/>
        <v>MONITOR</v>
      </c>
    </row>
    <row r="291" spans="1:35" x14ac:dyDescent="0.35">
      <c r="A291" s="25" t="s">
        <v>304</v>
      </c>
      <c r="B291" s="16" t="s">
        <v>340</v>
      </c>
      <c r="C291" s="10" t="s">
        <v>342</v>
      </c>
      <c r="D291" s="10" t="s">
        <v>346</v>
      </c>
      <c r="E291" s="27">
        <v>45990</v>
      </c>
      <c r="F291" s="17">
        <v>45892</v>
      </c>
      <c r="G291" s="14">
        <f t="shared" ca="1" si="88"/>
        <v>207</v>
      </c>
      <c r="H291" s="16">
        <v>199</v>
      </c>
      <c r="I291" s="16">
        <v>135</v>
      </c>
      <c r="J291" s="53">
        <f t="shared" si="89"/>
        <v>2000</v>
      </c>
      <c r="K291" s="10">
        <v>2000</v>
      </c>
      <c r="L291" s="67">
        <v>0</v>
      </c>
      <c r="M291" s="52">
        <f t="shared" ca="1" si="90"/>
        <v>0</v>
      </c>
      <c r="N291" s="50">
        <f t="shared" si="91"/>
        <v>0.80451009251471861</v>
      </c>
      <c r="O291" s="52">
        <f t="shared" si="92"/>
        <v>0</v>
      </c>
      <c r="P291" s="56">
        <f t="shared" si="93"/>
        <v>0</v>
      </c>
      <c r="Q291" s="54" t="e">
        <f t="shared" si="94"/>
        <v>#DIV/0!</v>
      </c>
      <c r="R291" s="55">
        <f t="shared" si="95"/>
        <v>32.1608040201005</v>
      </c>
      <c r="S291" s="55">
        <f t="shared" si="96"/>
        <v>0</v>
      </c>
      <c r="T291" s="13">
        <f t="shared" si="97"/>
        <v>1</v>
      </c>
      <c r="U291" s="13" t="e">
        <f t="shared" si="98"/>
        <v>#DIV/0!</v>
      </c>
      <c r="V291" s="13">
        <f t="shared" si="99"/>
        <v>1</v>
      </c>
      <c r="W291" s="13">
        <f t="shared" ca="1" si="100"/>
        <v>3</v>
      </c>
      <c r="X291" s="13" t="e">
        <f t="shared" ca="1" si="101"/>
        <v>#DIV/0!</v>
      </c>
      <c r="Y291" s="61" t="str">
        <f t="shared" ca="1" si="102"/>
        <v>EXIT</v>
      </c>
      <c r="Z291" s="51">
        <v>14</v>
      </c>
      <c r="AA291" s="53">
        <v>46059</v>
      </c>
      <c r="AB291" s="53">
        <f t="shared" si="103"/>
        <v>45920</v>
      </c>
      <c r="AC291" s="72">
        <f t="shared" si="104"/>
        <v>19.857142857142858</v>
      </c>
      <c r="AD291" s="67" t="str">
        <f t="shared" ca="1" si="105"/>
        <v>STABLE</v>
      </c>
      <c r="AE291" s="67" t="str">
        <f t="shared" si="106"/>
        <v>SLOW SELLING</v>
      </c>
      <c r="AF291" s="67" t="e">
        <f t="shared" si="107"/>
        <v>#DIV/0!</v>
      </c>
      <c r="AG291" s="67" t="str">
        <f t="shared" si="108"/>
        <v>FEASIBLE</v>
      </c>
      <c r="AH291" s="73" t="str">
        <f t="shared" ca="1" si="109"/>
        <v>MONITOR</v>
      </c>
    </row>
    <row r="292" spans="1:35" x14ac:dyDescent="0.35">
      <c r="A292" s="25" t="s">
        <v>305</v>
      </c>
      <c r="B292" s="16" t="s">
        <v>340</v>
      </c>
      <c r="C292" s="10" t="s">
        <v>342</v>
      </c>
      <c r="D292" s="10" t="s">
        <v>346</v>
      </c>
      <c r="E292" s="27">
        <v>45990</v>
      </c>
      <c r="F292" s="17">
        <v>45892</v>
      </c>
      <c r="G292" s="14">
        <f t="shared" ca="1" si="88"/>
        <v>207</v>
      </c>
      <c r="H292" s="16">
        <v>199</v>
      </c>
      <c r="I292" s="16">
        <v>135</v>
      </c>
      <c r="J292" s="53">
        <f t="shared" si="89"/>
        <v>2000</v>
      </c>
      <c r="K292" s="10">
        <v>2000</v>
      </c>
      <c r="L292" s="67">
        <v>0</v>
      </c>
      <c r="M292" s="52">
        <f t="shared" ca="1" si="90"/>
        <v>0</v>
      </c>
      <c r="N292" s="50">
        <f t="shared" si="91"/>
        <v>0.80451009251471861</v>
      </c>
      <c r="O292" s="52">
        <f t="shared" si="92"/>
        <v>0</v>
      </c>
      <c r="P292" s="56">
        <f t="shared" si="93"/>
        <v>0</v>
      </c>
      <c r="Q292" s="54" t="e">
        <f t="shared" si="94"/>
        <v>#DIV/0!</v>
      </c>
      <c r="R292" s="55">
        <f t="shared" si="95"/>
        <v>32.1608040201005</v>
      </c>
      <c r="S292" s="55">
        <f t="shared" si="96"/>
        <v>0</v>
      </c>
      <c r="T292" s="13">
        <f t="shared" si="97"/>
        <v>1</v>
      </c>
      <c r="U292" s="13" t="e">
        <f t="shared" si="98"/>
        <v>#DIV/0!</v>
      </c>
      <c r="V292" s="13">
        <f t="shared" si="99"/>
        <v>1</v>
      </c>
      <c r="W292" s="13">
        <f t="shared" ca="1" si="100"/>
        <v>3</v>
      </c>
      <c r="X292" s="13" t="e">
        <f t="shared" ca="1" si="101"/>
        <v>#DIV/0!</v>
      </c>
      <c r="Y292" s="61" t="str">
        <f t="shared" ca="1" si="102"/>
        <v>EXIT</v>
      </c>
      <c r="Z292" s="51">
        <v>14</v>
      </c>
      <c r="AA292" s="53">
        <v>46059</v>
      </c>
      <c r="AB292" s="53">
        <f t="shared" si="103"/>
        <v>45920</v>
      </c>
      <c r="AC292" s="72">
        <f t="shared" si="104"/>
        <v>19.857142857142858</v>
      </c>
      <c r="AD292" s="67" t="str">
        <f t="shared" ca="1" si="105"/>
        <v>STABLE</v>
      </c>
      <c r="AE292" s="67" t="str">
        <f t="shared" si="106"/>
        <v>SLOW SELLING</v>
      </c>
      <c r="AF292" s="67" t="e">
        <f t="shared" si="107"/>
        <v>#DIV/0!</v>
      </c>
      <c r="AG292" s="67" t="str">
        <f t="shared" si="108"/>
        <v>FEASIBLE</v>
      </c>
      <c r="AH292" s="73" t="str">
        <f t="shared" ca="1" si="109"/>
        <v>MONITOR</v>
      </c>
    </row>
    <row r="293" spans="1:35" x14ac:dyDescent="0.35">
      <c r="A293" s="25" t="s">
        <v>306</v>
      </c>
      <c r="B293" s="16" t="s">
        <v>340</v>
      </c>
      <c r="C293" s="10" t="s">
        <v>342</v>
      </c>
      <c r="D293" s="10" t="s">
        <v>346</v>
      </c>
      <c r="E293" s="27">
        <v>45990</v>
      </c>
      <c r="F293" s="17">
        <v>45892</v>
      </c>
      <c r="G293" s="14">
        <f t="shared" ca="1" si="88"/>
        <v>207</v>
      </c>
      <c r="H293" s="16">
        <v>199</v>
      </c>
      <c r="I293" s="16">
        <v>135</v>
      </c>
      <c r="J293" s="53">
        <f t="shared" si="89"/>
        <v>2000</v>
      </c>
      <c r="K293" s="10">
        <v>2000</v>
      </c>
      <c r="L293" s="67">
        <v>0</v>
      </c>
      <c r="M293" s="52">
        <f t="shared" ca="1" si="90"/>
        <v>0</v>
      </c>
      <c r="N293" s="50">
        <f t="shared" si="91"/>
        <v>0.80451009251471861</v>
      </c>
      <c r="O293" s="52">
        <f t="shared" si="92"/>
        <v>0</v>
      </c>
      <c r="P293" s="56">
        <f t="shared" si="93"/>
        <v>0</v>
      </c>
      <c r="Q293" s="54" t="e">
        <f t="shared" si="94"/>
        <v>#DIV/0!</v>
      </c>
      <c r="R293" s="55">
        <f t="shared" si="95"/>
        <v>32.1608040201005</v>
      </c>
      <c r="S293" s="55">
        <f t="shared" si="96"/>
        <v>0</v>
      </c>
      <c r="T293" s="13">
        <f t="shared" si="97"/>
        <v>1</v>
      </c>
      <c r="U293" s="13" t="e">
        <f t="shared" si="98"/>
        <v>#DIV/0!</v>
      </c>
      <c r="V293" s="13">
        <f t="shared" si="99"/>
        <v>1</v>
      </c>
      <c r="W293" s="13">
        <f t="shared" ca="1" si="100"/>
        <v>3</v>
      </c>
      <c r="X293" s="13" t="e">
        <f t="shared" ca="1" si="101"/>
        <v>#DIV/0!</v>
      </c>
      <c r="Y293" s="61" t="str">
        <f t="shared" ca="1" si="102"/>
        <v>EXIT</v>
      </c>
      <c r="Z293" s="51">
        <v>14</v>
      </c>
      <c r="AA293" s="53">
        <v>46059</v>
      </c>
      <c r="AB293" s="53">
        <f t="shared" si="103"/>
        <v>45920</v>
      </c>
      <c r="AC293" s="72">
        <f t="shared" si="104"/>
        <v>19.857142857142858</v>
      </c>
      <c r="AD293" s="67" t="str">
        <f t="shared" ca="1" si="105"/>
        <v>STABLE</v>
      </c>
      <c r="AE293" s="67" t="str">
        <f t="shared" si="106"/>
        <v>SLOW SELLING</v>
      </c>
      <c r="AF293" s="67" t="e">
        <f t="shared" si="107"/>
        <v>#DIV/0!</v>
      </c>
      <c r="AG293" s="67" t="str">
        <f t="shared" si="108"/>
        <v>FEASIBLE</v>
      </c>
      <c r="AH293" s="73" t="str">
        <f t="shared" ca="1" si="109"/>
        <v>MONITOR</v>
      </c>
    </row>
    <row r="294" spans="1:35" x14ac:dyDescent="0.35">
      <c r="A294" s="25" t="s">
        <v>307</v>
      </c>
      <c r="B294" s="16" t="s">
        <v>340</v>
      </c>
      <c r="C294" s="10" t="s">
        <v>342</v>
      </c>
      <c r="D294" s="10" t="s">
        <v>346</v>
      </c>
      <c r="E294" s="27">
        <v>45990</v>
      </c>
      <c r="F294" s="17">
        <v>45892</v>
      </c>
      <c r="G294" s="14">
        <f t="shared" ca="1" si="88"/>
        <v>207</v>
      </c>
      <c r="H294" s="16">
        <v>199</v>
      </c>
      <c r="I294" s="16">
        <v>135</v>
      </c>
      <c r="J294" s="53">
        <f t="shared" si="89"/>
        <v>2000</v>
      </c>
      <c r="K294" s="10">
        <v>2000</v>
      </c>
      <c r="L294" s="67">
        <v>0</v>
      </c>
      <c r="M294" s="52">
        <f t="shared" ca="1" si="90"/>
        <v>0</v>
      </c>
      <c r="N294" s="50">
        <f t="shared" si="91"/>
        <v>0.80451009251471861</v>
      </c>
      <c r="O294" s="52">
        <f t="shared" si="92"/>
        <v>0</v>
      </c>
      <c r="P294" s="56">
        <f t="shared" si="93"/>
        <v>0</v>
      </c>
      <c r="Q294" s="54" t="e">
        <f t="shared" si="94"/>
        <v>#DIV/0!</v>
      </c>
      <c r="R294" s="55">
        <f t="shared" si="95"/>
        <v>32.1608040201005</v>
      </c>
      <c r="S294" s="55">
        <f t="shared" si="96"/>
        <v>0</v>
      </c>
      <c r="T294" s="13">
        <f t="shared" si="97"/>
        <v>1</v>
      </c>
      <c r="U294" s="13" t="e">
        <f t="shared" si="98"/>
        <v>#DIV/0!</v>
      </c>
      <c r="V294" s="13">
        <f t="shared" si="99"/>
        <v>1</v>
      </c>
      <c r="W294" s="13">
        <f t="shared" ca="1" si="100"/>
        <v>3</v>
      </c>
      <c r="X294" s="13" t="e">
        <f t="shared" ca="1" si="101"/>
        <v>#DIV/0!</v>
      </c>
      <c r="Y294" s="61" t="str">
        <f t="shared" ca="1" si="102"/>
        <v>EXIT</v>
      </c>
      <c r="Z294" s="51">
        <v>14</v>
      </c>
      <c r="AA294" s="53">
        <v>46059</v>
      </c>
      <c r="AB294" s="53">
        <f t="shared" si="103"/>
        <v>45920</v>
      </c>
      <c r="AC294" s="72">
        <f t="shared" si="104"/>
        <v>19.857142857142858</v>
      </c>
      <c r="AD294" s="67" t="str">
        <f t="shared" ca="1" si="105"/>
        <v>STABLE</v>
      </c>
      <c r="AE294" s="67" t="str">
        <f t="shared" si="106"/>
        <v>SLOW SELLING</v>
      </c>
      <c r="AF294" s="67" t="e">
        <f t="shared" si="107"/>
        <v>#DIV/0!</v>
      </c>
      <c r="AG294" s="67" t="str">
        <f t="shared" si="108"/>
        <v>FEASIBLE</v>
      </c>
      <c r="AH294" s="73" t="str">
        <f t="shared" ca="1" si="109"/>
        <v>MONITOR</v>
      </c>
    </row>
    <row r="295" spans="1:35" x14ac:dyDescent="0.35">
      <c r="A295" s="25" t="s">
        <v>308</v>
      </c>
      <c r="B295" s="16" t="s">
        <v>340</v>
      </c>
      <c r="C295" s="10" t="s">
        <v>342</v>
      </c>
      <c r="D295" s="10" t="s">
        <v>346</v>
      </c>
      <c r="E295" s="27">
        <v>45990</v>
      </c>
      <c r="F295" s="17">
        <v>45892</v>
      </c>
      <c r="G295" s="14">
        <f t="shared" ca="1" si="88"/>
        <v>207</v>
      </c>
      <c r="H295" s="16">
        <v>199</v>
      </c>
      <c r="I295" s="16">
        <v>135</v>
      </c>
      <c r="J295" s="53">
        <f t="shared" si="89"/>
        <v>2000</v>
      </c>
      <c r="K295" s="10">
        <v>2000</v>
      </c>
      <c r="L295" s="67">
        <v>0</v>
      </c>
      <c r="M295" s="52">
        <f t="shared" ca="1" si="90"/>
        <v>0</v>
      </c>
      <c r="N295" s="50">
        <f t="shared" si="91"/>
        <v>0.80451009251471861</v>
      </c>
      <c r="O295" s="52">
        <f t="shared" si="92"/>
        <v>0</v>
      </c>
      <c r="P295" s="56">
        <f t="shared" si="93"/>
        <v>0</v>
      </c>
      <c r="Q295" s="54" t="e">
        <f t="shared" si="94"/>
        <v>#DIV/0!</v>
      </c>
      <c r="R295" s="55">
        <f t="shared" si="95"/>
        <v>32.1608040201005</v>
      </c>
      <c r="S295" s="55">
        <f t="shared" si="96"/>
        <v>0</v>
      </c>
      <c r="T295" s="13">
        <f t="shared" si="97"/>
        <v>1</v>
      </c>
      <c r="U295" s="13" t="e">
        <f t="shared" si="98"/>
        <v>#DIV/0!</v>
      </c>
      <c r="V295" s="13">
        <f t="shared" si="99"/>
        <v>1</v>
      </c>
      <c r="W295" s="13">
        <f t="shared" ca="1" si="100"/>
        <v>3</v>
      </c>
      <c r="X295" s="13" t="e">
        <f t="shared" ca="1" si="101"/>
        <v>#DIV/0!</v>
      </c>
      <c r="Y295" s="61" t="str">
        <f t="shared" ca="1" si="102"/>
        <v>EXIT</v>
      </c>
      <c r="Z295" s="51">
        <v>14</v>
      </c>
      <c r="AA295" s="53">
        <v>46059</v>
      </c>
      <c r="AB295" s="53">
        <f t="shared" si="103"/>
        <v>45920</v>
      </c>
      <c r="AC295" s="72">
        <f t="shared" si="104"/>
        <v>19.857142857142858</v>
      </c>
      <c r="AD295" s="67" t="str">
        <f t="shared" ca="1" si="105"/>
        <v>STABLE</v>
      </c>
      <c r="AE295" s="67" t="str">
        <f t="shared" si="106"/>
        <v>SLOW SELLING</v>
      </c>
      <c r="AF295" s="67" t="e">
        <f t="shared" si="107"/>
        <v>#DIV/0!</v>
      </c>
      <c r="AG295" s="67" t="str">
        <f t="shared" si="108"/>
        <v>FEASIBLE</v>
      </c>
      <c r="AH295" s="73" t="str">
        <f t="shared" ca="1" si="109"/>
        <v>MONITOR</v>
      </c>
    </row>
    <row r="296" spans="1:35" x14ac:dyDescent="0.35">
      <c r="A296" s="25" t="s">
        <v>309</v>
      </c>
      <c r="B296" s="16" t="s">
        <v>340</v>
      </c>
      <c r="C296" s="10" t="s">
        <v>342</v>
      </c>
      <c r="D296" s="10" t="s">
        <v>346</v>
      </c>
      <c r="E296" s="27">
        <v>45990</v>
      </c>
      <c r="F296" s="17">
        <v>45892</v>
      </c>
      <c r="G296" s="14">
        <f t="shared" ca="1" si="88"/>
        <v>207</v>
      </c>
      <c r="H296" s="16">
        <v>199</v>
      </c>
      <c r="I296" s="16">
        <v>135</v>
      </c>
      <c r="J296" s="53">
        <f t="shared" si="89"/>
        <v>2000</v>
      </c>
      <c r="K296" s="10">
        <v>2000</v>
      </c>
      <c r="L296" s="67">
        <v>0</v>
      </c>
      <c r="M296" s="52">
        <f t="shared" ca="1" si="90"/>
        <v>0</v>
      </c>
      <c r="N296" s="50">
        <f t="shared" si="91"/>
        <v>0.80451009251471861</v>
      </c>
      <c r="O296" s="52">
        <f t="shared" si="92"/>
        <v>0</v>
      </c>
      <c r="P296" s="56">
        <f t="shared" si="93"/>
        <v>0</v>
      </c>
      <c r="Q296" s="54" t="e">
        <f t="shared" si="94"/>
        <v>#DIV/0!</v>
      </c>
      <c r="R296" s="55">
        <f t="shared" si="95"/>
        <v>32.1608040201005</v>
      </c>
      <c r="S296" s="55">
        <f t="shared" si="96"/>
        <v>0</v>
      </c>
      <c r="T296" s="13">
        <f t="shared" si="97"/>
        <v>1</v>
      </c>
      <c r="U296" s="13" t="e">
        <f t="shared" si="98"/>
        <v>#DIV/0!</v>
      </c>
      <c r="V296" s="13">
        <f t="shared" si="99"/>
        <v>1</v>
      </c>
      <c r="W296" s="13">
        <f t="shared" ca="1" si="100"/>
        <v>3</v>
      </c>
      <c r="X296" s="13" t="e">
        <f t="shared" ca="1" si="101"/>
        <v>#DIV/0!</v>
      </c>
      <c r="Y296" s="61" t="str">
        <f t="shared" ca="1" si="102"/>
        <v>EXIT</v>
      </c>
      <c r="Z296" s="51">
        <v>14</v>
      </c>
      <c r="AA296" s="53">
        <v>46059</v>
      </c>
      <c r="AB296" s="53">
        <f t="shared" si="103"/>
        <v>45920</v>
      </c>
      <c r="AC296" s="72">
        <f t="shared" si="104"/>
        <v>19.857142857142858</v>
      </c>
      <c r="AD296" s="67" t="str">
        <f t="shared" ca="1" si="105"/>
        <v>STABLE</v>
      </c>
      <c r="AE296" s="67" t="str">
        <f t="shared" si="106"/>
        <v>SLOW SELLING</v>
      </c>
      <c r="AF296" s="67" t="e">
        <f t="shared" si="107"/>
        <v>#DIV/0!</v>
      </c>
      <c r="AG296" s="67" t="str">
        <f t="shared" si="108"/>
        <v>FEASIBLE</v>
      </c>
      <c r="AH296" s="73" t="str">
        <f t="shared" ca="1" si="109"/>
        <v>MONITOR</v>
      </c>
    </row>
    <row r="297" spans="1:35" x14ac:dyDescent="0.35">
      <c r="A297" s="25" t="s">
        <v>310</v>
      </c>
      <c r="B297" s="16" t="s">
        <v>340</v>
      </c>
      <c r="C297" s="10" t="s">
        <v>342</v>
      </c>
      <c r="D297" s="10" t="s">
        <v>346</v>
      </c>
      <c r="E297" s="27">
        <v>45990</v>
      </c>
      <c r="F297" s="17">
        <v>45892</v>
      </c>
      <c r="G297" s="14">
        <f t="shared" ca="1" si="88"/>
        <v>207</v>
      </c>
      <c r="H297" s="16">
        <v>199</v>
      </c>
      <c r="I297" s="16">
        <v>135</v>
      </c>
      <c r="J297" s="53">
        <f t="shared" si="89"/>
        <v>2000</v>
      </c>
      <c r="K297" s="10">
        <v>2000</v>
      </c>
      <c r="L297" s="67">
        <v>0</v>
      </c>
      <c r="M297" s="52">
        <f t="shared" ca="1" si="90"/>
        <v>0</v>
      </c>
      <c r="N297" s="50">
        <f t="shared" si="91"/>
        <v>0.80451009251471861</v>
      </c>
      <c r="O297" s="52">
        <f t="shared" si="92"/>
        <v>0</v>
      </c>
      <c r="P297" s="56">
        <f t="shared" si="93"/>
        <v>0</v>
      </c>
      <c r="Q297" s="54" t="e">
        <f t="shared" si="94"/>
        <v>#DIV/0!</v>
      </c>
      <c r="R297" s="55">
        <f t="shared" si="95"/>
        <v>32.1608040201005</v>
      </c>
      <c r="S297" s="55">
        <f t="shared" si="96"/>
        <v>0</v>
      </c>
      <c r="T297" s="13">
        <f t="shared" si="97"/>
        <v>1</v>
      </c>
      <c r="U297" s="13" t="e">
        <f t="shared" si="98"/>
        <v>#DIV/0!</v>
      </c>
      <c r="V297" s="13">
        <f t="shared" si="99"/>
        <v>1</v>
      </c>
      <c r="W297" s="13">
        <f t="shared" ca="1" si="100"/>
        <v>3</v>
      </c>
      <c r="X297" s="13" t="e">
        <f t="shared" ca="1" si="101"/>
        <v>#DIV/0!</v>
      </c>
      <c r="Y297" s="61" t="str">
        <f t="shared" ca="1" si="102"/>
        <v>EXIT</v>
      </c>
      <c r="Z297" s="51">
        <v>14</v>
      </c>
      <c r="AA297" s="53">
        <v>46059</v>
      </c>
      <c r="AB297" s="53">
        <f t="shared" si="103"/>
        <v>45920</v>
      </c>
      <c r="AC297" s="72">
        <f t="shared" si="104"/>
        <v>19.857142857142858</v>
      </c>
      <c r="AD297" s="67" t="str">
        <f t="shared" ca="1" si="105"/>
        <v>STABLE</v>
      </c>
      <c r="AE297" s="67" t="str">
        <f t="shared" si="106"/>
        <v>SLOW SELLING</v>
      </c>
      <c r="AF297" s="67" t="e">
        <f t="shared" si="107"/>
        <v>#DIV/0!</v>
      </c>
      <c r="AG297" s="67" t="str">
        <f t="shared" si="108"/>
        <v>FEASIBLE</v>
      </c>
      <c r="AH297" s="73" t="str">
        <f t="shared" ca="1" si="109"/>
        <v>MONITOR</v>
      </c>
    </row>
    <row r="298" spans="1:35" x14ac:dyDescent="0.35">
      <c r="A298" s="25" t="s">
        <v>311</v>
      </c>
      <c r="B298" s="16" t="s">
        <v>340</v>
      </c>
      <c r="C298" s="10" t="s">
        <v>342</v>
      </c>
      <c r="D298" s="10" t="s">
        <v>346</v>
      </c>
      <c r="E298" s="27">
        <v>45990</v>
      </c>
      <c r="F298" s="17">
        <v>45892</v>
      </c>
      <c r="G298" s="14">
        <f t="shared" ca="1" si="88"/>
        <v>207</v>
      </c>
      <c r="H298" s="16">
        <v>199</v>
      </c>
      <c r="I298" s="16">
        <v>135</v>
      </c>
      <c r="J298" s="53">
        <f t="shared" si="89"/>
        <v>2000</v>
      </c>
      <c r="K298" s="10">
        <v>2000</v>
      </c>
      <c r="L298" s="67">
        <v>0</v>
      </c>
      <c r="M298" s="52">
        <f t="shared" ca="1" si="90"/>
        <v>0</v>
      </c>
      <c r="N298" s="50">
        <f t="shared" si="91"/>
        <v>0.80451009251471861</v>
      </c>
      <c r="O298" s="52">
        <f t="shared" si="92"/>
        <v>0</v>
      </c>
      <c r="P298" s="56">
        <f t="shared" si="93"/>
        <v>0</v>
      </c>
      <c r="Q298" s="54" t="e">
        <f t="shared" si="94"/>
        <v>#DIV/0!</v>
      </c>
      <c r="R298" s="55">
        <f t="shared" si="95"/>
        <v>32.1608040201005</v>
      </c>
      <c r="S298" s="55">
        <f t="shared" si="96"/>
        <v>0</v>
      </c>
      <c r="T298" s="13">
        <f t="shared" si="97"/>
        <v>1</v>
      </c>
      <c r="U298" s="13" t="e">
        <f t="shared" si="98"/>
        <v>#DIV/0!</v>
      </c>
      <c r="V298" s="13">
        <f t="shared" si="99"/>
        <v>1</v>
      </c>
      <c r="W298" s="13">
        <f t="shared" ca="1" si="100"/>
        <v>3</v>
      </c>
      <c r="X298" s="13" t="e">
        <f t="shared" ca="1" si="101"/>
        <v>#DIV/0!</v>
      </c>
      <c r="Y298" s="61" t="str">
        <f t="shared" ca="1" si="102"/>
        <v>EXIT</v>
      </c>
      <c r="Z298" s="51">
        <v>14</v>
      </c>
      <c r="AA298" s="53">
        <v>46059</v>
      </c>
      <c r="AB298" s="53">
        <f t="shared" si="103"/>
        <v>45920</v>
      </c>
      <c r="AC298" s="72">
        <f t="shared" si="104"/>
        <v>19.857142857142858</v>
      </c>
      <c r="AD298" s="67" t="str">
        <f t="shared" ca="1" si="105"/>
        <v>STABLE</v>
      </c>
      <c r="AE298" s="67" t="str">
        <f t="shared" si="106"/>
        <v>SLOW SELLING</v>
      </c>
      <c r="AF298" s="67" t="e">
        <f t="shared" si="107"/>
        <v>#DIV/0!</v>
      </c>
      <c r="AG298" s="67" t="str">
        <f t="shared" si="108"/>
        <v>FEASIBLE</v>
      </c>
      <c r="AH298" s="73" t="str">
        <f t="shared" ca="1" si="109"/>
        <v>MONITOR</v>
      </c>
    </row>
    <row r="299" spans="1:35" x14ac:dyDescent="0.35">
      <c r="A299" s="28" t="s">
        <v>312</v>
      </c>
      <c r="B299" s="36" t="s">
        <v>340</v>
      </c>
      <c r="C299" s="29" t="s">
        <v>342</v>
      </c>
      <c r="D299" s="29" t="s">
        <v>346</v>
      </c>
      <c r="E299" s="37">
        <v>45990</v>
      </c>
      <c r="F299" s="17">
        <v>45892</v>
      </c>
      <c r="G299" s="30">
        <f t="shared" ca="1" si="88"/>
        <v>207</v>
      </c>
      <c r="H299" s="36">
        <v>199</v>
      </c>
      <c r="I299" s="36">
        <v>135</v>
      </c>
      <c r="J299" s="53">
        <f t="shared" si="89"/>
        <v>2000</v>
      </c>
      <c r="K299" s="29">
        <v>2000</v>
      </c>
      <c r="L299" s="67">
        <v>0</v>
      </c>
      <c r="M299" s="52">
        <f t="shared" ca="1" si="90"/>
        <v>0</v>
      </c>
      <c r="N299" s="50">
        <f t="shared" si="91"/>
        <v>0.80451009251471861</v>
      </c>
      <c r="O299" s="52">
        <f t="shared" si="92"/>
        <v>0</v>
      </c>
      <c r="P299" s="56">
        <f t="shared" si="93"/>
        <v>0</v>
      </c>
      <c r="Q299" s="54" t="e">
        <f t="shared" si="94"/>
        <v>#DIV/0!</v>
      </c>
      <c r="R299" s="55">
        <f t="shared" si="95"/>
        <v>32.1608040201005</v>
      </c>
      <c r="S299" s="55">
        <f t="shared" si="96"/>
        <v>0</v>
      </c>
      <c r="T299" s="13">
        <f t="shared" si="97"/>
        <v>1</v>
      </c>
      <c r="U299" s="13" t="e">
        <f t="shared" si="98"/>
        <v>#DIV/0!</v>
      </c>
      <c r="V299" s="13">
        <f t="shared" si="99"/>
        <v>1</v>
      </c>
      <c r="W299" s="13">
        <f t="shared" ca="1" si="100"/>
        <v>3</v>
      </c>
      <c r="X299" s="13" t="e">
        <f t="shared" ca="1" si="101"/>
        <v>#DIV/0!</v>
      </c>
      <c r="Y299" s="61" t="str">
        <f t="shared" ca="1" si="102"/>
        <v>EXIT</v>
      </c>
      <c r="Z299" s="51">
        <v>14</v>
      </c>
      <c r="AA299" s="53">
        <v>46059</v>
      </c>
      <c r="AB299" s="53">
        <f t="shared" si="103"/>
        <v>45920</v>
      </c>
      <c r="AC299" s="72">
        <f t="shared" si="104"/>
        <v>19.857142857142858</v>
      </c>
      <c r="AD299" s="67" t="str">
        <f t="shared" ca="1" si="105"/>
        <v>STABLE</v>
      </c>
      <c r="AE299" s="67" t="str">
        <f t="shared" si="106"/>
        <v>SLOW SELLING</v>
      </c>
      <c r="AF299" s="67" t="e">
        <f t="shared" si="107"/>
        <v>#DIV/0!</v>
      </c>
      <c r="AG299" s="67" t="str">
        <f t="shared" si="108"/>
        <v>FEASIBLE</v>
      </c>
      <c r="AH299" s="73" t="str">
        <f t="shared" ca="1" si="109"/>
        <v>MONITOR</v>
      </c>
    </row>
    <row r="300" spans="1:35" s="5" customFormat="1" x14ac:dyDescent="0.35">
      <c r="A300" s="25" t="s">
        <v>313</v>
      </c>
      <c r="B300" s="16" t="s">
        <v>340</v>
      </c>
      <c r="C300" s="10" t="s">
        <v>342</v>
      </c>
      <c r="D300" s="10" t="s">
        <v>346</v>
      </c>
      <c r="E300" s="27">
        <v>45990</v>
      </c>
      <c r="F300" s="17">
        <v>45892</v>
      </c>
      <c r="G300" s="14">
        <f t="shared" ca="1" si="88"/>
        <v>207</v>
      </c>
      <c r="H300" s="16">
        <v>199</v>
      </c>
      <c r="I300" s="16">
        <v>135</v>
      </c>
      <c r="J300" s="53">
        <f t="shared" si="89"/>
        <v>2000</v>
      </c>
      <c r="K300" s="10">
        <v>2000</v>
      </c>
      <c r="L300" s="67">
        <v>0</v>
      </c>
      <c r="M300" s="52">
        <f t="shared" ca="1" si="90"/>
        <v>0</v>
      </c>
      <c r="N300" s="50">
        <f t="shared" si="91"/>
        <v>0.80451009251471861</v>
      </c>
      <c r="O300" s="52">
        <f t="shared" si="92"/>
        <v>0</v>
      </c>
      <c r="P300" s="56">
        <f t="shared" si="93"/>
        <v>0</v>
      </c>
      <c r="Q300" s="54" t="e">
        <f t="shared" si="94"/>
        <v>#DIV/0!</v>
      </c>
      <c r="R300" s="55">
        <f t="shared" si="95"/>
        <v>32.1608040201005</v>
      </c>
      <c r="S300" s="55">
        <f>L300/K300*100</f>
        <v>0</v>
      </c>
      <c r="T300" s="13">
        <f t="shared" si="97"/>
        <v>1</v>
      </c>
      <c r="U300" s="13" t="e">
        <f t="shared" si="98"/>
        <v>#DIV/0!</v>
      </c>
      <c r="V300" s="13">
        <f t="shared" si="99"/>
        <v>1</v>
      </c>
      <c r="W300" s="13">
        <f t="shared" ca="1" si="100"/>
        <v>3</v>
      </c>
      <c r="X300" s="13" t="e">
        <f t="shared" ca="1" si="101"/>
        <v>#DIV/0!</v>
      </c>
      <c r="Y300" s="61" t="str">
        <f t="shared" ca="1" si="102"/>
        <v>EXIT</v>
      </c>
      <c r="Z300" s="51">
        <v>14</v>
      </c>
      <c r="AA300" s="53">
        <v>46059</v>
      </c>
      <c r="AB300" s="53">
        <f t="shared" si="103"/>
        <v>45920</v>
      </c>
      <c r="AC300" s="72">
        <f t="shared" si="104"/>
        <v>19.857142857142858</v>
      </c>
      <c r="AD300" s="67" t="str">
        <f t="shared" ca="1" si="105"/>
        <v>STABLE</v>
      </c>
      <c r="AE300" s="67" t="str">
        <f t="shared" si="106"/>
        <v>SLOW SELLING</v>
      </c>
      <c r="AF300" s="67" t="e">
        <f t="shared" si="107"/>
        <v>#DIV/0!</v>
      </c>
      <c r="AG300" s="67" t="str">
        <f t="shared" si="108"/>
        <v>FEASIBLE</v>
      </c>
      <c r="AH300" s="73" t="str">
        <f t="shared" ca="1" si="109"/>
        <v>MONITOR</v>
      </c>
      <c r="AI300" s="57"/>
    </row>
    <row r="301" spans="1:35" x14ac:dyDescent="0.35">
      <c r="A301" s="31"/>
      <c r="B301" s="38"/>
      <c r="C301" s="31"/>
      <c r="D301" s="32"/>
      <c r="E301" s="33"/>
      <c r="F301" s="33"/>
      <c r="G301" s="34"/>
      <c r="H301" s="35"/>
      <c r="I301" s="35"/>
      <c r="J301" s="6"/>
      <c r="K301" s="35"/>
    </row>
    <row r="302" spans="1:35" x14ac:dyDescent="0.35">
      <c r="A302" s="31"/>
      <c r="B302" s="38"/>
      <c r="C302" s="31"/>
      <c r="D302" s="32"/>
      <c r="E302" s="33"/>
      <c r="F302" s="33"/>
      <c r="G302" s="34"/>
      <c r="H302" s="35"/>
      <c r="I302" s="35"/>
      <c r="J302" s="6"/>
      <c r="K302" s="35"/>
    </row>
    <row r="303" spans="1:35" x14ac:dyDescent="0.35">
      <c r="A303" s="31"/>
      <c r="B303" s="38"/>
      <c r="C303" s="31"/>
      <c r="D303" s="32"/>
      <c r="E303" s="33"/>
      <c r="F303" s="33"/>
      <c r="G303" s="34"/>
      <c r="H303" s="35"/>
      <c r="I303" s="35"/>
      <c r="J303" s="6"/>
      <c r="K303" s="35"/>
    </row>
    <row r="304" spans="1:35" x14ac:dyDescent="0.35">
      <c r="A304" s="31"/>
      <c r="B304" s="38"/>
      <c r="C304" s="31"/>
      <c r="D304" s="32"/>
      <c r="E304" s="33"/>
      <c r="F304" s="33"/>
      <c r="G304" s="34"/>
      <c r="H304" s="35"/>
      <c r="I304" s="35"/>
      <c r="J304" s="6"/>
      <c r="K304" s="35"/>
    </row>
    <row r="305" spans="1:11" x14ac:dyDescent="0.35">
      <c r="A305" s="31"/>
      <c r="B305" s="38"/>
      <c r="C305" s="31"/>
      <c r="D305" s="32"/>
      <c r="E305" s="33"/>
      <c r="F305" s="33"/>
      <c r="G305" s="34"/>
      <c r="H305" s="35"/>
      <c r="I305" s="35"/>
      <c r="J305" s="6"/>
      <c r="K305" s="35"/>
    </row>
    <row r="306" spans="1:11" x14ac:dyDescent="0.35">
      <c r="A306" s="31"/>
      <c r="B306" s="38"/>
      <c r="C306" s="31"/>
      <c r="D306" s="32"/>
      <c r="E306" s="33"/>
      <c r="F306" s="33"/>
      <c r="G306" s="34"/>
      <c r="H306" s="35"/>
      <c r="I306" s="35"/>
      <c r="J306" s="6"/>
      <c r="K306" s="35"/>
    </row>
    <row r="307" spans="1:11" x14ac:dyDescent="0.35">
      <c r="A307" s="31"/>
      <c r="B307" s="38"/>
      <c r="C307" s="31"/>
      <c r="D307" s="32"/>
      <c r="E307" s="33"/>
      <c r="F307" s="33"/>
      <c r="G307" s="34"/>
      <c r="H307" s="35"/>
      <c r="I307" s="35"/>
      <c r="J307" s="6"/>
      <c r="K307" s="35"/>
    </row>
    <row r="308" spans="1:11" x14ac:dyDescent="0.35">
      <c r="A308" s="31"/>
      <c r="B308" s="38"/>
      <c r="C308" s="31"/>
      <c r="D308" s="32"/>
      <c r="E308" s="33"/>
      <c r="F308" s="33"/>
      <c r="G308" s="34"/>
      <c r="H308" s="35"/>
      <c r="I308" s="35"/>
      <c r="J308" s="6"/>
      <c r="K308" s="35"/>
    </row>
    <row r="309" spans="1:11" x14ac:dyDescent="0.35">
      <c r="A309" s="31"/>
      <c r="B309" s="38"/>
      <c r="C309" s="31"/>
      <c r="D309" s="32"/>
      <c r="E309" s="33"/>
      <c r="F309" s="33"/>
      <c r="G309" s="34"/>
      <c r="H309" s="35"/>
      <c r="I309" s="35"/>
      <c r="J309" s="6"/>
      <c r="K309" s="35"/>
    </row>
    <row r="310" spans="1:11" x14ac:dyDescent="0.35">
      <c r="A310" s="31"/>
      <c r="B310" s="38"/>
      <c r="C310" s="31"/>
      <c r="D310" s="32"/>
      <c r="E310" s="33"/>
      <c r="F310" s="33"/>
      <c r="G310" s="34"/>
      <c r="H310" s="35"/>
      <c r="I310" s="35"/>
      <c r="J310" s="6"/>
      <c r="K310" s="35"/>
    </row>
    <row r="311" spans="1:11" x14ac:dyDescent="0.35">
      <c r="A311" s="31"/>
      <c r="B311" s="38"/>
      <c r="C311" s="31"/>
      <c r="D311" s="32"/>
      <c r="E311" s="33"/>
      <c r="F311" s="33"/>
      <c r="G311" s="34"/>
      <c r="H311" s="35"/>
      <c r="I311" s="35"/>
      <c r="J311" s="6"/>
      <c r="K311" s="39"/>
    </row>
    <row r="312" spans="1:11" x14ac:dyDescent="0.35">
      <c r="A312" s="31"/>
      <c r="B312" s="38"/>
      <c r="C312" s="31"/>
      <c r="D312" s="32"/>
      <c r="E312" s="33"/>
      <c r="F312" s="33"/>
      <c r="G312" s="34"/>
      <c r="H312" s="35"/>
      <c r="I312" s="35"/>
      <c r="J312" s="6"/>
      <c r="K312" s="39"/>
    </row>
    <row r="313" spans="1:11" x14ac:dyDescent="0.35">
      <c r="A313" s="31"/>
      <c r="B313" s="38"/>
      <c r="C313" s="31"/>
      <c r="D313" s="32"/>
      <c r="E313" s="33"/>
      <c r="F313" s="33"/>
      <c r="G313" s="34"/>
      <c r="H313" s="35"/>
      <c r="I313" s="35"/>
      <c r="J313" s="6"/>
      <c r="K313" s="35"/>
    </row>
    <row r="314" spans="1:11" x14ac:dyDescent="0.35">
      <c r="A314" s="31"/>
      <c r="B314" s="38"/>
      <c r="C314" s="31"/>
      <c r="D314" s="32"/>
      <c r="E314" s="33"/>
      <c r="F314" s="33"/>
      <c r="G314" s="34"/>
      <c r="H314" s="35"/>
      <c r="I314" s="35"/>
      <c r="J314" s="6"/>
      <c r="K314" s="39"/>
    </row>
    <row r="315" spans="1:11" x14ac:dyDescent="0.35">
      <c r="A315" s="31"/>
      <c r="B315" s="38"/>
      <c r="C315" s="31"/>
      <c r="D315" s="32"/>
      <c r="E315" s="33"/>
      <c r="F315" s="33"/>
      <c r="G315" s="34"/>
      <c r="H315" s="35"/>
      <c r="I315" s="35"/>
      <c r="J315" s="6"/>
      <c r="K315" s="35"/>
    </row>
    <row r="316" spans="1:11" x14ac:dyDescent="0.35">
      <c r="A316" s="31"/>
      <c r="B316" s="38"/>
      <c r="C316" s="31"/>
      <c r="D316" s="32"/>
      <c r="E316" s="33"/>
      <c r="F316" s="33"/>
      <c r="G316" s="34"/>
      <c r="H316" s="35"/>
      <c r="I316" s="35"/>
      <c r="J316" s="6"/>
      <c r="K316" s="35"/>
    </row>
    <row r="317" spans="1:11" x14ac:dyDescent="0.35">
      <c r="A317" s="31"/>
      <c r="B317" s="38"/>
      <c r="C317" s="31"/>
      <c r="D317" s="32"/>
      <c r="E317" s="33"/>
      <c r="F317" s="33"/>
      <c r="G317" s="34"/>
      <c r="H317" s="35"/>
      <c r="I317" s="35"/>
      <c r="J317" s="6"/>
      <c r="K317" s="35"/>
    </row>
    <row r="318" spans="1:11" x14ac:dyDescent="0.35">
      <c r="A318" s="31"/>
      <c r="B318" s="38"/>
      <c r="C318" s="31"/>
      <c r="D318" s="32"/>
      <c r="E318" s="33"/>
      <c r="F318" s="33"/>
      <c r="G318" s="34"/>
      <c r="H318" s="35"/>
      <c r="I318" s="35"/>
      <c r="J318" s="6"/>
      <c r="K318" s="35"/>
    </row>
    <row r="319" spans="1:11" x14ac:dyDescent="0.35">
      <c r="A319" s="31"/>
      <c r="B319" s="38"/>
      <c r="C319" s="31"/>
      <c r="D319" s="32"/>
      <c r="E319" s="33"/>
      <c r="F319" s="33"/>
      <c r="G319" s="34"/>
      <c r="H319" s="35"/>
      <c r="I319" s="35"/>
      <c r="J319" s="6"/>
      <c r="K319" s="35"/>
    </row>
    <row r="320" spans="1:11" x14ac:dyDescent="0.35">
      <c r="A320" s="31"/>
      <c r="B320" s="38"/>
      <c r="C320" s="31"/>
      <c r="D320" s="32"/>
      <c r="E320" s="33"/>
      <c r="F320" s="33"/>
      <c r="G320" s="34"/>
      <c r="H320" s="35"/>
      <c r="I320" s="35"/>
      <c r="J320" s="6"/>
      <c r="K320" s="35"/>
    </row>
    <row r="321" spans="1:11" x14ac:dyDescent="0.35">
      <c r="A321" s="31"/>
      <c r="B321" s="38"/>
      <c r="C321" s="31"/>
      <c r="D321" s="32"/>
      <c r="E321" s="33"/>
      <c r="F321" s="33"/>
      <c r="G321" s="34"/>
      <c r="H321" s="35"/>
      <c r="I321" s="35"/>
      <c r="J321" s="6"/>
      <c r="K321" s="35"/>
    </row>
    <row r="322" spans="1:11" x14ac:dyDescent="0.35">
      <c r="A322" s="31"/>
      <c r="B322" s="38"/>
      <c r="C322" s="31"/>
      <c r="D322" s="32"/>
      <c r="E322" s="33"/>
      <c r="F322" s="33"/>
      <c r="G322" s="34"/>
      <c r="H322" s="35"/>
      <c r="I322" s="35"/>
      <c r="J322" s="6"/>
      <c r="K322" s="35"/>
    </row>
    <row r="323" spans="1:11" x14ac:dyDescent="0.35">
      <c r="A323" s="31"/>
      <c r="B323" s="38"/>
      <c r="C323" s="31"/>
      <c r="D323" s="32"/>
      <c r="E323" s="33"/>
      <c r="F323" s="33"/>
      <c r="G323" s="34"/>
      <c r="H323" s="35"/>
      <c r="I323" s="35"/>
      <c r="J323" s="6"/>
      <c r="K323" s="35"/>
    </row>
    <row r="324" spans="1:11" x14ac:dyDescent="0.35">
      <c r="A324" s="31"/>
      <c r="B324" s="38"/>
      <c r="C324" s="31"/>
      <c r="D324" s="32"/>
      <c r="E324" s="33"/>
      <c r="F324" s="33"/>
      <c r="G324" s="34"/>
      <c r="H324" s="35"/>
      <c r="I324" s="35"/>
      <c r="J324" s="6"/>
      <c r="K324" s="35"/>
    </row>
    <row r="325" spans="1:11" x14ac:dyDescent="0.35">
      <c r="A325" s="31"/>
      <c r="B325" s="38"/>
      <c r="C325" s="31"/>
      <c r="D325" s="32"/>
      <c r="E325" s="33"/>
      <c r="F325" s="33"/>
      <c r="G325" s="34"/>
      <c r="H325" s="35"/>
      <c r="I325" s="35"/>
      <c r="J325" s="6"/>
      <c r="K325" s="35"/>
    </row>
    <row r="326" spans="1:11" x14ac:dyDescent="0.35">
      <c r="A326" s="31"/>
      <c r="B326" s="38"/>
      <c r="C326" s="31"/>
      <c r="D326" s="32"/>
      <c r="E326" s="33"/>
      <c r="F326" s="33"/>
      <c r="G326" s="34"/>
      <c r="H326" s="35"/>
      <c r="I326" s="35"/>
      <c r="J326" s="6"/>
      <c r="K326" s="35"/>
    </row>
    <row r="327" spans="1:11" x14ac:dyDescent="0.35">
      <c r="A327" s="31"/>
      <c r="B327" s="38"/>
      <c r="C327" s="31"/>
      <c r="D327" s="32"/>
      <c r="E327" s="33"/>
      <c r="F327" s="33"/>
      <c r="G327" s="34"/>
      <c r="H327" s="35"/>
      <c r="I327" s="35"/>
      <c r="J327" s="6"/>
      <c r="K327" s="35"/>
    </row>
    <row r="328" spans="1:11" x14ac:dyDescent="0.35">
      <c r="A328" s="31"/>
      <c r="B328" s="38"/>
      <c r="C328" s="31"/>
      <c r="D328" s="32"/>
      <c r="E328" s="33"/>
      <c r="F328" s="33"/>
      <c r="G328" s="34"/>
      <c r="H328" s="35"/>
      <c r="I328" s="35"/>
      <c r="J328" s="6"/>
      <c r="K328" s="35"/>
    </row>
    <row r="329" spans="1:11" x14ac:dyDescent="0.35">
      <c r="A329" s="31"/>
      <c r="B329" s="38"/>
      <c r="C329" s="31"/>
      <c r="D329" s="32"/>
      <c r="E329" s="40"/>
      <c r="F329" s="40"/>
      <c r="G329" s="34"/>
      <c r="H329" s="41"/>
      <c r="I329" s="35"/>
      <c r="J329" s="6"/>
      <c r="K329" s="32"/>
    </row>
    <row r="330" spans="1:11" x14ac:dyDescent="0.35">
      <c r="A330" s="31"/>
      <c r="B330" s="38"/>
      <c r="C330" s="31"/>
      <c r="D330" s="32"/>
      <c r="E330" s="40"/>
      <c r="F330" s="40"/>
      <c r="G330" s="34"/>
      <c r="H330" s="41"/>
      <c r="I330" s="35"/>
      <c r="J330" s="6"/>
      <c r="K330" s="32"/>
    </row>
    <row r="331" spans="1:11" x14ac:dyDescent="0.35">
      <c r="A331" s="31"/>
      <c r="B331" s="38"/>
      <c r="C331" s="31"/>
      <c r="D331" s="32"/>
      <c r="E331" s="40"/>
      <c r="F331" s="40"/>
      <c r="G331" s="34"/>
      <c r="H331" s="41"/>
      <c r="I331" s="35"/>
      <c r="J331" s="6"/>
      <c r="K331" s="32"/>
    </row>
    <row r="332" spans="1:11" x14ac:dyDescent="0.35">
      <c r="A332" s="31"/>
      <c r="B332" s="38"/>
      <c r="C332" s="31"/>
      <c r="D332" s="32"/>
      <c r="E332" s="40"/>
      <c r="F332" s="40"/>
      <c r="G332" s="34"/>
      <c r="H332" s="41"/>
      <c r="I332" s="35"/>
      <c r="J332" s="6"/>
      <c r="K332" s="32"/>
    </row>
    <row r="333" spans="1:11" x14ac:dyDescent="0.35">
      <c r="A333" s="31"/>
      <c r="B333" s="38"/>
      <c r="C333" s="31"/>
      <c r="D333" s="32"/>
      <c r="E333" s="40"/>
      <c r="F333" s="40"/>
      <c r="G333" s="34"/>
      <c r="H333" s="41"/>
      <c r="I333" s="35"/>
      <c r="J333" s="6"/>
      <c r="K333" s="32"/>
    </row>
    <row r="334" spans="1:11" x14ac:dyDescent="0.35">
      <c r="A334" s="31"/>
      <c r="B334" s="38"/>
      <c r="C334" s="31"/>
      <c r="D334" s="32"/>
      <c r="E334" s="40"/>
      <c r="F334" s="40"/>
      <c r="G334" s="34"/>
      <c r="H334" s="41"/>
      <c r="I334" s="35"/>
      <c r="J334" s="6"/>
      <c r="K334" s="32"/>
    </row>
    <row r="335" spans="1:11" x14ac:dyDescent="0.35">
      <c r="A335" s="31"/>
      <c r="B335" s="38"/>
      <c r="C335" s="31"/>
      <c r="D335" s="32"/>
      <c r="E335" s="40"/>
      <c r="F335" s="40"/>
      <c r="G335" s="34"/>
      <c r="H335" s="41"/>
      <c r="I335" s="35"/>
      <c r="J335" s="6"/>
      <c r="K335" s="32"/>
    </row>
    <row r="336" spans="1:11" x14ac:dyDescent="0.35">
      <c r="A336" s="31"/>
      <c r="B336" s="38"/>
      <c r="C336" s="31"/>
      <c r="D336" s="32"/>
      <c r="E336" s="40"/>
      <c r="F336" s="40"/>
      <c r="G336" s="34"/>
      <c r="H336" s="41"/>
      <c r="I336" s="35"/>
      <c r="J336" s="6"/>
      <c r="K336" s="32"/>
    </row>
    <row r="337" spans="1:11" x14ac:dyDescent="0.35">
      <c r="A337" s="31"/>
      <c r="B337" s="38"/>
      <c r="C337" s="31"/>
      <c r="D337" s="32"/>
      <c r="E337" s="40"/>
      <c r="F337" s="40"/>
      <c r="G337" s="34"/>
      <c r="H337" s="41"/>
      <c r="I337" s="35"/>
      <c r="J337" s="6"/>
      <c r="K337" s="32"/>
    </row>
    <row r="338" spans="1:11" x14ac:dyDescent="0.35">
      <c r="A338" s="31"/>
      <c r="B338" s="38"/>
      <c r="C338" s="31"/>
      <c r="D338" s="32"/>
      <c r="E338" s="40"/>
      <c r="F338" s="40"/>
      <c r="G338" s="34"/>
      <c r="H338" s="41"/>
      <c r="I338" s="35"/>
      <c r="J338" s="6"/>
      <c r="K338" s="32"/>
    </row>
    <row r="339" spans="1:11" x14ac:dyDescent="0.35">
      <c r="A339" s="31"/>
      <c r="B339" s="38"/>
      <c r="C339" s="32"/>
      <c r="D339" s="32"/>
      <c r="E339" s="33"/>
      <c r="F339" s="33"/>
      <c r="G339" s="34"/>
      <c r="H339" s="35"/>
      <c r="I339" s="35"/>
      <c r="J339" s="6"/>
      <c r="K339" s="35"/>
    </row>
    <row r="340" spans="1:11" x14ac:dyDescent="0.35">
      <c r="A340" s="31"/>
      <c r="B340" s="38"/>
      <c r="C340" s="32"/>
      <c r="D340" s="32"/>
      <c r="E340" s="33"/>
      <c r="F340" s="33"/>
      <c r="G340" s="34"/>
      <c r="H340" s="39"/>
      <c r="I340" s="35"/>
      <c r="J340" s="6"/>
      <c r="K340" s="39"/>
    </row>
    <row r="341" spans="1:11" x14ac:dyDescent="0.35">
      <c r="A341" s="31"/>
      <c r="B341" s="38"/>
      <c r="C341" s="32"/>
      <c r="D341" s="32"/>
      <c r="E341" s="33"/>
      <c r="F341" s="33"/>
      <c r="G341" s="34"/>
      <c r="H341" s="35"/>
      <c r="I341" s="35"/>
      <c r="J341" s="6"/>
      <c r="K341" s="35"/>
    </row>
    <row r="342" spans="1:11" x14ac:dyDescent="0.35">
      <c r="A342" s="42"/>
      <c r="B342" s="38"/>
      <c r="C342" s="32"/>
      <c r="D342" s="32"/>
      <c r="E342" s="33"/>
      <c r="F342" s="33"/>
      <c r="G342" s="34"/>
      <c r="H342" s="43"/>
      <c r="I342" s="35"/>
      <c r="J342" s="6"/>
      <c r="K342" s="43"/>
    </row>
    <row r="343" spans="1:11" x14ac:dyDescent="0.35">
      <c r="A343" s="31"/>
      <c r="B343" s="38"/>
      <c r="C343" s="32"/>
      <c r="D343" s="32"/>
      <c r="E343" s="33"/>
      <c r="F343" s="33"/>
      <c r="G343" s="34"/>
      <c r="H343" s="35"/>
      <c r="I343" s="35"/>
      <c r="J343" s="6"/>
      <c r="K343" s="35"/>
    </row>
    <row r="344" spans="1:11" x14ac:dyDescent="0.35">
      <c r="A344" s="42"/>
      <c r="B344" s="38"/>
      <c r="C344" s="32"/>
      <c r="D344" s="32"/>
      <c r="E344" s="33"/>
      <c r="F344" s="33"/>
      <c r="G344" s="34"/>
      <c r="H344" s="43"/>
      <c r="I344" s="35"/>
      <c r="J344" s="6"/>
      <c r="K344" s="43"/>
    </row>
    <row r="345" spans="1:11" x14ac:dyDescent="0.35">
      <c r="A345" s="44"/>
      <c r="B345" s="38"/>
      <c r="C345" s="32"/>
      <c r="D345" s="32"/>
      <c r="E345" s="33"/>
      <c r="F345" s="33"/>
      <c r="G345" s="34"/>
      <c r="H345" s="35"/>
      <c r="I345" s="35"/>
      <c r="J345" s="6"/>
      <c r="K345" s="45"/>
    </row>
    <row r="346" spans="1:11" x14ac:dyDescent="0.35">
      <c r="A346" s="44"/>
      <c r="B346" s="38"/>
      <c r="C346" s="32"/>
      <c r="D346" s="32"/>
      <c r="E346" s="33"/>
      <c r="F346" s="33"/>
      <c r="G346" s="34"/>
      <c r="H346" s="35"/>
      <c r="I346" s="35"/>
      <c r="J346" s="6"/>
      <c r="K346" s="45"/>
    </row>
    <row r="347" spans="1:11" x14ac:dyDescent="0.35">
      <c r="A347" s="44"/>
      <c r="B347" s="38"/>
      <c r="C347" s="32"/>
      <c r="D347" s="32"/>
      <c r="E347" s="33"/>
      <c r="F347" s="33"/>
      <c r="G347" s="34"/>
      <c r="H347" s="35"/>
      <c r="I347" s="35"/>
      <c r="J347" s="6"/>
      <c r="K347" s="45"/>
    </row>
    <row r="348" spans="1:11" x14ac:dyDescent="0.35">
      <c r="A348" s="44"/>
      <c r="B348" s="38"/>
      <c r="C348" s="32"/>
      <c r="D348" s="32"/>
      <c r="E348" s="33"/>
      <c r="F348" s="33"/>
      <c r="G348" s="34"/>
      <c r="H348" s="35"/>
      <c r="I348" s="35"/>
      <c r="J348" s="6"/>
      <c r="K348" s="45"/>
    </row>
    <row r="349" spans="1:11" x14ac:dyDescent="0.35">
      <c r="A349" s="31"/>
      <c r="B349" s="38"/>
      <c r="C349" s="32"/>
      <c r="D349" s="32"/>
      <c r="E349" s="33"/>
      <c r="F349" s="33"/>
      <c r="G349" s="34"/>
      <c r="H349" s="35"/>
      <c r="I349" s="35"/>
      <c r="J349" s="6"/>
      <c r="K349" s="39"/>
    </row>
    <row r="350" spans="1:11" x14ac:dyDescent="0.35">
      <c r="A350" s="31"/>
      <c r="B350" s="38"/>
      <c r="C350" s="32"/>
      <c r="D350" s="32"/>
      <c r="E350" s="33"/>
      <c r="F350" s="33"/>
      <c r="G350" s="34"/>
      <c r="H350" s="35"/>
      <c r="I350" s="35"/>
      <c r="J350" s="6"/>
      <c r="K350" s="35"/>
    </row>
    <row r="351" spans="1:11" x14ac:dyDescent="0.35">
      <c r="A351" s="31"/>
      <c r="B351" s="38"/>
      <c r="C351" s="32"/>
      <c r="D351" s="32"/>
      <c r="E351" s="33"/>
      <c r="F351" s="33"/>
      <c r="G351" s="34"/>
      <c r="H351" s="35"/>
      <c r="I351" s="35"/>
      <c r="J351" s="6"/>
      <c r="K351" s="35"/>
    </row>
    <row r="352" spans="1:11" x14ac:dyDescent="0.35">
      <c r="A352" s="31"/>
      <c r="B352" s="38"/>
      <c r="C352" s="32"/>
      <c r="D352" s="32"/>
      <c r="E352" s="33"/>
      <c r="F352" s="33"/>
      <c r="G352" s="34"/>
      <c r="H352" s="35"/>
      <c r="I352" s="41"/>
      <c r="J352" s="6"/>
      <c r="K352" s="35"/>
    </row>
    <row r="353" spans="1:11" x14ac:dyDescent="0.35">
      <c r="A353" s="31"/>
      <c r="B353" s="38"/>
      <c r="C353" s="32"/>
      <c r="D353" s="32"/>
      <c r="E353" s="33"/>
      <c r="F353" s="33"/>
      <c r="G353" s="34"/>
      <c r="H353" s="35"/>
      <c r="I353" s="41"/>
      <c r="J353" s="6"/>
      <c r="K353" s="35"/>
    </row>
    <row r="354" spans="1:11" x14ac:dyDescent="0.35">
      <c r="A354" s="31"/>
      <c r="B354" s="38"/>
      <c r="C354" s="32"/>
      <c r="D354" s="32"/>
      <c r="E354" s="33"/>
      <c r="F354" s="33"/>
      <c r="G354" s="34"/>
      <c r="H354" s="35"/>
      <c r="I354" s="41"/>
      <c r="J354" s="6"/>
      <c r="K354" s="35"/>
    </row>
    <row r="355" spans="1:11" x14ac:dyDescent="0.35">
      <c r="A355" s="31"/>
      <c r="B355" s="38"/>
      <c r="C355" s="32"/>
      <c r="D355" s="32"/>
      <c r="E355" s="33"/>
      <c r="F355" s="33"/>
      <c r="G355" s="34"/>
      <c r="H355" s="35"/>
      <c r="I355" s="41"/>
      <c r="J355" s="6"/>
      <c r="K355" s="35"/>
    </row>
    <row r="356" spans="1:11" x14ac:dyDescent="0.35">
      <c r="A356" s="31"/>
      <c r="B356" s="38"/>
      <c r="C356" s="32"/>
      <c r="D356" s="32"/>
      <c r="E356" s="33"/>
      <c r="F356" s="33"/>
      <c r="G356" s="34"/>
      <c r="H356" s="35"/>
      <c r="I356" s="41"/>
      <c r="J356" s="6"/>
      <c r="K356" s="35"/>
    </row>
    <row r="357" spans="1:11" x14ac:dyDescent="0.35">
      <c r="A357" s="31"/>
      <c r="B357" s="38"/>
      <c r="C357" s="32"/>
      <c r="D357" s="32"/>
      <c r="E357" s="33"/>
      <c r="F357" s="33"/>
      <c r="G357" s="34"/>
      <c r="H357" s="35"/>
      <c r="I357" s="41"/>
      <c r="J357" s="6"/>
      <c r="K357" s="35"/>
    </row>
    <row r="358" spans="1:11" x14ac:dyDescent="0.35">
      <c r="A358" s="31"/>
      <c r="B358" s="38"/>
      <c r="C358" s="32"/>
      <c r="D358" s="32"/>
      <c r="E358" s="33"/>
      <c r="F358" s="33"/>
      <c r="G358" s="34"/>
      <c r="H358" s="35"/>
      <c r="I358" s="41"/>
      <c r="J358" s="6"/>
      <c r="K358" s="35"/>
    </row>
    <row r="359" spans="1:11" x14ac:dyDescent="0.35">
      <c r="A359" s="31"/>
      <c r="B359" s="38"/>
      <c r="C359" s="32"/>
      <c r="D359" s="32"/>
      <c r="E359" s="33"/>
      <c r="F359" s="33"/>
      <c r="G359" s="34"/>
      <c r="H359" s="35"/>
      <c r="I359" s="41"/>
      <c r="J359" s="6"/>
      <c r="K359" s="35"/>
    </row>
    <row r="360" spans="1:11" x14ac:dyDescent="0.35">
      <c r="A360" s="31"/>
      <c r="B360" s="38"/>
      <c r="C360" s="32"/>
      <c r="D360" s="32"/>
      <c r="E360" s="33"/>
      <c r="F360" s="33"/>
      <c r="G360" s="34"/>
      <c r="H360" s="35"/>
      <c r="I360" s="41"/>
      <c r="J360" s="6"/>
      <c r="K360" s="35"/>
    </row>
    <row r="361" spans="1:11" x14ac:dyDescent="0.35">
      <c r="A361" s="31"/>
      <c r="B361" s="38"/>
      <c r="C361" s="32"/>
      <c r="D361" s="32"/>
      <c r="E361" s="33"/>
      <c r="F361" s="33"/>
      <c r="G361" s="34"/>
      <c r="H361" s="35"/>
      <c r="I361" s="41"/>
      <c r="J361" s="6"/>
      <c r="K361" s="35"/>
    </row>
    <row r="362" spans="1:11" x14ac:dyDescent="0.35">
      <c r="A362" s="31"/>
      <c r="B362" s="38"/>
      <c r="C362" s="32"/>
      <c r="D362" s="32"/>
      <c r="E362" s="33"/>
      <c r="F362" s="33"/>
      <c r="G362" s="34"/>
      <c r="H362" s="35"/>
      <c r="I362" s="46"/>
      <c r="J362" s="6"/>
      <c r="K362" s="35"/>
    </row>
    <row r="363" spans="1:11" x14ac:dyDescent="0.35">
      <c r="A363" s="31"/>
      <c r="B363" s="38"/>
      <c r="C363" s="32"/>
      <c r="D363" s="32"/>
      <c r="E363" s="33"/>
      <c r="F363" s="33"/>
      <c r="G363" s="34"/>
      <c r="H363" s="35"/>
      <c r="I363" s="46"/>
      <c r="J363" s="6"/>
      <c r="K363" s="35"/>
    </row>
    <row r="364" spans="1:11" x14ac:dyDescent="0.35">
      <c r="A364" s="31"/>
      <c r="B364" s="38"/>
      <c r="C364" s="32"/>
      <c r="D364" s="32"/>
      <c r="E364" s="33"/>
      <c r="F364" s="33"/>
      <c r="G364" s="34"/>
      <c r="H364" s="35"/>
      <c r="I364" s="46"/>
      <c r="J364" s="6"/>
      <c r="K364" s="35"/>
    </row>
    <row r="365" spans="1:11" x14ac:dyDescent="0.35">
      <c r="A365" s="31"/>
      <c r="B365" s="38"/>
      <c r="C365" s="32"/>
      <c r="D365" s="32"/>
      <c r="E365" s="33"/>
      <c r="F365" s="33"/>
      <c r="G365" s="34"/>
      <c r="H365" s="35"/>
      <c r="I365" s="46"/>
      <c r="J365" s="6"/>
      <c r="K365" s="35"/>
    </row>
    <row r="366" spans="1:11" x14ac:dyDescent="0.35">
      <c r="A366" s="31"/>
      <c r="B366" s="38"/>
      <c r="C366" s="32"/>
      <c r="D366" s="32"/>
      <c r="E366" s="33"/>
      <c r="F366" s="33"/>
      <c r="G366" s="34"/>
      <c r="H366" s="35"/>
      <c r="I366" s="46"/>
      <c r="J366" s="6"/>
      <c r="K366" s="35"/>
    </row>
    <row r="367" spans="1:11" x14ac:dyDescent="0.35">
      <c r="A367" s="31"/>
      <c r="B367" s="38"/>
      <c r="C367" s="32"/>
      <c r="D367" s="32"/>
      <c r="E367" s="33"/>
      <c r="F367" s="33"/>
      <c r="G367" s="34"/>
      <c r="H367" s="35"/>
      <c r="I367" s="46"/>
      <c r="J367" s="6"/>
      <c r="K367" s="35"/>
    </row>
    <row r="368" spans="1:11" x14ac:dyDescent="0.35">
      <c r="A368" s="31"/>
      <c r="B368" s="38"/>
      <c r="C368" s="32"/>
      <c r="D368" s="32"/>
      <c r="E368" s="33"/>
      <c r="F368" s="33"/>
      <c r="G368" s="34"/>
      <c r="H368" s="35"/>
      <c r="I368" s="46"/>
      <c r="J368" s="6"/>
      <c r="K368" s="35"/>
    </row>
    <row r="369" spans="1:11" x14ac:dyDescent="0.35">
      <c r="A369" s="31"/>
      <c r="B369" s="38"/>
      <c r="C369" s="32"/>
      <c r="D369" s="32"/>
      <c r="E369" s="33"/>
      <c r="F369" s="33"/>
      <c r="G369" s="34"/>
      <c r="H369" s="35"/>
      <c r="I369" s="46"/>
      <c r="J369" s="6"/>
      <c r="K369" s="35"/>
    </row>
    <row r="370" spans="1:11" x14ac:dyDescent="0.35">
      <c r="A370" s="31"/>
      <c r="B370" s="38"/>
      <c r="C370" s="32"/>
      <c r="D370" s="32"/>
      <c r="E370" s="33"/>
      <c r="F370" s="33"/>
      <c r="G370" s="34"/>
      <c r="H370" s="35"/>
      <c r="I370" s="46"/>
      <c r="J370" s="6"/>
      <c r="K370" s="35"/>
    </row>
    <row r="371" spans="1:11" x14ac:dyDescent="0.35">
      <c r="A371" s="31"/>
      <c r="B371" s="38"/>
      <c r="C371" s="32"/>
      <c r="D371" s="32"/>
      <c r="E371" s="33"/>
      <c r="F371" s="33"/>
      <c r="G371" s="34"/>
      <c r="H371" s="35"/>
      <c r="I371" s="46"/>
      <c r="J371" s="6"/>
      <c r="K371" s="35"/>
    </row>
    <row r="372" spans="1:11" x14ac:dyDescent="0.35">
      <c r="A372" s="31"/>
      <c r="B372" s="38"/>
      <c r="C372" s="32"/>
      <c r="D372" s="32"/>
      <c r="E372" s="33"/>
      <c r="F372" s="33"/>
      <c r="G372" s="34"/>
      <c r="H372" s="35"/>
      <c r="I372" s="46"/>
      <c r="J372" s="6"/>
      <c r="K372" s="35"/>
    </row>
    <row r="373" spans="1:11" x14ac:dyDescent="0.35">
      <c r="A373" s="31"/>
      <c r="B373" s="38"/>
      <c r="C373" s="32"/>
      <c r="D373" s="32"/>
      <c r="E373" s="33"/>
      <c r="F373" s="33"/>
      <c r="G373" s="34"/>
      <c r="H373" s="35"/>
      <c r="I373" s="46"/>
      <c r="J373" s="6"/>
      <c r="K373" s="35"/>
    </row>
    <row r="374" spans="1:11" x14ac:dyDescent="0.35">
      <c r="A374" s="31"/>
      <c r="B374" s="38"/>
      <c r="C374" s="32"/>
      <c r="D374" s="32"/>
      <c r="E374" s="33"/>
      <c r="F374" s="33"/>
      <c r="G374" s="34"/>
      <c r="H374" s="35"/>
      <c r="I374" s="46"/>
      <c r="J374" s="6"/>
      <c r="K374" s="35"/>
    </row>
    <row r="375" spans="1:11" x14ac:dyDescent="0.35">
      <c r="A375" s="31"/>
      <c r="B375" s="38"/>
      <c r="C375" s="32"/>
      <c r="D375" s="32"/>
      <c r="E375" s="33"/>
      <c r="F375" s="33"/>
      <c r="G375" s="34"/>
      <c r="H375" s="35"/>
      <c r="I375" s="46"/>
      <c r="J375" s="6"/>
      <c r="K375" s="35"/>
    </row>
    <row r="376" spans="1:11" x14ac:dyDescent="0.35">
      <c r="A376" s="31"/>
      <c r="B376" s="38"/>
      <c r="C376" s="32"/>
      <c r="D376" s="32"/>
      <c r="E376" s="33"/>
      <c r="F376" s="33"/>
      <c r="G376" s="34"/>
      <c r="H376" s="35"/>
      <c r="I376" s="46"/>
      <c r="J376" s="6"/>
      <c r="K376" s="35"/>
    </row>
    <row r="377" spans="1:11" x14ac:dyDescent="0.35">
      <c r="A377" s="31"/>
      <c r="B377" s="38"/>
      <c r="C377" s="32"/>
      <c r="D377" s="32"/>
      <c r="E377" s="33"/>
      <c r="F377" s="33"/>
      <c r="G377" s="34"/>
      <c r="H377" s="35"/>
      <c r="I377" s="46"/>
      <c r="J377" s="6"/>
      <c r="K377" s="35"/>
    </row>
    <row r="378" spans="1:11" x14ac:dyDescent="0.35">
      <c r="A378" s="31"/>
      <c r="B378" s="38"/>
      <c r="C378" s="32"/>
      <c r="D378" s="32"/>
      <c r="E378" s="33"/>
      <c r="F378" s="33"/>
      <c r="G378" s="34"/>
      <c r="H378" s="35"/>
      <c r="I378" s="46"/>
      <c r="J378" s="6"/>
      <c r="K378" s="35"/>
    </row>
    <row r="379" spans="1:11" x14ac:dyDescent="0.35">
      <c r="A379" s="31"/>
      <c r="B379" s="38"/>
      <c r="C379" s="32"/>
      <c r="D379" s="32"/>
      <c r="E379" s="33"/>
      <c r="F379" s="33"/>
      <c r="G379" s="34"/>
      <c r="H379" s="35"/>
      <c r="I379" s="46"/>
      <c r="J379" s="6"/>
      <c r="K379" s="35"/>
    </row>
    <row r="380" spans="1:11" x14ac:dyDescent="0.35">
      <c r="A380" s="31"/>
      <c r="B380" s="38"/>
      <c r="C380" s="32"/>
      <c r="D380" s="32"/>
      <c r="E380" s="33"/>
      <c r="F380" s="33"/>
      <c r="G380" s="34"/>
      <c r="H380" s="35"/>
      <c r="I380" s="46"/>
      <c r="J380" s="6"/>
      <c r="K380" s="35"/>
    </row>
    <row r="381" spans="1:11" x14ac:dyDescent="0.35">
      <c r="A381" s="31"/>
      <c r="B381" s="38"/>
      <c r="C381" s="32"/>
      <c r="D381" s="32"/>
      <c r="E381" s="33"/>
      <c r="F381" s="33"/>
      <c r="G381" s="34"/>
      <c r="H381" s="35"/>
      <c r="I381" s="46"/>
      <c r="J381" s="6"/>
      <c r="K381" s="35"/>
    </row>
    <row r="382" spans="1:11" x14ac:dyDescent="0.35">
      <c r="A382" s="31"/>
      <c r="B382" s="38"/>
      <c r="C382" s="32"/>
      <c r="D382" s="32"/>
      <c r="E382" s="33"/>
      <c r="F382" s="33"/>
      <c r="G382" s="34"/>
      <c r="H382" s="35"/>
      <c r="I382" s="46"/>
      <c r="J382" s="6"/>
      <c r="K382" s="35"/>
    </row>
    <row r="383" spans="1:11" x14ac:dyDescent="0.35">
      <c r="A383" s="31"/>
      <c r="B383" s="38"/>
      <c r="C383" s="32"/>
      <c r="D383" s="32"/>
      <c r="E383" s="33"/>
      <c r="F383" s="33"/>
      <c r="G383" s="34"/>
      <c r="H383" s="35"/>
      <c r="I383" s="46"/>
      <c r="J383" s="6"/>
      <c r="K383" s="35"/>
    </row>
    <row r="384" spans="1:11" x14ac:dyDescent="0.35">
      <c r="A384" s="31"/>
      <c r="B384" s="38"/>
      <c r="C384" s="32"/>
      <c r="D384" s="32"/>
      <c r="E384" s="33"/>
      <c r="F384" s="33"/>
      <c r="G384" s="34"/>
      <c r="H384" s="35"/>
      <c r="I384" s="46"/>
      <c r="J384" s="6"/>
      <c r="K384" s="35"/>
    </row>
    <row r="385" spans="1:11" x14ac:dyDescent="0.35">
      <c r="A385" s="31"/>
      <c r="B385" s="38"/>
      <c r="C385" s="32"/>
      <c r="D385" s="32"/>
      <c r="E385" s="33"/>
      <c r="F385" s="33"/>
      <c r="G385" s="34"/>
      <c r="H385" s="35"/>
      <c r="I385" s="46"/>
      <c r="J385" s="6"/>
      <c r="K385" s="35"/>
    </row>
    <row r="386" spans="1:11" x14ac:dyDescent="0.35">
      <c r="A386" s="31"/>
      <c r="B386" s="38"/>
      <c r="C386" s="32"/>
      <c r="D386" s="32"/>
      <c r="E386" s="33"/>
      <c r="F386" s="33"/>
      <c r="G386" s="34"/>
      <c r="H386" s="35"/>
      <c r="I386" s="46"/>
      <c r="J386" s="6"/>
      <c r="K386" s="35"/>
    </row>
    <row r="387" spans="1:11" x14ac:dyDescent="0.35">
      <c r="A387" s="31"/>
      <c r="B387" s="38"/>
      <c r="C387" s="32"/>
      <c r="E387" s="33"/>
      <c r="F387" s="33"/>
      <c r="G387" s="12"/>
      <c r="H387" s="35"/>
      <c r="J387" s="6"/>
      <c r="K387" s="35"/>
    </row>
    <row r="388" spans="1:11" x14ac:dyDescent="0.35">
      <c r="A388" s="31"/>
      <c r="B388" s="38"/>
      <c r="C388" s="32"/>
      <c r="E388" s="33"/>
      <c r="F388" s="33"/>
      <c r="G388" s="12"/>
      <c r="H388" s="35"/>
      <c r="J388" s="6"/>
      <c r="K388" s="35"/>
    </row>
    <row r="389" spans="1:11" x14ac:dyDescent="0.35">
      <c r="A389" s="31"/>
      <c r="B389" s="38"/>
      <c r="C389" s="32"/>
      <c r="E389" s="33"/>
      <c r="F389" s="33"/>
      <c r="G389" s="12"/>
      <c r="H389" s="35"/>
      <c r="J389" s="6"/>
      <c r="K389" s="35"/>
    </row>
    <row r="390" spans="1:11" x14ac:dyDescent="0.35">
      <c r="A390" s="31"/>
      <c r="B390" s="38"/>
      <c r="C390" s="32"/>
      <c r="E390" s="33"/>
      <c r="F390" s="33"/>
      <c r="G390" s="12"/>
      <c r="H390" s="35"/>
      <c r="J390" s="6"/>
      <c r="K390" s="35"/>
    </row>
    <row r="391" spans="1:11" x14ac:dyDescent="0.35">
      <c r="A391" s="31"/>
      <c r="B391" s="38"/>
      <c r="C391" s="32"/>
      <c r="E391" s="33"/>
      <c r="F391" s="33"/>
      <c r="G391" s="12"/>
      <c r="H391" s="35"/>
      <c r="J391" s="6"/>
      <c r="K391" s="35"/>
    </row>
    <row r="392" spans="1:11" x14ac:dyDescent="0.35">
      <c r="A392" s="31"/>
      <c r="B392" s="38"/>
      <c r="C392" s="32"/>
      <c r="E392" s="33"/>
      <c r="F392" s="33"/>
      <c r="G392" s="12"/>
      <c r="H392" s="35"/>
      <c r="J392" s="6"/>
      <c r="K392" s="35"/>
    </row>
    <row r="393" spans="1:11" x14ac:dyDescent="0.35">
      <c r="A393" s="31"/>
      <c r="B393" s="38"/>
      <c r="C393" s="32"/>
      <c r="E393" s="33"/>
      <c r="F393" s="33"/>
      <c r="G393" s="12"/>
      <c r="H393" s="35"/>
      <c r="J393" s="6"/>
      <c r="K393" s="35"/>
    </row>
    <row r="394" spans="1:11" x14ac:dyDescent="0.35">
      <c r="A394" s="31"/>
      <c r="B394" s="38"/>
      <c r="C394" s="32"/>
      <c r="E394" s="33"/>
      <c r="F394" s="33"/>
      <c r="G394" s="12"/>
      <c r="H394" s="35"/>
      <c r="J394" s="6"/>
      <c r="K394" s="35"/>
    </row>
    <row r="395" spans="1:11" x14ac:dyDescent="0.35">
      <c r="A395" s="31"/>
      <c r="B395" s="38"/>
      <c r="C395" s="32"/>
      <c r="E395" s="33"/>
      <c r="F395" s="33"/>
      <c r="G395" s="12"/>
      <c r="H395" s="35"/>
      <c r="J395" s="6"/>
      <c r="K395" s="35"/>
    </row>
    <row r="396" spans="1:11" x14ac:dyDescent="0.35">
      <c r="A396" s="31"/>
      <c r="B396" s="38"/>
      <c r="C396" s="32"/>
      <c r="E396" s="33"/>
      <c r="F396" s="33"/>
      <c r="G396" s="12"/>
      <c r="H396" s="35"/>
      <c r="J396" s="6"/>
      <c r="K396" s="35"/>
    </row>
    <row r="397" spans="1:11" x14ac:dyDescent="0.35">
      <c r="A397" s="31"/>
      <c r="B397" s="38"/>
      <c r="C397" s="32"/>
      <c r="E397" s="33"/>
      <c r="F397" s="33"/>
      <c r="G397" s="12"/>
      <c r="H397" s="35"/>
      <c r="J397" s="6"/>
      <c r="K397" s="35"/>
    </row>
    <row r="398" spans="1:11" x14ac:dyDescent="0.35">
      <c r="A398" s="31"/>
      <c r="B398" s="38"/>
      <c r="C398" s="32"/>
      <c r="E398" s="33"/>
      <c r="F398" s="33"/>
      <c r="G398" s="12"/>
      <c r="H398" s="35"/>
      <c r="J398" s="6"/>
      <c r="K398" s="35"/>
    </row>
    <row r="399" spans="1:11" x14ac:dyDescent="0.35">
      <c r="A399" s="31"/>
      <c r="B399" s="38"/>
      <c r="C399" s="32"/>
      <c r="E399" s="33"/>
      <c r="F399" s="33"/>
      <c r="G399" s="12"/>
      <c r="H399" s="35"/>
      <c r="J399" s="6"/>
      <c r="K399" s="35"/>
    </row>
    <row r="400" spans="1:11" x14ac:dyDescent="0.35">
      <c r="A400" s="31"/>
      <c r="B400" s="38"/>
      <c r="C400" s="32"/>
      <c r="E400" s="33"/>
      <c r="F400" s="33"/>
      <c r="G400" s="12"/>
      <c r="H400" s="35"/>
      <c r="J400" s="6"/>
      <c r="K400" s="35"/>
    </row>
    <row r="401" spans="1:11" x14ac:dyDescent="0.35">
      <c r="A401" s="31"/>
      <c r="B401" s="38"/>
      <c r="C401" s="32"/>
      <c r="E401" s="33"/>
      <c r="F401" s="33"/>
      <c r="G401" s="12"/>
      <c r="H401" s="35"/>
      <c r="J401" s="6"/>
      <c r="K401" s="35"/>
    </row>
    <row r="402" spans="1:11" x14ac:dyDescent="0.35">
      <c r="A402" s="31"/>
      <c r="B402" s="38"/>
      <c r="C402" s="32"/>
      <c r="E402" s="33"/>
      <c r="F402" s="33"/>
      <c r="G402" s="12"/>
      <c r="H402" s="35"/>
      <c r="J402" s="6"/>
      <c r="K402" s="35"/>
    </row>
    <row r="403" spans="1:11" x14ac:dyDescent="0.35">
      <c r="A403" s="31"/>
      <c r="B403" s="38"/>
      <c r="C403" s="32"/>
      <c r="E403" s="33"/>
      <c r="F403" s="33"/>
      <c r="G403" s="12"/>
      <c r="H403" s="35"/>
      <c r="J403" s="6"/>
      <c r="K403" s="35"/>
    </row>
    <row r="404" spans="1:11" x14ac:dyDescent="0.35">
      <c r="A404" s="31"/>
      <c r="B404" s="38"/>
      <c r="C404" s="32"/>
      <c r="E404" s="33"/>
      <c r="F404" s="33"/>
      <c r="G404" s="12"/>
      <c r="H404" s="35"/>
      <c r="J404" s="6"/>
      <c r="K404" s="35"/>
    </row>
    <row r="405" spans="1:11" x14ac:dyDescent="0.35">
      <c r="A405" s="31"/>
      <c r="B405" s="38"/>
      <c r="C405" s="32"/>
      <c r="E405" s="33"/>
      <c r="F405" s="33"/>
      <c r="G405" s="12"/>
      <c r="H405" s="35"/>
      <c r="J405" s="6"/>
      <c r="K405" s="35"/>
    </row>
    <row r="406" spans="1:11" x14ac:dyDescent="0.35">
      <c r="A406" s="31"/>
      <c r="B406" s="38"/>
      <c r="C406" s="32"/>
      <c r="E406" s="33"/>
      <c r="F406" s="33"/>
      <c r="G406" s="12"/>
      <c r="H406" s="35"/>
      <c r="J406" s="6"/>
      <c r="K406" s="35"/>
    </row>
    <row r="407" spans="1:11" x14ac:dyDescent="0.35">
      <c r="A407" s="31"/>
      <c r="B407" s="38"/>
      <c r="C407" s="32"/>
      <c r="E407" s="33"/>
      <c r="F407" s="33"/>
      <c r="G407" s="12"/>
      <c r="H407" s="35"/>
      <c r="J407" s="6"/>
      <c r="K407" s="35"/>
    </row>
    <row r="408" spans="1:11" x14ac:dyDescent="0.35">
      <c r="A408" s="31"/>
      <c r="B408" s="38"/>
      <c r="C408" s="32"/>
      <c r="E408" s="33"/>
      <c r="F408" s="33"/>
      <c r="G408" s="12"/>
      <c r="H408" s="35"/>
      <c r="J408" s="6"/>
      <c r="K408" s="35"/>
    </row>
    <row r="409" spans="1:11" x14ac:dyDescent="0.35">
      <c r="A409" s="31"/>
      <c r="B409" s="38"/>
      <c r="C409" s="32"/>
      <c r="E409" s="33"/>
      <c r="F409" s="33"/>
      <c r="G409" s="12"/>
      <c r="H409" s="35"/>
      <c r="J409" s="6"/>
      <c r="K409" s="35"/>
    </row>
    <row r="410" spans="1:11" x14ac:dyDescent="0.35">
      <c r="A410" s="31"/>
      <c r="B410" s="38"/>
      <c r="C410" s="32"/>
      <c r="E410" s="33"/>
      <c r="F410" s="33"/>
      <c r="G410" s="12"/>
      <c r="H410" s="35"/>
      <c r="J410" s="6"/>
      <c r="K410" s="35"/>
    </row>
    <row r="411" spans="1:11" x14ac:dyDescent="0.35">
      <c r="A411" s="31"/>
      <c r="B411" s="38"/>
      <c r="C411" s="32"/>
      <c r="E411" s="33"/>
      <c r="F411" s="33"/>
      <c r="G411" s="12"/>
      <c r="H411" s="35"/>
      <c r="J411" s="6"/>
      <c r="K411" s="35"/>
    </row>
    <row r="412" spans="1:11" x14ac:dyDescent="0.35">
      <c r="A412" s="31"/>
      <c r="B412" s="38"/>
      <c r="C412" s="32"/>
      <c r="E412" s="33"/>
      <c r="F412" s="33"/>
      <c r="G412" s="12"/>
      <c r="H412" s="35"/>
      <c r="J412" s="6"/>
      <c r="K412" s="35"/>
    </row>
    <row r="413" spans="1:11" x14ac:dyDescent="0.35">
      <c r="A413" s="31"/>
      <c r="B413" s="38"/>
      <c r="C413" s="32"/>
      <c r="E413" s="33"/>
      <c r="F413" s="33"/>
      <c r="G413" s="12"/>
      <c r="H413" s="35"/>
      <c r="J413" s="6"/>
      <c r="K413" s="35"/>
    </row>
    <row r="414" spans="1:11" x14ac:dyDescent="0.35">
      <c r="A414" s="31"/>
      <c r="B414" s="38"/>
      <c r="C414" s="32"/>
      <c r="E414" s="33"/>
      <c r="F414" s="33"/>
      <c r="G414" s="12"/>
      <c r="H414" s="35"/>
      <c r="J414" s="6"/>
      <c r="K414" s="35"/>
    </row>
    <row r="415" spans="1:11" x14ac:dyDescent="0.35">
      <c r="A415" s="31"/>
      <c r="B415" s="38"/>
      <c r="C415" s="32"/>
      <c r="E415" s="33"/>
      <c r="F415" s="33"/>
      <c r="G415" s="12"/>
      <c r="H415" s="35"/>
      <c r="J415" s="6"/>
      <c r="K415" s="35"/>
    </row>
    <row r="416" spans="1:11" x14ac:dyDescent="0.35">
      <c r="A416" s="31"/>
      <c r="B416" s="38"/>
      <c r="C416" s="32"/>
      <c r="E416" s="33"/>
      <c r="F416" s="33"/>
      <c r="G416" s="12"/>
      <c r="H416" s="35"/>
      <c r="J416" s="6"/>
      <c r="K416" s="35"/>
    </row>
    <row r="417" spans="1:11" x14ac:dyDescent="0.35">
      <c r="A417" s="31"/>
      <c r="B417" s="38"/>
      <c r="C417" s="32"/>
      <c r="E417" s="33"/>
      <c r="F417" s="33"/>
      <c r="G417" s="12"/>
      <c r="H417" s="35"/>
      <c r="J417" s="6"/>
      <c r="K417" s="35"/>
    </row>
    <row r="418" spans="1:11" x14ac:dyDescent="0.35">
      <c r="A418" s="31"/>
      <c r="B418" s="38"/>
      <c r="C418" s="32"/>
      <c r="E418" s="33"/>
      <c r="F418" s="33"/>
      <c r="G418" s="12"/>
      <c r="H418" s="35"/>
      <c r="J418" s="6"/>
      <c r="K418" s="35"/>
    </row>
    <row r="419" spans="1:11" x14ac:dyDescent="0.35">
      <c r="A419" s="31"/>
      <c r="B419" s="38"/>
      <c r="C419" s="32"/>
      <c r="E419" s="33"/>
      <c r="F419" s="33"/>
      <c r="G419" s="12"/>
      <c r="H419" s="35"/>
      <c r="J419" s="6"/>
      <c r="K419" s="35"/>
    </row>
    <row r="420" spans="1:11" x14ac:dyDescent="0.35">
      <c r="A420" s="31"/>
      <c r="B420" s="38"/>
      <c r="C420" s="32"/>
      <c r="E420" s="33"/>
      <c r="F420" s="33"/>
      <c r="G420" s="12"/>
      <c r="H420" s="35"/>
      <c r="J420" s="6"/>
      <c r="K420" s="35"/>
    </row>
    <row r="421" spans="1:11" x14ac:dyDescent="0.35">
      <c r="A421" s="31"/>
      <c r="B421" s="38"/>
      <c r="C421" s="32"/>
      <c r="E421" s="33"/>
      <c r="F421" s="33"/>
      <c r="G421" s="12"/>
      <c r="H421" s="35"/>
      <c r="J421" s="6"/>
      <c r="K421" s="35"/>
    </row>
    <row r="422" spans="1:11" x14ac:dyDescent="0.35">
      <c r="A422" s="31"/>
      <c r="B422" s="38"/>
      <c r="C422" s="32"/>
      <c r="E422" s="33"/>
      <c r="F422" s="33"/>
      <c r="G422" s="12"/>
      <c r="H422" s="35"/>
      <c r="J422" s="6"/>
      <c r="K422" s="35"/>
    </row>
    <row r="423" spans="1:11" x14ac:dyDescent="0.35">
      <c r="A423" s="31"/>
      <c r="B423" s="38"/>
      <c r="C423" s="32"/>
      <c r="E423" s="33"/>
      <c r="F423" s="33"/>
      <c r="G423" s="12"/>
      <c r="H423" s="35"/>
      <c r="J423" s="6"/>
      <c r="K423" s="35"/>
    </row>
    <row r="424" spans="1:11" x14ac:dyDescent="0.35">
      <c r="A424" s="31"/>
      <c r="B424" s="38"/>
      <c r="C424" s="32"/>
      <c r="E424" s="33"/>
      <c r="F424" s="33"/>
      <c r="G424" s="12"/>
      <c r="H424" s="35"/>
      <c r="J424" s="6"/>
      <c r="K424" s="35"/>
    </row>
    <row r="425" spans="1:11" x14ac:dyDescent="0.35">
      <c r="A425" s="31"/>
      <c r="B425" s="38"/>
      <c r="C425" s="32"/>
      <c r="E425" s="33"/>
      <c r="F425" s="33"/>
      <c r="G425" s="12"/>
      <c r="H425" s="35"/>
      <c r="J425" s="6"/>
      <c r="K425" s="35"/>
    </row>
    <row r="426" spans="1:11" x14ac:dyDescent="0.35">
      <c r="A426" s="31"/>
      <c r="B426" s="38"/>
      <c r="C426" s="32"/>
      <c r="E426" s="33"/>
      <c r="F426" s="33"/>
      <c r="G426" s="12"/>
      <c r="H426" s="35"/>
      <c r="J426" s="6"/>
      <c r="K426" s="35"/>
    </row>
    <row r="427" spans="1:11" x14ac:dyDescent="0.35">
      <c r="A427" s="31"/>
      <c r="B427" s="38"/>
      <c r="C427" s="32"/>
      <c r="E427" s="33"/>
      <c r="F427" s="33"/>
      <c r="G427" s="12"/>
      <c r="H427" s="35"/>
      <c r="J427" s="6"/>
      <c r="K427" s="35"/>
    </row>
    <row r="428" spans="1:11" x14ac:dyDescent="0.35">
      <c r="A428" s="31"/>
      <c r="B428" s="38"/>
      <c r="C428" s="32"/>
      <c r="E428" s="33"/>
      <c r="F428" s="33"/>
      <c r="G428" s="12"/>
      <c r="H428" s="35"/>
      <c r="J428" s="6"/>
      <c r="K428" s="35"/>
    </row>
    <row r="429" spans="1:11" x14ac:dyDescent="0.35">
      <c r="A429" s="31"/>
      <c r="B429" s="38"/>
      <c r="C429" s="32"/>
      <c r="E429" s="33"/>
      <c r="F429" s="33"/>
      <c r="G429" s="12"/>
      <c r="H429" s="35"/>
      <c r="J429" s="6"/>
      <c r="K429" s="35"/>
    </row>
    <row r="430" spans="1:11" x14ac:dyDescent="0.35">
      <c r="A430" s="31"/>
      <c r="B430" s="38"/>
      <c r="C430" s="32"/>
      <c r="E430" s="33"/>
      <c r="F430" s="33"/>
      <c r="G430" s="12"/>
      <c r="H430" s="35"/>
      <c r="J430" s="6"/>
      <c r="K430" s="35"/>
    </row>
    <row r="431" spans="1:11" x14ac:dyDescent="0.35">
      <c r="A431" s="31"/>
      <c r="B431" s="38"/>
      <c r="C431" s="32"/>
      <c r="E431" s="33"/>
      <c r="F431" s="33"/>
      <c r="G431" s="12"/>
      <c r="H431" s="35"/>
      <c r="J431" s="6"/>
      <c r="K431" s="35"/>
    </row>
    <row r="432" spans="1:11" x14ac:dyDescent="0.35">
      <c r="A432" s="31"/>
      <c r="B432" s="38"/>
      <c r="C432" s="32"/>
      <c r="E432" s="33"/>
      <c r="F432" s="33"/>
      <c r="G432" s="12"/>
      <c r="H432" s="35"/>
      <c r="J432" s="6"/>
      <c r="K432" s="35"/>
    </row>
    <row r="433" spans="1:11" x14ac:dyDescent="0.35">
      <c r="A433" s="31"/>
      <c r="B433" s="38"/>
      <c r="C433" s="32"/>
      <c r="E433" s="33"/>
      <c r="F433" s="33"/>
      <c r="G433" s="12"/>
      <c r="H433" s="35"/>
      <c r="J433" s="6"/>
      <c r="K433" s="35"/>
    </row>
    <row r="434" spans="1:11" x14ac:dyDescent="0.35">
      <c r="A434" s="31"/>
      <c r="B434" s="38"/>
      <c r="C434" s="32"/>
      <c r="E434" s="33"/>
      <c r="F434" s="33"/>
      <c r="G434" s="12"/>
      <c r="H434" s="35"/>
      <c r="J434" s="6"/>
      <c r="K434" s="35"/>
    </row>
    <row r="435" spans="1:11" x14ac:dyDescent="0.35">
      <c r="A435" s="31"/>
      <c r="B435" s="38"/>
      <c r="C435" s="32"/>
      <c r="E435" s="33"/>
      <c r="F435" s="33"/>
      <c r="G435" s="12"/>
      <c r="H435" s="35"/>
      <c r="J435" s="6"/>
      <c r="K435" s="35"/>
    </row>
    <row r="436" spans="1:11" x14ac:dyDescent="0.35">
      <c r="A436" s="31"/>
      <c r="B436" s="38"/>
      <c r="C436" s="32"/>
      <c r="E436" s="33"/>
      <c r="F436" s="33"/>
      <c r="G436" s="12"/>
      <c r="H436" s="35"/>
      <c r="J436" s="6"/>
      <c r="K436" s="35"/>
    </row>
    <row r="437" spans="1:11" x14ac:dyDescent="0.35">
      <c r="A437" s="31"/>
      <c r="B437" s="38"/>
      <c r="C437" s="32"/>
      <c r="E437" s="33"/>
      <c r="F437" s="33"/>
      <c r="G437" s="12"/>
      <c r="H437" s="35"/>
      <c r="J437" s="6"/>
      <c r="K437" s="35"/>
    </row>
    <row r="438" spans="1:11" x14ac:dyDescent="0.35">
      <c r="A438" s="31"/>
      <c r="B438" s="38"/>
      <c r="C438" s="32"/>
      <c r="E438" s="33"/>
      <c r="F438" s="33"/>
      <c r="G438" s="12"/>
      <c r="H438" s="35"/>
      <c r="J438" s="6"/>
      <c r="K438" s="35"/>
    </row>
    <row r="439" spans="1:11" x14ac:dyDescent="0.35">
      <c r="A439" s="31"/>
      <c r="B439" s="38"/>
      <c r="C439" s="32"/>
      <c r="E439" s="33"/>
      <c r="F439" s="33"/>
      <c r="G439" s="12"/>
      <c r="H439" s="35"/>
      <c r="J439" s="6"/>
      <c r="K439" s="35"/>
    </row>
    <row r="440" spans="1:11" x14ac:dyDescent="0.35">
      <c r="A440" s="31"/>
      <c r="B440" s="38"/>
      <c r="C440" s="32"/>
      <c r="E440" s="33"/>
      <c r="F440" s="33"/>
      <c r="G440" s="12"/>
      <c r="H440" s="35"/>
      <c r="J440" s="6"/>
      <c r="K440" s="35"/>
    </row>
    <row r="441" spans="1:11" x14ac:dyDescent="0.35">
      <c r="A441" s="31"/>
      <c r="B441" s="38"/>
      <c r="C441" s="32"/>
      <c r="E441" s="33"/>
      <c r="F441" s="33"/>
      <c r="G441" s="12"/>
      <c r="H441" s="35"/>
      <c r="J441" s="6"/>
      <c r="K441" s="35"/>
    </row>
    <row r="442" spans="1:11" x14ac:dyDescent="0.35">
      <c r="A442" s="31"/>
      <c r="B442" s="38"/>
      <c r="C442" s="32"/>
      <c r="E442" s="33"/>
      <c r="F442" s="33"/>
      <c r="G442" s="12"/>
      <c r="H442" s="35"/>
      <c r="J442" s="6"/>
      <c r="K442" s="35"/>
    </row>
    <row r="443" spans="1:11" x14ac:dyDescent="0.35">
      <c r="A443" s="31"/>
      <c r="B443" s="38"/>
      <c r="C443" s="32"/>
      <c r="E443" s="33"/>
      <c r="F443" s="33"/>
      <c r="G443" s="12"/>
      <c r="H443" s="35"/>
      <c r="J443" s="6"/>
      <c r="K443" s="35"/>
    </row>
    <row r="444" spans="1:11" x14ac:dyDescent="0.35">
      <c r="A444" s="31"/>
      <c r="B444" s="38"/>
      <c r="C444" s="32"/>
      <c r="E444" s="33"/>
      <c r="F444" s="33"/>
      <c r="G444" s="12"/>
      <c r="H444" s="35"/>
      <c r="J444" s="6"/>
      <c r="K444" s="35"/>
    </row>
    <row r="445" spans="1:11" x14ac:dyDescent="0.35">
      <c r="A445" s="31"/>
      <c r="B445" s="38"/>
      <c r="C445" s="32"/>
      <c r="E445" s="33"/>
      <c r="F445" s="33"/>
      <c r="G445" s="12"/>
      <c r="H445" s="35"/>
      <c r="J445" s="6"/>
      <c r="K445" s="35"/>
    </row>
    <row r="446" spans="1:11" x14ac:dyDescent="0.35">
      <c r="A446" s="31"/>
      <c r="B446" s="38"/>
      <c r="C446" s="32"/>
      <c r="E446" s="33"/>
      <c r="F446" s="33"/>
      <c r="G446" s="12"/>
      <c r="H446" s="35"/>
      <c r="J446" s="6"/>
      <c r="K446" s="35"/>
    </row>
    <row r="447" spans="1:11" x14ac:dyDescent="0.35">
      <c r="A447" s="31"/>
      <c r="B447" s="38"/>
      <c r="C447" s="32"/>
      <c r="E447" s="33"/>
      <c r="F447" s="33"/>
      <c r="G447" s="12"/>
      <c r="H447" s="35"/>
      <c r="J447" s="6"/>
      <c r="K447" s="35"/>
    </row>
    <row r="448" spans="1:11" x14ac:dyDescent="0.35">
      <c r="A448" s="31"/>
      <c r="B448" s="38"/>
      <c r="C448" s="32"/>
      <c r="E448" s="33"/>
      <c r="F448" s="33"/>
      <c r="G448" s="12"/>
      <c r="H448" s="35"/>
      <c r="J448" s="6"/>
      <c r="K448" s="35"/>
    </row>
    <row r="449" spans="1:11" x14ac:dyDescent="0.35">
      <c r="A449" s="31"/>
      <c r="B449" s="38"/>
      <c r="C449" s="32"/>
      <c r="E449" s="33"/>
      <c r="F449" s="33"/>
      <c r="G449" s="12"/>
      <c r="H449" s="35"/>
      <c r="J449" s="6"/>
      <c r="K449" s="35"/>
    </row>
    <row r="450" spans="1:11" x14ac:dyDescent="0.35">
      <c r="A450" s="31"/>
      <c r="B450" s="38"/>
      <c r="C450" s="32"/>
      <c r="E450" s="33"/>
      <c r="F450" s="33"/>
      <c r="G450" s="12"/>
      <c r="H450" s="35"/>
      <c r="J450" s="6"/>
      <c r="K450" s="35"/>
    </row>
    <row r="451" spans="1:11" x14ac:dyDescent="0.35">
      <c r="A451" s="31"/>
      <c r="B451" s="38"/>
      <c r="C451" s="32"/>
      <c r="E451" s="33"/>
      <c r="F451" s="33"/>
      <c r="G451" s="12"/>
      <c r="H451" s="35"/>
      <c r="J451" s="6"/>
      <c r="K451" s="39"/>
    </row>
    <row r="452" spans="1:11" x14ac:dyDescent="0.35">
      <c r="A452" s="31"/>
      <c r="B452" s="38"/>
      <c r="C452" s="32"/>
      <c r="E452" s="33"/>
      <c r="F452" s="33"/>
      <c r="G452" s="12"/>
      <c r="H452" s="35"/>
      <c r="J452" s="6"/>
      <c r="K452" s="39"/>
    </row>
    <row r="453" spans="1:11" x14ac:dyDescent="0.35">
      <c r="A453" s="31"/>
      <c r="B453" s="38"/>
      <c r="C453" s="32"/>
      <c r="E453" s="33"/>
      <c r="F453" s="33"/>
      <c r="G453" s="12"/>
      <c r="H453" s="35"/>
      <c r="J453" s="6"/>
      <c r="K453" s="35"/>
    </row>
    <row r="454" spans="1:11" x14ac:dyDescent="0.35">
      <c r="A454" s="31"/>
      <c r="B454" s="38"/>
      <c r="C454" s="32"/>
      <c r="E454" s="33"/>
      <c r="F454" s="33"/>
      <c r="G454" s="12"/>
      <c r="H454" s="35"/>
      <c r="J454" s="6"/>
      <c r="K454" s="35"/>
    </row>
    <row r="455" spans="1:11" x14ac:dyDescent="0.35">
      <c r="A455" s="31"/>
      <c r="B455" s="38"/>
      <c r="C455" s="32"/>
      <c r="E455" s="33"/>
      <c r="F455" s="33"/>
      <c r="G455" s="12"/>
      <c r="H455" s="35"/>
      <c r="J455" s="6"/>
      <c r="K455" s="35"/>
    </row>
    <row r="456" spans="1:11" x14ac:dyDescent="0.35">
      <c r="A456" s="31"/>
      <c r="B456" s="38"/>
      <c r="C456" s="32"/>
      <c r="E456" s="33"/>
      <c r="F456" s="33"/>
      <c r="G456" s="12"/>
      <c r="H456" s="35"/>
      <c r="J456" s="6"/>
      <c r="K456" s="35"/>
    </row>
    <row r="457" spans="1:11" x14ac:dyDescent="0.35">
      <c r="A457" s="31"/>
      <c r="B457" s="38"/>
      <c r="C457" s="32"/>
      <c r="E457" s="33"/>
      <c r="F457" s="33"/>
      <c r="G457" s="12"/>
      <c r="H457" s="35"/>
      <c r="J457" s="6"/>
      <c r="K457" s="35"/>
    </row>
    <row r="458" spans="1:11" x14ac:dyDescent="0.35">
      <c r="A458" s="31"/>
      <c r="B458" s="38"/>
      <c r="C458" s="32"/>
      <c r="E458" s="33"/>
      <c r="F458" s="33"/>
      <c r="G458" s="12"/>
      <c r="H458" s="35"/>
      <c r="J458" s="6"/>
      <c r="K458" s="35"/>
    </row>
    <row r="459" spans="1:11" x14ac:dyDescent="0.35">
      <c r="A459" s="31"/>
      <c r="B459" s="38"/>
      <c r="C459" s="32"/>
      <c r="E459" s="33"/>
      <c r="F459" s="33"/>
      <c r="G459" s="12"/>
      <c r="H459" s="35"/>
      <c r="J459" s="6"/>
      <c r="K459" s="35"/>
    </row>
    <row r="460" spans="1:11" x14ac:dyDescent="0.35">
      <c r="A460" s="31"/>
      <c r="B460" s="38"/>
      <c r="C460" s="32"/>
      <c r="E460" s="33"/>
      <c r="F460" s="33"/>
      <c r="G460" s="12"/>
      <c r="H460" s="35"/>
      <c r="J460" s="6"/>
      <c r="K460" s="35"/>
    </row>
    <row r="461" spans="1:11" x14ac:dyDescent="0.35">
      <c r="A461" s="31"/>
      <c r="B461" s="38"/>
      <c r="C461" s="32"/>
      <c r="E461" s="33"/>
      <c r="F461" s="33"/>
      <c r="G461" s="12"/>
      <c r="H461" s="35"/>
      <c r="J461" s="6"/>
      <c r="K461" s="35"/>
    </row>
    <row r="462" spans="1:11" x14ac:dyDescent="0.35">
      <c r="A462" s="31"/>
      <c r="B462" s="38"/>
      <c r="C462" s="32"/>
      <c r="E462" s="33"/>
      <c r="F462" s="33"/>
      <c r="G462" s="12"/>
      <c r="H462" s="35"/>
      <c r="J462" s="6"/>
      <c r="K462" s="35"/>
    </row>
    <row r="463" spans="1:11" x14ac:dyDescent="0.35">
      <c r="A463" s="31"/>
      <c r="B463" s="38"/>
      <c r="C463" s="32"/>
      <c r="E463" s="33"/>
      <c r="F463" s="33"/>
      <c r="G463" s="12"/>
      <c r="H463" s="35"/>
      <c r="J463" s="6"/>
      <c r="K463" s="35"/>
    </row>
    <row r="464" spans="1:11" x14ac:dyDescent="0.35">
      <c r="A464" s="31"/>
      <c r="B464" s="38"/>
      <c r="C464" s="32"/>
      <c r="E464" s="33"/>
      <c r="F464" s="33"/>
      <c r="G464" s="12"/>
      <c r="H464" s="35"/>
      <c r="J464" s="6"/>
      <c r="K464" s="35"/>
    </row>
    <row r="465" spans="1:11" x14ac:dyDescent="0.35">
      <c r="A465" s="31"/>
      <c r="B465" s="38"/>
      <c r="C465" s="32"/>
      <c r="E465" s="33"/>
      <c r="F465" s="33"/>
      <c r="G465" s="12"/>
      <c r="H465" s="35"/>
      <c r="J465" s="6"/>
      <c r="K465" s="35"/>
    </row>
    <row r="466" spans="1:11" x14ac:dyDescent="0.35">
      <c r="A466" s="31"/>
      <c r="B466" s="38"/>
      <c r="C466" s="32"/>
      <c r="E466" s="33"/>
      <c r="F466" s="33"/>
      <c r="G466" s="12"/>
      <c r="H466" s="35"/>
      <c r="J466" s="6"/>
      <c r="K466" s="35"/>
    </row>
    <row r="467" spans="1:11" x14ac:dyDescent="0.35">
      <c r="A467" s="31"/>
      <c r="B467" s="38"/>
      <c r="C467" s="32"/>
      <c r="E467" s="33"/>
      <c r="F467" s="33"/>
      <c r="G467" s="12"/>
      <c r="H467" s="35"/>
      <c r="J467" s="6"/>
      <c r="K467" s="35"/>
    </row>
    <row r="468" spans="1:11" x14ac:dyDescent="0.35">
      <c r="A468" s="31"/>
      <c r="B468" s="38"/>
      <c r="C468" s="32"/>
      <c r="E468" s="33"/>
      <c r="F468" s="33"/>
      <c r="G468" s="12"/>
      <c r="H468" s="35"/>
      <c r="J468" s="6"/>
      <c r="K468" s="35"/>
    </row>
    <row r="469" spans="1:11" x14ac:dyDescent="0.35">
      <c r="A469" s="31"/>
      <c r="B469" s="38"/>
      <c r="C469" s="32"/>
      <c r="E469" s="33"/>
      <c r="F469" s="33"/>
      <c r="G469" s="12"/>
      <c r="H469" s="35"/>
      <c r="J469" s="6"/>
      <c r="K469" s="35"/>
    </row>
    <row r="470" spans="1:11" x14ac:dyDescent="0.35">
      <c r="A470" s="31"/>
      <c r="B470" s="38"/>
      <c r="C470" s="32"/>
      <c r="E470" s="33"/>
      <c r="F470" s="33"/>
      <c r="G470" s="12"/>
      <c r="H470" s="35"/>
      <c r="J470" s="6"/>
      <c r="K470" s="47"/>
    </row>
    <row r="471" spans="1:11" x14ac:dyDescent="0.35">
      <c r="A471" s="31"/>
      <c r="B471" s="38"/>
      <c r="C471" s="32"/>
      <c r="E471" s="48"/>
      <c r="F471" s="48"/>
      <c r="G471" s="12"/>
      <c r="H471" s="49"/>
      <c r="J471" s="6"/>
      <c r="K471" s="49"/>
    </row>
    <row r="472" spans="1:11" x14ac:dyDescent="0.35">
      <c r="A472" s="31"/>
      <c r="B472" s="38"/>
      <c r="C472" s="32"/>
      <c r="E472" s="48"/>
      <c r="F472" s="48"/>
      <c r="G472" s="12"/>
      <c r="H472" s="49"/>
      <c r="J472" s="6"/>
      <c r="K472" s="49"/>
    </row>
    <row r="473" spans="1:11" x14ac:dyDescent="0.35">
      <c r="A473" s="31"/>
      <c r="B473" s="38"/>
      <c r="C473" s="32"/>
      <c r="E473" s="48"/>
      <c r="F473" s="48"/>
      <c r="G473" s="12"/>
      <c r="H473" s="49"/>
      <c r="J473" s="6"/>
      <c r="K473" s="49"/>
    </row>
    <row r="474" spans="1:11" x14ac:dyDescent="0.35">
      <c r="A474" s="31"/>
      <c r="B474" s="38"/>
      <c r="C474" s="32"/>
      <c r="E474" s="33"/>
      <c r="F474" s="33"/>
      <c r="G474" s="12"/>
      <c r="H474" s="35"/>
      <c r="J474" s="6"/>
      <c r="K474" s="39"/>
    </row>
    <row r="475" spans="1:11" x14ac:dyDescent="0.35">
      <c r="A475" s="31"/>
      <c r="B475" s="38"/>
      <c r="C475" s="32"/>
      <c r="E475" s="33"/>
      <c r="F475" s="33"/>
      <c r="G475" s="12"/>
      <c r="H475" s="35"/>
      <c r="J475" s="6"/>
      <c r="K475" s="47"/>
    </row>
    <row r="476" spans="1:11" x14ac:dyDescent="0.35">
      <c r="A476" s="31"/>
      <c r="B476" s="38"/>
      <c r="C476" s="32"/>
      <c r="E476" s="33"/>
      <c r="F476" s="33"/>
      <c r="G476" s="12"/>
      <c r="H476" s="35"/>
      <c r="J476" s="6"/>
      <c r="K476" s="35"/>
    </row>
    <row r="477" spans="1:11" x14ac:dyDescent="0.35">
      <c r="A477" s="31"/>
      <c r="B477" s="38"/>
      <c r="C477" s="32"/>
      <c r="E477" s="33"/>
      <c r="F477" s="33"/>
      <c r="G477" s="12"/>
      <c r="H477" s="35"/>
      <c r="J477" s="6"/>
      <c r="K477" s="35"/>
    </row>
    <row r="478" spans="1:11" x14ac:dyDescent="0.35">
      <c r="A478" s="31"/>
      <c r="B478" s="38"/>
      <c r="C478" s="32"/>
      <c r="E478" s="33"/>
      <c r="F478" s="33"/>
      <c r="G478" s="12"/>
      <c r="H478" s="35"/>
      <c r="J478" s="6"/>
      <c r="K478" s="35"/>
    </row>
    <row r="479" spans="1:11" x14ac:dyDescent="0.35">
      <c r="A479" s="31"/>
      <c r="B479" s="38"/>
      <c r="C479" s="32"/>
      <c r="E479" s="33"/>
      <c r="F479" s="33"/>
      <c r="G479" s="12"/>
      <c r="H479" s="35"/>
      <c r="J479" s="6"/>
      <c r="K479" s="35"/>
    </row>
    <row r="480" spans="1:11" x14ac:dyDescent="0.35">
      <c r="A480" s="31"/>
      <c r="B480" s="38"/>
      <c r="C480" s="32"/>
      <c r="E480" s="33"/>
      <c r="F480" s="33"/>
      <c r="G480" s="12"/>
      <c r="H480" s="35"/>
      <c r="J480" s="6"/>
      <c r="K480" s="35"/>
    </row>
    <row r="481" spans="1:11" x14ac:dyDescent="0.35">
      <c r="A481" s="31"/>
      <c r="B481" s="38"/>
      <c r="C481" s="32"/>
      <c r="E481" s="33"/>
      <c r="F481" s="33"/>
      <c r="G481" s="12"/>
      <c r="H481" s="35"/>
      <c r="J481" s="6"/>
      <c r="K481" s="35"/>
    </row>
    <row r="482" spans="1:11" x14ac:dyDescent="0.35">
      <c r="A482" s="31"/>
      <c r="B482" s="38"/>
      <c r="C482" s="32"/>
      <c r="E482" s="33"/>
      <c r="F482" s="33"/>
      <c r="G482" s="12"/>
      <c r="H482" s="35"/>
      <c r="J482" s="6"/>
      <c r="K482" s="35"/>
    </row>
    <row r="483" spans="1:11" x14ac:dyDescent="0.35">
      <c r="A483" s="31"/>
      <c r="B483" s="38"/>
      <c r="C483" s="32"/>
      <c r="E483" s="33"/>
      <c r="F483" s="33"/>
      <c r="G483" s="12"/>
      <c r="H483" s="35"/>
      <c r="J483" s="6"/>
      <c r="K483" s="35"/>
    </row>
    <row r="484" spans="1:11" x14ac:dyDescent="0.35">
      <c r="A484" s="31"/>
      <c r="B484" s="38"/>
      <c r="C484" s="32"/>
      <c r="E484" s="33"/>
      <c r="F484" s="33"/>
      <c r="G484" s="12"/>
      <c r="H484" s="35"/>
      <c r="J484" s="6"/>
      <c r="K484" s="35"/>
    </row>
    <row r="485" spans="1:11" x14ac:dyDescent="0.35">
      <c r="A485" s="31"/>
      <c r="B485" s="38"/>
      <c r="C485" s="32"/>
      <c r="E485" s="33"/>
      <c r="F485" s="33"/>
      <c r="G485" s="12"/>
      <c r="H485" s="35"/>
      <c r="J485" s="6"/>
      <c r="K485" s="35"/>
    </row>
    <row r="486" spans="1:11" x14ac:dyDescent="0.35">
      <c r="A486" s="31"/>
      <c r="B486" s="38"/>
      <c r="C486" s="32"/>
      <c r="E486" s="33"/>
      <c r="F486" s="33"/>
      <c r="G486" s="12"/>
      <c r="H486" s="35"/>
      <c r="J486" s="6"/>
      <c r="K486" s="35"/>
    </row>
    <row r="487" spans="1:11" x14ac:dyDescent="0.35">
      <c r="A487" s="31"/>
      <c r="B487" s="38"/>
      <c r="C487" s="32"/>
      <c r="E487" s="33"/>
      <c r="F487" s="33"/>
      <c r="G487" s="12"/>
      <c r="H487" s="35"/>
      <c r="J487" s="6"/>
      <c r="K487" s="35"/>
    </row>
    <row r="488" spans="1:11" x14ac:dyDescent="0.35">
      <c r="A488" s="31"/>
      <c r="B488" s="38"/>
      <c r="C488" s="32"/>
      <c r="E488" s="33"/>
      <c r="F488" s="33"/>
      <c r="G488" s="12"/>
      <c r="H488" s="35"/>
      <c r="J488" s="6"/>
      <c r="K488" s="35"/>
    </row>
    <row r="489" spans="1:11" x14ac:dyDescent="0.35">
      <c r="A489" s="31"/>
      <c r="B489" s="38"/>
      <c r="C489" s="32"/>
      <c r="E489" s="33"/>
      <c r="F489" s="33"/>
      <c r="G489" s="12"/>
      <c r="H489" s="35"/>
      <c r="J489" s="6"/>
      <c r="K489" s="35"/>
    </row>
    <row r="490" spans="1:11" x14ac:dyDescent="0.35">
      <c r="A490" s="31"/>
      <c r="B490" s="38"/>
      <c r="C490" s="32"/>
      <c r="E490" s="33"/>
      <c r="F490" s="33"/>
      <c r="G490" s="12"/>
      <c r="H490" s="35"/>
      <c r="J490" s="6"/>
      <c r="K490" s="35"/>
    </row>
    <row r="491" spans="1:11" x14ac:dyDescent="0.35">
      <c r="A491" s="31"/>
      <c r="B491" s="38"/>
      <c r="C491" s="32"/>
      <c r="E491" s="33"/>
      <c r="F491" s="33"/>
      <c r="G491" s="12"/>
      <c r="H491" s="35"/>
      <c r="J491" s="6"/>
      <c r="K491" s="35"/>
    </row>
    <row r="492" spans="1:11" x14ac:dyDescent="0.35">
      <c r="A492" s="31"/>
      <c r="B492" s="38"/>
      <c r="C492" s="32"/>
      <c r="E492" s="40"/>
      <c r="F492" s="40"/>
      <c r="G492" s="12"/>
      <c r="H492" s="41"/>
      <c r="J492" s="6"/>
      <c r="K492" s="32"/>
    </row>
    <row r="493" spans="1:11" x14ac:dyDescent="0.35">
      <c r="A493" s="31"/>
      <c r="B493" s="38"/>
      <c r="C493" s="32"/>
      <c r="E493" s="40"/>
      <c r="F493" s="40"/>
      <c r="G493" s="12"/>
      <c r="H493" s="41"/>
      <c r="J493" s="6"/>
      <c r="K493" s="32"/>
    </row>
    <row r="494" spans="1:11" x14ac:dyDescent="0.35">
      <c r="A494" s="31"/>
      <c r="B494" s="38"/>
      <c r="C494" s="32"/>
      <c r="E494" s="40"/>
      <c r="F494" s="40"/>
      <c r="G494" s="12"/>
      <c r="H494" s="41"/>
      <c r="J494" s="6"/>
      <c r="K494" s="32"/>
    </row>
    <row r="495" spans="1:11" x14ac:dyDescent="0.35">
      <c r="A495" s="31"/>
      <c r="B495" s="38"/>
      <c r="C495" s="32"/>
      <c r="E495" s="40"/>
      <c r="F495" s="40"/>
      <c r="G495" s="12"/>
      <c r="H495" s="41"/>
      <c r="J495" s="6"/>
      <c r="K495" s="32"/>
    </row>
    <row r="496" spans="1:11" x14ac:dyDescent="0.35">
      <c r="A496" s="31"/>
      <c r="B496" s="38"/>
      <c r="C496" s="32"/>
      <c r="E496" s="40"/>
      <c r="F496" s="40"/>
      <c r="G496" s="12"/>
      <c r="H496" s="41"/>
      <c r="J496" s="6"/>
      <c r="K496" s="32"/>
    </row>
    <row r="497" spans="1:11" x14ac:dyDescent="0.35">
      <c r="A497" s="31"/>
      <c r="B497" s="38"/>
      <c r="C497" s="32"/>
      <c r="E497" s="40"/>
      <c r="F497" s="40"/>
      <c r="G497" s="12"/>
      <c r="H497" s="41"/>
      <c r="J497" s="6"/>
      <c r="K497" s="32"/>
    </row>
    <row r="498" spans="1:11" x14ac:dyDescent="0.35">
      <c r="A498" s="31"/>
      <c r="B498" s="38"/>
      <c r="C498" s="32"/>
      <c r="E498" s="40"/>
      <c r="F498" s="40"/>
      <c r="G498" s="12"/>
      <c r="H498" s="41"/>
      <c r="J498" s="6"/>
      <c r="K498" s="32"/>
    </row>
    <row r="499" spans="1:11" x14ac:dyDescent="0.35">
      <c r="A499" s="31"/>
      <c r="B499" s="38"/>
      <c r="C499" s="32"/>
      <c r="E499" s="40"/>
      <c r="F499" s="40"/>
      <c r="G499" s="12"/>
      <c r="H499" s="41"/>
      <c r="J499" s="6"/>
      <c r="K499" s="32"/>
    </row>
    <row r="500" spans="1:11" x14ac:dyDescent="0.35">
      <c r="A500" s="31"/>
      <c r="B500" s="38"/>
      <c r="C500" s="32"/>
      <c r="E500" s="40"/>
      <c r="F500" s="40"/>
      <c r="G500" s="12"/>
      <c r="H500" s="41"/>
      <c r="J500" s="6"/>
      <c r="K500" s="32"/>
    </row>
    <row r="501" spans="1:11" x14ac:dyDescent="0.35">
      <c r="A501" s="31"/>
      <c r="B501" s="38"/>
      <c r="C501" s="32"/>
      <c r="E501" s="40"/>
      <c r="F501" s="40"/>
      <c r="G501" s="12"/>
      <c r="H501" s="41"/>
      <c r="J501" s="6"/>
      <c r="K501" s="32"/>
    </row>
    <row r="502" spans="1:11" x14ac:dyDescent="0.35">
      <c r="A502" s="31"/>
      <c r="B502" s="38"/>
      <c r="C502" s="32"/>
      <c r="E502" s="33"/>
      <c r="F502" s="33"/>
      <c r="G502" s="12"/>
      <c r="H502" s="32"/>
      <c r="J502" s="6"/>
      <c r="K502" s="32"/>
    </row>
    <row r="503" spans="1:11" x14ac:dyDescent="0.35">
      <c r="A503" s="31"/>
      <c r="B503" s="38"/>
      <c r="C503" s="32"/>
      <c r="E503" s="33"/>
      <c r="F503" s="33"/>
      <c r="G503" s="12"/>
      <c r="H503" s="32"/>
      <c r="J503" s="6"/>
      <c r="K503" s="32"/>
    </row>
    <row r="504" spans="1:11" x14ac:dyDescent="0.35">
      <c r="A504" s="31"/>
      <c r="B504" s="38"/>
      <c r="C504" s="32"/>
      <c r="E504" s="33"/>
      <c r="F504" s="33"/>
      <c r="G504" s="12"/>
      <c r="H504" s="32"/>
      <c r="J504" s="6"/>
      <c r="K504" s="32"/>
    </row>
    <row r="505" spans="1:11" x14ac:dyDescent="0.35">
      <c r="A505" s="31"/>
      <c r="B505" s="38"/>
      <c r="C505" s="32"/>
      <c r="E505" s="33"/>
      <c r="F505" s="33"/>
      <c r="G505" s="12"/>
      <c r="H505" s="32"/>
      <c r="J505" s="6"/>
      <c r="K505" s="32"/>
    </row>
    <row r="506" spans="1:11" x14ac:dyDescent="0.35">
      <c r="A506" s="31"/>
      <c r="B506" s="38"/>
      <c r="C506" s="32"/>
      <c r="E506" s="33"/>
      <c r="F506" s="33"/>
      <c r="G506" s="12"/>
      <c r="H506" s="32"/>
      <c r="J506" s="6"/>
      <c r="K506" s="32"/>
    </row>
    <row r="507" spans="1:11" x14ac:dyDescent="0.35">
      <c r="A507" s="31"/>
      <c r="B507" s="38"/>
      <c r="C507" s="32"/>
      <c r="E507" s="33"/>
      <c r="F507" s="33"/>
      <c r="G507" s="12"/>
      <c r="H507" s="32"/>
      <c r="J507" s="6"/>
      <c r="K507" s="32"/>
    </row>
    <row r="508" spans="1:11" x14ac:dyDescent="0.35">
      <c r="A508" s="31"/>
      <c r="B508" s="38"/>
      <c r="C508" s="32"/>
      <c r="E508" s="33"/>
      <c r="F508" s="33"/>
      <c r="G508" s="12"/>
      <c r="H508" s="32"/>
      <c r="J508" s="6"/>
      <c r="K508" s="32"/>
    </row>
    <row r="509" spans="1:11" x14ac:dyDescent="0.35">
      <c r="A509" s="31"/>
      <c r="B509" s="38"/>
      <c r="C509" s="32"/>
      <c r="E509" s="33"/>
      <c r="F509" s="33"/>
      <c r="G509" s="12"/>
      <c r="H509" s="32"/>
      <c r="J509" s="6"/>
      <c r="K509" s="32"/>
    </row>
    <row r="510" spans="1:11" x14ac:dyDescent="0.35">
      <c r="A510" s="31"/>
      <c r="B510" s="38"/>
      <c r="C510" s="32"/>
      <c r="E510" s="33"/>
      <c r="F510" s="33"/>
      <c r="G510" s="12"/>
      <c r="H510" s="32"/>
      <c r="J510" s="6"/>
      <c r="K510" s="32"/>
    </row>
    <row r="511" spans="1:11" x14ac:dyDescent="0.35">
      <c r="A511" s="31"/>
      <c r="B511" s="38"/>
      <c r="C511" s="32"/>
      <c r="E511" s="33"/>
      <c r="F511" s="33"/>
      <c r="G511" s="12"/>
      <c r="H511" s="35"/>
      <c r="J511" s="6"/>
      <c r="K511" s="32"/>
    </row>
    <row r="512" spans="1:11" x14ac:dyDescent="0.35">
      <c r="B512" s="38"/>
      <c r="G512" s="12"/>
      <c r="J512" s="6"/>
    </row>
    <row r="513" spans="2:10" x14ac:dyDescent="0.35">
      <c r="B513" s="38"/>
      <c r="G513" s="12"/>
      <c r="J513" s="6"/>
    </row>
    <row r="514" spans="2:10" x14ac:dyDescent="0.35">
      <c r="B514" s="38"/>
      <c r="G514" s="12"/>
      <c r="J514" s="6"/>
    </row>
    <row r="515" spans="2:10" x14ac:dyDescent="0.35">
      <c r="B515" s="38"/>
      <c r="G515" s="12"/>
      <c r="J515" s="6"/>
    </row>
    <row r="516" spans="2:10" x14ac:dyDescent="0.35">
      <c r="B516" s="38"/>
      <c r="G516" s="12"/>
      <c r="J516" s="6"/>
    </row>
    <row r="517" spans="2:10" x14ac:dyDescent="0.35">
      <c r="B517" s="38"/>
      <c r="G517" s="12"/>
      <c r="J517" s="6"/>
    </row>
    <row r="518" spans="2:10" x14ac:dyDescent="0.35">
      <c r="B518" s="38"/>
      <c r="G518" s="12"/>
      <c r="J518" s="6"/>
    </row>
    <row r="519" spans="2:10" x14ac:dyDescent="0.35">
      <c r="B519" s="38"/>
      <c r="G519" s="12"/>
      <c r="J519" s="6"/>
    </row>
    <row r="520" spans="2:10" x14ac:dyDescent="0.35">
      <c r="B520" s="38"/>
      <c r="G520" s="12"/>
      <c r="J520" s="6"/>
    </row>
    <row r="521" spans="2:10" x14ac:dyDescent="0.35">
      <c r="B521" s="38"/>
      <c r="G521" s="12"/>
      <c r="J521" s="6"/>
    </row>
    <row r="522" spans="2:10" x14ac:dyDescent="0.35">
      <c r="B522" s="38"/>
      <c r="G522" s="12"/>
      <c r="J522" s="6"/>
    </row>
    <row r="523" spans="2:10" x14ac:dyDescent="0.35">
      <c r="B523" s="38"/>
      <c r="G523" s="12"/>
      <c r="J523" s="6"/>
    </row>
    <row r="524" spans="2:10" x14ac:dyDescent="0.35">
      <c r="B524" s="38"/>
      <c r="G524" s="12"/>
      <c r="J524" s="6"/>
    </row>
    <row r="525" spans="2:10" x14ac:dyDescent="0.35">
      <c r="B525" s="38"/>
      <c r="G525" s="12"/>
      <c r="J525" s="6"/>
    </row>
    <row r="526" spans="2:10" x14ac:dyDescent="0.35">
      <c r="B526" s="38"/>
      <c r="G526" s="12"/>
      <c r="J526" s="6"/>
    </row>
    <row r="527" spans="2:10" x14ac:dyDescent="0.35">
      <c r="B527" s="38"/>
      <c r="G527" s="12"/>
      <c r="J527" s="6"/>
    </row>
    <row r="528" spans="2:10" x14ac:dyDescent="0.35">
      <c r="B528" s="38"/>
      <c r="G528" s="12"/>
      <c r="J528" s="6"/>
    </row>
    <row r="529" spans="2:10" x14ac:dyDescent="0.35">
      <c r="B529" s="38"/>
      <c r="G529" s="12"/>
      <c r="J529" s="6"/>
    </row>
    <row r="530" spans="2:10" x14ac:dyDescent="0.35">
      <c r="B530" s="38"/>
      <c r="G530" s="12"/>
      <c r="J530" s="6"/>
    </row>
    <row r="531" spans="2:10" x14ac:dyDescent="0.35">
      <c r="B531" s="38"/>
      <c r="G531" s="12"/>
      <c r="J531" s="6"/>
    </row>
    <row r="532" spans="2:10" x14ac:dyDescent="0.35">
      <c r="B532" s="38"/>
      <c r="G532" s="12"/>
      <c r="J532" s="6"/>
    </row>
    <row r="533" spans="2:10" x14ac:dyDescent="0.35">
      <c r="B533" s="38"/>
      <c r="G533" s="12"/>
      <c r="J533" s="6"/>
    </row>
    <row r="534" spans="2:10" x14ac:dyDescent="0.35">
      <c r="B534" s="38"/>
      <c r="G534" s="12"/>
      <c r="J534" s="6"/>
    </row>
    <row r="535" spans="2:10" x14ac:dyDescent="0.35">
      <c r="B535" s="38"/>
      <c r="G535" s="12"/>
      <c r="J535" s="6"/>
    </row>
    <row r="536" spans="2:10" x14ac:dyDescent="0.35">
      <c r="B536" s="38"/>
      <c r="G536" s="12"/>
      <c r="J536" s="6"/>
    </row>
    <row r="537" spans="2:10" x14ac:dyDescent="0.35">
      <c r="B537" s="38"/>
      <c r="G537" s="12"/>
      <c r="J537" s="6"/>
    </row>
    <row r="538" spans="2:10" x14ac:dyDescent="0.35">
      <c r="B538" s="38"/>
      <c r="G538" s="12"/>
      <c r="J538" s="6"/>
    </row>
    <row r="539" spans="2:10" x14ac:dyDescent="0.35">
      <c r="B539" s="38"/>
      <c r="G539" s="12"/>
      <c r="J539" s="6"/>
    </row>
    <row r="540" spans="2:10" x14ac:dyDescent="0.35">
      <c r="B540" s="38"/>
      <c r="G540" s="12"/>
      <c r="J540" s="6"/>
    </row>
    <row r="541" spans="2:10" x14ac:dyDescent="0.35">
      <c r="B541" s="38"/>
      <c r="G541" s="12"/>
      <c r="J541" s="6"/>
    </row>
    <row r="542" spans="2:10" x14ac:dyDescent="0.35">
      <c r="B542" s="38"/>
      <c r="G542" s="12"/>
      <c r="J542" s="6"/>
    </row>
    <row r="543" spans="2:10" x14ac:dyDescent="0.35">
      <c r="B543" s="38"/>
      <c r="G543" s="12"/>
      <c r="J543" s="6"/>
    </row>
    <row r="544" spans="2:10" x14ac:dyDescent="0.35">
      <c r="B544" s="38"/>
      <c r="G544" s="12"/>
      <c r="J544" s="6"/>
    </row>
    <row r="545" spans="2:10" x14ac:dyDescent="0.35">
      <c r="B545" s="38"/>
      <c r="G545" s="12"/>
      <c r="J545" s="6"/>
    </row>
    <row r="546" spans="2:10" x14ac:dyDescent="0.35">
      <c r="B546" s="38"/>
      <c r="G546" s="12"/>
      <c r="J546" s="6"/>
    </row>
    <row r="547" spans="2:10" x14ac:dyDescent="0.35">
      <c r="B547" s="38"/>
      <c r="G547" s="12"/>
      <c r="J547" s="6"/>
    </row>
    <row r="548" spans="2:10" x14ac:dyDescent="0.35">
      <c r="B548" s="38"/>
      <c r="G548" s="12"/>
      <c r="J548" s="6"/>
    </row>
    <row r="549" spans="2:10" x14ac:dyDescent="0.35">
      <c r="B549" s="38"/>
      <c r="G549" s="12"/>
      <c r="J549" s="6"/>
    </row>
    <row r="550" spans="2:10" x14ac:dyDescent="0.35">
      <c r="B550" s="38"/>
      <c r="G550" s="12"/>
      <c r="J550" s="6"/>
    </row>
    <row r="551" spans="2:10" x14ac:dyDescent="0.35">
      <c r="B551" s="38"/>
      <c r="G551" s="12"/>
      <c r="J551" s="6"/>
    </row>
    <row r="552" spans="2:10" x14ac:dyDescent="0.35">
      <c r="G552" s="12"/>
      <c r="J552" s="6"/>
    </row>
    <row r="553" spans="2:10" x14ac:dyDescent="0.35">
      <c r="G553" s="12"/>
      <c r="J553" s="6"/>
    </row>
    <row r="554" spans="2:10" x14ac:dyDescent="0.35">
      <c r="G554" s="12"/>
      <c r="J554" s="6"/>
    </row>
    <row r="555" spans="2:10" x14ac:dyDescent="0.35">
      <c r="G555" s="12"/>
      <c r="J555" s="6"/>
    </row>
    <row r="556" spans="2:10" x14ac:dyDescent="0.35">
      <c r="G556" s="12"/>
      <c r="J556" s="6"/>
    </row>
    <row r="557" spans="2:10" x14ac:dyDescent="0.35">
      <c r="G557" s="12"/>
      <c r="J557" s="6"/>
    </row>
    <row r="558" spans="2:10" x14ac:dyDescent="0.35">
      <c r="G558" s="12"/>
      <c r="J558" s="6"/>
    </row>
    <row r="559" spans="2:10" x14ac:dyDescent="0.35">
      <c r="G559" s="12"/>
      <c r="J559" s="6"/>
    </row>
    <row r="560" spans="2:10" x14ac:dyDescent="0.35">
      <c r="G560" s="12"/>
      <c r="J560" s="6"/>
    </row>
    <row r="561" spans="7:10" x14ac:dyDescent="0.35">
      <c r="G561" s="12"/>
      <c r="J561" s="6"/>
    </row>
    <row r="562" spans="7:10" x14ac:dyDescent="0.35">
      <c r="G562" s="12"/>
      <c r="J562" s="6"/>
    </row>
    <row r="563" spans="7:10" x14ac:dyDescent="0.35">
      <c r="G563" s="12"/>
      <c r="J563" s="6"/>
    </row>
    <row r="564" spans="7:10" x14ac:dyDescent="0.35">
      <c r="G564" s="12"/>
      <c r="J564" s="6"/>
    </row>
    <row r="565" spans="7:10" x14ac:dyDescent="0.35">
      <c r="G565" s="12"/>
      <c r="J565" s="6"/>
    </row>
    <row r="566" spans="7:10" x14ac:dyDescent="0.35">
      <c r="G566" s="12"/>
      <c r="J566" s="6"/>
    </row>
    <row r="567" spans="7:10" x14ac:dyDescent="0.35">
      <c r="G567" s="12"/>
      <c r="J567" s="6"/>
    </row>
    <row r="568" spans="7:10" x14ac:dyDescent="0.35">
      <c r="G568" s="12"/>
      <c r="J568" s="6"/>
    </row>
    <row r="569" spans="7:10" x14ac:dyDescent="0.35">
      <c r="G569" s="12"/>
      <c r="J569" s="6"/>
    </row>
    <row r="570" spans="7:10" x14ac:dyDescent="0.35">
      <c r="G570" s="12"/>
      <c r="J570" s="6"/>
    </row>
    <row r="571" spans="7:10" x14ac:dyDescent="0.35">
      <c r="G571" s="12"/>
      <c r="J571" s="6"/>
    </row>
    <row r="572" spans="7:10" x14ac:dyDescent="0.35">
      <c r="G572" s="12"/>
      <c r="J572" s="6"/>
    </row>
    <row r="573" spans="7:10" x14ac:dyDescent="0.35">
      <c r="G573" s="12"/>
      <c r="J573" s="6"/>
    </row>
    <row r="574" spans="7:10" x14ac:dyDescent="0.35">
      <c r="G574" s="12"/>
      <c r="J574" s="6"/>
    </row>
    <row r="575" spans="7:10" x14ac:dyDescent="0.35">
      <c r="G575" s="12"/>
      <c r="J575" s="6"/>
    </row>
    <row r="576" spans="7:10" x14ac:dyDescent="0.35">
      <c r="G576" s="12"/>
      <c r="J576" s="6"/>
    </row>
    <row r="577" spans="7:10" x14ac:dyDescent="0.35">
      <c r="G577" s="12"/>
      <c r="J577" s="6"/>
    </row>
    <row r="578" spans="7:10" x14ac:dyDescent="0.35">
      <c r="G578" s="12"/>
      <c r="J578" s="6"/>
    </row>
    <row r="579" spans="7:10" x14ac:dyDescent="0.35">
      <c r="G579" s="12"/>
      <c r="J579" s="6"/>
    </row>
    <row r="580" spans="7:10" x14ac:dyDescent="0.35">
      <c r="G580" s="12"/>
      <c r="J580" s="6"/>
    </row>
    <row r="581" spans="7:10" x14ac:dyDescent="0.35">
      <c r="G581" s="12"/>
      <c r="J581" s="6"/>
    </row>
    <row r="582" spans="7:10" x14ac:dyDescent="0.35">
      <c r="G582" s="12"/>
      <c r="J582" s="6"/>
    </row>
    <row r="583" spans="7:10" x14ac:dyDescent="0.35">
      <c r="G583" s="12"/>
      <c r="J583" s="6"/>
    </row>
    <row r="584" spans="7:10" x14ac:dyDescent="0.35">
      <c r="G584" s="12"/>
      <c r="J584" s="6"/>
    </row>
    <row r="585" spans="7:10" x14ac:dyDescent="0.35">
      <c r="G585" s="12"/>
      <c r="J585" s="6"/>
    </row>
    <row r="586" spans="7:10" x14ac:dyDescent="0.35">
      <c r="G586" s="12"/>
      <c r="J586" s="6"/>
    </row>
    <row r="587" spans="7:10" x14ac:dyDescent="0.35">
      <c r="G587" s="12"/>
      <c r="J587" s="6"/>
    </row>
    <row r="588" spans="7:10" x14ac:dyDescent="0.35">
      <c r="G588" s="12"/>
      <c r="J588" s="6"/>
    </row>
    <row r="589" spans="7:10" x14ac:dyDescent="0.35">
      <c r="G589" s="12"/>
      <c r="J589" s="6"/>
    </row>
    <row r="590" spans="7:10" x14ac:dyDescent="0.35">
      <c r="G590" s="12"/>
      <c r="J590" s="6"/>
    </row>
    <row r="591" spans="7:10" x14ac:dyDescent="0.35">
      <c r="G591" s="12"/>
      <c r="J591" s="6"/>
    </row>
    <row r="592" spans="7:10" x14ac:dyDescent="0.35">
      <c r="G592" s="12"/>
      <c r="J592" s="6"/>
    </row>
    <row r="593" spans="7:10" x14ac:dyDescent="0.35">
      <c r="G593" s="12"/>
      <c r="J593" s="6"/>
    </row>
    <row r="594" spans="7:10" x14ac:dyDescent="0.35">
      <c r="G594" s="12"/>
      <c r="J594" s="6"/>
    </row>
    <row r="595" spans="7:10" x14ac:dyDescent="0.35">
      <c r="G595" s="12"/>
      <c r="J595" s="6"/>
    </row>
    <row r="596" spans="7:10" x14ac:dyDescent="0.35">
      <c r="G596" s="12"/>
      <c r="J596" s="6"/>
    </row>
    <row r="597" spans="7:10" x14ac:dyDescent="0.35">
      <c r="G597" s="12"/>
      <c r="J597" s="6"/>
    </row>
    <row r="598" spans="7:10" x14ac:dyDescent="0.35">
      <c r="G598" s="12"/>
      <c r="J598" s="6"/>
    </row>
    <row r="599" spans="7:10" x14ac:dyDescent="0.35">
      <c r="G599" s="12"/>
      <c r="J599" s="6"/>
    </row>
    <row r="600" spans="7:10" x14ac:dyDescent="0.35">
      <c r="G600" s="12"/>
      <c r="J600" s="6"/>
    </row>
    <row r="601" spans="7:10" x14ac:dyDescent="0.35">
      <c r="G601" s="12"/>
      <c r="J601" s="6"/>
    </row>
    <row r="602" spans="7:10" x14ac:dyDescent="0.35">
      <c r="G602" s="12"/>
      <c r="J602" s="6"/>
    </row>
    <row r="603" spans="7:10" x14ac:dyDescent="0.35">
      <c r="G603" s="12"/>
      <c r="J603" s="6"/>
    </row>
    <row r="604" spans="7:10" x14ac:dyDescent="0.35">
      <c r="G604" s="12"/>
      <c r="J604" s="6"/>
    </row>
    <row r="605" spans="7:10" x14ac:dyDescent="0.35">
      <c r="G605" s="12"/>
      <c r="J605" s="6"/>
    </row>
    <row r="606" spans="7:10" x14ac:dyDescent="0.35">
      <c r="G606" s="12"/>
      <c r="J606" s="6"/>
    </row>
    <row r="607" spans="7:10" x14ac:dyDescent="0.35">
      <c r="G607" s="12"/>
      <c r="J607" s="6"/>
    </row>
    <row r="608" spans="7:10" x14ac:dyDescent="0.35">
      <c r="G608" s="12"/>
      <c r="J608" s="6"/>
    </row>
    <row r="609" spans="7:10" x14ac:dyDescent="0.35">
      <c r="G609" s="12"/>
      <c r="J609" s="6"/>
    </row>
    <row r="610" spans="7:10" x14ac:dyDescent="0.35">
      <c r="G610" s="12"/>
      <c r="J610" s="6"/>
    </row>
    <row r="611" spans="7:10" x14ac:dyDescent="0.35">
      <c r="G611" s="12"/>
      <c r="J611" s="6"/>
    </row>
    <row r="612" spans="7:10" x14ac:dyDescent="0.35">
      <c r="G612" s="12"/>
      <c r="J612" s="6"/>
    </row>
    <row r="613" spans="7:10" x14ac:dyDescent="0.35">
      <c r="G613" s="12"/>
      <c r="J613" s="6"/>
    </row>
    <row r="614" spans="7:10" x14ac:dyDescent="0.35">
      <c r="G614" s="12"/>
      <c r="J614" s="6"/>
    </row>
    <row r="615" spans="7:10" x14ac:dyDescent="0.35">
      <c r="G615" s="12"/>
      <c r="J615" s="6"/>
    </row>
    <row r="616" spans="7:10" x14ac:dyDescent="0.35">
      <c r="G616" s="12"/>
      <c r="J616" s="6"/>
    </row>
    <row r="617" spans="7:10" x14ac:dyDescent="0.35">
      <c r="G617" s="12"/>
      <c r="J617" s="6"/>
    </row>
    <row r="618" spans="7:10" x14ac:dyDescent="0.35">
      <c r="G618" s="12"/>
      <c r="J618" s="6"/>
    </row>
    <row r="619" spans="7:10" x14ac:dyDescent="0.35">
      <c r="G619" s="12"/>
      <c r="J619" s="6"/>
    </row>
    <row r="620" spans="7:10" x14ac:dyDescent="0.35">
      <c r="G620" s="12"/>
      <c r="J620" s="6"/>
    </row>
    <row r="621" spans="7:10" x14ac:dyDescent="0.35">
      <c r="G621" s="12"/>
      <c r="J621" s="6"/>
    </row>
    <row r="622" spans="7:10" x14ac:dyDescent="0.35">
      <c r="G622" s="12"/>
      <c r="J622" s="6"/>
    </row>
    <row r="623" spans="7:10" x14ac:dyDescent="0.35">
      <c r="G623" s="12"/>
      <c r="J623" s="6"/>
    </row>
    <row r="624" spans="7:10" x14ac:dyDescent="0.35">
      <c r="G624" s="12"/>
      <c r="J624" s="6"/>
    </row>
    <row r="625" spans="7:10" x14ac:dyDescent="0.35">
      <c r="G625" s="12"/>
      <c r="J625" s="6"/>
    </row>
    <row r="626" spans="7:10" x14ac:dyDescent="0.35">
      <c r="G626" s="12"/>
      <c r="J626" s="6"/>
    </row>
    <row r="627" spans="7:10" x14ac:dyDescent="0.35">
      <c r="G627" s="12"/>
      <c r="J627" s="6"/>
    </row>
    <row r="628" spans="7:10" x14ac:dyDescent="0.35">
      <c r="G628" s="12"/>
      <c r="J628" s="6"/>
    </row>
    <row r="629" spans="7:10" x14ac:dyDescent="0.35">
      <c r="G629" s="12"/>
      <c r="J629" s="6"/>
    </row>
    <row r="630" spans="7:10" x14ac:dyDescent="0.35">
      <c r="G630" s="12"/>
      <c r="J630" s="6"/>
    </row>
    <row r="631" spans="7:10" x14ac:dyDescent="0.35">
      <c r="G631" s="12"/>
      <c r="J631" s="6"/>
    </row>
    <row r="632" spans="7:10" x14ac:dyDescent="0.35">
      <c r="G632" s="12"/>
      <c r="J632" s="6"/>
    </row>
    <row r="633" spans="7:10" x14ac:dyDescent="0.35">
      <c r="G633" s="12"/>
      <c r="J633" s="6"/>
    </row>
    <row r="634" spans="7:10" x14ac:dyDescent="0.35">
      <c r="G634" s="12"/>
      <c r="J634" s="6"/>
    </row>
    <row r="635" spans="7:10" x14ac:dyDescent="0.35">
      <c r="G635" s="12"/>
      <c r="J635" s="6"/>
    </row>
    <row r="636" spans="7:10" x14ac:dyDescent="0.35">
      <c r="G636" s="12"/>
      <c r="J636" s="6"/>
    </row>
    <row r="637" spans="7:10" x14ac:dyDescent="0.35">
      <c r="G637" s="12"/>
      <c r="J637" s="6"/>
    </row>
    <row r="638" spans="7:10" x14ac:dyDescent="0.35">
      <c r="G638" s="12"/>
      <c r="J638" s="6"/>
    </row>
    <row r="639" spans="7:10" x14ac:dyDescent="0.35">
      <c r="G639" s="12"/>
      <c r="J639" s="6"/>
    </row>
    <row r="640" spans="7:10" x14ac:dyDescent="0.35">
      <c r="G640" s="12"/>
      <c r="J640" s="6"/>
    </row>
    <row r="641" spans="7:10" x14ac:dyDescent="0.35">
      <c r="G641" s="12"/>
      <c r="J641" s="6"/>
    </row>
    <row r="642" spans="7:10" x14ac:dyDescent="0.35">
      <c r="G642" s="12"/>
      <c r="J642" s="6"/>
    </row>
    <row r="643" spans="7:10" x14ac:dyDescent="0.35">
      <c r="G643" s="12"/>
      <c r="J643" s="6"/>
    </row>
    <row r="644" spans="7:10" x14ac:dyDescent="0.35">
      <c r="G644" s="12"/>
      <c r="J644" s="6"/>
    </row>
    <row r="645" spans="7:10" x14ac:dyDescent="0.35">
      <c r="G645" s="12"/>
      <c r="J645" s="6"/>
    </row>
    <row r="646" spans="7:10" x14ac:dyDescent="0.35">
      <c r="G646" s="12"/>
      <c r="J646" s="6"/>
    </row>
    <row r="647" spans="7:10" x14ac:dyDescent="0.35">
      <c r="G647" s="12"/>
      <c r="J647" s="6"/>
    </row>
    <row r="648" spans="7:10" x14ac:dyDescent="0.35">
      <c r="G648" s="12"/>
      <c r="J648" s="6"/>
    </row>
    <row r="649" spans="7:10" x14ac:dyDescent="0.35">
      <c r="G649" s="12"/>
      <c r="J649" s="6"/>
    </row>
    <row r="650" spans="7:10" x14ac:dyDescent="0.35">
      <c r="G650" s="12"/>
      <c r="J650" s="6"/>
    </row>
    <row r="651" spans="7:10" x14ac:dyDescent="0.35">
      <c r="G651" s="12"/>
      <c r="J651" s="6"/>
    </row>
    <row r="652" spans="7:10" x14ac:dyDescent="0.35">
      <c r="G652" s="12"/>
      <c r="J652" s="6"/>
    </row>
    <row r="653" spans="7:10" x14ac:dyDescent="0.35">
      <c r="G653" s="12"/>
      <c r="J653" s="6"/>
    </row>
    <row r="654" spans="7:10" x14ac:dyDescent="0.35">
      <c r="G654" s="12"/>
      <c r="J654" s="6"/>
    </row>
    <row r="655" spans="7:10" x14ac:dyDescent="0.35">
      <c r="G655" s="12"/>
      <c r="J655" s="6"/>
    </row>
    <row r="656" spans="7:10" x14ac:dyDescent="0.35">
      <c r="G656" s="12"/>
      <c r="J656" s="6"/>
    </row>
    <row r="657" spans="7:10" x14ac:dyDescent="0.35">
      <c r="G657" s="12"/>
      <c r="J657" s="6"/>
    </row>
    <row r="658" spans="7:10" x14ac:dyDescent="0.35">
      <c r="G658" s="12"/>
      <c r="J658" s="6"/>
    </row>
    <row r="659" spans="7:10" x14ac:dyDescent="0.35">
      <c r="G659" s="12"/>
      <c r="J659" s="6"/>
    </row>
    <row r="660" spans="7:10" x14ac:dyDescent="0.35">
      <c r="G660" s="12"/>
      <c r="J660" s="6"/>
    </row>
    <row r="661" spans="7:10" x14ac:dyDescent="0.35">
      <c r="G661" s="12"/>
      <c r="J661" s="6"/>
    </row>
    <row r="662" spans="7:10" x14ac:dyDescent="0.35">
      <c r="G662" s="12"/>
      <c r="J662" s="6"/>
    </row>
    <row r="663" spans="7:10" x14ac:dyDescent="0.35">
      <c r="G663" s="12"/>
      <c r="J663" s="6"/>
    </row>
    <row r="664" spans="7:10" x14ac:dyDescent="0.35">
      <c r="G664" s="12"/>
      <c r="J664" s="6"/>
    </row>
    <row r="665" spans="7:10" x14ac:dyDescent="0.35">
      <c r="G665" s="12"/>
      <c r="J665" s="6"/>
    </row>
    <row r="666" spans="7:10" x14ac:dyDescent="0.35">
      <c r="G666" s="12"/>
      <c r="J666" s="6"/>
    </row>
    <row r="667" spans="7:10" x14ac:dyDescent="0.35">
      <c r="G667" s="12"/>
      <c r="J667" s="6"/>
    </row>
    <row r="668" spans="7:10" x14ac:dyDescent="0.35">
      <c r="G668" s="12"/>
      <c r="J668" s="6"/>
    </row>
    <row r="669" spans="7:10" x14ac:dyDescent="0.35">
      <c r="G669" s="12"/>
      <c r="J669" s="6"/>
    </row>
    <row r="670" spans="7:10" x14ac:dyDescent="0.35">
      <c r="G670" s="12"/>
      <c r="J670" s="6"/>
    </row>
    <row r="671" spans="7:10" x14ac:dyDescent="0.35">
      <c r="G671" s="12"/>
      <c r="J671" s="6"/>
    </row>
    <row r="672" spans="7:10" x14ac:dyDescent="0.35">
      <c r="G672" s="12"/>
      <c r="J672" s="6"/>
    </row>
    <row r="673" spans="7:10" x14ac:dyDescent="0.35">
      <c r="G673" s="12"/>
      <c r="J673" s="6"/>
    </row>
    <row r="674" spans="7:10" x14ac:dyDescent="0.35">
      <c r="G674" s="12"/>
      <c r="J674" s="6"/>
    </row>
    <row r="675" spans="7:10" x14ac:dyDescent="0.35">
      <c r="G675" s="12"/>
      <c r="J675" s="6"/>
    </row>
    <row r="676" spans="7:10" x14ac:dyDescent="0.35">
      <c r="G676" s="12"/>
      <c r="J676" s="6"/>
    </row>
    <row r="677" spans="7:10" x14ac:dyDescent="0.35">
      <c r="G677" s="12"/>
      <c r="J677" s="6"/>
    </row>
    <row r="678" spans="7:10" x14ac:dyDescent="0.35">
      <c r="G678" s="12"/>
      <c r="J678" s="6"/>
    </row>
    <row r="679" spans="7:10" x14ac:dyDescent="0.35">
      <c r="G679" s="12"/>
      <c r="J679" s="6"/>
    </row>
    <row r="680" spans="7:10" x14ac:dyDescent="0.35">
      <c r="G680" s="12"/>
      <c r="J680" s="6"/>
    </row>
    <row r="681" spans="7:10" x14ac:dyDescent="0.35">
      <c r="G681" s="12"/>
      <c r="J681" s="6"/>
    </row>
    <row r="682" spans="7:10" x14ac:dyDescent="0.35">
      <c r="G682" s="12"/>
      <c r="J682" s="6"/>
    </row>
    <row r="683" spans="7:10" x14ac:dyDescent="0.35">
      <c r="G683" s="12"/>
      <c r="J683" s="6"/>
    </row>
    <row r="684" spans="7:10" x14ac:dyDescent="0.35">
      <c r="G684" s="12"/>
      <c r="J684" s="6"/>
    </row>
    <row r="685" spans="7:10" x14ac:dyDescent="0.35">
      <c r="G685" s="12"/>
      <c r="J685" s="6"/>
    </row>
    <row r="686" spans="7:10" x14ac:dyDescent="0.35">
      <c r="G686" s="12"/>
      <c r="J686" s="6"/>
    </row>
    <row r="687" spans="7:10" x14ac:dyDescent="0.35">
      <c r="G687" s="12"/>
      <c r="J687" s="6"/>
    </row>
    <row r="688" spans="7:10" x14ac:dyDescent="0.35">
      <c r="G688" s="12"/>
      <c r="J688" s="6"/>
    </row>
    <row r="689" spans="7:10" x14ac:dyDescent="0.35">
      <c r="G689" s="12"/>
      <c r="J689" s="6"/>
    </row>
    <row r="690" spans="7:10" x14ac:dyDescent="0.35">
      <c r="G690" s="12"/>
      <c r="J690" s="6"/>
    </row>
    <row r="691" spans="7:10" x14ac:dyDescent="0.35">
      <c r="G691" s="12"/>
      <c r="J691" s="6"/>
    </row>
    <row r="692" spans="7:10" x14ac:dyDescent="0.35">
      <c r="G692" s="12"/>
      <c r="J692" s="6"/>
    </row>
    <row r="693" spans="7:10" x14ac:dyDescent="0.35">
      <c r="G693" s="12"/>
      <c r="J693" s="6"/>
    </row>
    <row r="694" spans="7:10" x14ac:dyDescent="0.35">
      <c r="G694" s="12"/>
      <c r="J694" s="6"/>
    </row>
    <row r="695" spans="7:10" x14ac:dyDescent="0.35">
      <c r="G695" s="12"/>
      <c r="J695" s="6"/>
    </row>
    <row r="696" spans="7:10" x14ac:dyDescent="0.35">
      <c r="G696" s="12"/>
      <c r="J696" s="6"/>
    </row>
    <row r="697" spans="7:10" x14ac:dyDescent="0.35">
      <c r="G697" s="12"/>
      <c r="J697" s="6"/>
    </row>
    <row r="698" spans="7:10" x14ac:dyDescent="0.35">
      <c r="G698" s="12"/>
      <c r="J698" s="6"/>
    </row>
    <row r="699" spans="7:10" x14ac:dyDescent="0.35">
      <c r="G699" s="12"/>
      <c r="J699" s="6"/>
    </row>
    <row r="700" spans="7:10" x14ac:dyDescent="0.35">
      <c r="G700" s="12"/>
      <c r="J700" s="6"/>
    </row>
    <row r="701" spans="7:10" x14ac:dyDescent="0.35">
      <c r="G701" s="12"/>
      <c r="J701" s="6"/>
    </row>
    <row r="702" spans="7:10" x14ac:dyDescent="0.35">
      <c r="G702" s="12"/>
      <c r="J702" s="6"/>
    </row>
    <row r="703" spans="7:10" x14ac:dyDescent="0.35">
      <c r="G703" s="12"/>
      <c r="J703" s="6"/>
    </row>
    <row r="704" spans="7:10" x14ac:dyDescent="0.35">
      <c r="G704" s="12"/>
      <c r="J704" s="6"/>
    </row>
    <row r="705" spans="7:10" x14ac:dyDescent="0.35">
      <c r="G705" s="12"/>
      <c r="J705" s="6"/>
    </row>
    <row r="706" spans="7:10" x14ac:dyDescent="0.35">
      <c r="G706" s="12"/>
      <c r="J706" s="6"/>
    </row>
    <row r="707" spans="7:10" x14ac:dyDescent="0.35">
      <c r="G707" s="12"/>
      <c r="J707" s="6"/>
    </row>
    <row r="708" spans="7:10" x14ac:dyDescent="0.35">
      <c r="G708" s="12"/>
      <c r="J708" s="6"/>
    </row>
    <row r="709" spans="7:10" x14ac:dyDescent="0.35">
      <c r="G709" s="12"/>
      <c r="J709" s="6"/>
    </row>
    <row r="710" spans="7:10" x14ac:dyDescent="0.35">
      <c r="G710" s="12"/>
      <c r="J710" s="6"/>
    </row>
    <row r="711" spans="7:10" x14ac:dyDescent="0.35">
      <c r="G711" s="12"/>
      <c r="J711" s="6"/>
    </row>
    <row r="712" spans="7:10" x14ac:dyDescent="0.35">
      <c r="G712" s="12"/>
      <c r="J712" s="6"/>
    </row>
    <row r="713" spans="7:10" x14ac:dyDescent="0.35">
      <c r="G713" s="12"/>
      <c r="J713" s="6"/>
    </row>
    <row r="714" spans="7:10" x14ac:dyDescent="0.35">
      <c r="G714" s="12"/>
      <c r="J714" s="6"/>
    </row>
    <row r="715" spans="7:10" x14ac:dyDescent="0.35">
      <c r="G715" s="12"/>
      <c r="J715" s="6"/>
    </row>
    <row r="716" spans="7:10" x14ac:dyDescent="0.35">
      <c r="G716" s="12"/>
      <c r="J716" s="6"/>
    </row>
    <row r="717" spans="7:10" x14ac:dyDescent="0.35">
      <c r="G717" s="12"/>
      <c r="J717" s="6"/>
    </row>
    <row r="718" spans="7:10" x14ac:dyDescent="0.35">
      <c r="G718" s="12"/>
      <c r="J718" s="6"/>
    </row>
    <row r="719" spans="7:10" x14ac:dyDescent="0.35">
      <c r="G719" s="12"/>
      <c r="J719" s="6"/>
    </row>
    <row r="720" spans="7:10" x14ac:dyDescent="0.35">
      <c r="G720" s="12"/>
      <c r="J720" s="6"/>
    </row>
    <row r="721" spans="7:10" x14ac:dyDescent="0.35">
      <c r="G721" s="12"/>
      <c r="J721" s="6"/>
    </row>
    <row r="722" spans="7:10" x14ac:dyDescent="0.35">
      <c r="G722" s="12"/>
      <c r="J722" s="6"/>
    </row>
    <row r="723" spans="7:10" x14ac:dyDescent="0.35">
      <c r="G723" s="12"/>
      <c r="J723" s="6"/>
    </row>
    <row r="724" spans="7:10" x14ac:dyDescent="0.35">
      <c r="G724" s="12"/>
      <c r="J724" s="6"/>
    </row>
    <row r="725" spans="7:10" x14ac:dyDescent="0.35">
      <c r="G725" s="12"/>
      <c r="J725" s="6"/>
    </row>
    <row r="726" spans="7:10" x14ac:dyDescent="0.35">
      <c r="G726" s="12"/>
      <c r="J726" s="6"/>
    </row>
    <row r="727" spans="7:10" x14ac:dyDescent="0.35">
      <c r="G727" s="12"/>
      <c r="J727" s="6"/>
    </row>
    <row r="728" spans="7:10" x14ac:dyDescent="0.35">
      <c r="G728" s="12"/>
      <c r="J728" s="6"/>
    </row>
    <row r="729" spans="7:10" x14ac:dyDescent="0.35">
      <c r="G729" s="12"/>
      <c r="J729" s="6"/>
    </row>
    <row r="730" spans="7:10" x14ac:dyDescent="0.35">
      <c r="G730" s="12"/>
      <c r="J730" s="6"/>
    </row>
    <row r="731" spans="7:10" x14ac:dyDescent="0.35">
      <c r="G731" s="12"/>
      <c r="J731" s="6"/>
    </row>
    <row r="732" spans="7:10" x14ac:dyDescent="0.35">
      <c r="G732" s="12"/>
      <c r="J732" s="6"/>
    </row>
    <row r="733" spans="7:10" x14ac:dyDescent="0.35">
      <c r="G733" s="12"/>
      <c r="J733" s="6"/>
    </row>
    <row r="734" spans="7:10" x14ac:dyDescent="0.35">
      <c r="G734" s="12"/>
      <c r="J734" s="6"/>
    </row>
    <row r="735" spans="7:10" x14ac:dyDescent="0.35">
      <c r="G735" s="12"/>
      <c r="J735" s="6"/>
    </row>
    <row r="736" spans="7:10" x14ac:dyDescent="0.35">
      <c r="G736" s="12"/>
      <c r="J736" s="6"/>
    </row>
    <row r="737" spans="7:10" x14ac:dyDescent="0.35">
      <c r="G737" s="12"/>
      <c r="J737" s="6"/>
    </row>
    <row r="738" spans="7:10" x14ac:dyDescent="0.35">
      <c r="G738" s="12"/>
      <c r="J738" s="6"/>
    </row>
    <row r="739" spans="7:10" x14ac:dyDescent="0.35">
      <c r="G739" s="12"/>
      <c r="J739" s="6"/>
    </row>
    <row r="740" spans="7:10" x14ac:dyDescent="0.35">
      <c r="G740" s="12"/>
      <c r="J740" s="6"/>
    </row>
    <row r="741" spans="7:10" x14ac:dyDescent="0.35">
      <c r="G741" s="12"/>
      <c r="J741" s="6"/>
    </row>
    <row r="742" spans="7:10" x14ac:dyDescent="0.35">
      <c r="G742" s="12"/>
      <c r="J742" s="6"/>
    </row>
    <row r="743" spans="7:10" x14ac:dyDescent="0.35">
      <c r="G743" s="12"/>
      <c r="J743" s="6"/>
    </row>
    <row r="744" spans="7:10" x14ac:dyDescent="0.35">
      <c r="G744" s="12"/>
      <c r="J744" s="6"/>
    </row>
    <row r="745" spans="7:10" x14ac:dyDescent="0.35">
      <c r="G745" s="12"/>
      <c r="J745" s="6"/>
    </row>
    <row r="746" spans="7:10" x14ac:dyDescent="0.35">
      <c r="G746" s="12"/>
      <c r="J746" s="6"/>
    </row>
    <row r="747" spans="7:10" x14ac:dyDescent="0.35">
      <c r="G747" s="12"/>
      <c r="J747" s="6"/>
    </row>
    <row r="748" spans="7:10" x14ac:dyDescent="0.35">
      <c r="G748" s="12"/>
      <c r="J748" s="6"/>
    </row>
    <row r="749" spans="7:10" x14ac:dyDescent="0.35">
      <c r="G749" s="12"/>
      <c r="J749" s="6"/>
    </row>
    <row r="750" spans="7:10" x14ac:dyDescent="0.35">
      <c r="G750" s="12"/>
      <c r="J750" s="6"/>
    </row>
    <row r="751" spans="7:10" x14ac:dyDescent="0.35">
      <c r="G751" s="12"/>
      <c r="J751" s="6"/>
    </row>
    <row r="752" spans="7:10" x14ac:dyDescent="0.35">
      <c r="G752" s="12"/>
      <c r="J752" s="6"/>
    </row>
    <row r="753" spans="7:10" x14ac:dyDescent="0.35">
      <c r="G753" s="12"/>
      <c r="J753" s="6"/>
    </row>
    <row r="754" spans="7:10" x14ac:dyDescent="0.35">
      <c r="G754" s="12"/>
      <c r="J754" s="6"/>
    </row>
    <row r="755" spans="7:10" x14ac:dyDescent="0.35">
      <c r="G755" s="12"/>
      <c r="J755" s="6"/>
    </row>
    <row r="756" spans="7:10" x14ac:dyDescent="0.35">
      <c r="G756" s="12"/>
      <c r="J756" s="6"/>
    </row>
    <row r="757" spans="7:10" x14ac:dyDescent="0.35">
      <c r="G757" s="12"/>
      <c r="J757" s="6"/>
    </row>
    <row r="758" spans="7:10" x14ac:dyDescent="0.35">
      <c r="G758" s="12"/>
      <c r="J758" s="6"/>
    </row>
    <row r="759" spans="7:10" x14ac:dyDescent="0.35">
      <c r="G759" s="12"/>
      <c r="J759" s="6"/>
    </row>
    <row r="760" spans="7:10" x14ac:dyDescent="0.35">
      <c r="G760" s="12"/>
      <c r="J760" s="6"/>
    </row>
    <row r="761" spans="7:10" x14ac:dyDescent="0.35">
      <c r="G761" s="12"/>
      <c r="J761" s="6"/>
    </row>
    <row r="762" spans="7:10" x14ac:dyDescent="0.35">
      <c r="G762" s="12"/>
      <c r="J762" s="6"/>
    </row>
    <row r="763" spans="7:10" x14ac:dyDescent="0.35">
      <c r="G763" s="12"/>
      <c r="J763" s="6"/>
    </row>
    <row r="764" spans="7:10" x14ac:dyDescent="0.35">
      <c r="G764" s="12"/>
      <c r="J764" s="6"/>
    </row>
    <row r="765" spans="7:10" x14ac:dyDescent="0.35">
      <c r="G765" s="12"/>
      <c r="J765" s="6"/>
    </row>
    <row r="766" spans="7:10" x14ac:dyDescent="0.35">
      <c r="G766" s="12"/>
      <c r="J766" s="6"/>
    </row>
    <row r="767" spans="7:10" x14ac:dyDescent="0.35">
      <c r="G767" s="12"/>
      <c r="J767" s="6"/>
    </row>
    <row r="768" spans="7:10" x14ac:dyDescent="0.35">
      <c r="G768" s="12"/>
      <c r="J768" s="6"/>
    </row>
    <row r="769" spans="7:10" x14ac:dyDescent="0.35">
      <c r="G769" s="12"/>
      <c r="J769" s="6"/>
    </row>
    <row r="770" spans="7:10" x14ac:dyDescent="0.35">
      <c r="G770" s="12"/>
      <c r="J770" s="6"/>
    </row>
    <row r="771" spans="7:10" x14ac:dyDescent="0.35">
      <c r="G771" s="12"/>
      <c r="J771" s="6"/>
    </row>
    <row r="772" spans="7:10" x14ac:dyDescent="0.35">
      <c r="G772" s="12"/>
      <c r="J772" s="6"/>
    </row>
    <row r="773" spans="7:10" x14ac:dyDescent="0.35">
      <c r="G773" s="12"/>
      <c r="J773" s="6"/>
    </row>
    <row r="774" spans="7:10" x14ac:dyDescent="0.35">
      <c r="G774" s="12"/>
      <c r="J774" s="6"/>
    </row>
    <row r="775" spans="7:10" x14ac:dyDescent="0.35">
      <c r="G775" s="12"/>
      <c r="J775" s="6"/>
    </row>
    <row r="776" spans="7:10" x14ac:dyDescent="0.35">
      <c r="G776" s="12"/>
      <c r="J776" s="6"/>
    </row>
    <row r="777" spans="7:10" x14ac:dyDescent="0.35">
      <c r="G777" s="12"/>
      <c r="J777" s="6"/>
    </row>
    <row r="778" spans="7:10" x14ac:dyDescent="0.35">
      <c r="G778" s="12"/>
      <c r="J778" s="6"/>
    </row>
    <row r="779" spans="7:10" x14ac:dyDescent="0.35">
      <c r="G779" s="12"/>
      <c r="J779" s="6"/>
    </row>
    <row r="780" spans="7:10" x14ac:dyDescent="0.35">
      <c r="G780" s="12"/>
      <c r="J780" s="6"/>
    </row>
    <row r="781" spans="7:10" x14ac:dyDescent="0.35">
      <c r="G781" s="12"/>
      <c r="J781" s="6"/>
    </row>
    <row r="782" spans="7:10" x14ac:dyDescent="0.35">
      <c r="G782" s="12"/>
      <c r="J782" s="6"/>
    </row>
    <row r="783" spans="7:10" x14ac:dyDescent="0.35">
      <c r="G783" s="12"/>
      <c r="J783" s="6"/>
    </row>
    <row r="784" spans="7:10" x14ac:dyDescent="0.35">
      <c r="G784" s="12"/>
      <c r="J784" s="6"/>
    </row>
    <row r="785" spans="7:10" x14ac:dyDescent="0.35">
      <c r="G785" s="12"/>
      <c r="J785" s="6"/>
    </row>
    <row r="786" spans="7:10" x14ac:dyDescent="0.35">
      <c r="G786" s="12"/>
      <c r="J786" s="6"/>
    </row>
    <row r="787" spans="7:10" x14ac:dyDescent="0.35">
      <c r="G787" s="12"/>
      <c r="J787" s="6"/>
    </row>
    <row r="788" spans="7:10" x14ac:dyDescent="0.35">
      <c r="G788" s="12"/>
      <c r="J788" s="6"/>
    </row>
    <row r="789" spans="7:10" x14ac:dyDescent="0.35">
      <c r="G789" s="12"/>
      <c r="J789" s="6"/>
    </row>
    <row r="790" spans="7:10" x14ac:dyDescent="0.35">
      <c r="G790" s="12"/>
      <c r="J790" s="6"/>
    </row>
    <row r="791" spans="7:10" x14ac:dyDescent="0.35">
      <c r="G791" s="12"/>
      <c r="J791" s="6"/>
    </row>
    <row r="792" spans="7:10" x14ac:dyDescent="0.35">
      <c r="G792" s="12"/>
      <c r="J792" s="6"/>
    </row>
    <row r="793" spans="7:10" x14ac:dyDescent="0.35">
      <c r="G793" s="12"/>
      <c r="J793" s="6"/>
    </row>
    <row r="794" spans="7:10" x14ac:dyDescent="0.35">
      <c r="G794" s="12"/>
      <c r="J794" s="6"/>
    </row>
    <row r="795" spans="7:10" x14ac:dyDescent="0.35">
      <c r="G795" s="12"/>
      <c r="J795" s="6"/>
    </row>
    <row r="796" spans="7:10" x14ac:dyDescent="0.35">
      <c r="G796" s="12"/>
      <c r="J796" s="6"/>
    </row>
    <row r="797" spans="7:10" x14ac:dyDescent="0.35">
      <c r="G797" s="12"/>
      <c r="J797" s="6"/>
    </row>
    <row r="798" spans="7:10" x14ac:dyDescent="0.35">
      <c r="G798" s="12"/>
      <c r="J798" s="6"/>
    </row>
    <row r="799" spans="7:10" x14ac:dyDescent="0.35">
      <c r="G799" s="12"/>
      <c r="J799" s="6"/>
    </row>
    <row r="800" spans="7:10" x14ac:dyDescent="0.35">
      <c r="G800" s="12"/>
      <c r="J800" s="6"/>
    </row>
    <row r="801" spans="7:10" x14ac:dyDescent="0.35">
      <c r="G801" s="12"/>
      <c r="J801" s="6"/>
    </row>
    <row r="802" spans="7:10" x14ac:dyDescent="0.35">
      <c r="G802" s="12"/>
      <c r="J802" s="6"/>
    </row>
    <row r="803" spans="7:10" x14ac:dyDescent="0.35">
      <c r="G803" s="12"/>
      <c r="J803" s="6"/>
    </row>
    <row r="804" spans="7:10" x14ac:dyDescent="0.35">
      <c r="G804" s="12"/>
      <c r="J804" s="6"/>
    </row>
    <row r="805" spans="7:10" x14ac:dyDescent="0.35">
      <c r="G805" s="12"/>
      <c r="J805" s="6"/>
    </row>
    <row r="806" spans="7:10" x14ac:dyDescent="0.35">
      <c r="G806" s="12"/>
      <c r="J806" s="6"/>
    </row>
    <row r="807" spans="7:10" x14ac:dyDescent="0.35">
      <c r="G807" s="12"/>
      <c r="J807" s="6"/>
    </row>
    <row r="808" spans="7:10" x14ac:dyDescent="0.35">
      <c r="G808" s="12"/>
      <c r="J808" s="6"/>
    </row>
    <row r="809" spans="7:10" x14ac:dyDescent="0.35">
      <c r="G809" s="12"/>
      <c r="J809" s="6"/>
    </row>
    <row r="810" spans="7:10" x14ac:dyDescent="0.35">
      <c r="G810" s="12"/>
      <c r="J810" s="6"/>
    </row>
    <row r="811" spans="7:10" x14ac:dyDescent="0.35">
      <c r="G811" s="12"/>
      <c r="J811" s="6"/>
    </row>
    <row r="812" spans="7:10" x14ac:dyDescent="0.35">
      <c r="G812" s="12"/>
      <c r="J812" s="6"/>
    </row>
    <row r="813" spans="7:10" x14ac:dyDescent="0.35">
      <c r="G813" s="12"/>
      <c r="J813" s="6"/>
    </row>
    <row r="814" spans="7:10" x14ac:dyDescent="0.35">
      <c r="G814" s="12"/>
      <c r="J814" s="6"/>
    </row>
    <row r="815" spans="7:10" x14ac:dyDescent="0.35">
      <c r="G815" s="12"/>
      <c r="J815" s="6"/>
    </row>
    <row r="816" spans="7:10" x14ac:dyDescent="0.35">
      <c r="G816" s="12"/>
      <c r="J816" s="6"/>
    </row>
    <row r="817" spans="7:10" x14ac:dyDescent="0.35">
      <c r="G817" s="12"/>
      <c r="J817" s="6"/>
    </row>
    <row r="818" spans="7:10" x14ac:dyDescent="0.35">
      <c r="G818" s="12"/>
      <c r="J818" s="6"/>
    </row>
    <row r="819" spans="7:10" x14ac:dyDescent="0.35">
      <c r="G819" s="12"/>
      <c r="J819" s="6"/>
    </row>
    <row r="820" spans="7:10" x14ac:dyDescent="0.35">
      <c r="G820" s="12"/>
      <c r="J820" s="6"/>
    </row>
    <row r="821" spans="7:10" x14ac:dyDescent="0.35">
      <c r="G821" s="12"/>
      <c r="J821" s="6"/>
    </row>
    <row r="822" spans="7:10" x14ac:dyDescent="0.35">
      <c r="G822" s="12"/>
      <c r="J822" s="6"/>
    </row>
    <row r="823" spans="7:10" x14ac:dyDescent="0.35">
      <c r="G823" s="12"/>
      <c r="J823" s="6"/>
    </row>
    <row r="824" spans="7:10" x14ac:dyDescent="0.35">
      <c r="G824" s="12"/>
      <c r="J824" s="6"/>
    </row>
    <row r="825" spans="7:10" x14ac:dyDescent="0.35">
      <c r="G825" s="12"/>
      <c r="J825" s="6"/>
    </row>
    <row r="826" spans="7:10" x14ac:dyDescent="0.35">
      <c r="G826" s="12"/>
      <c r="J826" s="6"/>
    </row>
    <row r="827" spans="7:10" x14ac:dyDescent="0.35">
      <c r="G827" s="12"/>
      <c r="J827" s="6"/>
    </row>
    <row r="828" spans="7:10" x14ac:dyDescent="0.35">
      <c r="G828" s="12"/>
      <c r="J828" s="6"/>
    </row>
    <row r="829" spans="7:10" x14ac:dyDescent="0.35">
      <c r="G829" s="12"/>
      <c r="J829" s="6"/>
    </row>
    <row r="830" spans="7:10" x14ac:dyDescent="0.35">
      <c r="G830" s="12"/>
      <c r="J830" s="6"/>
    </row>
    <row r="831" spans="7:10" x14ac:dyDescent="0.35">
      <c r="G831" s="12"/>
      <c r="J831" s="6"/>
    </row>
    <row r="832" spans="7:10" x14ac:dyDescent="0.35">
      <c r="G832" s="12"/>
      <c r="J832" s="6"/>
    </row>
    <row r="833" spans="7:10" x14ac:dyDescent="0.35">
      <c r="G833" s="12"/>
      <c r="J833" s="6"/>
    </row>
    <row r="834" spans="7:10" x14ac:dyDescent="0.35">
      <c r="G834" s="12"/>
      <c r="J834" s="6"/>
    </row>
    <row r="835" spans="7:10" x14ac:dyDescent="0.35">
      <c r="G835" s="12"/>
      <c r="J835" s="6"/>
    </row>
    <row r="836" spans="7:10" x14ac:dyDescent="0.35">
      <c r="G836" s="12"/>
      <c r="J836" s="6"/>
    </row>
    <row r="837" spans="7:10" x14ac:dyDescent="0.35">
      <c r="G837" s="12"/>
      <c r="J837" s="6"/>
    </row>
    <row r="838" spans="7:10" x14ac:dyDescent="0.35">
      <c r="G838" s="12"/>
      <c r="J838" s="6"/>
    </row>
    <row r="839" spans="7:10" x14ac:dyDescent="0.35">
      <c r="G839" s="12"/>
      <c r="J839" s="6"/>
    </row>
    <row r="840" spans="7:10" x14ac:dyDescent="0.35">
      <c r="G840" s="12"/>
      <c r="J840" s="6"/>
    </row>
    <row r="841" spans="7:10" x14ac:dyDescent="0.35">
      <c r="G841" s="12"/>
      <c r="J841" s="6"/>
    </row>
    <row r="842" spans="7:10" x14ac:dyDescent="0.35">
      <c r="G842" s="12"/>
      <c r="J842" s="6"/>
    </row>
    <row r="843" spans="7:10" x14ac:dyDescent="0.35">
      <c r="G843" s="12"/>
      <c r="J843" s="6"/>
    </row>
    <row r="844" spans="7:10" x14ac:dyDescent="0.35">
      <c r="G844" s="12"/>
      <c r="J844" s="6"/>
    </row>
    <row r="845" spans="7:10" x14ac:dyDescent="0.35">
      <c r="G845" s="12"/>
      <c r="J845" s="6"/>
    </row>
    <row r="846" spans="7:10" x14ac:dyDescent="0.35">
      <c r="G846" s="12"/>
      <c r="J846" s="6"/>
    </row>
    <row r="847" spans="7:10" x14ac:dyDescent="0.35">
      <c r="G847" s="12"/>
      <c r="J847" s="6"/>
    </row>
    <row r="848" spans="7:10" x14ac:dyDescent="0.35">
      <c r="G848" s="12"/>
      <c r="J848" s="6"/>
    </row>
    <row r="849" spans="7:10" x14ac:dyDescent="0.35">
      <c r="G849" s="12"/>
      <c r="J849" s="6"/>
    </row>
    <row r="850" spans="7:10" x14ac:dyDescent="0.35">
      <c r="G850" s="12"/>
      <c r="J850" s="6"/>
    </row>
    <row r="851" spans="7:10" x14ac:dyDescent="0.35">
      <c r="G851" s="12"/>
      <c r="J851" s="6"/>
    </row>
    <row r="852" spans="7:10" x14ac:dyDescent="0.35">
      <c r="G852" s="12"/>
      <c r="J852" s="6"/>
    </row>
    <row r="853" spans="7:10" x14ac:dyDescent="0.35">
      <c r="G853" s="12"/>
      <c r="J853" s="6"/>
    </row>
    <row r="854" spans="7:10" x14ac:dyDescent="0.35">
      <c r="G854" s="12"/>
      <c r="J854" s="6"/>
    </row>
    <row r="855" spans="7:10" x14ac:dyDescent="0.35">
      <c r="G855" s="12"/>
      <c r="J855" s="6"/>
    </row>
    <row r="856" spans="7:10" x14ac:dyDescent="0.35">
      <c r="G856" s="12"/>
      <c r="J856" s="6"/>
    </row>
    <row r="857" spans="7:10" x14ac:dyDescent="0.35">
      <c r="G857" s="12"/>
      <c r="J857" s="6"/>
    </row>
    <row r="858" spans="7:10" x14ac:dyDescent="0.35">
      <c r="G858" s="12"/>
      <c r="J858" s="6"/>
    </row>
    <row r="859" spans="7:10" x14ac:dyDescent="0.35">
      <c r="G859" s="12"/>
      <c r="J859" s="6"/>
    </row>
    <row r="860" spans="7:10" x14ac:dyDescent="0.35">
      <c r="G860" s="12"/>
      <c r="J860" s="6"/>
    </row>
    <row r="861" spans="7:10" x14ac:dyDescent="0.35">
      <c r="G861" s="12"/>
      <c r="J861" s="6"/>
    </row>
    <row r="862" spans="7:10" x14ac:dyDescent="0.35">
      <c r="G862" s="12"/>
      <c r="J862" s="6"/>
    </row>
    <row r="863" spans="7:10" x14ac:dyDescent="0.35">
      <c r="G863" s="12"/>
      <c r="J863" s="6"/>
    </row>
    <row r="864" spans="7:10" x14ac:dyDescent="0.35">
      <c r="G864" s="12"/>
      <c r="J864" s="6"/>
    </row>
    <row r="865" spans="7:10" x14ac:dyDescent="0.35">
      <c r="G865" s="12"/>
      <c r="J865" s="6"/>
    </row>
    <row r="866" spans="7:10" x14ac:dyDescent="0.35">
      <c r="G866" s="12"/>
      <c r="J866" s="6"/>
    </row>
    <row r="867" spans="7:10" x14ac:dyDescent="0.35">
      <c r="G867" s="12"/>
      <c r="J867" s="6"/>
    </row>
    <row r="868" spans="7:10" x14ac:dyDescent="0.35">
      <c r="G868" s="12"/>
      <c r="J868" s="6"/>
    </row>
    <row r="869" spans="7:10" x14ac:dyDescent="0.35">
      <c r="G869" s="12"/>
      <c r="J869" s="6"/>
    </row>
    <row r="870" spans="7:10" x14ac:dyDescent="0.35">
      <c r="G870" s="12"/>
      <c r="J870" s="6"/>
    </row>
    <row r="871" spans="7:10" x14ac:dyDescent="0.35">
      <c r="G871" s="12"/>
      <c r="J871" s="6"/>
    </row>
    <row r="872" spans="7:10" x14ac:dyDescent="0.35">
      <c r="G872" s="12"/>
      <c r="J872" s="6"/>
    </row>
    <row r="873" spans="7:10" x14ac:dyDescent="0.35">
      <c r="G873" s="12"/>
      <c r="J873" s="6"/>
    </row>
    <row r="874" spans="7:10" x14ac:dyDescent="0.35">
      <c r="G874" s="12"/>
      <c r="J874" s="6"/>
    </row>
    <row r="875" spans="7:10" x14ac:dyDescent="0.35">
      <c r="G875" s="12"/>
      <c r="J875" s="6"/>
    </row>
    <row r="876" spans="7:10" x14ac:dyDescent="0.35">
      <c r="G876" s="12"/>
      <c r="J876" s="6"/>
    </row>
    <row r="877" spans="7:10" x14ac:dyDescent="0.35">
      <c r="G877" s="12"/>
      <c r="J877" s="6"/>
    </row>
    <row r="878" spans="7:10" x14ac:dyDescent="0.35">
      <c r="G878" s="12"/>
      <c r="J878" s="6"/>
    </row>
    <row r="879" spans="7:10" x14ac:dyDescent="0.35">
      <c r="G879" s="12"/>
      <c r="J879" s="6"/>
    </row>
    <row r="880" spans="7:10" x14ac:dyDescent="0.35">
      <c r="G880" s="12"/>
      <c r="J880" s="6"/>
    </row>
    <row r="881" spans="7:10" x14ac:dyDescent="0.35">
      <c r="G881" s="12"/>
      <c r="J881" s="6"/>
    </row>
    <row r="882" spans="7:10" x14ac:dyDescent="0.35">
      <c r="G882" s="12"/>
      <c r="J882" s="6"/>
    </row>
    <row r="883" spans="7:10" x14ac:dyDescent="0.35">
      <c r="G883" s="12"/>
      <c r="J883" s="6"/>
    </row>
    <row r="884" spans="7:10" x14ac:dyDescent="0.35">
      <c r="G884" s="12"/>
      <c r="J884" s="6"/>
    </row>
    <row r="885" spans="7:10" x14ac:dyDescent="0.35">
      <c r="G885" s="12"/>
      <c r="J885" s="6"/>
    </row>
    <row r="886" spans="7:10" x14ac:dyDescent="0.35">
      <c r="G886" s="12"/>
      <c r="J886" s="6"/>
    </row>
    <row r="887" spans="7:10" x14ac:dyDescent="0.35">
      <c r="G887" s="12"/>
      <c r="J887" s="6"/>
    </row>
    <row r="888" spans="7:10" x14ac:dyDescent="0.35">
      <c r="G888" s="12"/>
      <c r="J888" s="6"/>
    </row>
    <row r="889" spans="7:10" x14ac:dyDescent="0.35">
      <c r="G889" s="12"/>
      <c r="J889" s="6"/>
    </row>
    <row r="890" spans="7:10" x14ac:dyDescent="0.35">
      <c r="G890" s="12"/>
      <c r="J890" s="6"/>
    </row>
    <row r="891" spans="7:10" x14ac:dyDescent="0.35">
      <c r="G891" s="12"/>
      <c r="J891" s="6"/>
    </row>
    <row r="892" spans="7:10" x14ac:dyDescent="0.35">
      <c r="G892" s="12"/>
      <c r="J892" s="6"/>
    </row>
    <row r="893" spans="7:10" x14ac:dyDescent="0.35">
      <c r="G893" s="12"/>
      <c r="J893" s="6"/>
    </row>
    <row r="894" spans="7:10" x14ac:dyDescent="0.35">
      <c r="G894" s="12"/>
      <c r="J894" s="6"/>
    </row>
    <row r="895" spans="7:10" x14ac:dyDescent="0.35">
      <c r="G895" s="12"/>
      <c r="J895" s="6"/>
    </row>
    <row r="896" spans="7:10" x14ac:dyDescent="0.35">
      <c r="G896" s="12"/>
      <c r="J896" s="6"/>
    </row>
    <row r="897" spans="7:10" x14ac:dyDescent="0.35">
      <c r="G897" s="12"/>
      <c r="J897" s="6"/>
    </row>
    <row r="898" spans="7:10" x14ac:dyDescent="0.35">
      <c r="G898" s="12"/>
      <c r="J898" s="6"/>
    </row>
    <row r="899" spans="7:10" x14ac:dyDescent="0.35">
      <c r="G899" s="12"/>
      <c r="J899" s="6"/>
    </row>
    <row r="900" spans="7:10" x14ac:dyDescent="0.35">
      <c r="G900" s="12"/>
      <c r="J900" s="6"/>
    </row>
    <row r="901" spans="7:10" x14ac:dyDescent="0.35">
      <c r="G901" s="12"/>
      <c r="J901" s="6"/>
    </row>
    <row r="902" spans="7:10" x14ac:dyDescent="0.35">
      <c r="G902" s="12"/>
      <c r="J902" s="6"/>
    </row>
    <row r="903" spans="7:10" x14ac:dyDescent="0.35">
      <c r="G903" s="12"/>
      <c r="J903" s="6"/>
    </row>
    <row r="904" spans="7:10" x14ac:dyDescent="0.35">
      <c r="G904" s="12"/>
      <c r="J904" s="6"/>
    </row>
    <row r="905" spans="7:10" x14ac:dyDescent="0.35">
      <c r="G905" s="12"/>
      <c r="J905" s="6"/>
    </row>
    <row r="906" spans="7:10" x14ac:dyDescent="0.35">
      <c r="G906" s="12"/>
      <c r="J906" s="6"/>
    </row>
    <row r="907" spans="7:10" x14ac:dyDescent="0.35">
      <c r="G907" s="12"/>
      <c r="J907" s="6"/>
    </row>
    <row r="908" spans="7:10" x14ac:dyDescent="0.35">
      <c r="G908" s="12"/>
      <c r="J908" s="6"/>
    </row>
    <row r="909" spans="7:10" x14ac:dyDescent="0.35">
      <c r="G909" s="12"/>
      <c r="J909" s="6"/>
    </row>
    <row r="910" spans="7:10" x14ac:dyDescent="0.35">
      <c r="G910" s="12"/>
      <c r="J910" s="6"/>
    </row>
    <row r="911" spans="7:10" x14ac:dyDescent="0.35">
      <c r="G911" s="12"/>
      <c r="J911" s="6"/>
    </row>
    <row r="912" spans="7:10" x14ac:dyDescent="0.35">
      <c r="G912" s="12"/>
      <c r="J912" s="6"/>
    </row>
    <row r="913" spans="7:10" x14ac:dyDescent="0.35">
      <c r="G913" s="12"/>
      <c r="J913" s="6"/>
    </row>
    <row r="914" spans="7:10" x14ac:dyDescent="0.35">
      <c r="G914" s="12"/>
      <c r="J914" s="6"/>
    </row>
    <row r="915" spans="7:10" x14ac:dyDescent="0.35">
      <c r="G915" s="12"/>
      <c r="J915" s="6"/>
    </row>
    <row r="916" spans="7:10" x14ac:dyDescent="0.35">
      <c r="G916" s="12"/>
      <c r="J916" s="6"/>
    </row>
    <row r="917" spans="7:10" x14ac:dyDescent="0.35">
      <c r="G917" s="12"/>
      <c r="J917" s="6"/>
    </row>
    <row r="918" spans="7:10" x14ac:dyDescent="0.35">
      <c r="G918" s="12"/>
      <c r="J918" s="6"/>
    </row>
    <row r="919" spans="7:10" x14ac:dyDescent="0.35">
      <c r="G919" s="12"/>
      <c r="J919" s="6"/>
    </row>
    <row r="920" spans="7:10" x14ac:dyDescent="0.35">
      <c r="G920" s="12"/>
      <c r="J920" s="6"/>
    </row>
    <row r="921" spans="7:10" x14ac:dyDescent="0.35">
      <c r="G921" s="12"/>
      <c r="J921" s="6"/>
    </row>
    <row r="922" spans="7:10" x14ac:dyDescent="0.35">
      <c r="G922" s="12"/>
      <c r="J922" s="6"/>
    </row>
    <row r="923" spans="7:10" x14ac:dyDescent="0.35">
      <c r="G923" s="12"/>
      <c r="J923" s="6"/>
    </row>
    <row r="924" spans="7:10" x14ac:dyDescent="0.35">
      <c r="G924" s="12"/>
      <c r="J924" s="6"/>
    </row>
    <row r="925" spans="7:10" x14ac:dyDescent="0.35">
      <c r="G925" s="12"/>
      <c r="J925" s="6"/>
    </row>
    <row r="926" spans="7:10" x14ac:dyDescent="0.35">
      <c r="G926" s="12"/>
      <c r="J926" s="6"/>
    </row>
    <row r="927" spans="7:10" x14ac:dyDescent="0.35">
      <c r="G927" s="12"/>
      <c r="J927" s="6"/>
    </row>
    <row r="928" spans="7:10" x14ac:dyDescent="0.35">
      <c r="G928" s="12"/>
      <c r="J928" s="6"/>
    </row>
    <row r="929" spans="7:10" x14ac:dyDescent="0.35">
      <c r="G929" s="12"/>
      <c r="J929" s="6"/>
    </row>
    <row r="930" spans="7:10" x14ac:dyDescent="0.35">
      <c r="G930" s="12"/>
      <c r="J930" s="6"/>
    </row>
    <row r="931" spans="7:10" x14ac:dyDescent="0.35">
      <c r="G931" s="12"/>
      <c r="J931" s="6"/>
    </row>
    <row r="932" spans="7:10" x14ac:dyDescent="0.35">
      <c r="G932" s="12"/>
      <c r="J932" s="6"/>
    </row>
    <row r="933" spans="7:10" x14ac:dyDescent="0.35">
      <c r="G933" s="12"/>
      <c r="J933" s="6"/>
    </row>
    <row r="934" spans="7:10" x14ac:dyDescent="0.35">
      <c r="G934" s="12"/>
      <c r="J934" s="6"/>
    </row>
    <row r="935" spans="7:10" x14ac:dyDescent="0.35">
      <c r="G935" s="12"/>
      <c r="J935" s="6"/>
    </row>
    <row r="936" spans="7:10" x14ac:dyDescent="0.35">
      <c r="G936" s="12"/>
      <c r="J936" s="6"/>
    </row>
    <row r="937" spans="7:10" x14ac:dyDescent="0.35">
      <c r="G937" s="12"/>
      <c r="J937" s="6"/>
    </row>
    <row r="938" spans="7:10" x14ac:dyDescent="0.35">
      <c r="G938" s="12"/>
      <c r="J938" s="6"/>
    </row>
    <row r="939" spans="7:10" x14ac:dyDescent="0.35">
      <c r="G939" s="12"/>
      <c r="J939" s="6"/>
    </row>
    <row r="940" spans="7:10" x14ac:dyDescent="0.35">
      <c r="G940" s="12"/>
      <c r="J940" s="6"/>
    </row>
    <row r="941" spans="7:10" x14ac:dyDescent="0.35">
      <c r="G941" s="12"/>
      <c r="J941" s="6"/>
    </row>
    <row r="942" spans="7:10" x14ac:dyDescent="0.35">
      <c r="G942" s="12"/>
      <c r="J942" s="6"/>
    </row>
    <row r="943" spans="7:10" x14ac:dyDescent="0.35">
      <c r="G943" s="12"/>
      <c r="J943" s="6"/>
    </row>
    <row r="944" spans="7:10" x14ac:dyDescent="0.35">
      <c r="G944" s="12"/>
      <c r="J944" s="6"/>
    </row>
    <row r="945" spans="7:10" x14ac:dyDescent="0.35">
      <c r="G945" s="12"/>
      <c r="J945" s="6"/>
    </row>
    <row r="946" spans="7:10" x14ac:dyDescent="0.35">
      <c r="G946" s="12"/>
      <c r="J946" s="6"/>
    </row>
    <row r="947" spans="7:10" x14ac:dyDescent="0.35">
      <c r="G947" s="12"/>
      <c r="J947" s="6"/>
    </row>
    <row r="948" spans="7:10" x14ac:dyDescent="0.35">
      <c r="G948" s="12"/>
      <c r="J948" s="6"/>
    </row>
    <row r="949" spans="7:10" x14ac:dyDescent="0.35">
      <c r="G949" s="12"/>
      <c r="J949" s="6"/>
    </row>
    <row r="950" spans="7:10" x14ac:dyDescent="0.35">
      <c r="G950" s="12"/>
      <c r="J950" s="6"/>
    </row>
    <row r="951" spans="7:10" x14ac:dyDescent="0.35">
      <c r="G951" s="12"/>
      <c r="J951" s="6"/>
    </row>
    <row r="952" spans="7:10" x14ac:dyDescent="0.35">
      <c r="G952" s="12"/>
      <c r="J952" s="6"/>
    </row>
    <row r="953" spans="7:10" x14ac:dyDescent="0.35">
      <c r="G953" s="12"/>
      <c r="J953" s="6"/>
    </row>
    <row r="954" spans="7:10" x14ac:dyDescent="0.35">
      <c r="G954" s="12"/>
      <c r="J954" s="6"/>
    </row>
    <row r="955" spans="7:10" x14ac:dyDescent="0.35">
      <c r="G955" s="12"/>
      <c r="J955" s="6"/>
    </row>
    <row r="956" spans="7:10" x14ac:dyDescent="0.35">
      <c r="G956" s="12"/>
      <c r="J956" s="6"/>
    </row>
    <row r="957" spans="7:10" x14ac:dyDescent="0.35">
      <c r="G957" s="12"/>
      <c r="J957" s="6"/>
    </row>
    <row r="958" spans="7:10" x14ac:dyDescent="0.35">
      <c r="G958" s="12"/>
      <c r="J958" s="6"/>
    </row>
    <row r="959" spans="7:10" x14ac:dyDescent="0.35">
      <c r="G959" s="12"/>
      <c r="J959" s="6"/>
    </row>
    <row r="960" spans="7:10" x14ac:dyDescent="0.35">
      <c r="G960" s="12"/>
      <c r="J960" s="6"/>
    </row>
    <row r="961" spans="7:10" x14ac:dyDescent="0.35">
      <c r="G961" s="12"/>
      <c r="J961" s="6"/>
    </row>
    <row r="962" spans="7:10" x14ac:dyDescent="0.35">
      <c r="G962" s="12"/>
      <c r="J962" s="6"/>
    </row>
    <row r="963" spans="7:10" x14ac:dyDescent="0.35">
      <c r="G963" s="12"/>
      <c r="J963" s="6"/>
    </row>
    <row r="964" spans="7:10" x14ac:dyDescent="0.35">
      <c r="G964" s="12"/>
      <c r="J964" s="6"/>
    </row>
    <row r="965" spans="7:10" x14ac:dyDescent="0.35">
      <c r="G965" s="12"/>
      <c r="J965" s="6"/>
    </row>
    <row r="966" spans="7:10" x14ac:dyDescent="0.35">
      <c r="G966" s="12"/>
      <c r="J966" s="6"/>
    </row>
    <row r="967" spans="7:10" x14ac:dyDescent="0.35">
      <c r="G967" s="12"/>
      <c r="J967" s="6"/>
    </row>
    <row r="968" spans="7:10" x14ac:dyDescent="0.35">
      <c r="G968" s="12"/>
      <c r="J968" s="6"/>
    </row>
    <row r="969" spans="7:10" x14ac:dyDescent="0.35">
      <c r="G969" s="12"/>
      <c r="J969" s="6"/>
    </row>
    <row r="970" spans="7:10" x14ac:dyDescent="0.35">
      <c r="G970" s="12"/>
      <c r="J970" s="6"/>
    </row>
    <row r="971" spans="7:10" x14ac:dyDescent="0.35">
      <c r="G971" s="12"/>
      <c r="J971" s="6"/>
    </row>
    <row r="972" spans="7:10" x14ac:dyDescent="0.35">
      <c r="G972" s="12"/>
      <c r="J972" s="6"/>
    </row>
    <row r="973" spans="7:10" x14ac:dyDescent="0.35">
      <c r="G973" s="12"/>
      <c r="J973" s="6"/>
    </row>
    <row r="974" spans="7:10" x14ac:dyDescent="0.35">
      <c r="G974" s="12"/>
      <c r="J974" s="6"/>
    </row>
    <row r="975" spans="7:10" x14ac:dyDescent="0.35">
      <c r="G975" s="12"/>
      <c r="J975" s="6"/>
    </row>
    <row r="976" spans="7:10" x14ac:dyDescent="0.35">
      <c r="G976" s="12"/>
      <c r="J976" s="6"/>
    </row>
    <row r="977" spans="7:10" x14ac:dyDescent="0.35">
      <c r="G977" s="12"/>
      <c r="J977" s="6"/>
    </row>
    <row r="978" spans="7:10" x14ac:dyDescent="0.35">
      <c r="G978" s="12"/>
      <c r="J978" s="6"/>
    </row>
    <row r="979" spans="7:10" x14ac:dyDescent="0.35">
      <c r="G979" s="12"/>
      <c r="J979" s="6"/>
    </row>
    <row r="980" spans="7:10" x14ac:dyDescent="0.35">
      <c r="G980" s="12"/>
      <c r="J980" s="6"/>
    </row>
    <row r="981" spans="7:10" x14ac:dyDescent="0.35">
      <c r="G981" s="12"/>
      <c r="J981" s="6"/>
    </row>
    <row r="982" spans="7:10" x14ac:dyDescent="0.35">
      <c r="G982" s="12"/>
      <c r="J982" s="6"/>
    </row>
    <row r="983" spans="7:10" x14ac:dyDescent="0.35">
      <c r="G983" s="12"/>
      <c r="J983" s="6"/>
    </row>
    <row r="984" spans="7:10" x14ac:dyDescent="0.35">
      <c r="G984" s="12"/>
      <c r="J984" s="6"/>
    </row>
    <row r="985" spans="7:10" x14ac:dyDescent="0.35">
      <c r="G985" s="12"/>
      <c r="J985" s="6"/>
    </row>
    <row r="986" spans="7:10" x14ac:dyDescent="0.35">
      <c r="G986" s="12"/>
      <c r="J986" s="6"/>
    </row>
    <row r="987" spans="7:10" x14ac:dyDescent="0.35">
      <c r="G987" s="12"/>
      <c r="J987" s="6"/>
    </row>
    <row r="988" spans="7:10" x14ac:dyDescent="0.35">
      <c r="G988" s="12"/>
      <c r="J988" s="6"/>
    </row>
    <row r="989" spans="7:10" x14ac:dyDescent="0.35">
      <c r="G989" s="12"/>
      <c r="J989" s="6"/>
    </row>
    <row r="990" spans="7:10" x14ac:dyDescent="0.35">
      <c r="G990" s="12"/>
      <c r="J990" s="6"/>
    </row>
    <row r="991" spans="7:10" x14ac:dyDescent="0.35">
      <c r="G991" s="12"/>
      <c r="J991" s="6"/>
    </row>
    <row r="992" spans="7:10" x14ac:dyDescent="0.35">
      <c r="G992" s="12"/>
      <c r="J992" s="6"/>
    </row>
    <row r="993" spans="7:10" x14ac:dyDescent="0.35">
      <c r="G993" s="12"/>
      <c r="J993" s="6"/>
    </row>
    <row r="994" spans="7:10" x14ac:dyDescent="0.35">
      <c r="G994" s="12"/>
      <c r="J994" s="6"/>
    </row>
    <row r="995" spans="7:10" x14ac:dyDescent="0.35">
      <c r="G995" s="12"/>
      <c r="J995" s="6"/>
    </row>
    <row r="996" spans="7:10" x14ac:dyDescent="0.35">
      <c r="G996" s="12"/>
      <c r="J996" s="6"/>
    </row>
    <row r="997" spans="7:10" x14ac:dyDescent="0.35">
      <c r="G997" s="12"/>
      <c r="J997" s="6"/>
    </row>
    <row r="998" spans="7:10" x14ac:dyDescent="0.35">
      <c r="G998" s="12"/>
      <c r="J998" s="6"/>
    </row>
    <row r="999" spans="7:10" x14ac:dyDescent="0.35">
      <c r="G999" s="12"/>
      <c r="J999" s="6"/>
    </row>
    <row r="1000" spans="7:10" x14ac:dyDescent="0.35">
      <c r="G1000" s="12"/>
      <c r="J1000" s="6"/>
    </row>
    <row r="1001" spans="7:10" x14ac:dyDescent="0.35">
      <c r="G1001" s="12"/>
      <c r="J1001" s="6"/>
    </row>
    <row r="1002" spans="7:10" x14ac:dyDescent="0.35">
      <c r="G1002" s="12"/>
      <c r="J1002" s="6"/>
    </row>
    <row r="1003" spans="7:10" x14ac:dyDescent="0.35">
      <c r="G1003" s="12"/>
      <c r="J1003" s="6"/>
    </row>
    <row r="1004" spans="7:10" x14ac:dyDescent="0.35">
      <c r="G1004" s="12"/>
      <c r="J1004" s="6"/>
    </row>
    <row r="1005" spans="7:10" x14ac:dyDescent="0.35">
      <c r="G1005" s="12"/>
      <c r="J1005" s="6"/>
    </row>
    <row r="1006" spans="7:10" x14ac:dyDescent="0.35">
      <c r="G1006" s="12"/>
      <c r="J1006" s="6"/>
    </row>
    <row r="1007" spans="7:10" x14ac:dyDescent="0.35">
      <c r="G1007" s="12"/>
      <c r="J1007" s="6"/>
    </row>
    <row r="1008" spans="7:10" x14ac:dyDescent="0.35">
      <c r="G1008" s="12"/>
      <c r="J1008" s="6"/>
    </row>
    <row r="1009" spans="7:10" x14ac:dyDescent="0.35">
      <c r="G1009" s="12"/>
      <c r="J1009" s="6"/>
    </row>
    <row r="1010" spans="7:10" x14ac:dyDescent="0.35">
      <c r="G1010" s="12"/>
      <c r="J1010" s="6"/>
    </row>
    <row r="1011" spans="7:10" x14ac:dyDescent="0.35">
      <c r="G1011" s="12"/>
      <c r="J1011" s="6"/>
    </row>
    <row r="1012" spans="7:10" x14ac:dyDescent="0.35">
      <c r="G1012" s="12"/>
      <c r="J1012" s="6"/>
    </row>
    <row r="1013" spans="7:10" x14ac:dyDescent="0.35">
      <c r="G1013" s="12"/>
      <c r="J1013" s="6"/>
    </row>
    <row r="1014" spans="7:10" x14ac:dyDescent="0.35">
      <c r="G1014" s="12"/>
      <c r="J1014" s="6"/>
    </row>
    <row r="1015" spans="7:10" x14ac:dyDescent="0.35">
      <c r="G1015" s="12"/>
      <c r="J1015" s="6"/>
    </row>
    <row r="1016" spans="7:10" x14ac:dyDescent="0.35">
      <c r="G1016" s="12"/>
      <c r="J1016" s="6"/>
    </row>
    <row r="1017" spans="7:10" x14ac:dyDescent="0.35">
      <c r="G1017" s="12"/>
      <c r="J1017" s="6"/>
    </row>
    <row r="1018" spans="7:10" x14ac:dyDescent="0.35">
      <c r="G1018" s="12"/>
      <c r="J1018" s="6"/>
    </row>
    <row r="1019" spans="7:10" x14ac:dyDescent="0.35">
      <c r="G1019" s="12"/>
      <c r="J1019" s="6"/>
    </row>
    <row r="1020" spans="7:10" x14ac:dyDescent="0.35">
      <c r="G1020" s="12"/>
      <c r="J1020" s="6"/>
    </row>
    <row r="1021" spans="7:10" x14ac:dyDescent="0.35">
      <c r="G1021" s="12"/>
      <c r="J1021" s="6"/>
    </row>
    <row r="1022" spans="7:10" x14ac:dyDescent="0.35">
      <c r="G1022" s="12"/>
      <c r="J1022" s="6"/>
    </row>
    <row r="1023" spans="7:10" x14ac:dyDescent="0.35">
      <c r="G1023" s="12"/>
      <c r="J1023" s="6"/>
    </row>
    <row r="1024" spans="7:10" x14ac:dyDescent="0.35">
      <c r="G1024" s="12"/>
      <c r="J1024" s="6"/>
    </row>
    <row r="1025" spans="7:10" x14ac:dyDescent="0.35">
      <c r="G1025" s="12"/>
      <c r="J1025" s="6"/>
    </row>
    <row r="1026" spans="7:10" x14ac:dyDescent="0.35">
      <c r="G1026" s="12"/>
      <c r="J1026" s="6"/>
    </row>
    <row r="1027" spans="7:10" x14ac:dyDescent="0.35">
      <c r="G1027" s="12"/>
      <c r="J1027" s="6"/>
    </row>
    <row r="1028" spans="7:10" x14ac:dyDescent="0.35">
      <c r="G1028" s="12"/>
      <c r="J1028" s="6"/>
    </row>
    <row r="1029" spans="7:10" x14ac:dyDescent="0.35">
      <c r="G1029" s="12"/>
      <c r="J1029" s="6"/>
    </row>
    <row r="1030" spans="7:10" x14ac:dyDescent="0.35">
      <c r="G1030" s="12"/>
      <c r="J1030" s="6"/>
    </row>
    <row r="1031" spans="7:10" x14ac:dyDescent="0.35">
      <c r="G1031" s="12"/>
      <c r="J1031" s="6"/>
    </row>
    <row r="1032" spans="7:10" x14ac:dyDescent="0.35">
      <c r="G1032" s="12"/>
      <c r="J1032" s="6"/>
    </row>
    <row r="1033" spans="7:10" x14ac:dyDescent="0.35">
      <c r="G1033" s="12"/>
      <c r="J1033" s="6"/>
    </row>
    <row r="1034" spans="7:10" x14ac:dyDescent="0.35">
      <c r="G1034" s="12"/>
      <c r="J1034" s="6"/>
    </row>
    <row r="1035" spans="7:10" x14ac:dyDescent="0.35">
      <c r="G1035" s="12"/>
      <c r="J1035" s="6"/>
    </row>
    <row r="1036" spans="7:10" x14ac:dyDescent="0.35">
      <c r="G1036" s="12"/>
      <c r="J1036" s="6"/>
    </row>
    <row r="1037" spans="7:10" x14ac:dyDescent="0.35">
      <c r="G1037" s="12"/>
      <c r="J1037" s="6"/>
    </row>
    <row r="1038" spans="7:10" x14ac:dyDescent="0.35">
      <c r="G1038" s="12"/>
      <c r="J1038" s="6"/>
    </row>
    <row r="1039" spans="7:10" x14ac:dyDescent="0.35">
      <c r="G1039" s="12"/>
      <c r="J1039" s="6"/>
    </row>
    <row r="1040" spans="7:10" x14ac:dyDescent="0.35">
      <c r="G1040" s="12"/>
      <c r="J1040" s="6"/>
    </row>
    <row r="1041" spans="7:10" x14ac:dyDescent="0.35">
      <c r="G1041" s="12"/>
      <c r="J1041" s="6"/>
    </row>
    <row r="1042" spans="7:10" x14ac:dyDescent="0.35">
      <c r="G1042" s="12"/>
      <c r="J1042" s="6"/>
    </row>
    <row r="1043" spans="7:10" x14ac:dyDescent="0.35">
      <c r="G1043" s="12"/>
      <c r="J1043" s="6"/>
    </row>
    <row r="1044" spans="7:10" x14ac:dyDescent="0.35">
      <c r="G1044" s="12"/>
      <c r="J1044" s="6"/>
    </row>
    <row r="1045" spans="7:10" x14ac:dyDescent="0.35">
      <c r="G1045" s="12"/>
      <c r="J1045" s="6"/>
    </row>
    <row r="1046" spans="7:10" x14ac:dyDescent="0.35">
      <c r="G1046" s="12"/>
      <c r="J1046" s="6"/>
    </row>
    <row r="1047" spans="7:10" x14ac:dyDescent="0.35">
      <c r="G1047" s="12"/>
      <c r="J1047" s="6"/>
    </row>
    <row r="1048" spans="7:10" x14ac:dyDescent="0.35">
      <c r="G1048" s="12"/>
      <c r="J1048" s="6"/>
    </row>
    <row r="1049" spans="7:10" x14ac:dyDescent="0.35">
      <c r="G1049" s="12"/>
      <c r="J1049" s="6"/>
    </row>
    <row r="1050" spans="7:10" x14ac:dyDescent="0.35">
      <c r="G1050" s="12"/>
      <c r="J1050" s="6"/>
    </row>
    <row r="1051" spans="7:10" x14ac:dyDescent="0.35">
      <c r="G1051" s="12"/>
      <c r="J1051" s="6"/>
    </row>
    <row r="1052" spans="7:10" x14ac:dyDescent="0.35">
      <c r="G1052" s="12"/>
      <c r="J1052" s="6"/>
    </row>
    <row r="1053" spans="7:10" x14ac:dyDescent="0.35">
      <c r="G1053" s="12"/>
      <c r="J1053" s="6"/>
    </row>
    <row r="1054" spans="7:10" x14ac:dyDescent="0.35">
      <c r="G1054" s="12"/>
      <c r="J1054" s="6"/>
    </row>
    <row r="1055" spans="7:10" x14ac:dyDescent="0.35">
      <c r="G1055" s="12"/>
      <c r="J1055" s="6"/>
    </row>
    <row r="1056" spans="7:10" x14ac:dyDescent="0.35">
      <c r="G1056" s="12"/>
      <c r="J1056" s="6"/>
    </row>
    <row r="1057" spans="7:10" x14ac:dyDescent="0.35">
      <c r="G1057" s="12"/>
      <c r="J1057" s="6"/>
    </row>
    <row r="1058" spans="7:10" x14ac:dyDescent="0.35">
      <c r="G1058" s="12"/>
      <c r="J1058" s="6"/>
    </row>
    <row r="1059" spans="7:10" x14ac:dyDescent="0.35">
      <c r="G1059" s="12"/>
      <c r="J1059" s="6"/>
    </row>
    <row r="1060" spans="7:10" x14ac:dyDescent="0.35">
      <c r="G1060" s="12"/>
      <c r="J1060" s="6"/>
    </row>
    <row r="1061" spans="7:10" x14ac:dyDescent="0.35">
      <c r="G1061" s="12"/>
      <c r="J1061" s="6"/>
    </row>
    <row r="1062" spans="7:10" x14ac:dyDescent="0.35">
      <c r="G1062" s="12"/>
      <c r="J1062" s="6"/>
    </row>
    <row r="1063" spans="7:10" x14ac:dyDescent="0.35">
      <c r="G1063" s="12"/>
      <c r="J1063" s="6"/>
    </row>
    <row r="1064" spans="7:10" x14ac:dyDescent="0.35">
      <c r="G1064" s="12"/>
      <c r="J1064" s="6"/>
    </row>
    <row r="1065" spans="7:10" x14ac:dyDescent="0.35">
      <c r="G1065" s="12"/>
      <c r="J1065" s="6"/>
    </row>
    <row r="1066" spans="7:10" x14ac:dyDescent="0.35">
      <c r="G1066" s="12"/>
      <c r="J1066" s="6"/>
    </row>
    <row r="1067" spans="7:10" x14ac:dyDescent="0.35">
      <c r="G1067" s="12"/>
      <c r="J1067" s="6"/>
    </row>
    <row r="1068" spans="7:10" x14ac:dyDescent="0.35">
      <c r="G1068" s="12"/>
      <c r="J1068" s="6"/>
    </row>
    <row r="1069" spans="7:10" x14ac:dyDescent="0.35">
      <c r="G1069" s="12"/>
      <c r="J1069" s="6"/>
    </row>
    <row r="1070" spans="7:10" x14ac:dyDescent="0.35">
      <c r="G1070" s="12"/>
      <c r="J1070" s="6"/>
    </row>
    <row r="1071" spans="7:10" x14ac:dyDescent="0.35">
      <c r="G1071" s="12"/>
      <c r="J1071" s="6"/>
    </row>
    <row r="1072" spans="7:10" x14ac:dyDescent="0.35">
      <c r="G1072" s="12"/>
      <c r="J1072" s="6"/>
    </row>
    <row r="1073" spans="7:10" x14ac:dyDescent="0.35">
      <c r="G1073" s="12"/>
      <c r="J1073" s="6"/>
    </row>
    <row r="1074" spans="7:10" x14ac:dyDescent="0.35">
      <c r="G1074" s="12"/>
      <c r="J1074" s="6"/>
    </row>
    <row r="1075" spans="7:10" x14ac:dyDescent="0.35">
      <c r="G1075" s="12"/>
      <c r="J1075" s="6"/>
    </row>
    <row r="1076" spans="7:10" x14ac:dyDescent="0.35">
      <c r="G1076" s="12"/>
      <c r="J1076" s="6"/>
    </row>
    <row r="1077" spans="7:10" x14ac:dyDescent="0.35">
      <c r="G1077" s="12"/>
      <c r="J1077" s="6"/>
    </row>
    <row r="1078" spans="7:10" x14ac:dyDescent="0.35">
      <c r="G1078" s="12"/>
      <c r="J1078" s="6"/>
    </row>
    <row r="1079" spans="7:10" x14ac:dyDescent="0.35">
      <c r="G1079" s="12"/>
      <c r="J1079" s="6"/>
    </row>
    <row r="1080" spans="7:10" x14ac:dyDescent="0.35">
      <c r="G1080" s="12"/>
      <c r="J1080" s="6"/>
    </row>
    <row r="1081" spans="7:10" x14ac:dyDescent="0.35">
      <c r="G1081" s="12"/>
      <c r="J1081" s="6"/>
    </row>
    <row r="1082" spans="7:10" x14ac:dyDescent="0.35">
      <c r="G1082" s="12"/>
      <c r="J1082" s="6"/>
    </row>
    <row r="1083" spans="7:10" x14ac:dyDescent="0.35">
      <c r="G1083" s="12"/>
      <c r="J1083" s="6"/>
    </row>
    <row r="1084" spans="7:10" x14ac:dyDescent="0.35">
      <c r="G1084" s="12"/>
      <c r="J1084" s="6"/>
    </row>
    <row r="1085" spans="7:10" x14ac:dyDescent="0.35">
      <c r="G1085" s="12"/>
      <c r="J1085" s="6"/>
    </row>
    <row r="1086" spans="7:10" x14ac:dyDescent="0.35">
      <c r="G1086" s="12"/>
      <c r="J1086" s="6"/>
    </row>
    <row r="1087" spans="7:10" x14ac:dyDescent="0.35">
      <c r="G1087" s="12"/>
      <c r="J1087" s="6"/>
    </row>
    <row r="1088" spans="7:10" x14ac:dyDescent="0.35">
      <c r="G1088" s="12"/>
      <c r="J1088" s="6"/>
    </row>
    <row r="1089" spans="7:10" x14ac:dyDescent="0.35">
      <c r="G1089" s="12"/>
      <c r="J1089" s="6"/>
    </row>
    <row r="1090" spans="7:10" x14ac:dyDescent="0.35">
      <c r="G1090" s="12"/>
      <c r="J1090" s="6"/>
    </row>
    <row r="1091" spans="7:10" x14ac:dyDescent="0.35">
      <c r="G1091" s="12"/>
      <c r="J1091" s="6"/>
    </row>
    <row r="1092" spans="7:10" x14ac:dyDescent="0.35">
      <c r="G1092" s="12"/>
      <c r="J1092" s="6"/>
    </row>
    <row r="1093" spans="7:10" x14ac:dyDescent="0.35">
      <c r="G1093" s="12"/>
      <c r="J1093" s="6"/>
    </row>
    <row r="1094" spans="7:10" x14ac:dyDescent="0.35">
      <c r="G1094" s="12"/>
      <c r="J1094" s="6"/>
    </row>
    <row r="1095" spans="7:10" x14ac:dyDescent="0.35">
      <c r="G1095" s="12"/>
      <c r="J1095" s="6"/>
    </row>
    <row r="1096" spans="7:10" x14ac:dyDescent="0.35">
      <c r="G1096" s="12"/>
      <c r="J1096" s="6"/>
    </row>
    <row r="1097" spans="7:10" x14ac:dyDescent="0.35">
      <c r="G1097" s="12"/>
      <c r="J1097" s="6"/>
    </row>
    <row r="1098" spans="7:10" x14ac:dyDescent="0.35">
      <c r="G1098" s="12"/>
      <c r="J1098" s="6"/>
    </row>
    <row r="1099" spans="7:10" x14ac:dyDescent="0.35">
      <c r="G1099" s="12"/>
      <c r="J1099" s="6"/>
    </row>
    <row r="1100" spans="7:10" x14ac:dyDescent="0.35">
      <c r="G1100" s="12"/>
      <c r="J1100" s="6"/>
    </row>
    <row r="1101" spans="7:10" x14ac:dyDescent="0.35">
      <c r="G1101" s="12"/>
      <c r="J1101" s="6"/>
    </row>
    <row r="1102" spans="7:10" x14ac:dyDescent="0.35">
      <c r="G1102" s="12"/>
      <c r="J1102" s="6"/>
    </row>
    <row r="1103" spans="7:10" x14ac:dyDescent="0.35">
      <c r="G1103" s="12"/>
      <c r="J1103" s="6"/>
    </row>
    <row r="1104" spans="7:10" x14ac:dyDescent="0.35">
      <c r="G1104" s="12"/>
      <c r="J1104" s="6"/>
    </row>
    <row r="1105" spans="7:10" x14ac:dyDescent="0.35">
      <c r="G1105" s="12"/>
      <c r="J1105" s="6"/>
    </row>
    <row r="1106" spans="7:10" x14ac:dyDescent="0.35">
      <c r="G1106" s="12"/>
      <c r="J1106" s="6"/>
    </row>
    <row r="1107" spans="7:10" x14ac:dyDescent="0.35">
      <c r="G1107" s="12"/>
      <c r="J1107" s="6"/>
    </row>
    <row r="1108" spans="7:10" x14ac:dyDescent="0.35">
      <c r="G1108" s="12"/>
      <c r="J1108" s="6"/>
    </row>
    <row r="1109" spans="7:10" x14ac:dyDescent="0.35">
      <c r="G1109" s="12"/>
      <c r="J1109" s="6"/>
    </row>
    <row r="1110" spans="7:10" x14ac:dyDescent="0.35">
      <c r="G1110" s="12"/>
      <c r="J1110" s="6"/>
    </row>
    <row r="1111" spans="7:10" x14ac:dyDescent="0.35">
      <c r="G1111" s="12"/>
      <c r="J1111" s="6"/>
    </row>
    <row r="1112" spans="7:10" x14ac:dyDescent="0.35">
      <c r="G1112" s="12"/>
      <c r="J1112" s="6"/>
    </row>
    <row r="1113" spans="7:10" x14ac:dyDescent="0.35">
      <c r="G1113" s="12"/>
      <c r="J1113" s="6"/>
    </row>
    <row r="1114" spans="7:10" x14ac:dyDescent="0.35">
      <c r="G1114" s="12"/>
      <c r="J1114" s="6"/>
    </row>
    <row r="1115" spans="7:10" x14ac:dyDescent="0.35">
      <c r="G1115" s="12"/>
      <c r="J1115" s="6"/>
    </row>
    <row r="1116" spans="7:10" x14ac:dyDescent="0.35">
      <c r="G1116" s="12"/>
      <c r="J1116" s="6"/>
    </row>
    <row r="1117" spans="7:10" x14ac:dyDescent="0.35">
      <c r="G1117" s="12"/>
      <c r="J1117" s="6"/>
    </row>
    <row r="1118" spans="7:10" x14ac:dyDescent="0.35">
      <c r="G1118" s="12"/>
      <c r="J1118" s="6"/>
    </row>
    <row r="1119" spans="7:10" x14ac:dyDescent="0.35">
      <c r="G1119" s="12"/>
      <c r="J1119" s="6"/>
    </row>
    <row r="1120" spans="7:10" x14ac:dyDescent="0.35">
      <c r="G1120" s="12"/>
      <c r="J1120" s="6"/>
    </row>
    <row r="1121" spans="7:10" x14ac:dyDescent="0.35">
      <c r="G1121" s="12"/>
      <c r="J1121" s="6"/>
    </row>
    <row r="1122" spans="7:10" x14ac:dyDescent="0.35">
      <c r="G1122" s="12"/>
      <c r="J1122" s="6"/>
    </row>
    <row r="1123" spans="7:10" x14ac:dyDescent="0.35">
      <c r="G1123" s="12"/>
      <c r="J1123" s="6"/>
    </row>
    <row r="1124" spans="7:10" x14ac:dyDescent="0.35">
      <c r="G1124" s="12"/>
      <c r="J1124" s="6"/>
    </row>
    <row r="1125" spans="7:10" x14ac:dyDescent="0.35">
      <c r="G1125" s="12"/>
      <c r="J1125" s="6"/>
    </row>
    <row r="1126" spans="7:10" x14ac:dyDescent="0.35">
      <c r="G1126" s="12"/>
      <c r="J1126" s="6"/>
    </row>
    <row r="1127" spans="7:10" x14ac:dyDescent="0.35">
      <c r="G1127" s="12"/>
      <c r="J1127" s="6"/>
    </row>
    <row r="1128" spans="7:10" x14ac:dyDescent="0.35">
      <c r="G1128" s="12"/>
      <c r="J1128" s="6"/>
    </row>
    <row r="1129" spans="7:10" x14ac:dyDescent="0.35">
      <c r="G1129" s="12"/>
      <c r="J1129" s="6"/>
    </row>
    <row r="1130" spans="7:10" x14ac:dyDescent="0.35">
      <c r="G1130" s="12"/>
      <c r="J1130" s="6"/>
    </row>
    <row r="1131" spans="7:10" x14ac:dyDescent="0.35">
      <c r="G1131" s="12"/>
      <c r="J1131" s="6"/>
    </row>
    <row r="1132" spans="7:10" x14ac:dyDescent="0.35">
      <c r="G1132" s="12"/>
      <c r="J1132" s="6"/>
    </row>
    <row r="1133" spans="7:10" x14ac:dyDescent="0.35">
      <c r="G1133" s="12"/>
      <c r="J1133" s="6"/>
    </row>
    <row r="1134" spans="7:10" x14ac:dyDescent="0.35">
      <c r="G1134" s="12"/>
      <c r="J1134" s="6"/>
    </row>
    <row r="1135" spans="7:10" x14ac:dyDescent="0.35">
      <c r="G1135" s="12"/>
      <c r="J1135" s="6"/>
    </row>
    <row r="1136" spans="7:10" x14ac:dyDescent="0.35">
      <c r="G1136" s="12"/>
      <c r="J1136" s="6"/>
    </row>
    <row r="1137" spans="7:10" x14ac:dyDescent="0.35">
      <c r="G1137" s="12"/>
      <c r="J1137" s="6"/>
    </row>
    <row r="1138" spans="7:10" x14ac:dyDescent="0.35">
      <c r="G1138" s="12"/>
      <c r="J1138" s="6"/>
    </row>
    <row r="1139" spans="7:10" x14ac:dyDescent="0.35">
      <c r="G1139" s="12"/>
      <c r="J1139" s="6"/>
    </row>
    <row r="1140" spans="7:10" x14ac:dyDescent="0.35">
      <c r="G1140" s="12"/>
      <c r="J1140" s="6"/>
    </row>
    <row r="1141" spans="7:10" x14ac:dyDescent="0.35">
      <c r="G1141" s="12"/>
      <c r="J1141" s="6"/>
    </row>
    <row r="1142" spans="7:10" x14ac:dyDescent="0.35">
      <c r="G1142" s="12"/>
      <c r="J1142" s="6"/>
    </row>
    <row r="1143" spans="7:10" x14ac:dyDescent="0.35">
      <c r="G1143" s="12"/>
      <c r="J1143" s="6"/>
    </row>
    <row r="1144" spans="7:10" x14ac:dyDescent="0.35">
      <c r="G1144" s="12"/>
      <c r="J1144" s="6"/>
    </row>
    <row r="1145" spans="7:10" x14ac:dyDescent="0.35">
      <c r="G1145" s="12"/>
      <c r="J1145" s="6"/>
    </row>
    <row r="1146" spans="7:10" x14ac:dyDescent="0.35">
      <c r="G1146" s="12"/>
      <c r="J1146" s="6"/>
    </row>
    <row r="1147" spans="7:10" x14ac:dyDescent="0.35">
      <c r="G1147" s="12"/>
      <c r="J1147" s="6"/>
    </row>
    <row r="1148" spans="7:10" x14ac:dyDescent="0.35">
      <c r="G1148" s="12"/>
      <c r="J1148" s="6"/>
    </row>
    <row r="1149" spans="7:10" x14ac:dyDescent="0.35">
      <c r="G1149" s="12"/>
      <c r="J1149" s="6"/>
    </row>
    <row r="1150" spans="7:10" x14ac:dyDescent="0.35">
      <c r="G1150" s="12"/>
      <c r="J1150" s="6"/>
    </row>
    <row r="1151" spans="7:10" x14ac:dyDescent="0.35">
      <c r="G1151" s="12"/>
      <c r="J1151" s="6"/>
    </row>
    <row r="1152" spans="7:10" x14ac:dyDescent="0.35">
      <c r="G1152" s="12"/>
      <c r="J1152" s="6"/>
    </row>
    <row r="1153" spans="7:10" x14ac:dyDescent="0.35">
      <c r="G1153" s="12"/>
      <c r="J1153" s="6"/>
    </row>
    <row r="1154" spans="7:10" x14ac:dyDescent="0.35">
      <c r="G1154" s="12"/>
      <c r="J1154" s="6"/>
    </row>
    <row r="1155" spans="7:10" x14ac:dyDescent="0.35">
      <c r="G1155" s="12"/>
      <c r="J1155" s="6"/>
    </row>
    <row r="1156" spans="7:10" x14ac:dyDescent="0.35">
      <c r="G1156" s="12"/>
      <c r="J1156" s="6"/>
    </row>
    <row r="1157" spans="7:10" x14ac:dyDescent="0.35">
      <c r="G1157" s="12"/>
      <c r="J1157" s="6"/>
    </row>
    <row r="1158" spans="7:10" x14ac:dyDescent="0.35">
      <c r="G1158" s="12"/>
      <c r="J1158" s="6"/>
    </row>
    <row r="1159" spans="7:10" x14ac:dyDescent="0.35">
      <c r="G1159" s="12"/>
      <c r="J1159" s="6"/>
    </row>
    <row r="1160" spans="7:10" x14ac:dyDescent="0.35">
      <c r="G1160" s="12"/>
      <c r="J1160" s="6"/>
    </row>
    <row r="1161" spans="7:10" x14ac:dyDescent="0.35">
      <c r="G1161" s="12"/>
      <c r="J1161" s="6"/>
    </row>
    <row r="1162" spans="7:10" x14ac:dyDescent="0.35">
      <c r="G1162" s="12"/>
      <c r="J1162" s="6"/>
    </row>
    <row r="1163" spans="7:10" x14ac:dyDescent="0.35">
      <c r="G1163" s="12"/>
      <c r="J1163" s="6"/>
    </row>
    <row r="1164" spans="7:10" x14ac:dyDescent="0.35">
      <c r="G1164" s="12"/>
      <c r="J1164" s="6"/>
    </row>
    <row r="1165" spans="7:10" x14ac:dyDescent="0.35">
      <c r="G1165" s="12"/>
      <c r="J1165" s="6"/>
    </row>
    <row r="1166" spans="7:10" x14ac:dyDescent="0.35">
      <c r="G1166" s="12"/>
      <c r="J1166" s="6"/>
    </row>
    <row r="1167" spans="7:10" x14ac:dyDescent="0.35">
      <c r="G1167" s="12"/>
      <c r="J1167" s="6"/>
    </row>
    <row r="1168" spans="7:10" x14ac:dyDescent="0.35">
      <c r="G1168" s="12"/>
      <c r="J1168" s="6"/>
    </row>
    <row r="1169" spans="7:10" x14ac:dyDescent="0.35">
      <c r="G1169" s="12"/>
      <c r="J1169" s="6"/>
    </row>
    <row r="1170" spans="7:10" x14ac:dyDescent="0.35">
      <c r="G1170" s="12"/>
      <c r="J1170" s="6"/>
    </row>
    <row r="1171" spans="7:10" x14ac:dyDescent="0.35">
      <c r="G1171" s="12"/>
      <c r="J1171" s="6"/>
    </row>
    <row r="1172" spans="7:10" x14ac:dyDescent="0.35">
      <c r="G1172" s="12"/>
      <c r="J1172" s="6"/>
    </row>
    <row r="1173" spans="7:10" x14ac:dyDescent="0.35">
      <c r="G1173" s="12"/>
      <c r="J1173" s="6"/>
    </row>
    <row r="1174" spans="7:10" x14ac:dyDescent="0.35">
      <c r="G1174" s="12"/>
      <c r="J1174" s="6"/>
    </row>
    <row r="1175" spans="7:10" x14ac:dyDescent="0.35">
      <c r="G1175" s="12"/>
      <c r="J1175" s="6"/>
    </row>
    <row r="1176" spans="7:10" x14ac:dyDescent="0.35">
      <c r="G1176" s="12"/>
      <c r="J1176" s="6"/>
    </row>
    <row r="1177" spans="7:10" x14ac:dyDescent="0.35">
      <c r="G1177" s="12"/>
      <c r="J1177" s="6"/>
    </row>
    <row r="1178" spans="7:10" x14ac:dyDescent="0.35">
      <c r="G1178" s="12"/>
      <c r="J1178" s="6"/>
    </row>
    <row r="1179" spans="7:10" x14ac:dyDescent="0.35">
      <c r="G1179" s="12"/>
      <c r="J1179" s="6"/>
    </row>
    <row r="1180" spans="7:10" x14ac:dyDescent="0.35">
      <c r="G1180" s="12"/>
      <c r="J1180" s="6"/>
    </row>
    <row r="1181" spans="7:10" x14ac:dyDescent="0.35">
      <c r="G1181" s="12"/>
      <c r="J1181" s="6"/>
    </row>
    <row r="1182" spans="7:10" x14ac:dyDescent="0.35">
      <c r="G1182" s="12"/>
      <c r="J1182" s="6"/>
    </row>
    <row r="1183" spans="7:10" x14ac:dyDescent="0.35">
      <c r="G1183" s="12"/>
      <c r="J1183" s="6"/>
    </row>
    <row r="1184" spans="7:10" x14ac:dyDescent="0.35">
      <c r="G1184" s="12"/>
      <c r="J1184" s="6"/>
    </row>
    <row r="1185" spans="7:10" x14ac:dyDescent="0.35">
      <c r="G1185" s="12"/>
      <c r="J1185" s="6"/>
    </row>
    <row r="1186" spans="7:10" x14ac:dyDescent="0.35">
      <c r="G1186" s="12"/>
      <c r="J1186" s="6"/>
    </row>
    <row r="1187" spans="7:10" x14ac:dyDescent="0.35">
      <c r="G1187" s="12"/>
      <c r="J1187" s="6"/>
    </row>
    <row r="1188" spans="7:10" x14ac:dyDescent="0.35">
      <c r="G1188" s="12"/>
      <c r="J1188" s="6"/>
    </row>
    <row r="1189" spans="7:10" x14ac:dyDescent="0.35">
      <c r="G1189" s="12"/>
      <c r="J1189" s="6"/>
    </row>
    <row r="1190" spans="7:10" x14ac:dyDescent="0.35">
      <c r="G1190" s="12"/>
      <c r="J1190" s="6"/>
    </row>
    <row r="1191" spans="7:10" x14ac:dyDescent="0.35">
      <c r="G1191" s="12"/>
      <c r="J1191" s="6"/>
    </row>
    <row r="1192" spans="7:10" x14ac:dyDescent="0.35">
      <c r="G1192" s="12"/>
      <c r="J1192" s="6"/>
    </row>
    <row r="1193" spans="7:10" x14ac:dyDescent="0.35">
      <c r="G1193" s="12"/>
      <c r="J1193" s="6"/>
    </row>
    <row r="1194" spans="7:10" x14ac:dyDescent="0.35">
      <c r="G1194" s="12"/>
      <c r="J1194" s="6"/>
    </row>
    <row r="1195" spans="7:10" x14ac:dyDescent="0.35">
      <c r="G1195" s="12"/>
      <c r="J1195" s="6"/>
    </row>
    <row r="1196" spans="7:10" x14ac:dyDescent="0.35">
      <c r="G1196" s="12"/>
      <c r="J1196" s="6"/>
    </row>
    <row r="1197" spans="7:10" x14ac:dyDescent="0.35">
      <c r="G1197" s="12"/>
      <c r="J1197" s="6"/>
    </row>
    <row r="1198" spans="7:10" x14ac:dyDescent="0.35">
      <c r="G1198" s="12"/>
      <c r="J1198" s="6"/>
    </row>
    <row r="1199" spans="7:10" x14ac:dyDescent="0.35">
      <c r="G1199" s="12"/>
      <c r="J1199" s="6"/>
    </row>
    <row r="1200" spans="7:10" x14ac:dyDescent="0.35">
      <c r="G1200" s="12"/>
      <c r="J1200" s="6"/>
    </row>
    <row r="1201" spans="7:10" x14ac:dyDescent="0.35">
      <c r="G1201" s="12"/>
      <c r="J1201" s="6"/>
    </row>
    <row r="1202" spans="7:10" x14ac:dyDescent="0.35">
      <c r="G1202" s="12"/>
      <c r="J1202" s="6"/>
    </row>
    <row r="1203" spans="7:10" x14ac:dyDescent="0.35">
      <c r="G1203" s="12"/>
      <c r="J1203" s="6"/>
    </row>
    <row r="1204" spans="7:10" x14ac:dyDescent="0.35">
      <c r="G1204" s="12"/>
      <c r="J1204" s="6"/>
    </row>
    <row r="1205" spans="7:10" x14ac:dyDescent="0.35">
      <c r="G1205" s="12"/>
      <c r="J1205" s="6"/>
    </row>
    <row r="1206" spans="7:10" x14ac:dyDescent="0.35">
      <c r="G1206" s="12"/>
      <c r="J1206" s="6"/>
    </row>
    <row r="1207" spans="7:10" x14ac:dyDescent="0.35">
      <c r="G1207" s="12"/>
      <c r="J1207" s="6"/>
    </row>
    <row r="1208" spans="7:10" x14ac:dyDescent="0.35">
      <c r="G1208" s="12"/>
      <c r="J1208" s="6"/>
    </row>
    <row r="1209" spans="7:10" x14ac:dyDescent="0.35">
      <c r="G1209" s="12"/>
      <c r="J1209" s="6"/>
    </row>
    <row r="1210" spans="7:10" x14ac:dyDescent="0.35">
      <c r="G1210" s="12"/>
      <c r="J1210" s="6"/>
    </row>
    <row r="1211" spans="7:10" x14ac:dyDescent="0.35">
      <c r="G1211" s="12"/>
      <c r="J1211" s="6"/>
    </row>
    <row r="1212" spans="7:10" x14ac:dyDescent="0.35">
      <c r="G1212" s="12"/>
      <c r="J1212" s="6"/>
    </row>
    <row r="1213" spans="7:10" x14ac:dyDescent="0.35">
      <c r="G1213" s="12"/>
      <c r="J1213" s="6"/>
    </row>
    <row r="1214" spans="7:10" x14ac:dyDescent="0.35">
      <c r="G1214" s="12"/>
      <c r="J1214" s="6"/>
    </row>
    <row r="1215" spans="7:10" x14ac:dyDescent="0.35">
      <c r="G1215" s="12"/>
      <c r="J1215" s="6"/>
    </row>
    <row r="1216" spans="7:10" x14ac:dyDescent="0.35">
      <c r="G1216" s="12"/>
      <c r="J1216" s="6"/>
    </row>
    <row r="1217" spans="7:10" x14ac:dyDescent="0.35">
      <c r="G1217" s="12"/>
      <c r="J1217" s="6"/>
    </row>
    <row r="1218" spans="7:10" x14ac:dyDescent="0.35">
      <c r="G1218" s="12"/>
      <c r="J1218" s="6"/>
    </row>
    <row r="1219" spans="7:10" x14ac:dyDescent="0.35">
      <c r="G1219" s="12"/>
      <c r="J1219" s="6"/>
    </row>
    <row r="1220" spans="7:10" x14ac:dyDescent="0.35">
      <c r="G1220" s="12"/>
      <c r="J1220" s="6"/>
    </row>
    <row r="1221" spans="7:10" x14ac:dyDescent="0.35">
      <c r="G1221" s="12"/>
      <c r="J1221" s="6"/>
    </row>
    <row r="1222" spans="7:10" x14ac:dyDescent="0.35">
      <c r="G1222" s="12"/>
      <c r="J1222" s="6"/>
    </row>
    <row r="1223" spans="7:10" x14ac:dyDescent="0.35">
      <c r="G1223" s="12"/>
      <c r="J1223" s="6"/>
    </row>
    <row r="1224" spans="7:10" x14ac:dyDescent="0.35">
      <c r="G1224" s="12"/>
      <c r="J1224" s="6"/>
    </row>
    <row r="1225" spans="7:10" x14ac:dyDescent="0.35">
      <c r="G1225" s="12"/>
      <c r="J1225" s="6"/>
    </row>
    <row r="1226" spans="7:10" x14ac:dyDescent="0.35">
      <c r="G1226" s="12"/>
      <c r="J1226" s="6"/>
    </row>
    <row r="1227" spans="7:10" x14ac:dyDescent="0.35">
      <c r="G1227" s="12"/>
      <c r="J1227" s="6"/>
    </row>
    <row r="1228" spans="7:10" x14ac:dyDescent="0.35">
      <c r="G1228" s="12"/>
      <c r="J1228" s="6"/>
    </row>
    <row r="1229" spans="7:10" x14ac:dyDescent="0.35">
      <c r="G1229" s="12"/>
      <c r="J1229" s="6"/>
    </row>
    <row r="1230" spans="7:10" x14ac:dyDescent="0.35">
      <c r="G1230" s="12"/>
      <c r="J1230" s="6"/>
    </row>
    <row r="1231" spans="7:10" x14ac:dyDescent="0.35">
      <c r="G1231" s="12"/>
      <c r="J1231" s="6"/>
    </row>
    <row r="1232" spans="7:10" x14ac:dyDescent="0.35">
      <c r="G1232" s="12"/>
      <c r="J1232" s="6"/>
    </row>
    <row r="1233" spans="7:10" x14ac:dyDescent="0.35">
      <c r="G1233" s="12"/>
      <c r="J1233" s="6"/>
    </row>
    <row r="1234" spans="7:10" x14ac:dyDescent="0.35">
      <c r="G1234" s="12"/>
      <c r="J1234" s="6"/>
    </row>
    <row r="1235" spans="7:10" x14ac:dyDescent="0.35">
      <c r="G1235" s="12"/>
      <c r="J1235" s="6"/>
    </row>
    <row r="1236" spans="7:10" x14ac:dyDescent="0.35">
      <c r="G1236" s="12"/>
      <c r="J1236" s="6"/>
    </row>
    <row r="1237" spans="7:10" x14ac:dyDescent="0.35">
      <c r="G1237" s="12"/>
      <c r="J1237" s="6"/>
    </row>
    <row r="1238" spans="7:10" x14ac:dyDescent="0.35">
      <c r="G1238" s="12"/>
      <c r="J1238" s="6"/>
    </row>
    <row r="1239" spans="7:10" x14ac:dyDescent="0.35">
      <c r="G1239" s="12"/>
      <c r="J1239" s="6"/>
    </row>
    <row r="1240" spans="7:10" x14ac:dyDescent="0.35">
      <c r="G1240" s="12"/>
      <c r="J1240" s="6"/>
    </row>
    <row r="1241" spans="7:10" x14ac:dyDescent="0.35">
      <c r="G1241" s="12"/>
      <c r="J1241" s="6"/>
    </row>
    <row r="1242" spans="7:10" x14ac:dyDescent="0.35">
      <c r="G1242" s="12"/>
      <c r="J1242" s="6"/>
    </row>
    <row r="1243" spans="7:10" x14ac:dyDescent="0.35">
      <c r="G1243" s="12"/>
      <c r="J1243" s="6"/>
    </row>
    <row r="1244" spans="7:10" x14ac:dyDescent="0.35">
      <c r="G1244" s="12"/>
      <c r="J1244" s="6"/>
    </row>
    <row r="1245" spans="7:10" x14ac:dyDescent="0.35">
      <c r="G1245" s="12"/>
      <c r="J1245" s="6"/>
    </row>
    <row r="1246" spans="7:10" x14ac:dyDescent="0.35">
      <c r="G1246" s="12"/>
      <c r="J1246" s="6"/>
    </row>
    <row r="1247" spans="7:10" x14ac:dyDescent="0.35">
      <c r="G1247" s="12"/>
      <c r="J1247" s="6"/>
    </row>
    <row r="1248" spans="7:10" x14ac:dyDescent="0.35">
      <c r="G1248" s="12"/>
      <c r="J1248" s="6"/>
    </row>
    <row r="1249" spans="7:10" x14ac:dyDescent="0.35">
      <c r="G1249" s="12"/>
      <c r="J1249" s="6"/>
    </row>
    <row r="1250" spans="7:10" x14ac:dyDescent="0.35">
      <c r="G1250" s="12"/>
      <c r="J1250" s="6"/>
    </row>
    <row r="1251" spans="7:10" x14ac:dyDescent="0.35">
      <c r="G1251" s="12"/>
      <c r="J1251" s="6"/>
    </row>
    <row r="1252" spans="7:10" x14ac:dyDescent="0.35">
      <c r="G1252" s="12"/>
      <c r="J1252" s="6"/>
    </row>
    <row r="1253" spans="7:10" x14ac:dyDescent="0.35">
      <c r="G1253" s="12"/>
      <c r="J1253" s="6"/>
    </row>
    <row r="1254" spans="7:10" x14ac:dyDescent="0.35">
      <c r="G1254" s="12"/>
      <c r="J1254" s="6"/>
    </row>
    <row r="1255" spans="7:10" x14ac:dyDescent="0.35">
      <c r="G1255" s="12"/>
      <c r="J1255" s="6"/>
    </row>
    <row r="1256" spans="7:10" x14ac:dyDescent="0.35">
      <c r="G1256" s="12"/>
      <c r="J1256" s="6"/>
    </row>
    <row r="1257" spans="7:10" x14ac:dyDescent="0.35">
      <c r="G1257" s="12"/>
      <c r="J1257" s="6"/>
    </row>
    <row r="1258" spans="7:10" x14ac:dyDescent="0.35">
      <c r="G1258" s="12"/>
      <c r="J1258" s="6"/>
    </row>
    <row r="1259" spans="7:10" x14ac:dyDescent="0.35">
      <c r="G1259" s="12"/>
      <c r="J1259" s="6"/>
    </row>
    <row r="1260" spans="7:10" x14ac:dyDescent="0.35">
      <c r="G1260" s="12"/>
      <c r="J1260" s="6"/>
    </row>
    <row r="1261" spans="7:10" x14ac:dyDescent="0.35">
      <c r="G1261" s="12"/>
      <c r="J1261" s="6"/>
    </row>
    <row r="1262" spans="7:10" x14ac:dyDescent="0.35">
      <c r="G1262" s="12"/>
      <c r="J1262" s="6"/>
    </row>
    <row r="1263" spans="7:10" x14ac:dyDescent="0.35">
      <c r="G1263" s="12"/>
      <c r="J1263" s="6"/>
    </row>
    <row r="1264" spans="7:10" x14ac:dyDescent="0.35">
      <c r="G1264" s="12"/>
      <c r="J1264" s="6"/>
    </row>
  </sheetData>
  <autoFilter ref="A1:Z1" xr:uid="{B4425CDA-4DA2-495D-981F-938AB04B7F76}"/>
  <conditionalFormatting sqref="A2:A98">
    <cfRule type="duplicateValues" dxfId="331" priority="57"/>
  </conditionalFormatting>
  <conditionalFormatting sqref="A2:A241">
    <cfRule type="duplicateValues" dxfId="330" priority="58"/>
    <cfRule type="duplicateValues" dxfId="329" priority="55"/>
    <cfRule type="duplicateValues" dxfId="328" priority="54"/>
    <cfRule type="duplicateValues" dxfId="327" priority="59"/>
    <cfRule type="duplicateValues" dxfId="326" priority="60"/>
  </conditionalFormatting>
  <conditionalFormatting sqref="A2:A242">
    <cfRule type="duplicateValues" dxfId="325" priority="61"/>
    <cfRule type="duplicateValues" dxfId="324" priority="56"/>
  </conditionalFormatting>
  <conditionalFormatting sqref="A2:A290">
    <cfRule type="duplicateValues" dxfId="323" priority="53"/>
  </conditionalFormatting>
  <conditionalFormatting sqref="A3:A88">
    <cfRule type="duplicateValues" dxfId="322" priority="52"/>
  </conditionalFormatting>
  <conditionalFormatting sqref="A113:A115">
    <cfRule type="duplicateValues" dxfId="321" priority="51"/>
    <cfRule type="duplicateValues" dxfId="320" priority="50"/>
    <cfRule type="duplicateValues" dxfId="319" priority="49"/>
  </conditionalFormatting>
  <conditionalFormatting sqref="A113:A148">
    <cfRule type="duplicateValues" dxfId="318" priority="48"/>
  </conditionalFormatting>
  <conditionalFormatting sqref="A118">
    <cfRule type="duplicateValues" dxfId="317" priority="39"/>
    <cfRule type="duplicateValues" dxfId="316" priority="41"/>
    <cfRule type="duplicateValues" dxfId="315" priority="40"/>
  </conditionalFormatting>
  <conditionalFormatting sqref="A119">
    <cfRule type="duplicateValues" dxfId="314" priority="42"/>
    <cfRule type="duplicateValues" dxfId="313" priority="44"/>
    <cfRule type="duplicateValues" dxfId="312" priority="43"/>
  </conditionalFormatting>
  <conditionalFormatting sqref="A122">
    <cfRule type="duplicateValues" dxfId="311" priority="33"/>
    <cfRule type="duplicateValues" dxfId="310" priority="34"/>
    <cfRule type="duplicateValues" dxfId="309" priority="35"/>
  </conditionalFormatting>
  <conditionalFormatting sqref="A123">
    <cfRule type="duplicateValues" dxfId="308" priority="36"/>
    <cfRule type="duplicateValues" dxfId="307" priority="38"/>
    <cfRule type="duplicateValues" dxfId="306" priority="37"/>
  </conditionalFormatting>
  <conditionalFormatting sqref="A126">
    <cfRule type="duplicateValues" dxfId="305" priority="30"/>
    <cfRule type="duplicateValues" dxfId="304" priority="31"/>
    <cfRule type="duplicateValues" dxfId="303" priority="32"/>
  </conditionalFormatting>
  <conditionalFormatting sqref="A127 A124:A125 A116:A117 A120:A121">
    <cfRule type="duplicateValues" dxfId="302" priority="47"/>
    <cfRule type="duplicateValues" dxfId="301" priority="46"/>
    <cfRule type="duplicateValues" dxfId="300" priority="45"/>
  </conditionalFormatting>
  <conditionalFormatting sqref="A129">
    <cfRule type="duplicateValues" dxfId="299" priority="24"/>
    <cfRule type="duplicateValues" dxfId="298" priority="25"/>
    <cfRule type="duplicateValues" dxfId="297" priority="26"/>
  </conditionalFormatting>
  <conditionalFormatting sqref="A130:A134">
    <cfRule type="duplicateValues" dxfId="296" priority="27"/>
    <cfRule type="duplicateValues" dxfId="295" priority="28"/>
    <cfRule type="duplicateValues" dxfId="294" priority="29"/>
  </conditionalFormatting>
  <conditionalFormatting sqref="A149:A183">
    <cfRule type="duplicateValues" dxfId="293" priority="23"/>
  </conditionalFormatting>
  <conditionalFormatting sqref="A243">
    <cfRule type="duplicateValues" dxfId="292" priority="17"/>
    <cfRule type="duplicateValues" dxfId="291" priority="18"/>
    <cfRule type="duplicateValues" dxfId="290" priority="19"/>
  </conditionalFormatting>
  <conditionalFormatting sqref="A243:A290">
    <cfRule type="duplicateValues" dxfId="289" priority="20"/>
    <cfRule type="duplicateValues" dxfId="288" priority="16"/>
    <cfRule type="duplicateValues" dxfId="287" priority="22"/>
    <cfRule type="duplicateValues" dxfId="286" priority="21"/>
  </conditionalFormatting>
  <conditionalFormatting sqref="A244:A275">
    <cfRule type="duplicateValues" dxfId="285" priority="15"/>
    <cfRule type="duplicateValues" dxfId="284" priority="14"/>
  </conditionalFormatting>
  <conditionalFormatting sqref="A244:A290">
    <cfRule type="duplicateValues" dxfId="283" priority="13"/>
    <cfRule type="duplicateValues" dxfId="282" priority="12"/>
  </conditionalFormatting>
  <conditionalFormatting sqref="A276">
    <cfRule type="duplicateValues" dxfId="281" priority="4"/>
    <cfRule type="duplicateValues" dxfId="280" priority="3"/>
    <cfRule type="duplicateValues" dxfId="279" priority="2"/>
  </conditionalFormatting>
  <conditionalFormatting sqref="A276:A279">
    <cfRule type="duplicateValues" dxfId="278" priority="11"/>
  </conditionalFormatting>
  <conditionalFormatting sqref="A277:A278">
    <cfRule type="duplicateValues" dxfId="277" priority="7"/>
    <cfRule type="duplicateValues" dxfId="276" priority="6"/>
    <cfRule type="duplicateValues" dxfId="275" priority="5"/>
  </conditionalFormatting>
  <conditionalFormatting sqref="A279">
    <cfRule type="duplicateValues" dxfId="274" priority="10"/>
    <cfRule type="duplicateValues" dxfId="273" priority="9"/>
    <cfRule type="duplicateValues" dxfId="272" priority="8"/>
  </conditionalFormatting>
  <conditionalFormatting sqref="A280">
    <cfRule type="duplicateValues" dxfId="271" priority="1"/>
  </conditionalFormatting>
  <conditionalFormatting sqref="A301:A306">
    <cfRule type="duplicateValues" dxfId="270" priority="81"/>
    <cfRule type="duplicateValues" dxfId="269" priority="82"/>
  </conditionalFormatting>
  <conditionalFormatting sqref="A301:A328">
    <cfRule type="duplicateValues" dxfId="268" priority="87"/>
    <cfRule type="duplicateValues" dxfId="267" priority="86"/>
    <cfRule type="duplicateValues" dxfId="266" priority="84"/>
    <cfRule type="duplicateValues" dxfId="265" priority="85"/>
    <cfRule type="duplicateValues" dxfId="264" priority="83"/>
  </conditionalFormatting>
  <conditionalFormatting sqref="A307">
    <cfRule type="duplicateValues" dxfId="263" priority="69"/>
    <cfRule type="duplicateValues" dxfId="262" priority="70"/>
    <cfRule type="duplicateValues" dxfId="261" priority="71"/>
  </conditionalFormatting>
  <conditionalFormatting sqref="A308:A309">
    <cfRule type="duplicateValues" dxfId="260" priority="72"/>
    <cfRule type="duplicateValues" dxfId="259" priority="73"/>
    <cfRule type="duplicateValues" dxfId="258" priority="74"/>
  </conditionalFormatting>
  <conditionalFormatting sqref="A310">
    <cfRule type="duplicateValues" dxfId="257" priority="75"/>
    <cfRule type="duplicateValues" dxfId="256" priority="76"/>
    <cfRule type="duplicateValues" dxfId="255" priority="77"/>
  </conditionalFormatting>
  <conditionalFormatting sqref="A311">
    <cfRule type="duplicateValues" dxfId="254" priority="64"/>
    <cfRule type="duplicateValues" dxfId="253" priority="63"/>
    <cfRule type="duplicateValues" dxfId="252" priority="65"/>
  </conditionalFormatting>
  <conditionalFormatting sqref="A313 A307:A311">
    <cfRule type="duplicateValues" dxfId="251" priority="78"/>
  </conditionalFormatting>
  <conditionalFormatting sqref="A313">
    <cfRule type="duplicateValues" dxfId="250" priority="66"/>
    <cfRule type="duplicateValues" dxfId="249" priority="67"/>
    <cfRule type="duplicateValues" dxfId="248" priority="68"/>
  </conditionalFormatting>
  <conditionalFormatting sqref="A313:A328 A301:A311">
    <cfRule type="duplicateValues" dxfId="247" priority="79"/>
    <cfRule type="duplicateValues" dxfId="246" priority="80"/>
  </conditionalFormatting>
  <conditionalFormatting sqref="A314">
    <cfRule type="duplicateValues" dxfId="245" priority="62"/>
  </conditionalFormatting>
  <conditionalFormatting sqref="A339">
    <cfRule type="duplicateValues" dxfId="244" priority="163"/>
    <cfRule type="duplicateValues" dxfId="243" priority="162"/>
    <cfRule type="duplicateValues" dxfId="242" priority="165"/>
  </conditionalFormatting>
  <conditionalFormatting sqref="A339:A340">
    <cfRule type="duplicateValues" dxfId="241" priority="164"/>
  </conditionalFormatting>
  <conditionalFormatting sqref="A345">
    <cfRule type="duplicateValues" dxfId="240" priority="155"/>
    <cfRule type="duplicateValues" dxfId="239" priority="154"/>
  </conditionalFormatting>
  <conditionalFormatting sqref="A345:A491">
    <cfRule type="duplicateValues" dxfId="238" priority="153"/>
  </conditionalFormatting>
  <conditionalFormatting sqref="A346:A348">
    <cfRule type="duplicateValues" dxfId="237" priority="156"/>
    <cfRule type="duplicateValues" dxfId="236" priority="157"/>
  </conditionalFormatting>
  <conditionalFormatting sqref="A349">
    <cfRule type="duplicateValues" dxfId="235" priority="150"/>
    <cfRule type="duplicateValues" dxfId="234" priority="152"/>
    <cfRule type="duplicateValues" dxfId="233" priority="151"/>
  </conditionalFormatting>
  <conditionalFormatting sqref="A381">
    <cfRule type="duplicateValues" dxfId="232" priority="103"/>
    <cfRule type="duplicateValues" dxfId="231" priority="101"/>
    <cfRule type="duplicateValues" dxfId="230" priority="102"/>
  </conditionalFormatting>
  <conditionalFormatting sqref="A382">
    <cfRule type="duplicateValues" dxfId="229" priority="104"/>
    <cfRule type="duplicateValues" dxfId="228" priority="105"/>
    <cfRule type="duplicateValues" dxfId="227" priority="106"/>
  </conditionalFormatting>
  <conditionalFormatting sqref="A383">
    <cfRule type="duplicateValues" dxfId="226" priority="107"/>
    <cfRule type="duplicateValues" dxfId="225" priority="108"/>
    <cfRule type="duplicateValues" dxfId="224" priority="109"/>
  </conditionalFormatting>
  <conditionalFormatting sqref="A383:A491 A345:A380">
    <cfRule type="duplicateValues" dxfId="223" priority="160"/>
    <cfRule type="duplicateValues" dxfId="222" priority="158"/>
    <cfRule type="duplicateValues" dxfId="221" priority="159"/>
  </conditionalFormatting>
  <conditionalFormatting sqref="A384">
    <cfRule type="duplicateValues" dxfId="220" priority="110"/>
    <cfRule type="duplicateValues" dxfId="219" priority="111"/>
    <cfRule type="duplicateValues" dxfId="218" priority="112"/>
  </conditionalFormatting>
  <conditionalFormatting sqref="A385">
    <cfRule type="duplicateValues" dxfId="217" priority="113"/>
    <cfRule type="duplicateValues" dxfId="216" priority="114"/>
    <cfRule type="duplicateValues" dxfId="215" priority="115"/>
  </conditionalFormatting>
  <conditionalFormatting sqref="A386">
    <cfRule type="duplicateValues" dxfId="214" priority="116"/>
    <cfRule type="duplicateValues" dxfId="213" priority="117"/>
    <cfRule type="duplicateValues" dxfId="212" priority="118"/>
  </conditionalFormatting>
  <conditionalFormatting sqref="A387:A434 A350:A380">
    <cfRule type="duplicateValues" dxfId="211" priority="119"/>
  </conditionalFormatting>
  <conditionalFormatting sqref="A387:A435 A350:A380">
    <cfRule type="duplicateValues" dxfId="210" priority="120"/>
  </conditionalFormatting>
  <conditionalFormatting sqref="A436">
    <cfRule type="duplicateValues" dxfId="209" priority="121"/>
    <cfRule type="duplicateValues" dxfId="208" priority="122"/>
    <cfRule type="duplicateValues" dxfId="207" priority="123"/>
  </conditionalFormatting>
  <conditionalFormatting sqref="A437:A438">
    <cfRule type="duplicateValues" dxfId="206" priority="126"/>
    <cfRule type="duplicateValues" dxfId="205" priority="124"/>
    <cfRule type="duplicateValues" dxfId="204" priority="125"/>
  </conditionalFormatting>
  <conditionalFormatting sqref="A439:A440">
    <cfRule type="duplicateValues" dxfId="203" priority="129"/>
    <cfRule type="duplicateValues" dxfId="202" priority="127"/>
    <cfRule type="duplicateValues" dxfId="201" priority="128"/>
  </conditionalFormatting>
  <conditionalFormatting sqref="A441:A442">
    <cfRule type="duplicateValues" dxfId="200" priority="130"/>
    <cfRule type="duplicateValues" dxfId="199" priority="131"/>
    <cfRule type="duplicateValues" dxfId="198" priority="132"/>
  </conditionalFormatting>
  <conditionalFormatting sqref="A445:A446 A449">
    <cfRule type="duplicateValues" dxfId="197" priority="133"/>
    <cfRule type="duplicateValues" dxfId="196" priority="134"/>
    <cfRule type="duplicateValues" dxfId="195" priority="135"/>
  </conditionalFormatting>
  <conditionalFormatting sqref="A447">
    <cfRule type="duplicateValues" dxfId="194" priority="136"/>
    <cfRule type="duplicateValues" dxfId="193" priority="137"/>
    <cfRule type="duplicateValues" dxfId="192" priority="138"/>
  </conditionalFormatting>
  <conditionalFormatting sqref="A448">
    <cfRule type="duplicateValues" dxfId="191" priority="139"/>
    <cfRule type="duplicateValues" dxfId="190" priority="140"/>
    <cfRule type="duplicateValues" dxfId="189" priority="141"/>
  </conditionalFormatting>
  <conditionalFormatting sqref="A451">
    <cfRule type="duplicateValues" dxfId="188" priority="142"/>
    <cfRule type="duplicateValues" dxfId="187" priority="143"/>
    <cfRule type="duplicateValues" dxfId="186" priority="144"/>
  </conditionalFormatting>
  <conditionalFormatting sqref="A453 A451 A436:A449">
    <cfRule type="duplicateValues" dxfId="185" priority="145"/>
  </conditionalFormatting>
  <conditionalFormatting sqref="A453">
    <cfRule type="duplicateValues" dxfId="184" priority="148"/>
    <cfRule type="duplicateValues" dxfId="183" priority="146"/>
    <cfRule type="duplicateValues" dxfId="182" priority="147"/>
  </conditionalFormatting>
  <conditionalFormatting sqref="A453:A491 A451 A387:A449 A350:A380">
    <cfRule type="duplicateValues" dxfId="181" priority="99"/>
    <cfRule type="duplicateValues" dxfId="180" priority="100"/>
  </conditionalFormatting>
  <conditionalFormatting sqref="A454:A476">
    <cfRule type="duplicateValues" dxfId="179" priority="149"/>
  </conditionalFormatting>
  <conditionalFormatting sqref="A502:A510 A339:A340">
    <cfRule type="duplicateValues" dxfId="178" priority="166"/>
  </conditionalFormatting>
  <conditionalFormatting sqref="A502:A510 A339:A491">
    <cfRule type="duplicateValues" dxfId="177" priority="161"/>
  </conditionalFormatting>
  <conditionalFormatting sqref="A511">
    <cfRule type="duplicateValues" dxfId="176" priority="98"/>
    <cfRule type="duplicateValues" dxfId="175" priority="97"/>
    <cfRule type="duplicateValues" dxfId="174" priority="96"/>
    <cfRule type="duplicateValues" dxfId="173" priority="95"/>
    <cfRule type="duplicateValues" dxfId="172" priority="94"/>
    <cfRule type="duplicateValues" dxfId="171" priority="93"/>
    <cfRule type="duplicateValues" dxfId="170" priority="92"/>
    <cfRule type="duplicateValues" dxfId="169" priority="90"/>
    <cfRule type="duplicateValues" dxfId="168" priority="89"/>
    <cfRule type="duplicateValues" dxfId="167" priority="88"/>
    <cfRule type="duplicateValues" dxfId="166" priority="9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5CDA-4DA2-495D-981F-938AB04B7F76}">
  <dimension ref="A1:Y1264"/>
  <sheetViews>
    <sheetView topLeftCell="O1" zoomScale="59" zoomScaleNormal="70" workbookViewId="0">
      <selection activeCell="AF17" sqref="AF17"/>
    </sheetView>
  </sheetViews>
  <sheetFormatPr defaultRowHeight="14.5" x14ac:dyDescent="0.35"/>
  <cols>
    <col min="1" max="1" width="21.08984375" style="26" customWidth="1"/>
    <col min="2" max="2" width="21.26953125" style="7" customWidth="1"/>
    <col min="3" max="3" width="15.1796875" customWidth="1"/>
    <col min="4" max="4" width="11.81640625" customWidth="1"/>
    <col min="5" max="5" width="14.81640625" style="8" bestFit="1" customWidth="1"/>
    <col min="6" max="6" width="14.7265625" style="13" customWidth="1"/>
    <col min="7" max="7" width="12.26953125" bestFit="1" customWidth="1"/>
    <col min="8" max="8" width="12.90625" customWidth="1"/>
    <col min="9" max="9" width="18.1796875" style="51" bestFit="1" customWidth="1"/>
    <col min="10" max="10" width="16.90625" style="6" customWidth="1"/>
    <col min="11" max="11" width="16.26953125" style="64" customWidth="1"/>
    <col min="12" max="12" width="11.81640625" style="6" customWidth="1"/>
    <col min="13" max="13" width="20.36328125" bestFit="1" customWidth="1"/>
    <col min="14" max="15" width="21.453125" style="6" customWidth="1"/>
    <col min="16" max="16" width="15.1796875" customWidth="1"/>
    <col min="17" max="17" width="13.7265625" customWidth="1"/>
    <col min="18" max="18" width="18" customWidth="1"/>
    <col min="19" max="19" width="21.453125" customWidth="1"/>
    <col min="20" max="20" width="14.26953125" customWidth="1"/>
    <col min="21" max="21" width="16.453125" customWidth="1"/>
    <col min="22" max="22" width="19.36328125" bestFit="1" customWidth="1"/>
    <col min="23" max="23" width="21.81640625" bestFit="1" customWidth="1"/>
    <col min="24" max="24" width="20.6328125" style="62" customWidth="1"/>
  </cols>
  <sheetData>
    <row r="1" spans="1:24" s="1" customFormat="1" ht="13" x14ac:dyDescent="0.3">
      <c r="A1" s="9" t="s">
        <v>4</v>
      </c>
      <c r="B1" s="9" t="s">
        <v>15</v>
      </c>
      <c r="C1" s="9" t="s">
        <v>2</v>
      </c>
      <c r="D1" s="9" t="s">
        <v>3</v>
      </c>
      <c r="E1" s="19" t="s">
        <v>12</v>
      </c>
      <c r="F1" s="20" t="s">
        <v>5</v>
      </c>
      <c r="G1" s="4" t="s">
        <v>0</v>
      </c>
      <c r="H1" s="21" t="s">
        <v>7</v>
      </c>
      <c r="I1" s="2" t="s">
        <v>14</v>
      </c>
      <c r="J1" s="4" t="s">
        <v>13</v>
      </c>
      <c r="K1" s="77" t="s">
        <v>6</v>
      </c>
      <c r="L1" s="2" t="s">
        <v>1</v>
      </c>
      <c r="M1" s="22" t="s">
        <v>8</v>
      </c>
      <c r="N1" s="3" t="s">
        <v>347</v>
      </c>
      <c r="O1" s="3" t="s">
        <v>348</v>
      </c>
      <c r="P1" s="22" t="s">
        <v>9</v>
      </c>
      <c r="Q1" s="23" t="s">
        <v>10</v>
      </c>
      <c r="R1" s="24" t="s">
        <v>11</v>
      </c>
      <c r="S1" s="58" t="s">
        <v>349</v>
      </c>
      <c r="T1" s="58" t="s">
        <v>350</v>
      </c>
      <c r="U1" s="58" t="s">
        <v>351</v>
      </c>
      <c r="V1" s="58" t="s">
        <v>352</v>
      </c>
      <c r="W1" s="58" t="s">
        <v>353</v>
      </c>
      <c r="X1" s="78" t="s">
        <v>354</v>
      </c>
    </row>
    <row r="2" spans="1:24" x14ac:dyDescent="0.35">
      <c r="A2" s="25" t="s">
        <v>16</v>
      </c>
      <c r="B2" s="10" t="s">
        <v>314</v>
      </c>
      <c r="C2" s="10" t="s">
        <v>341</v>
      </c>
      <c r="D2" s="10" t="s">
        <v>346</v>
      </c>
      <c r="E2" s="11">
        <v>45892</v>
      </c>
      <c r="F2" s="14">
        <f ca="1">TODAY()-E2</f>
        <v>207</v>
      </c>
      <c r="G2" s="17">
        <v>399</v>
      </c>
      <c r="H2" s="17">
        <v>230</v>
      </c>
      <c r="I2" s="53">
        <f>J2-K2</f>
        <v>1518</v>
      </c>
      <c r="J2" s="17">
        <v>3200</v>
      </c>
      <c r="K2" s="66">
        <v>1682</v>
      </c>
      <c r="L2" s="52">
        <f ca="1">K2/F2</f>
        <v>8.1256038647343001</v>
      </c>
      <c r="M2" s="50">
        <f>AVERAGEIFS(N:N,C:C,C2)</f>
        <v>0.92883099285538351</v>
      </c>
      <c r="N2" s="52">
        <f>K2/328</f>
        <v>5.1280487804878048</v>
      </c>
      <c r="O2" s="56">
        <f>N2*82</f>
        <v>420.5</v>
      </c>
      <c r="P2" s="54">
        <f>I2/O2</f>
        <v>3.6099881093935791</v>
      </c>
      <c r="Q2" s="55">
        <f>(G2-H2)/G2*100</f>
        <v>42.355889724310778</v>
      </c>
      <c r="R2" s="55">
        <f>K2/J2*100</f>
        <v>52.5625</v>
      </c>
      <c r="S2" s="13">
        <f>IF(N2&gt;=M2,3,IF(N2&gt;=0.8*M2,2,1))</f>
        <v>3</v>
      </c>
      <c r="T2" s="13">
        <f t="shared" ref="T2:T66" si="0">IF(P2&lt;=4,3,IF(P2&lt;=6,2,1))</f>
        <v>3</v>
      </c>
      <c r="U2" s="13">
        <f>IF(Q2&gt;=60,3,IF(Q2&gt;=45,2,1))</f>
        <v>1</v>
      </c>
      <c r="V2" s="13">
        <f ca="1">IF(L2&lt;=10,3,IF(L2&lt;=25,2,1))</f>
        <v>3</v>
      </c>
      <c r="W2" s="13">
        <f ca="1">S2+T2+U2+V2</f>
        <v>10</v>
      </c>
      <c r="X2" s="61" t="str">
        <f ca="1">IFERROR(IF(W2&gt;=9,"RE-BUY",IF(W2&gt;=6,"MONITOR","EXIT")),"EXIT")</f>
        <v>RE-BUY</v>
      </c>
    </row>
    <row r="3" spans="1:24" x14ac:dyDescent="0.35">
      <c r="A3" s="25" t="s">
        <v>17</v>
      </c>
      <c r="B3" s="10" t="s">
        <v>314</v>
      </c>
      <c r="C3" s="10" t="s">
        <v>341</v>
      </c>
      <c r="D3" s="10" t="s">
        <v>346</v>
      </c>
      <c r="E3" s="11">
        <v>45892</v>
      </c>
      <c r="F3" s="14">
        <f t="shared" ref="F3:F66" ca="1" si="1">TODAY()-E3</f>
        <v>207</v>
      </c>
      <c r="G3" s="17">
        <v>399</v>
      </c>
      <c r="H3" s="17">
        <v>230</v>
      </c>
      <c r="I3" s="53">
        <f t="shared" ref="I3:I66" si="2">J3-K3</f>
        <v>2153</v>
      </c>
      <c r="J3" s="17">
        <v>3200</v>
      </c>
      <c r="K3" s="66">
        <v>1047</v>
      </c>
      <c r="L3" s="52">
        <f t="shared" ref="L3:L66" ca="1" si="3">K3/F3</f>
        <v>5.0579710144927539</v>
      </c>
      <c r="M3" s="50">
        <f t="shared" ref="M3:M66" si="4">AVERAGEIFS(N:N,C:C,C3)</f>
        <v>0.92883099285538351</v>
      </c>
      <c r="N3" s="52">
        <f t="shared" ref="N3:N66" si="5">K3/328</f>
        <v>3.1920731707317072</v>
      </c>
      <c r="O3" s="56">
        <f t="shared" ref="O3:O66" si="6">N3*82</f>
        <v>261.75</v>
      </c>
      <c r="P3" s="54">
        <f t="shared" ref="P3:P66" si="7">I3/O3</f>
        <v>8.2254059216809932</v>
      </c>
      <c r="Q3" s="55">
        <f t="shared" ref="Q3:Q66" si="8">(G3-H3)/G3*100</f>
        <v>42.355889724310778</v>
      </c>
      <c r="R3" s="55">
        <f t="shared" ref="R3:R66" si="9">K3/J3*100</f>
        <v>32.71875</v>
      </c>
      <c r="S3" s="13">
        <f t="shared" ref="S3:S66" si="10">IF(N3&gt;=M3,3,IF(N3&gt;=0.8*M3,2,1))</f>
        <v>3</v>
      </c>
      <c r="T3" s="13">
        <f t="shared" si="0"/>
        <v>1</v>
      </c>
      <c r="U3" s="13">
        <f t="shared" ref="U3:U66" si="11">IF(Q3&gt;=60,3,IF(Q3&gt;=45,2,1))</f>
        <v>1</v>
      </c>
      <c r="V3" s="13">
        <f t="shared" ref="V3:V66" ca="1" si="12">IF(L3&lt;=10,3,IF(L3&lt;=25,2,1))</f>
        <v>3</v>
      </c>
      <c r="W3" s="13">
        <f t="shared" ref="W3:W66" ca="1" si="13">S3+T3+U3+V3</f>
        <v>8</v>
      </c>
      <c r="X3" s="61" t="str">
        <f t="shared" ref="X3:X66" ca="1" si="14">IFERROR(IF(W3&gt;=9,"RE-BUY",IF(W3&gt;=6,"MONITOR","EXIT")),"EXIT")</f>
        <v>MONITOR</v>
      </c>
    </row>
    <row r="4" spans="1:24" x14ac:dyDescent="0.35">
      <c r="A4" s="25" t="s">
        <v>18</v>
      </c>
      <c r="B4" s="10" t="s">
        <v>314</v>
      </c>
      <c r="C4" s="10" t="s">
        <v>341</v>
      </c>
      <c r="D4" s="10" t="s">
        <v>346</v>
      </c>
      <c r="E4" s="11">
        <v>45920</v>
      </c>
      <c r="F4" s="14">
        <f t="shared" ca="1" si="1"/>
        <v>179</v>
      </c>
      <c r="G4" s="17">
        <v>799</v>
      </c>
      <c r="H4" s="17">
        <v>400</v>
      </c>
      <c r="I4" s="53">
        <f t="shared" si="2"/>
        <v>505</v>
      </c>
      <c r="J4" s="17">
        <v>900</v>
      </c>
      <c r="K4" s="66">
        <v>395</v>
      </c>
      <c r="L4" s="52">
        <f t="shared" ca="1" si="3"/>
        <v>2.2067039106145252</v>
      </c>
      <c r="M4" s="50">
        <f t="shared" si="4"/>
        <v>0.92883099285538351</v>
      </c>
      <c r="N4" s="52">
        <f t="shared" si="5"/>
        <v>1.2042682926829269</v>
      </c>
      <c r="O4" s="56">
        <f t="shared" si="6"/>
        <v>98.75</v>
      </c>
      <c r="P4" s="54">
        <f t="shared" si="7"/>
        <v>5.1139240506329111</v>
      </c>
      <c r="Q4" s="55">
        <f t="shared" si="8"/>
        <v>49.937421777221523</v>
      </c>
      <c r="R4" s="55">
        <f t="shared" si="9"/>
        <v>43.888888888888886</v>
      </c>
      <c r="S4" s="13">
        <f t="shared" si="10"/>
        <v>3</v>
      </c>
      <c r="T4" s="13">
        <f t="shared" si="0"/>
        <v>2</v>
      </c>
      <c r="U4" s="13">
        <f t="shared" si="11"/>
        <v>2</v>
      </c>
      <c r="V4" s="13">
        <f t="shared" ca="1" si="12"/>
        <v>3</v>
      </c>
      <c r="W4" s="13">
        <f t="shared" ca="1" si="13"/>
        <v>10</v>
      </c>
      <c r="X4" s="61" t="str">
        <f t="shared" ca="1" si="14"/>
        <v>RE-BUY</v>
      </c>
    </row>
    <row r="5" spans="1:24" x14ac:dyDescent="0.35">
      <c r="A5" s="25" t="s">
        <v>19</v>
      </c>
      <c r="B5" s="10" t="s">
        <v>315</v>
      </c>
      <c r="C5" s="10" t="s">
        <v>341</v>
      </c>
      <c r="D5" s="10" t="s">
        <v>346</v>
      </c>
      <c r="E5" s="11">
        <v>45920</v>
      </c>
      <c r="F5" s="14">
        <f t="shared" ca="1" si="1"/>
        <v>179</v>
      </c>
      <c r="G5" s="17">
        <v>999</v>
      </c>
      <c r="H5" s="17">
        <v>520</v>
      </c>
      <c r="I5" s="53">
        <f t="shared" si="2"/>
        <v>1163</v>
      </c>
      <c r="J5" s="17">
        <v>1200</v>
      </c>
      <c r="K5" s="66">
        <v>37</v>
      </c>
      <c r="L5" s="52">
        <f t="shared" ca="1" si="3"/>
        <v>0.20670391061452514</v>
      </c>
      <c r="M5" s="50">
        <f t="shared" si="4"/>
        <v>0.92883099285538351</v>
      </c>
      <c r="N5" s="52">
        <f t="shared" si="5"/>
        <v>0.11280487804878049</v>
      </c>
      <c r="O5" s="56">
        <f t="shared" si="6"/>
        <v>9.25</v>
      </c>
      <c r="P5" s="54">
        <f t="shared" si="7"/>
        <v>125.72972972972973</v>
      </c>
      <c r="Q5" s="55">
        <f t="shared" si="8"/>
        <v>47.947947947947952</v>
      </c>
      <c r="R5" s="55">
        <f t="shared" si="9"/>
        <v>3.0833333333333335</v>
      </c>
      <c r="S5" s="13">
        <f t="shared" si="10"/>
        <v>1</v>
      </c>
      <c r="T5" s="13">
        <f t="shared" si="0"/>
        <v>1</v>
      </c>
      <c r="U5" s="13">
        <f t="shared" si="11"/>
        <v>2</v>
      </c>
      <c r="V5" s="13">
        <f t="shared" ca="1" si="12"/>
        <v>3</v>
      </c>
      <c r="W5" s="13">
        <f t="shared" ca="1" si="13"/>
        <v>7</v>
      </c>
      <c r="X5" s="61" t="str">
        <f t="shared" ca="1" si="14"/>
        <v>MONITOR</v>
      </c>
    </row>
    <row r="6" spans="1:24" x14ac:dyDescent="0.35">
      <c r="A6" s="25" t="s">
        <v>20</v>
      </c>
      <c r="B6" s="10" t="s">
        <v>316</v>
      </c>
      <c r="C6" s="10" t="s">
        <v>341</v>
      </c>
      <c r="D6" s="10" t="s">
        <v>346</v>
      </c>
      <c r="E6" s="11">
        <v>45871</v>
      </c>
      <c r="F6" s="14">
        <f t="shared" ca="1" si="1"/>
        <v>228</v>
      </c>
      <c r="G6" s="17">
        <v>999</v>
      </c>
      <c r="H6" s="17">
        <v>450</v>
      </c>
      <c r="I6" s="53">
        <f t="shared" si="2"/>
        <v>785</v>
      </c>
      <c r="J6" s="17">
        <v>1000</v>
      </c>
      <c r="K6" s="66">
        <v>215</v>
      </c>
      <c r="L6" s="52">
        <f t="shared" ca="1" si="3"/>
        <v>0.94298245614035092</v>
      </c>
      <c r="M6" s="50">
        <f t="shared" si="4"/>
        <v>0.92883099285538351</v>
      </c>
      <c r="N6" s="52">
        <f t="shared" si="5"/>
        <v>0.65548780487804881</v>
      </c>
      <c r="O6" s="56">
        <f t="shared" si="6"/>
        <v>53.75</v>
      </c>
      <c r="P6" s="54">
        <f t="shared" si="7"/>
        <v>14.604651162790697</v>
      </c>
      <c r="Q6" s="55">
        <f t="shared" si="8"/>
        <v>54.954954954954957</v>
      </c>
      <c r="R6" s="55">
        <f t="shared" si="9"/>
        <v>21.5</v>
      </c>
      <c r="S6" s="13">
        <f t="shared" si="10"/>
        <v>1</v>
      </c>
      <c r="T6" s="13">
        <f t="shared" si="0"/>
        <v>1</v>
      </c>
      <c r="U6" s="13">
        <f t="shared" si="11"/>
        <v>2</v>
      </c>
      <c r="V6" s="13">
        <f t="shared" ca="1" si="12"/>
        <v>3</v>
      </c>
      <c r="W6" s="13">
        <f t="shared" ca="1" si="13"/>
        <v>7</v>
      </c>
      <c r="X6" s="61" t="str">
        <f t="shared" ca="1" si="14"/>
        <v>MONITOR</v>
      </c>
    </row>
    <row r="7" spans="1:24" x14ac:dyDescent="0.35">
      <c r="A7" s="25" t="s">
        <v>21</v>
      </c>
      <c r="B7" s="10" t="s">
        <v>315</v>
      </c>
      <c r="C7" s="10" t="s">
        <v>341</v>
      </c>
      <c r="D7" s="10" t="s">
        <v>346</v>
      </c>
      <c r="E7" s="11">
        <v>45920</v>
      </c>
      <c r="F7" s="14">
        <f t="shared" ca="1" si="1"/>
        <v>179</v>
      </c>
      <c r="G7" s="17">
        <v>999</v>
      </c>
      <c r="H7" s="17">
        <v>475</v>
      </c>
      <c r="I7" s="53">
        <f t="shared" si="2"/>
        <v>794</v>
      </c>
      <c r="J7" s="17">
        <v>1100</v>
      </c>
      <c r="K7" s="66">
        <v>306</v>
      </c>
      <c r="L7" s="52">
        <f t="shared" ca="1" si="3"/>
        <v>1.7094972067039107</v>
      </c>
      <c r="M7" s="50">
        <f t="shared" si="4"/>
        <v>0.92883099285538351</v>
      </c>
      <c r="N7" s="52">
        <f t="shared" si="5"/>
        <v>0.93292682926829273</v>
      </c>
      <c r="O7" s="56">
        <f t="shared" si="6"/>
        <v>76.5</v>
      </c>
      <c r="P7" s="54">
        <f t="shared" si="7"/>
        <v>10.379084967320262</v>
      </c>
      <c r="Q7" s="55">
        <f t="shared" si="8"/>
        <v>52.452452452452448</v>
      </c>
      <c r="R7" s="55">
        <f t="shared" si="9"/>
        <v>27.81818181818182</v>
      </c>
      <c r="S7" s="13">
        <f t="shared" si="10"/>
        <v>3</v>
      </c>
      <c r="T7" s="13">
        <f t="shared" si="0"/>
        <v>1</v>
      </c>
      <c r="U7" s="13">
        <f t="shared" si="11"/>
        <v>2</v>
      </c>
      <c r="V7" s="13">
        <f t="shared" ca="1" si="12"/>
        <v>3</v>
      </c>
      <c r="W7" s="13">
        <f t="shared" ca="1" si="13"/>
        <v>9</v>
      </c>
      <c r="X7" s="61" t="str">
        <f t="shared" ca="1" si="14"/>
        <v>RE-BUY</v>
      </c>
    </row>
    <row r="8" spans="1:24" x14ac:dyDescent="0.35">
      <c r="A8" s="25" t="s">
        <v>22</v>
      </c>
      <c r="B8" s="10" t="s">
        <v>315</v>
      </c>
      <c r="C8" s="10" t="s">
        <v>341</v>
      </c>
      <c r="D8" s="10" t="s">
        <v>346</v>
      </c>
      <c r="E8" s="11">
        <v>45920</v>
      </c>
      <c r="F8" s="14">
        <f t="shared" ca="1" si="1"/>
        <v>179</v>
      </c>
      <c r="G8" s="17">
        <v>999</v>
      </c>
      <c r="H8" s="17">
        <v>475</v>
      </c>
      <c r="I8" s="53">
        <f t="shared" si="2"/>
        <v>866</v>
      </c>
      <c r="J8" s="17">
        <v>1100</v>
      </c>
      <c r="K8" s="66">
        <v>234</v>
      </c>
      <c r="L8" s="52">
        <f t="shared" ca="1" si="3"/>
        <v>1.3072625698324023</v>
      </c>
      <c r="M8" s="50">
        <f t="shared" si="4"/>
        <v>0.92883099285538351</v>
      </c>
      <c r="N8" s="52">
        <f t="shared" si="5"/>
        <v>0.71341463414634143</v>
      </c>
      <c r="O8" s="56">
        <f t="shared" si="6"/>
        <v>58.5</v>
      </c>
      <c r="P8" s="54">
        <f t="shared" si="7"/>
        <v>14.803418803418804</v>
      </c>
      <c r="Q8" s="55">
        <f t="shared" si="8"/>
        <v>52.452452452452448</v>
      </c>
      <c r="R8" s="55">
        <f t="shared" si="9"/>
        <v>21.272727272727273</v>
      </c>
      <c r="S8" s="13">
        <f t="shared" si="10"/>
        <v>1</v>
      </c>
      <c r="T8" s="13">
        <f t="shared" si="0"/>
        <v>1</v>
      </c>
      <c r="U8" s="13">
        <f t="shared" si="11"/>
        <v>2</v>
      </c>
      <c r="V8" s="13">
        <f t="shared" ca="1" si="12"/>
        <v>3</v>
      </c>
      <c r="W8" s="13">
        <f t="shared" ca="1" si="13"/>
        <v>7</v>
      </c>
      <c r="X8" s="61" t="str">
        <f t="shared" ca="1" si="14"/>
        <v>MONITOR</v>
      </c>
    </row>
    <row r="9" spans="1:24" x14ac:dyDescent="0.35">
      <c r="A9" s="25" t="s">
        <v>23</v>
      </c>
      <c r="B9" s="10" t="s">
        <v>317</v>
      </c>
      <c r="C9" s="10" t="s">
        <v>341</v>
      </c>
      <c r="D9" s="10" t="s">
        <v>346</v>
      </c>
      <c r="E9" s="11">
        <v>45871</v>
      </c>
      <c r="F9" s="14">
        <f t="shared" ca="1" si="1"/>
        <v>228</v>
      </c>
      <c r="G9" s="17">
        <v>999</v>
      </c>
      <c r="H9" s="17">
        <v>550</v>
      </c>
      <c r="I9" s="53">
        <f t="shared" si="2"/>
        <v>836</v>
      </c>
      <c r="J9" s="17">
        <v>1000</v>
      </c>
      <c r="K9" s="66">
        <v>164</v>
      </c>
      <c r="L9" s="52">
        <f t="shared" ca="1" si="3"/>
        <v>0.7192982456140351</v>
      </c>
      <c r="M9" s="50">
        <f t="shared" si="4"/>
        <v>0.92883099285538351</v>
      </c>
      <c r="N9" s="52">
        <f t="shared" si="5"/>
        <v>0.5</v>
      </c>
      <c r="O9" s="56">
        <f t="shared" si="6"/>
        <v>41</v>
      </c>
      <c r="P9" s="54">
        <f t="shared" si="7"/>
        <v>20.390243902439025</v>
      </c>
      <c r="Q9" s="55">
        <f t="shared" si="8"/>
        <v>44.944944944944943</v>
      </c>
      <c r="R9" s="55">
        <f t="shared" si="9"/>
        <v>16.400000000000002</v>
      </c>
      <c r="S9" s="13">
        <f t="shared" si="10"/>
        <v>1</v>
      </c>
      <c r="T9" s="13">
        <f t="shared" si="0"/>
        <v>1</v>
      </c>
      <c r="U9" s="13">
        <f t="shared" si="11"/>
        <v>1</v>
      </c>
      <c r="V9" s="13">
        <f t="shared" ca="1" si="12"/>
        <v>3</v>
      </c>
      <c r="W9" s="13">
        <f t="shared" ca="1" si="13"/>
        <v>6</v>
      </c>
      <c r="X9" s="61" t="str">
        <f t="shared" ca="1" si="14"/>
        <v>MONITOR</v>
      </c>
    </row>
    <row r="10" spans="1:24" x14ac:dyDescent="0.35">
      <c r="A10" s="25" t="s">
        <v>24</v>
      </c>
      <c r="B10" s="10" t="s">
        <v>317</v>
      </c>
      <c r="C10" s="10" t="s">
        <v>341</v>
      </c>
      <c r="D10" s="10" t="s">
        <v>346</v>
      </c>
      <c r="E10" s="11">
        <v>45871</v>
      </c>
      <c r="F10" s="14">
        <f t="shared" ca="1" si="1"/>
        <v>228</v>
      </c>
      <c r="G10" s="17">
        <v>999</v>
      </c>
      <c r="H10" s="17">
        <v>550</v>
      </c>
      <c r="I10" s="53">
        <f t="shared" si="2"/>
        <v>904</v>
      </c>
      <c r="J10" s="17">
        <v>1000</v>
      </c>
      <c r="K10" s="66">
        <v>96</v>
      </c>
      <c r="L10" s="52">
        <f t="shared" ca="1" si="3"/>
        <v>0.42105263157894735</v>
      </c>
      <c r="M10" s="50">
        <f t="shared" si="4"/>
        <v>0.92883099285538351</v>
      </c>
      <c r="N10" s="52">
        <f t="shared" si="5"/>
        <v>0.29268292682926828</v>
      </c>
      <c r="O10" s="56">
        <f t="shared" si="6"/>
        <v>24</v>
      </c>
      <c r="P10" s="54">
        <f t="shared" si="7"/>
        <v>37.666666666666664</v>
      </c>
      <c r="Q10" s="55">
        <f t="shared" si="8"/>
        <v>44.944944944944943</v>
      </c>
      <c r="R10" s="55">
        <f t="shared" si="9"/>
        <v>9.6</v>
      </c>
      <c r="S10" s="13">
        <f t="shared" si="10"/>
        <v>1</v>
      </c>
      <c r="T10" s="13">
        <f t="shared" si="0"/>
        <v>1</v>
      </c>
      <c r="U10" s="13">
        <f t="shared" si="11"/>
        <v>1</v>
      </c>
      <c r="V10" s="13">
        <f t="shared" ca="1" si="12"/>
        <v>3</v>
      </c>
      <c r="W10" s="13">
        <f t="shared" ca="1" si="13"/>
        <v>6</v>
      </c>
      <c r="X10" s="61" t="str">
        <f t="shared" ca="1" si="14"/>
        <v>MONITOR</v>
      </c>
    </row>
    <row r="11" spans="1:24" x14ac:dyDescent="0.35">
      <c r="A11" s="25" t="s">
        <v>25</v>
      </c>
      <c r="B11" s="10" t="s">
        <v>317</v>
      </c>
      <c r="C11" s="10" t="s">
        <v>341</v>
      </c>
      <c r="D11" s="10" t="s">
        <v>346</v>
      </c>
      <c r="E11" s="11">
        <v>45976</v>
      </c>
      <c r="F11" s="14">
        <f t="shared" ca="1" si="1"/>
        <v>123</v>
      </c>
      <c r="G11" s="17">
        <v>999</v>
      </c>
      <c r="H11" s="17">
        <v>540</v>
      </c>
      <c r="I11" s="53">
        <f t="shared" si="2"/>
        <v>857</v>
      </c>
      <c r="J11" s="17">
        <v>1000</v>
      </c>
      <c r="K11" s="66">
        <v>143</v>
      </c>
      <c r="L11" s="52">
        <f t="shared" ca="1" si="3"/>
        <v>1.1626016260162602</v>
      </c>
      <c r="M11" s="50">
        <f t="shared" si="4"/>
        <v>0.92883099285538351</v>
      </c>
      <c r="N11" s="52">
        <f t="shared" si="5"/>
        <v>0.43597560975609756</v>
      </c>
      <c r="O11" s="56">
        <f t="shared" si="6"/>
        <v>35.75</v>
      </c>
      <c r="P11" s="54">
        <f t="shared" si="7"/>
        <v>23.972027972027973</v>
      </c>
      <c r="Q11" s="55">
        <f t="shared" si="8"/>
        <v>45.945945945945951</v>
      </c>
      <c r="R11" s="55">
        <f t="shared" si="9"/>
        <v>14.299999999999999</v>
      </c>
      <c r="S11" s="13">
        <f t="shared" si="10"/>
        <v>1</v>
      </c>
      <c r="T11" s="13">
        <f t="shared" si="0"/>
        <v>1</v>
      </c>
      <c r="U11" s="13">
        <f t="shared" si="11"/>
        <v>2</v>
      </c>
      <c r="V11" s="13">
        <f t="shared" ca="1" si="12"/>
        <v>3</v>
      </c>
      <c r="W11" s="13">
        <f t="shared" ca="1" si="13"/>
        <v>7</v>
      </c>
      <c r="X11" s="61" t="str">
        <f t="shared" ca="1" si="14"/>
        <v>MONITOR</v>
      </c>
    </row>
    <row r="12" spans="1:24" x14ac:dyDescent="0.35">
      <c r="A12" s="25" t="s">
        <v>26</v>
      </c>
      <c r="B12" s="10" t="s">
        <v>317</v>
      </c>
      <c r="C12" s="10" t="s">
        <v>341</v>
      </c>
      <c r="D12" s="10" t="s">
        <v>346</v>
      </c>
      <c r="E12" s="11">
        <v>45976</v>
      </c>
      <c r="F12" s="14">
        <f t="shared" ca="1" si="1"/>
        <v>123</v>
      </c>
      <c r="G12" s="17">
        <v>999</v>
      </c>
      <c r="H12" s="17">
        <v>540</v>
      </c>
      <c r="I12" s="53">
        <f t="shared" si="2"/>
        <v>820</v>
      </c>
      <c r="J12" s="17">
        <v>1000</v>
      </c>
      <c r="K12" s="66">
        <v>180</v>
      </c>
      <c r="L12" s="52">
        <f t="shared" ca="1" si="3"/>
        <v>1.4634146341463414</v>
      </c>
      <c r="M12" s="50">
        <f t="shared" si="4"/>
        <v>0.92883099285538351</v>
      </c>
      <c r="N12" s="52">
        <f t="shared" si="5"/>
        <v>0.54878048780487809</v>
      </c>
      <c r="O12" s="56">
        <f t="shared" si="6"/>
        <v>45</v>
      </c>
      <c r="P12" s="54">
        <f t="shared" si="7"/>
        <v>18.222222222222221</v>
      </c>
      <c r="Q12" s="55">
        <f t="shared" si="8"/>
        <v>45.945945945945951</v>
      </c>
      <c r="R12" s="55">
        <f t="shared" si="9"/>
        <v>18</v>
      </c>
      <c r="S12" s="13">
        <f t="shared" si="10"/>
        <v>1</v>
      </c>
      <c r="T12" s="13">
        <f t="shared" si="0"/>
        <v>1</v>
      </c>
      <c r="U12" s="13">
        <f t="shared" si="11"/>
        <v>2</v>
      </c>
      <c r="V12" s="13">
        <f t="shared" ca="1" si="12"/>
        <v>3</v>
      </c>
      <c r="W12" s="13">
        <f t="shared" ca="1" si="13"/>
        <v>7</v>
      </c>
      <c r="X12" s="61" t="str">
        <f t="shared" ca="1" si="14"/>
        <v>MONITOR</v>
      </c>
    </row>
    <row r="13" spans="1:24" x14ac:dyDescent="0.35">
      <c r="A13" s="25" t="s">
        <v>27</v>
      </c>
      <c r="B13" s="10" t="s">
        <v>314</v>
      </c>
      <c r="C13" s="10" t="s">
        <v>341</v>
      </c>
      <c r="D13" s="10" t="s">
        <v>346</v>
      </c>
      <c r="E13" s="11">
        <v>45941</v>
      </c>
      <c r="F13" s="14">
        <f t="shared" ca="1" si="1"/>
        <v>158</v>
      </c>
      <c r="G13" s="17">
        <v>999</v>
      </c>
      <c r="H13" s="17">
        <v>500</v>
      </c>
      <c r="I13" s="53">
        <f t="shared" si="2"/>
        <v>242</v>
      </c>
      <c r="J13" s="17">
        <v>700</v>
      </c>
      <c r="K13" s="66">
        <v>458</v>
      </c>
      <c r="L13" s="52">
        <f t="shared" ca="1" si="3"/>
        <v>2.8987341772151898</v>
      </c>
      <c r="M13" s="50">
        <f t="shared" si="4"/>
        <v>0.92883099285538351</v>
      </c>
      <c r="N13" s="52">
        <f t="shared" si="5"/>
        <v>1.3963414634146341</v>
      </c>
      <c r="O13" s="56">
        <f t="shared" si="6"/>
        <v>114.49999999999999</v>
      </c>
      <c r="P13" s="54">
        <f t="shared" si="7"/>
        <v>2.1135371179039302</v>
      </c>
      <c r="Q13" s="55">
        <f t="shared" si="8"/>
        <v>49.949949949949954</v>
      </c>
      <c r="R13" s="55">
        <f t="shared" si="9"/>
        <v>65.428571428571431</v>
      </c>
      <c r="S13" s="13">
        <f t="shared" si="10"/>
        <v>3</v>
      </c>
      <c r="T13" s="13">
        <f t="shared" si="0"/>
        <v>3</v>
      </c>
      <c r="U13" s="13">
        <f t="shared" si="11"/>
        <v>2</v>
      </c>
      <c r="V13" s="13">
        <f t="shared" ca="1" si="12"/>
        <v>3</v>
      </c>
      <c r="W13" s="13">
        <f t="shared" ca="1" si="13"/>
        <v>11</v>
      </c>
      <c r="X13" s="61" t="str">
        <f t="shared" ca="1" si="14"/>
        <v>RE-BUY</v>
      </c>
    </row>
    <row r="14" spans="1:24" x14ac:dyDescent="0.35">
      <c r="A14" s="25" t="s">
        <v>28</v>
      </c>
      <c r="B14" s="10" t="s">
        <v>314</v>
      </c>
      <c r="C14" s="10" t="s">
        <v>341</v>
      </c>
      <c r="D14" s="10" t="s">
        <v>346</v>
      </c>
      <c r="E14" s="11">
        <v>45941</v>
      </c>
      <c r="F14" s="14">
        <f t="shared" ca="1" si="1"/>
        <v>158</v>
      </c>
      <c r="G14" s="17">
        <v>999</v>
      </c>
      <c r="H14" s="17">
        <v>500</v>
      </c>
      <c r="I14" s="53">
        <f t="shared" si="2"/>
        <v>293</v>
      </c>
      <c r="J14" s="17">
        <v>700</v>
      </c>
      <c r="K14" s="66">
        <v>407</v>
      </c>
      <c r="L14" s="52">
        <f t="shared" ca="1" si="3"/>
        <v>2.5759493670886076</v>
      </c>
      <c r="M14" s="50">
        <f t="shared" si="4"/>
        <v>0.92883099285538351</v>
      </c>
      <c r="N14" s="52">
        <f t="shared" si="5"/>
        <v>1.2408536585365855</v>
      </c>
      <c r="O14" s="56">
        <f t="shared" si="6"/>
        <v>101.75000000000001</v>
      </c>
      <c r="P14" s="54">
        <f t="shared" si="7"/>
        <v>2.8796068796068792</v>
      </c>
      <c r="Q14" s="55">
        <f t="shared" si="8"/>
        <v>49.949949949949954</v>
      </c>
      <c r="R14" s="55">
        <f t="shared" si="9"/>
        <v>58.142857142857139</v>
      </c>
      <c r="S14" s="13">
        <f t="shared" si="10"/>
        <v>3</v>
      </c>
      <c r="T14" s="13">
        <f t="shared" si="0"/>
        <v>3</v>
      </c>
      <c r="U14" s="13">
        <f t="shared" si="11"/>
        <v>2</v>
      </c>
      <c r="V14" s="13">
        <f t="shared" ca="1" si="12"/>
        <v>3</v>
      </c>
      <c r="W14" s="13">
        <f t="shared" ca="1" si="13"/>
        <v>11</v>
      </c>
      <c r="X14" s="61" t="str">
        <f t="shared" ca="1" si="14"/>
        <v>RE-BUY</v>
      </c>
    </row>
    <row r="15" spans="1:24" x14ac:dyDescent="0.35">
      <c r="A15" s="25" t="s">
        <v>29</v>
      </c>
      <c r="B15" s="10" t="s">
        <v>314</v>
      </c>
      <c r="C15" s="10" t="s">
        <v>341</v>
      </c>
      <c r="D15" s="10" t="s">
        <v>346</v>
      </c>
      <c r="E15" s="11">
        <v>45941</v>
      </c>
      <c r="F15" s="14">
        <f t="shared" ca="1" si="1"/>
        <v>158</v>
      </c>
      <c r="G15" s="17">
        <v>999</v>
      </c>
      <c r="H15" s="17">
        <v>500</v>
      </c>
      <c r="I15" s="53">
        <f t="shared" si="2"/>
        <v>303</v>
      </c>
      <c r="J15" s="17">
        <v>700</v>
      </c>
      <c r="K15" s="66">
        <v>397</v>
      </c>
      <c r="L15" s="52">
        <f t="shared" ca="1" si="3"/>
        <v>2.5126582278481013</v>
      </c>
      <c r="M15" s="50">
        <f t="shared" si="4"/>
        <v>0.92883099285538351</v>
      </c>
      <c r="N15" s="52">
        <f t="shared" si="5"/>
        <v>1.2103658536585367</v>
      </c>
      <c r="O15" s="56">
        <f t="shared" si="6"/>
        <v>99.25</v>
      </c>
      <c r="P15" s="54">
        <f t="shared" si="7"/>
        <v>3.0528967254408061</v>
      </c>
      <c r="Q15" s="55">
        <f t="shared" si="8"/>
        <v>49.949949949949954</v>
      </c>
      <c r="R15" s="55">
        <f t="shared" si="9"/>
        <v>56.714285714285715</v>
      </c>
      <c r="S15" s="13">
        <f t="shared" si="10"/>
        <v>3</v>
      </c>
      <c r="T15" s="13">
        <f t="shared" si="0"/>
        <v>3</v>
      </c>
      <c r="U15" s="13">
        <f t="shared" si="11"/>
        <v>2</v>
      </c>
      <c r="V15" s="13">
        <f t="shared" ca="1" si="12"/>
        <v>3</v>
      </c>
      <c r="W15" s="13">
        <f t="shared" ca="1" si="13"/>
        <v>11</v>
      </c>
      <c r="X15" s="61" t="str">
        <f t="shared" ca="1" si="14"/>
        <v>RE-BUY</v>
      </c>
    </row>
    <row r="16" spans="1:24" x14ac:dyDescent="0.35">
      <c r="A16" s="25" t="s">
        <v>30</v>
      </c>
      <c r="B16" s="10" t="s">
        <v>319</v>
      </c>
      <c r="C16" s="10" t="s">
        <v>341</v>
      </c>
      <c r="D16" s="10" t="s">
        <v>346</v>
      </c>
      <c r="E16" s="11">
        <v>45878</v>
      </c>
      <c r="F16" s="14">
        <f t="shared" ca="1" si="1"/>
        <v>221</v>
      </c>
      <c r="G16" s="17">
        <v>499</v>
      </c>
      <c r="H16" s="17">
        <v>292</v>
      </c>
      <c r="I16" s="53">
        <f t="shared" si="2"/>
        <v>914</v>
      </c>
      <c r="J16" s="17">
        <v>1500</v>
      </c>
      <c r="K16" s="66">
        <v>586</v>
      </c>
      <c r="L16" s="52">
        <f t="shared" ca="1" si="3"/>
        <v>2.6515837104072397</v>
      </c>
      <c r="M16" s="50">
        <f t="shared" si="4"/>
        <v>0.92883099285538351</v>
      </c>
      <c r="N16" s="52">
        <f t="shared" si="5"/>
        <v>1.7865853658536586</v>
      </c>
      <c r="O16" s="56">
        <f t="shared" si="6"/>
        <v>146.5</v>
      </c>
      <c r="P16" s="54">
        <f t="shared" si="7"/>
        <v>6.2389078498293511</v>
      </c>
      <c r="Q16" s="55">
        <f t="shared" si="8"/>
        <v>41.482965931863731</v>
      </c>
      <c r="R16" s="55">
        <f t="shared" si="9"/>
        <v>39.066666666666663</v>
      </c>
      <c r="S16" s="13">
        <f t="shared" si="10"/>
        <v>3</v>
      </c>
      <c r="T16" s="13">
        <f t="shared" si="0"/>
        <v>1</v>
      </c>
      <c r="U16" s="13">
        <f t="shared" si="11"/>
        <v>1</v>
      </c>
      <c r="V16" s="13">
        <f t="shared" ca="1" si="12"/>
        <v>3</v>
      </c>
      <c r="W16" s="13">
        <f t="shared" ca="1" si="13"/>
        <v>8</v>
      </c>
      <c r="X16" s="61" t="str">
        <f t="shared" ca="1" si="14"/>
        <v>MONITOR</v>
      </c>
    </row>
    <row r="17" spans="1:24" x14ac:dyDescent="0.35">
      <c r="A17" s="25" t="s">
        <v>31</v>
      </c>
      <c r="B17" s="10" t="s">
        <v>319</v>
      </c>
      <c r="C17" s="10" t="s">
        <v>341</v>
      </c>
      <c r="D17" s="10" t="s">
        <v>346</v>
      </c>
      <c r="E17" s="11">
        <v>45878</v>
      </c>
      <c r="F17" s="14">
        <f t="shared" ca="1" si="1"/>
        <v>221</v>
      </c>
      <c r="G17" s="17">
        <v>499</v>
      </c>
      <c r="H17" s="17">
        <v>292</v>
      </c>
      <c r="I17" s="53">
        <f t="shared" si="2"/>
        <v>1335</v>
      </c>
      <c r="J17" s="17">
        <v>1500</v>
      </c>
      <c r="K17" s="66">
        <v>165</v>
      </c>
      <c r="L17" s="52">
        <f t="shared" ca="1" si="3"/>
        <v>0.74660633484162897</v>
      </c>
      <c r="M17" s="50">
        <f t="shared" si="4"/>
        <v>0.92883099285538351</v>
      </c>
      <c r="N17" s="52">
        <f t="shared" si="5"/>
        <v>0.50304878048780488</v>
      </c>
      <c r="O17" s="56">
        <f t="shared" si="6"/>
        <v>41.25</v>
      </c>
      <c r="P17" s="54">
        <f t="shared" si="7"/>
        <v>32.363636363636367</v>
      </c>
      <c r="Q17" s="55">
        <f t="shared" si="8"/>
        <v>41.482965931863731</v>
      </c>
      <c r="R17" s="55">
        <f t="shared" si="9"/>
        <v>11</v>
      </c>
      <c r="S17" s="13">
        <f t="shared" si="10"/>
        <v>1</v>
      </c>
      <c r="T17" s="13">
        <f t="shared" si="0"/>
        <v>1</v>
      </c>
      <c r="U17" s="13">
        <f t="shared" si="11"/>
        <v>1</v>
      </c>
      <c r="V17" s="13">
        <f t="shared" ca="1" si="12"/>
        <v>3</v>
      </c>
      <c r="W17" s="13">
        <f t="shared" ca="1" si="13"/>
        <v>6</v>
      </c>
      <c r="X17" s="61" t="str">
        <f t="shared" ca="1" si="14"/>
        <v>MONITOR</v>
      </c>
    </row>
    <row r="18" spans="1:24" x14ac:dyDescent="0.35">
      <c r="A18" s="25" t="s">
        <v>32</v>
      </c>
      <c r="B18" s="10" t="s">
        <v>319</v>
      </c>
      <c r="C18" s="10" t="s">
        <v>341</v>
      </c>
      <c r="D18" s="10" t="s">
        <v>346</v>
      </c>
      <c r="E18" s="11">
        <v>45850</v>
      </c>
      <c r="F18" s="14">
        <f t="shared" ca="1" si="1"/>
        <v>249</v>
      </c>
      <c r="G18" s="17">
        <v>499</v>
      </c>
      <c r="H18" s="17">
        <v>292</v>
      </c>
      <c r="I18" s="53">
        <f t="shared" si="2"/>
        <v>1310</v>
      </c>
      <c r="J18" s="17">
        <v>1500</v>
      </c>
      <c r="K18" s="66">
        <v>190</v>
      </c>
      <c r="L18" s="52">
        <f t="shared" ca="1" si="3"/>
        <v>0.76305220883534142</v>
      </c>
      <c r="M18" s="50">
        <f t="shared" si="4"/>
        <v>0.92883099285538351</v>
      </c>
      <c r="N18" s="52">
        <f t="shared" si="5"/>
        <v>0.57926829268292679</v>
      </c>
      <c r="O18" s="56">
        <f t="shared" si="6"/>
        <v>47.5</v>
      </c>
      <c r="P18" s="54">
        <f t="shared" si="7"/>
        <v>27.578947368421051</v>
      </c>
      <c r="Q18" s="55">
        <f t="shared" si="8"/>
        <v>41.482965931863731</v>
      </c>
      <c r="R18" s="55">
        <f t="shared" si="9"/>
        <v>12.666666666666668</v>
      </c>
      <c r="S18" s="13">
        <f t="shared" si="10"/>
        <v>1</v>
      </c>
      <c r="T18" s="13">
        <f t="shared" si="0"/>
        <v>1</v>
      </c>
      <c r="U18" s="13">
        <f t="shared" si="11"/>
        <v>1</v>
      </c>
      <c r="V18" s="13">
        <f t="shared" ca="1" si="12"/>
        <v>3</v>
      </c>
      <c r="W18" s="13">
        <f t="shared" ca="1" si="13"/>
        <v>6</v>
      </c>
      <c r="X18" s="61" t="str">
        <f t="shared" ca="1" si="14"/>
        <v>MONITOR</v>
      </c>
    </row>
    <row r="19" spans="1:24" x14ac:dyDescent="0.35">
      <c r="A19" s="25" t="s">
        <v>33</v>
      </c>
      <c r="B19" s="10" t="s">
        <v>319</v>
      </c>
      <c r="C19" s="10" t="s">
        <v>341</v>
      </c>
      <c r="D19" s="10" t="s">
        <v>346</v>
      </c>
      <c r="E19" s="11">
        <v>45850</v>
      </c>
      <c r="F19" s="14">
        <f t="shared" ca="1" si="1"/>
        <v>249</v>
      </c>
      <c r="G19" s="17">
        <v>499</v>
      </c>
      <c r="H19" s="17">
        <v>292</v>
      </c>
      <c r="I19" s="53">
        <f t="shared" si="2"/>
        <v>1133</v>
      </c>
      <c r="J19" s="17">
        <v>1500</v>
      </c>
      <c r="K19" s="66">
        <v>367</v>
      </c>
      <c r="L19" s="52">
        <f t="shared" ca="1" si="3"/>
        <v>1.4738955823293172</v>
      </c>
      <c r="M19" s="50">
        <f t="shared" si="4"/>
        <v>0.92883099285538351</v>
      </c>
      <c r="N19" s="52">
        <f t="shared" si="5"/>
        <v>1.1189024390243902</v>
      </c>
      <c r="O19" s="56">
        <f t="shared" si="6"/>
        <v>91.75</v>
      </c>
      <c r="P19" s="54">
        <f t="shared" si="7"/>
        <v>12.348773841961853</v>
      </c>
      <c r="Q19" s="55">
        <f t="shared" si="8"/>
        <v>41.482965931863731</v>
      </c>
      <c r="R19" s="55">
        <f t="shared" si="9"/>
        <v>24.466666666666669</v>
      </c>
      <c r="S19" s="13">
        <f t="shared" si="10"/>
        <v>3</v>
      </c>
      <c r="T19" s="13">
        <f t="shared" si="0"/>
        <v>1</v>
      </c>
      <c r="U19" s="13">
        <f t="shared" si="11"/>
        <v>1</v>
      </c>
      <c r="V19" s="13">
        <f t="shared" ca="1" si="12"/>
        <v>3</v>
      </c>
      <c r="W19" s="13">
        <f t="shared" ca="1" si="13"/>
        <v>8</v>
      </c>
      <c r="X19" s="61" t="str">
        <f t="shared" ca="1" si="14"/>
        <v>MONITOR</v>
      </c>
    </row>
    <row r="20" spans="1:24" x14ac:dyDescent="0.35">
      <c r="A20" s="25" t="s">
        <v>34</v>
      </c>
      <c r="B20" s="15" t="s">
        <v>318</v>
      </c>
      <c r="C20" s="10" t="s">
        <v>341</v>
      </c>
      <c r="D20" s="10" t="s">
        <v>346</v>
      </c>
      <c r="E20" s="11">
        <v>45920</v>
      </c>
      <c r="F20" s="14">
        <f t="shared" ca="1" si="1"/>
        <v>179</v>
      </c>
      <c r="G20" s="17">
        <v>399</v>
      </c>
      <c r="H20" s="17">
        <v>225</v>
      </c>
      <c r="I20" s="53">
        <f t="shared" si="2"/>
        <v>1274</v>
      </c>
      <c r="J20" s="17">
        <v>1500</v>
      </c>
      <c r="K20" s="66">
        <v>226</v>
      </c>
      <c r="L20" s="52">
        <f t="shared" ca="1" si="3"/>
        <v>1.2625698324022345</v>
      </c>
      <c r="M20" s="50">
        <f t="shared" si="4"/>
        <v>0.92883099285538351</v>
      </c>
      <c r="N20" s="52">
        <f t="shared" si="5"/>
        <v>0.68902439024390238</v>
      </c>
      <c r="O20" s="56">
        <f t="shared" si="6"/>
        <v>56.499999999999993</v>
      </c>
      <c r="P20" s="54">
        <f t="shared" si="7"/>
        <v>22.548672566371685</v>
      </c>
      <c r="Q20" s="55">
        <f t="shared" si="8"/>
        <v>43.609022556390975</v>
      </c>
      <c r="R20" s="55">
        <f t="shared" si="9"/>
        <v>15.066666666666666</v>
      </c>
      <c r="S20" s="13">
        <f t="shared" si="10"/>
        <v>1</v>
      </c>
      <c r="T20" s="13">
        <f t="shared" si="0"/>
        <v>1</v>
      </c>
      <c r="U20" s="13">
        <f t="shared" si="11"/>
        <v>1</v>
      </c>
      <c r="V20" s="13">
        <f t="shared" ca="1" si="12"/>
        <v>3</v>
      </c>
      <c r="W20" s="13">
        <f t="shared" ca="1" si="13"/>
        <v>6</v>
      </c>
      <c r="X20" s="61" t="str">
        <f t="shared" ca="1" si="14"/>
        <v>MONITOR</v>
      </c>
    </row>
    <row r="21" spans="1:24" x14ac:dyDescent="0.35">
      <c r="A21" s="25" t="s">
        <v>35</v>
      </c>
      <c r="B21" s="15" t="s">
        <v>318</v>
      </c>
      <c r="C21" s="10" t="s">
        <v>341</v>
      </c>
      <c r="D21" s="10" t="s">
        <v>346</v>
      </c>
      <c r="E21" s="11">
        <v>45920</v>
      </c>
      <c r="F21" s="14">
        <f t="shared" ca="1" si="1"/>
        <v>179</v>
      </c>
      <c r="G21" s="17">
        <v>399</v>
      </c>
      <c r="H21" s="17">
        <v>225</v>
      </c>
      <c r="I21" s="53">
        <f t="shared" si="2"/>
        <v>1289</v>
      </c>
      <c r="J21" s="17">
        <v>1500</v>
      </c>
      <c r="K21" s="66">
        <v>211</v>
      </c>
      <c r="L21" s="52">
        <f t="shared" ca="1" si="3"/>
        <v>1.1787709497206704</v>
      </c>
      <c r="M21" s="50">
        <f t="shared" si="4"/>
        <v>0.92883099285538351</v>
      </c>
      <c r="N21" s="52">
        <f t="shared" si="5"/>
        <v>0.64329268292682928</v>
      </c>
      <c r="O21" s="56">
        <f t="shared" si="6"/>
        <v>52.75</v>
      </c>
      <c r="P21" s="54">
        <f t="shared" si="7"/>
        <v>24.436018957345972</v>
      </c>
      <c r="Q21" s="55">
        <f t="shared" si="8"/>
        <v>43.609022556390975</v>
      </c>
      <c r="R21" s="55">
        <f t="shared" si="9"/>
        <v>14.066666666666666</v>
      </c>
      <c r="S21" s="13">
        <f t="shared" si="10"/>
        <v>1</v>
      </c>
      <c r="T21" s="13">
        <f t="shared" si="0"/>
        <v>1</v>
      </c>
      <c r="U21" s="13">
        <f t="shared" si="11"/>
        <v>1</v>
      </c>
      <c r="V21" s="13">
        <f t="shared" ca="1" si="12"/>
        <v>3</v>
      </c>
      <c r="W21" s="13">
        <f t="shared" ca="1" si="13"/>
        <v>6</v>
      </c>
      <c r="X21" s="61" t="str">
        <f t="shared" ca="1" si="14"/>
        <v>MONITOR</v>
      </c>
    </row>
    <row r="22" spans="1:24" x14ac:dyDescent="0.35">
      <c r="A22" s="25" t="s">
        <v>36</v>
      </c>
      <c r="B22" s="15" t="s">
        <v>318</v>
      </c>
      <c r="C22" s="10" t="s">
        <v>341</v>
      </c>
      <c r="D22" s="10" t="s">
        <v>346</v>
      </c>
      <c r="E22" s="11">
        <v>45920</v>
      </c>
      <c r="F22" s="14">
        <f t="shared" ca="1" si="1"/>
        <v>179</v>
      </c>
      <c r="G22" s="17">
        <v>399</v>
      </c>
      <c r="H22" s="17">
        <v>225</v>
      </c>
      <c r="I22" s="53">
        <f t="shared" si="2"/>
        <v>1284</v>
      </c>
      <c r="J22" s="17">
        <v>1500</v>
      </c>
      <c r="K22" s="66">
        <v>216</v>
      </c>
      <c r="L22" s="52">
        <f t="shared" ca="1" si="3"/>
        <v>1.2067039106145252</v>
      </c>
      <c r="M22" s="50">
        <f t="shared" si="4"/>
        <v>0.92883099285538351</v>
      </c>
      <c r="N22" s="52">
        <f t="shared" si="5"/>
        <v>0.65853658536585369</v>
      </c>
      <c r="O22" s="56">
        <f t="shared" si="6"/>
        <v>54</v>
      </c>
      <c r="P22" s="54">
        <f t="shared" si="7"/>
        <v>23.777777777777779</v>
      </c>
      <c r="Q22" s="55">
        <f t="shared" si="8"/>
        <v>43.609022556390975</v>
      </c>
      <c r="R22" s="55">
        <f t="shared" si="9"/>
        <v>14.399999999999999</v>
      </c>
      <c r="S22" s="13">
        <f t="shared" si="10"/>
        <v>1</v>
      </c>
      <c r="T22" s="13">
        <f t="shared" si="0"/>
        <v>1</v>
      </c>
      <c r="U22" s="13">
        <f t="shared" si="11"/>
        <v>1</v>
      </c>
      <c r="V22" s="13">
        <f t="shared" ca="1" si="12"/>
        <v>3</v>
      </c>
      <c r="W22" s="13">
        <f t="shared" ca="1" si="13"/>
        <v>6</v>
      </c>
      <c r="X22" s="61" t="str">
        <f t="shared" ca="1" si="14"/>
        <v>MONITOR</v>
      </c>
    </row>
    <row r="23" spans="1:24" x14ac:dyDescent="0.35">
      <c r="A23" s="25" t="s">
        <v>37</v>
      </c>
      <c r="B23" s="15" t="s">
        <v>318</v>
      </c>
      <c r="C23" s="10" t="s">
        <v>341</v>
      </c>
      <c r="D23" s="10" t="s">
        <v>346</v>
      </c>
      <c r="E23" s="11">
        <v>45920</v>
      </c>
      <c r="F23" s="14">
        <f t="shared" ca="1" si="1"/>
        <v>179</v>
      </c>
      <c r="G23" s="17">
        <v>399</v>
      </c>
      <c r="H23" s="17">
        <v>225</v>
      </c>
      <c r="I23" s="53">
        <f t="shared" si="2"/>
        <v>1499</v>
      </c>
      <c r="J23" s="17">
        <v>1500</v>
      </c>
      <c r="K23" s="66">
        <v>1</v>
      </c>
      <c r="L23" s="52">
        <f t="shared" ca="1" si="3"/>
        <v>5.5865921787709499E-3</v>
      </c>
      <c r="M23" s="50">
        <f t="shared" si="4"/>
        <v>0.92883099285538351</v>
      </c>
      <c r="N23" s="52">
        <f t="shared" si="5"/>
        <v>3.0487804878048782E-3</v>
      </c>
      <c r="O23" s="56">
        <f t="shared" si="6"/>
        <v>0.25</v>
      </c>
      <c r="P23" s="54">
        <f t="shared" si="7"/>
        <v>5996</v>
      </c>
      <c r="Q23" s="55">
        <f t="shared" si="8"/>
        <v>43.609022556390975</v>
      </c>
      <c r="R23" s="55">
        <f t="shared" si="9"/>
        <v>6.6666666666666666E-2</v>
      </c>
      <c r="S23" s="13">
        <f t="shared" si="10"/>
        <v>1</v>
      </c>
      <c r="T23" s="13">
        <f t="shared" si="0"/>
        <v>1</v>
      </c>
      <c r="U23" s="13">
        <f t="shared" si="11"/>
        <v>1</v>
      </c>
      <c r="V23" s="13">
        <f t="shared" ca="1" si="12"/>
        <v>3</v>
      </c>
      <c r="W23" s="13">
        <f t="shared" ca="1" si="13"/>
        <v>6</v>
      </c>
      <c r="X23" s="61" t="str">
        <f t="shared" ca="1" si="14"/>
        <v>MONITOR</v>
      </c>
    </row>
    <row r="24" spans="1:24" x14ac:dyDescent="0.35">
      <c r="A24" s="25" t="s">
        <v>38</v>
      </c>
      <c r="B24" s="10" t="s">
        <v>320</v>
      </c>
      <c r="C24" s="10" t="s">
        <v>341</v>
      </c>
      <c r="D24" s="10" t="s">
        <v>346</v>
      </c>
      <c r="E24" s="11">
        <v>45927</v>
      </c>
      <c r="F24" s="14">
        <f t="shared" ca="1" si="1"/>
        <v>172</v>
      </c>
      <c r="G24" s="17">
        <v>399</v>
      </c>
      <c r="H24" s="17">
        <v>265</v>
      </c>
      <c r="I24" s="53">
        <f t="shared" si="2"/>
        <v>1812</v>
      </c>
      <c r="J24" s="17">
        <v>2500</v>
      </c>
      <c r="K24" s="66">
        <v>688</v>
      </c>
      <c r="L24" s="52">
        <f t="shared" ca="1" si="3"/>
        <v>4</v>
      </c>
      <c r="M24" s="50">
        <f t="shared" si="4"/>
        <v>0.92883099285538351</v>
      </c>
      <c r="N24" s="52">
        <f t="shared" si="5"/>
        <v>2.0975609756097562</v>
      </c>
      <c r="O24" s="56">
        <f t="shared" si="6"/>
        <v>172</v>
      </c>
      <c r="P24" s="54">
        <f t="shared" si="7"/>
        <v>10.534883720930232</v>
      </c>
      <c r="Q24" s="55">
        <f t="shared" si="8"/>
        <v>33.583959899749374</v>
      </c>
      <c r="R24" s="55">
        <f t="shared" si="9"/>
        <v>27.52</v>
      </c>
      <c r="S24" s="13">
        <f t="shared" si="10"/>
        <v>3</v>
      </c>
      <c r="T24" s="13">
        <f t="shared" si="0"/>
        <v>1</v>
      </c>
      <c r="U24" s="13">
        <f t="shared" si="11"/>
        <v>1</v>
      </c>
      <c r="V24" s="13">
        <f t="shared" ca="1" si="12"/>
        <v>3</v>
      </c>
      <c r="W24" s="13">
        <f t="shared" ca="1" si="13"/>
        <v>8</v>
      </c>
      <c r="X24" s="61" t="str">
        <f t="shared" ca="1" si="14"/>
        <v>MONITOR</v>
      </c>
    </row>
    <row r="25" spans="1:24" x14ac:dyDescent="0.35">
      <c r="A25" s="25" t="s">
        <v>39</v>
      </c>
      <c r="B25" s="10" t="s">
        <v>320</v>
      </c>
      <c r="C25" s="10" t="s">
        <v>341</v>
      </c>
      <c r="D25" s="10" t="s">
        <v>346</v>
      </c>
      <c r="E25" s="11">
        <v>45878</v>
      </c>
      <c r="F25" s="14">
        <f t="shared" ca="1" si="1"/>
        <v>221</v>
      </c>
      <c r="G25" s="17">
        <v>399</v>
      </c>
      <c r="H25" s="17">
        <v>265</v>
      </c>
      <c r="I25" s="53">
        <f t="shared" si="2"/>
        <v>1483</v>
      </c>
      <c r="J25" s="17">
        <v>2000</v>
      </c>
      <c r="K25" s="66">
        <v>517</v>
      </c>
      <c r="L25" s="52">
        <f t="shared" ca="1" si="3"/>
        <v>2.3393665158371042</v>
      </c>
      <c r="M25" s="50">
        <f t="shared" si="4"/>
        <v>0.92883099285538351</v>
      </c>
      <c r="N25" s="52">
        <f t="shared" si="5"/>
        <v>1.5762195121951219</v>
      </c>
      <c r="O25" s="56">
        <f t="shared" si="6"/>
        <v>129.25</v>
      </c>
      <c r="P25" s="54">
        <f t="shared" si="7"/>
        <v>11.473887814313347</v>
      </c>
      <c r="Q25" s="55">
        <f t="shared" si="8"/>
        <v>33.583959899749374</v>
      </c>
      <c r="R25" s="55">
        <f t="shared" si="9"/>
        <v>25.85</v>
      </c>
      <c r="S25" s="13">
        <f t="shared" si="10"/>
        <v>3</v>
      </c>
      <c r="T25" s="13">
        <f t="shared" si="0"/>
        <v>1</v>
      </c>
      <c r="U25" s="13">
        <f t="shared" si="11"/>
        <v>1</v>
      </c>
      <c r="V25" s="13">
        <f t="shared" ca="1" si="12"/>
        <v>3</v>
      </c>
      <c r="W25" s="13">
        <f t="shared" ca="1" si="13"/>
        <v>8</v>
      </c>
      <c r="X25" s="61" t="str">
        <f t="shared" ca="1" si="14"/>
        <v>MONITOR</v>
      </c>
    </row>
    <row r="26" spans="1:24" x14ac:dyDescent="0.35">
      <c r="A26" s="25" t="s">
        <v>40</v>
      </c>
      <c r="B26" s="10" t="s">
        <v>320</v>
      </c>
      <c r="C26" s="10" t="s">
        <v>341</v>
      </c>
      <c r="D26" s="10" t="s">
        <v>346</v>
      </c>
      <c r="E26" s="11">
        <v>45948</v>
      </c>
      <c r="F26" s="14">
        <f t="shared" ca="1" si="1"/>
        <v>151</v>
      </c>
      <c r="G26" s="17">
        <v>399</v>
      </c>
      <c r="H26" s="17">
        <v>265</v>
      </c>
      <c r="I26" s="53">
        <f t="shared" si="2"/>
        <v>1761</v>
      </c>
      <c r="J26" s="17">
        <v>2500</v>
      </c>
      <c r="K26" s="66">
        <v>739</v>
      </c>
      <c r="L26" s="52">
        <f t="shared" ca="1" si="3"/>
        <v>4.8940397350993381</v>
      </c>
      <c r="M26" s="50">
        <f t="shared" si="4"/>
        <v>0.92883099285538351</v>
      </c>
      <c r="N26" s="52">
        <f t="shared" si="5"/>
        <v>2.2530487804878048</v>
      </c>
      <c r="O26" s="56">
        <f t="shared" si="6"/>
        <v>184.75</v>
      </c>
      <c r="P26" s="54">
        <f t="shared" si="7"/>
        <v>9.5317997293640051</v>
      </c>
      <c r="Q26" s="55">
        <f t="shared" si="8"/>
        <v>33.583959899749374</v>
      </c>
      <c r="R26" s="55">
        <f t="shared" si="9"/>
        <v>29.56</v>
      </c>
      <c r="S26" s="13">
        <f t="shared" si="10"/>
        <v>3</v>
      </c>
      <c r="T26" s="13">
        <f t="shared" si="0"/>
        <v>1</v>
      </c>
      <c r="U26" s="13">
        <f t="shared" si="11"/>
        <v>1</v>
      </c>
      <c r="V26" s="13">
        <f t="shared" ca="1" si="12"/>
        <v>3</v>
      </c>
      <c r="W26" s="13">
        <f t="shared" ca="1" si="13"/>
        <v>8</v>
      </c>
      <c r="X26" s="61" t="str">
        <f t="shared" ca="1" si="14"/>
        <v>MONITOR</v>
      </c>
    </row>
    <row r="27" spans="1:24" x14ac:dyDescent="0.35">
      <c r="A27" s="25" t="s">
        <v>41</v>
      </c>
      <c r="B27" s="10" t="s">
        <v>320</v>
      </c>
      <c r="C27" s="10" t="s">
        <v>341</v>
      </c>
      <c r="D27" s="10" t="s">
        <v>346</v>
      </c>
      <c r="E27" s="11">
        <v>45948</v>
      </c>
      <c r="F27" s="14">
        <f t="shared" ca="1" si="1"/>
        <v>151</v>
      </c>
      <c r="G27" s="17">
        <v>399</v>
      </c>
      <c r="H27" s="17">
        <v>265</v>
      </c>
      <c r="I27" s="53">
        <f t="shared" si="2"/>
        <v>1722</v>
      </c>
      <c r="J27" s="17">
        <v>2000</v>
      </c>
      <c r="K27" s="66">
        <v>278</v>
      </c>
      <c r="L27" s="52">
        <f t="shared" ca="1" si="3"/>
        <v>1.8410596026490067</v>
      </c>
      <c r="M27" s="50">
        <f t="shared" si="4"/>
        <v>0.92883099285538351</v>
      </c>
      <c r="N27" s="52">
        <f t="shared" si="5"/>
        <v>0.84756097560975607</v>
      </c>
      <c r="O27" s="56">
        <f t="shared" si="6"/>
        <v>69.5</v>
      </c>
      <c r="P27" s="54">
        <f t="shared" si="7"/>
        <v>24.776978417266186</v>
      </c>
      <c r="Q27" s="55">
        <f t="shared" si="8"/>
        <v>33.583959899749374</v>
      </c>
      <c r="R27" s="55">
        <f t="shared" si="9"/>
        <v>13.900000000000002</v>
      </c>
      <c r="S27" s="13">
        <f t="shared" si="10"/>
        <v>2</v>
      </c>
      <c r="T27" s="13">
        <f t="shared" si="0"/>
        <v>1</v>
      </c>
      <c r="U27" s="13">
        <f t="shared" si="11"/>
        <v>1</v>
      </c>
      <c r="V27" s="13">
        <f t="shared" ca="1" si="12"/>
        <v>3</v>
      </c>
      <c r="W27" s="13">
        <f t="shared" ca="1" si="13"/>
        <v>7</v>
      </c>
      <c r="X27" s="61" t="str">
        <f t="shared" ca="1" si="14"/>
        <v>MONITOR</v>
      </c>
    </row>
    <row r="28" spans="1:24" x14ac:dyDescent="0.35">
      <c r="A28" s="25" t="s">
        <v>42</v>
      </c>
      <c r="B28" s="10" t="s">
        <v>320</v>
      </c>
      <c r="C28" s="10" t="s">
        <v>341</v>
      </c>
      <c r="D28" s="10" t="s">
        <v>346</v>
      </c>
      <c r="E28" s="11">
        <v>45878</v>
      </c>
      <c r="F28" s="14">
        <f t="shared" ca="1" si="1"/>
        <v>221</v>
      </c>
      <c r="G28" s="17">
        <v>399</v>
      </c>
      <c r="H28" s="17">
        <v>265</v>
      </c>
      <c r="I28" s="53">
        <f t="shared" si="2"/>
        <v>1514</v>
      </c>
      <c r="J28" s="17">
        <v>2000</v>
      </c>
      <c r="K28" s="66">
        <v>486</v>
      </c>
      <c r="L28" s="52">
        <f t="shared" ca="1" si="3"/>
        <v>2.1990950226244346</v>
      </c>
      <c r="M28" s="50">
        <f t="shared" si="4"/>
        <v>0.92883099285538351</v>
      </c>
      <c r="N28" s="52">
        <f t="shared" si="5"/>
        <v>1.4817073170731707</v>
      </c>
      <c r="O28" s="56">
        <f t="shared" si="6"/>
        <v>121.5</v>
      </c>
      <c r="P28" s="54">
        <f t="shared" si="7"/>
        <v>12.460905349794238</v>
      </c>
      <c r="Q28" s="55">
        <f t="shared" si="8"/>
        <v>33.583959899749374</v>
      </c>
      <c r="R28" s="55">
        <f t="shared" si="9"/>
        <v>24.3</v>
      </c>
      <c r="S28" s="13">
        <f t="shared" si="10"/>
        <v>3</v>
      </c>
      <c r="T28" s="13">
        <f t="shared" si="0"/>
        <v>1</v>
      </c>
      <c r="U28" s="13">
        <f t="shared" si="11"/>
        <v>1</v>
      </c>
      <c r="V28" s="13">
        <f t="shared" ca="1" si="12"/>
        <v>3</v>
      </c>
      <c r="W28" s="13">
        <f t="shared" ca="1" si="13"/>
        <v>8</v>
      </c>
      <c r="X28" s="61" t="str">
        <f t="shared" ca="1" si="14"/>
        <v>MONITOR</v>
      </c>
    </row>
    <row r="29" spans="1:24" x14ac:dyDescent="0.35">
      <c r="A29" s="25" t="s">
        <v>43</v>
      </c>
      <c r="B29" s="10" t="s">
        <v>320</v>
      </c>
      <c r="C29" s="10" t="s">
        <v>341</v>
      </c>
      <c r="D29" s="10" t="s">
        <v>346</v>
      </c>
      <c r="E29" s="11">
        <v>45878</v>
      </c>
      <c r="F29" s="14">
        <f t="shared" ca="1" si="1"/>
        <v>221</v>
      </c>
      <c r="G29" s="17">
        <v>399</v>
      </c>
      <c r="H29" s="17">
        <v>265</v>
      </c>
      <c r="I29" s="53">
        <f t="shared" si="2"/>
        <v>1518</v>
      </c>
      <c r="J29" s="17">
        <v>2000</v>
      </c>
      <c r="K29" s="66">
        <v>482</v>
      </c>
      <c r="L29" s="52">
        <f t="shared" ca="1" si="3"/>
        <v>2.180995475113122</v>
      </c>
      <c r="M29" s="50">
        <f t="shared" si="4"/>
        <v>0.92883099285538351</v>
      </c>
      <c r="N29" s="52">
        <f t="shared" si="5"/>
        <v>1.4695121951219512</v>
      </c>
      <c r="O29" s="56">
        <f t="shared" si="6"/>
        <v>120.5</v>
      </c>
      <c r="P29" s="54">
        <f t="shared" si="7"/>
        <v>12.597510373443983</v>
      </c>
      <c r="Q29" s="55">
        <f t="shared" si="8"/>
        <v>33.583959899749374</v>
      </c>
      <c r="R29" s="55">
        <f t="shared" si="9"/>
        <v>24.099999999999998</v>
      </c>
      <c r="S29" s="13">
        <f t="shared" si="10"/>
        <v>3</v>
      </c>
      <c r="T29" s="13">
        <f t="shared" si="0"/>
        <v>1</v>
      </c>
      <c r="U29" s="13">
        <f t="shared" si="11"/>
        <v>1</v>
      </c>
      <c r="V29" s="13">
        <f t="shared" ca="1" si="12"/>
        <v>3</v>
      </c>
      <c r="W29" s="13">
        <f t="shared" ca="1" si="13"/>
        <v>8</v>
      </c>
      <c r="X29" s="61" t="str">
        <f t="shared" ca="1" si="14"/>
        <v>MONITOR</v>
      </c>
    </row>
    <row r="30" spans="1:24" x14ac:dyDescent="0.35">
      <c r="A30" s="25" t="s">
        <v>44</v>
      </c>
      <c r="B30" s="10" t="s">
        <v>320</v>
      </c>
      <c r="C30" s="10" t="s">
        <v>341</v>
      </c>
      <c r="D30" s="10" t="s">
        <v>346</v>
      </c>
      <c r="E30" s="11">
        <v>45948</v>
      </c>
      <c r="F30" s="14">
        <f t="shared" ca="1" si="1"/>
        <v>151</v>
      </c>
      <c r="G30" s="17">
        <v>399</v>
      </c>
      <c r="H30" s="17">
        <v>265</v>
      </c>
      <c r="I30" s="53">
        <f t="shared" si="2"/>
        <v>1142</v>
      </c>
      <c r="J30" s="17">
        <v>2000</v>
      </c>
      <c r="K30" s="66">
        <v>858</v>
      </c>
      <c r="L30" s="52">
        <f t="shared" ca="1" si="3"/>
        <v>5.6821192052980134</v>
      </c>
      <c r="M30" s="50">
        <f t="shared" si="4"/>
        <v>0.92883099285538351</v>
      </c>
      <c r="N30" s="52">
        <f t="shared" si="5"/>
        <v>2.6158536585365852</v>
      </c>
      <c r="O30" s="56">
        <f t="shared" si="6"/>
        <v>214.5</v>
      </c>
      <c r="P30" s="54">
        <f t="shared" si="7"/>
        <v>5.3240093240093236</v>
      </c>
      <c r="Q30" s="55">
        <f t="shared" si="8"/>
        <v>33.583959899749374</v>
      </c>
      <c r="R30" s="55">
        <f t="shared" si="9"/>
        <v>42.9</v>
      </c>
      <c r="S30" s="13">
        <f t="shared" si="10"/>
        <v>3</v>
      </c>
      <c r="T30" s="13">
        <f t="shared" si="0"/>
        <v>2</v>
      </c>
      <c r="U30" s="13">
        <f t="shared" si="11"/>
        <v>1</v>
      </c>
      <c r="V30" s="13">
        <f t="shared" ca="1" si="12"/>
        <v>3</v>
      </c>
      <c r="W30" s="13">
        <f t="shared" ca="1" si="13"/>
        <v>9</v>
      </c>
      <c r="X30" s="61" t="str">
        <f t="shared" ca="1" si="14"/>
        <v>RE-BUY</v>
      </c>
    </row>
    <row r="31" spans="1:24" x14ac:dyDescent="0.35">
      <c r="A31" s="25" t="s">
        <v>45</v>
      </c>
      <c r="B31" s="10" t="s">
        <v>320</v>
      </c>
      <c r="C31" s="10" t="s">
        <v>341</v>
      </c>
      <c r="D31" s="10" t="s">
        <v>346</v>
      </c>
      <c r="E31" s="11">
        <v>45878</v>
      </c>
      <c r="F31" s="14">
        <f t="shared" ca="1" si="1"/>
        <v>221</v>
      </c>
      <c r="G31" s="17">
        <v>399</v>
      </c>
      <c r="H31" s="17">
        <v>265</v>
      </c>
      <c r="I31" s="53">
        <f t="shared" si="2"/>
        <v>1642</v>
      </c>
      <c r="J31" s="17">
        <v>2000</v>
      </c>
      <c r="K31" s="66">
        <v>358</v>
      </c>
      <c r="L31" s="52">
        <f t="shared" ca="1" si="3"/>
        <v>1.6199095022624435</v>
      </c>
      <c r="M31" s="50">
        <f t="shared" si="4"/>
        <v>0.92883099285538351</v>
      </c>
      <c r="N31" s="52">
        <f t="shared" si="5"/>
        <v>1.0914634146341464</v>
      </c>
      <c r="O31" s="56">
        <f t="shared" si="6"/>
        <v>89.5</v>
      </c>
      <c r="P31" s="54">
        <f t="shared" si="7"/>
        <v>18.346368715083798</v>
      </c>
      <c r="Q31" s="55">
        <f t="shared" si="8"/>
        <v>33.583959899749374</v>
      </c>
      <c r="R31" s="55">
        <f t="shared" si="9"/>
        <v>17.899999999999999</v>
      </c>
      <c r="S31" s="13">
        <f t="shared" si="10"/>
        <v>3</v>
      </c>
      <c r="T31" s="13">
        <f t="shared" si="0"/>
        <v>1</v>
      </c>
      <c r="U31" s="13">
        <f t="shared" si="11"/>
        <v>1</v>
      </c>
      <c r="V31" s="13">
        <f t="shared" ca="1" si="12"/>
        <v>3</v>
      </c>
      <c r="W31" s="13">
        <f t="shared" ca="1" si="13"/>
        <v>8</v>
      </c>
      <c r="X31" s="61" t="str">
        <f t="shared" ca="1" si="14"/>
        <v>MONITOR</v>
      </c>
    </row>
    <row r="32" spans="1:24" x14ac:dyDescent="0.35">
      <c r="A32" s="25" t="s">
        <v>46</v>
      </c>
      <c r="B32" s="10" t="s">
        <v>320</v>
      </c>
      <c r="C32" s="10" t="s">
        <v>341</v>
      </c>
      <c r="D32" s="10" t="s">
        <v>346</v>
      </c>
      <c r="E32" s="11">
        <v>45878</v>
      </c>
      <c r="F32" s="14">
        <f t="shared" ca="1" si="1"/>
        <v>221</v>
      </c>
      <c r="G32" s="17">
        <v>399</v>
      </c>
      <c r="H32" s="17">
        <v>265</v>
      </c>
      <c r="I32" s="53">
        <f t="shared" si="2"/>
        <v>1579</v>
      </c>
      <c r="J32" s="17">
        <v>2000</v>
      </c>
      <c r="K32" s="66">
        <v>421</v>
      </c>
      <c r="L32" s="52">
        <f t="shared" ca="1" si="3"/>
        <v>1.9049773755656108</v>
      </c>
      <c r="M32" s="50">
        <f t="shared" si="4"/>
        <v>0.92883099285538351</v>
      </c>
      <c r="N32" s="52">
        <f t="shared" si="5"/>
        <v>1.2835365853658536</v>
      </c>
      <c r="O32" s="56">
        <f t="shared" si="6"/>
        <v>105.25</v>
      </c>
      <c r="P32" s="54">
        <f t="shared" si="7"/>
        <v>15.002375296912113</v>
      </c>
      <c r="Q32" s="55">
        <f t="shared" si="8"/>
        <v>33.583959899749374</v>
      </c>
      <c r="R32" s="55">
        <f t="shared" si="9"/>
        <v>21.05</v>
      </c>
      <c r="S32" s="13">
        <f t="shared" si="10"/>
        <v>3</v>
      </c>
      <c r="T32" s="13">
        <f t="shared" si="0"/>
        <v>1</v>
      </c>
      <c r="U32" s="13">
        <f t="shared" si="11"/>
        <v>1</v>
      </c>
      <c r="V32" s="13">
        <f t="shared" ca="1" si="12"/>
        <v>3</v>
      </c>
      <c r="W32" s="13">
        <f t="shared" ca="1" si="13"/>
        <v>8</v>
      </c>
      <c r="X32" s="61" t="str">
        <f t="shared" ca="1" si="14"/>
        <v>MONITOR</v>
      </c>
    </row>
    <row r="33" spans="1:24" x14ac:dyDescent="0.35">
      <c r="A33" s="25" t="s">
        <v>47</v>
      </c>
      <c r="B33" s="10" t="s">
        <v>320</v>
      </c>
      <c r="C33" s="10" t="s">
        <v>341</v>
      </c>
      <c r="D33" s="10" t="s">
        <v>346</v>
      </c>
      <c r="E33" s="11">
        <v>45927</v>
      </c>
      <c r="F33" s="14">
        <f t="shared" ca="1" si="1"/>
        <v>172</v>
      </c>
      <c r="G33" s="17">
        <v>399</v>
      </c>
      <c r="H33" s="17">
        <v>265</v>
      </c>
      <c r="I33" s="53">
        <f t="shared" si="2"/>
        <v>1446</v>
      </c>
      <c r="J33" s="17">
        <v>2000</v>
      </c>
      <c r="K33" s="66">
        <v>554</v>
      </c>
      <c r="L33" s="52">
        <f t="shared" ca="1" si="3"/>
        <v>3.2209302325581395</v>
      </c>
      <c r="M33" s="50">
        <f t="shared" si="4"/>
        <v>0.92883099285538351</v>
      </c>
      <c r="N33" s="52">
        <f t="shared" si="5"/>
        <v>1.6890243902439024</v>
      </c>
      <c r="O33" s="56">
        <f t="shared" si="6"/>
        <v>138.5</v>
      </c>
      <c r="P33" s="54">
        <f t="shared" si="7"/>
        <v>10.440433212996389</v>
      </c>
      <c r="Q33" s="55">
        <f t="shared" si="8"/>
        <v>33.583959899749374</v>
      </c>
      <c r="R33" s="55">
        <f t="shared" si="9"/>
        <v>27.700000000000003</v>
      </c>
      <c r="S33" s="13">
        <f t="shared" si="10"/>
        <v>3</v>
      </c>
      <c r="T33" s="13">
        <f t="shared" si="0"/>
        <v>1</v>
      </c>
      <c r="U33" s="13">
        <f t="shared" si="11"/>
        <v>1</v>
      </c>
      <c r="V33" s="13">
        <f t="shared" ca="1" si="12"/>
        <v>3</v>
      </c>
      <c r="W33" s="13">
        <f t="shared" ca="1" si="13"/>
        <v>8</v>
      </c>
      <c r="X33" s="61" t="str">
        <f t="shared" ca="1" si="14"/>
        <v>MONITOR</v>
      </c>
    </row>
    <row r="34" spans="1:24" x14ac:dyDescent="0.35">
      <c r="A34" s="25" t="s">
        <v>48</v>
      </c>
      <c r="B34" s="10" t="s">
        <v>320</v>
      </c>
      <c r="C34" s="10" t="s">
        <v>341</v>
      </c>
      <c r="D34" s="10" t="s">
        <v>346</v>
      </c>
      <c r="E34" s="11">
        <v>45878</v>
      </c>
      <c r="F34" s="14">
        <f t="shared" ca="1" si="1"/>
        <v>221</v>
      </c>
      <c r="G34" s="17">
        <v>399</v>
      </c>
      <c r="H34" s="17">
        <v>265</v>
      </c>
      <c r="I34" s="53">
        <f t="shared" si="2"/>
        <v>1395</v>
      </c>
      <c r="J34" s="17">
        <v>2000</v>
      </c>
      <c r="K34" s="66">
        <v>605</v>
      </c>
      <c r="L34" s="52">
        <f t="shared" ca="1" si="3"/>
        <v>2.7375565610859729</v>
      </c>
      <c r="M34" s="50">
        <f t="shared" si="4"/>
        <v>0.92883099285538351</v>
      </c>
      <c r="N34" s="52">
        <f t="shared" si="5"/>
        <v>1.8445121951219512</v>
      </c>
      <c r="O34" s="56">
        <f t="shared" si="6"/>
        <v>151.25</v>
      </c>
      <c r="P34" s="54">
        <f t="shared" si="7"/>
        <v>9.223140495867769</v>
      </c>
      <c r="Q34" s="55">
        <f t="shared" si="8"/>
        <v>33.583959899749374</v>
      </c>
      <c r="R34" s="55">
        <f t="shared" si="9"/>
        <v>30.25</v>
      </c>
      <c r="S34" s="13">
        <f t="shared" si="10"/>
        <v>3</v>
      </c>
      <c r="T34" s="13">
        <f t="shared" si="0"/>
        <v>1</v>
      </c>
      <c r="U34" s="13">
        <f t="shared" si="11"/>
        <v>1</v>
      </c>
      <c r="V34" s="13">
        <f t="shared" ca="1" si="12"/>
        <v>3</v>
      </c>
      <c r="W34" s="13">
        <f t="shared" ca="1" si="13"/>
        <v>8</v>
      </c>
      <c r="X34" s="61" t="str">
        <f t="shared" ca="1" si="14"/>
        <v>MONITOR</v>
      </c>
    </row>
    <row r="35" spans="1:24" x14ac:dyDescent="0.35">
      <c r="A35" s="25" t="s">
        <v>49</v>
      </c>
      <c r="B35" s="10" t="s">
        <v>320</v>
      </c>
      <c r="C35" s="10" t="s">
        <v>341</v>
      </c>
      <c r="D35" s="10" t="s">
        <v>346</v>
      </c>
      <c r="E35" s="11">
        <v>45927</v>
      </c>
      <c r="F35" s="14">
        <f t="shared" ca="1" si="1"/>
        <v>172</v>
      </c>
      <c r="G35" s="17">
        <v>399</v>
      </c>
      <c r="H35" s="17">
        <v>265</v>
      </c>
      <c r="I35" s="53">
        <f t="shared" si="2"/>
        <v>1402</v>
      </c>
      <c r="J35" s="17">
        <v>2200</v>
      </c>
      <c r="K35" s="66">
        <v>798</v>
      </c>
      <c r="L35" s="52">
        <f t="shared" ca="1" si="3"/>
        <v>4.6395348837209305</v>
      </c>
      <c r="M35" s="50">
        <f t="shared" si="4"/>
        <v>0.92883099285538351</v>
      </c>
      <c r="N35" s="52">
        <f t="shared" si="5"/>
        <v>2.4329268292682928</v>
      </c>
      <c r="O35" s="56">
        <f t="shared" si="6"/>
        <v>199.5</v>
      </c>
      <c r="P35" s="54">
        <f t="shared" si="7"/>
        <v>7.0275689223057647</v>
      </c>
      <c r="Q35" s="55">
        <f t="shared" si="8"/>
        <v>33.583959899749374</v>
      </c>
      <c r="R35" s="55">
        <f t="shared" si="9"/>
        <v>36.272727272727273</v>
      </c>
      <c r="S35" s="13">
        <f t="shared" si="10"/>
        <v>3</v>
      </c>
      <c r="T35" s="13">
        <f t="shared" si="0"/>
        <v>1</v>
      </c>
      <c r="U35" s="13">
        <f t="shared" si="11"/>
        <v>1</v>
      </c>
      <c r="V35" s="13">
        <f t="shared" ca="1" si="12"/>
        <v>3</v>
      </c>
      <c r="W35" s="13">
        <f t="shared" ca="1" si="13"/>
        <v>8</v>
      </c>
      <c r="X35" s="61" t="str">
        <f t="shared" ca="1" si="14"/>
        <v>MONITOR</v>
      </c>
    </row>
    <row r="36" spans="1:24" x14ac:dyDescent="0.35">
      <c r="A36" s="25" t="s">
        <v>50</v>
      </c>
      <c r="B36" s="10" t="s">
        <v>320</v>
      </c>
      <c r="C36" s="10" t="s">
        <v>341</v>
      </c>
      <c r="D36" s="10" t="s">
        <v>346</v>
      </c>
      <c r="E36" s="11">
        <v>45976</v>
      </c>
      <c r="F36" s="14">
        <f t="shared" ca="1" si="1"/>
        <v>123</v>
      </c>
      <c r="G36" s="17">
        <v>399</v>
      </c>
      <c r="H36" s="17">
        <v>265</v>
      </c>
      <c r="I36" s="53">
        <f t="shared" si="2"/>
        <v>1538</v>
      </c>
      <c r="J36" s="17">
        <v>2000</v>
      </c>
      <c r="K36" s="66">
        <v>462</v>
      </c>
      <c r="L36" s="52">
        <f t="shared" ca="1" si="3"/>
        <v>3.7560975609756095</v>
      </c>
      <c r="M36" s="50">
        <f t="shared" si="4"/>
        <v>0.92883099285538351</v>
      </c>
      <c r="N36" s="52">
        <f t="shared" si="5"/>
        <v>1.4085365853658536</v>
      </c>
      <c r="O36" s="56">
        <f t="shared" si="6"/>
        <v>115.5</v>
      </c>
      <c r="P36" s="54">
        <f t="shared" si="7"/>
        <v>13.316017316017316</v>
      </c>
      <c r="Q36" s="55">
        <f t="shared" si="8"/>
        <v>33.583959899749374</v>
      </c>
      <c r="R36" s="55">
        <f t="shared" si="9"/>
        <v>23.1</v>
      </c>
      <c r="S36" s="13">
        <f t="shared" si="10"/>
        <v>3</v>
      </c>
      <c r="T36" s="13">
        <f t="shared" si="0"/>
        <v>1</v>
      </c>
      <c r="U36" s="13">
        <f t="shared" si="11"/>
        <v>1</v>
      </c>
      <c r="V36" s="13">
        <f t="shared" ca="1" si="12"/>
        <v>3</v>
      </c>
      <c r="W36" s="13">
        <f t="shared" ca="1" si="13"/>
        <v>8</v>
      </c>
      <c r="X36" s="61" t="str">
        <f t="shared" ca="1" si="14"/>
        <v>MONITOR</v>
      </c>
    </row>
    <row r="37" spans="1:24" x14ac:dyDescent="0.35">
      <c r="A37" s="25" t="s">
        <v>51</v>
      </c>
      <c r="B37" s="10" t="s">
        <v>320</v>
      </c>
      <c r="C37" s="10" t="s">
        <v>341</v>
      </c>
      <c r="D37" s="10" t="s">
        <v>346</v>
      </c>
      <c r="E37" s="11">
        <v>45878</v>
      </c>
      <c r="F37" s="14">
        <f t="shared" ca="1" si="1"/>
        <v>221</v>
      </c>
      <c r="G37" s="17">
        <v>399</v>
      </c>
      <c r="H37" s="17">
        <v>265</v>
      </c>
      <c r="I37" s="53">
        <f t="shared" si="2"/>
        <v>1907</v>
      </c>
      <c r="J37" s="17">
        <v>2000</v>
      </c>
      <c r="K37" s="66">
        <v>93</v>
      </c>
      <c r="L37" s="52">
        <f t="shared" ca="1" si="3"/>
        <v>0.42081447963800905</v>
      </c>
      <c r="M37" s="50">
        <f t="shared" si="4"/>
        <v>0.92883099285538351</v>
      </c>
      <c r="N37" s="52">
        <f t="shared" si="5"/>
        <v>0.28353658536585363</v>
      </c>
      <c r="O37" s="56">
        <f t="shared" si="6"/>
        <v>23.249999999999996</v>
      </c>
      <c r="P37" s="54">
        <f t="shared" si="7"/>
        <v>82.021505376344095</v>
      </c>
      <c r="Q37" s="55">
        <f t="shared" si="8"/>
        <v>33.583959899749374</v>
      </c>
      <c r="R37" s="55">
        <f t="shared" si="9"/>
        <v>4.6500000000000004</v>
      </c>
      <c r="S37" s="13">
        <f t="shared" si="10"/>
        <v>1</v>
      </c>
      <c r="T37" s="13">
        <f t="shared" si="0"/>
        <v>1</v>
      </c>
      <c r="U37" s="13">
        <f t="shared" si="11"/>
        <v>1</v>
      </c>
      <c r="V37" s="13">
        <f t="shared" ca="1" si="12"/>
        <v>3</v>
      </c>
      <c r="W37" s="13">
        <f t="shared" ca="1" si="13"/>
        <v>6</v>
      </c>
      <c r="X37" s="61" t="str">
        <f t="shared" ca="1" si="14"/>
        <v>MONITOR</v>
      </c>
    </row>
    <row r="38" spans="1:24" x14ac:dyDescent="0.35">
      <c r="A38" s="25" t="s">
        <v>52</v>
      </c>
      <c r="B38" s="10" t="s">
        <v>320</v>
      </c>
      <c r="C38" s="10" t="s">
        <v>341</v>
      </c>
      <c r="D38" s="10" t="s">
        <v>346</v>
      </c>
      <c r="E38" s="11">
        <v>45906</v>
      </c>
      <c r="F38" s="14">
        <f t="shared" ca="1" si="1"/>
        <v>193</v>
      </c>
      <c r="G38" s="17">
        <v>399</v>
      </c>
      <c r="H38" s="17">
        <v>265</v>
      </c>
      <c r="I38" s="53">
        <f t="shared" si="2"/>
        <v>1542</v>
      </c>
      <c r="J38" s="17">
        <v>2200</v>
      </c>
      <c r="K38" s="66">
        <v>658</v>
      </c>
      <c r="L38" s="52">
        <f t="shared" ca="1" si="3"/>
        <v>3.4093264248704664</v>
      </c>
      <c r="M38" s="50">
        <f t="shared" si="4"/>
        <v>0.92883099285538351</v>
      </c>
      <c r="N38" s="52">
        <f t="shared" si="5"/>
        <v>2.0060975609756095</v>
      </c>
      <c r="O38" s="56">
        <f t="shared" si="6"/>
        <v>164.49999999999997</v>
      </c>
      <c r="P38" s="54">
        <f t="shared" si="7"/>
        <v>9.373860182370823</v>
      </c>
      <c r="Q38" s="55">
        <f t="shared" si="8"/>
        <v>33.583959899749374</v>
      </c>
      <c r="R38" s="55">
        <f t="shared" si="9"/>
        <v>29.909090909090907</v>
      </c>
      <c r="S38" s="13">
        <f t="shared" si="10"/>
        <v>3</v>
      </c>
      <c r="T38" s="13">
        <f t="shared" si="0"/>
        <v>1</v>
      </c>
      <c r="U38" s="13">
        <f t="shared" si="11"/>
        <v>1</v>
      </c>
      <c r="V38" s="13">
        <f t="shared" ca="1" si="12"/>
        <v>3</v>
      </c>
      <c r="W38" s="13">
        <f t="shared" ca="1" si="13"/>
        <v>8</v>
      </c>
      <c r="X38" s="61" t="str">
        <f t="shared" ca="1" si="14"/>
        <v>MONITOR</v>
      </c>
    </row>
    <row r="39" spans="1:24" x14ac:dyDescent="0.35">
      <c r="A39" s="25" t="s">
        <v>53</v>
      </c>
      <c r="B39" s="10" t="s">
        <v>320</v>
      </c>
      <c r="C39" s="10" t="s">
        <v>341</v>
      </c>
      <c r="D39" s="10" t="s">
        <v>346</v>
      </c>
      <c r="E39" s="11">
        <v>45906</v>
      </c>
      <c r="F39" s="14">
        <f t="shared" ca="1" si="1"/>
        <v>193</v>
      </c>
      <c r="G39" s="17">
        <v>399</v>
      </c>
      <c r="H39" s="17">
        <v>265</v>
      </c>
      <c r="I39" s="53">
        <f t="shared" si="2"/>
        <v>966</v>
      </c>
      <c r="J39" s="17">
        <v>2000</v>
      </c>
      <c r="K39" s="66">
        <v>1034</v>
      </c>
      <c r="L39" s="52">
        <f t="shared" ca="1" si="3"/>
        <v>5.357512953367876</v>
      </c>
      <c r="M39" s="50">
        <f t="shared" si="4"/>
        <v>0.92883099285538351</v>
      </c>
      <c r="N39" s="52">
        <f t="shared" si="5"/>
        <v>3.1524390243902438</v>
      </c>
      <c r="O39" s="56">
        <f t="shared" si="6"/>
        <v>258.5</v>
      </c>
      <c r="P39" s="54">
        <f t="shared" si="7"/>
        <v>3.736943907156673</v>
      </c>
      <c r="Q39" s="55">
        <f t="shared" si="8"/>
        <v>33.583959899749374</v>
      </c>
      <c r="R39" s="55">
        <f t="shared" si="9"/>
        <v>51.7</v>
      </c>
      <c r="S39" s="13">
        <f t="shared" si="10"/>
        <v>3</v>
      </c>
      <c r="T39" s="13">
        <f t="shared" si="0"/>
        <v>3</v>
      </c>
      <c r="U39" s="13">
        <f t="shared" si="11"/>
        <v>1</v>
      </c>
      <c r="V39" s="13">
        <f t="shared" ca="1" si="12"/>
        <v>3</v>
      </c>
      <c r="W39" s="13">
        <f t="shared" ca="1" si="13"/>
        <v>10</v>
      </c>
      <c r="X39" s="61" t="str">
        <f t="shared" ca="1" si="14"/>
        <v>RE-BUY</v>
      </c>
    </row>
    <row r="40" spans="1:24" x14ac:dyDescent="0.35">
      <c r="A40" s="25" t="s">
        <v>54</v>
      </c>
      <c r="B40" s="10" t="s">
        <v>320</v>
      </c>
      <c r="C40" s="10" t="s">
        <v>341</v>
      </c>
      <c r="D40" s="10" t="s">
        <v>346</v>
      </c>
      <c r="E40" s="11">
        <v>45906</v>
      </c>
      <c r="F40" s="14">
        <f t="shared" ca="1" si="1"/>
        <v>193</v>
      </c>
      <c r="G40" s="17">
        <v>399</v>
      </c>
      <c r="H40" s="17">
        <v>265</v>
      </c>
      <c r="I40" s="53">
        <f t="shared" si="2"/>
        <v>1426</v>
      </c>
      <c r="J40" s="17">
        <v>2200</v>
      </c>
      <c r="K40" s="66">
        <v>774</v>
      </c>
      <c r="L40" s="52">
        <f t="shared" ca="1" si="3"/>
        <v>4.0103626943005182</v>
      </c>
      <c r="M40" s="50">
        <f t="shared" si="4"/>
        <v>0.92883099285538351</v>
      </c>
      <c r="N40" s="52">
        <f t="shared" si="5"/>
        <v>2.3597560975609757</v>
      </c>
      <c r="O40" s="56">
        <f t="shared" si="6"/>
        <v>193.5</v>
      </c>
      <c r="P40" s="54">
        <f t="shared" si="7"/>
        <v>7.3695090439276489</v>
      </c>
      <c r="Q40" s="55">
        <f t="shared" si="8"/>
        <v>33.583959899749374</v>
      </c>
      <c r="R40" s="55">
        <f t="shared" si="9"/>
        <v>35.18181818181818</v>
      </c>
      <c r="S40" s="13">
        <f t="shared" si="10"/>
        <v>3</v>
      </c>
      <c r="T40" s="13">
        <f t="shared" si="0"/>
        <v>1</v>
      </c>
      <c r="U40" s="13">
        <f t="shared" si="11"/>
        <v>1</v>
      </c>
      <c r="V40" s="13">
        <f t="shared" ca="1" si="12"/>
        <v>3</v>
      </c>
      <c r="W40" s="13">
        <f t="shared" ca="1" si="13"/>
        <v>8</v>
      </c>
      <c r="X40" s="61" t="str">
        <f t="shared" ca="1" si="14"/>
        <v>MONITOR</v>
      </c>
    </row>
    <row r="41" spans="1:24" x14ac:dyDescent="0.35">
      <c r="A41" s="25" t="s">
        <v>55</v>
      </c>
      <c r="B41" s="10" t="s">
        <v>320</v>
      </c>
      <c r="C41" s="10" t="s">
        <v>341</v>
      </c>
      <c r="D41" s="10" t="s">
        <v>346</v>
      </c>
      <c r="E41" s="11">
        <v>45906</v>
      </c>
      <c r="F41" s="14">
        <f t="shared" ca="1" si="1"/>
        <v>193</v>
      </c>
      <c r="G41" s="17">
        <v>399</v>
      </c>
      <c r="H41" s="17">
        <v>265</v>
      </c>
      <c r="I41" s="53">
        <f t="shared" si="2"/>
        <v>1606</v>
      </c>
      <c r="J41" s="17">
        <v>2200</v>
      </c>
      <c r="K41" s="66">
        <v>594</v>
      </c>
      <c r="L41" s="52">
        <f t="shared" ca="1" si="3"/>
        <v>3.0777202072538858</v>
      </c>
      <c r="M41" s="50">
        <f t="shared" si="4"/>
        <v>0.92883099285538351</v>
      </c>
      <c r="N41" s="52">
        <f t="shared" si="5"/>
        <v>1.8109756097560976</v>
      </c>
      <c r="O41" s="56">
        <f t="shared" si="6"/>
        <v>148.5</v>
      </c>
      <c r="P41" s="54">
        <f t="shared" si="7"/>
        <v>10.814814814814815</v>
      </c>
      <c r="Q41" s="55">
        <f t="shared" si="8"/>
        <v>33.583959899749374</v>
      </c>
      <c r="R41" s="55">
        <f t="shared" si="9"/>
        <v>27</v>
      </c>
      <c r="S41" s="13">
        <f t="shared" si="10"/>
        <v>3</v>
      </c>
      <c r="T41" s="13">
        <f t="shared" si="0"/>
        <v>1</v>
      </c>
      <c r="U41" s="13">
        <f t="shared" si="11"/>
        <v>1</v>
      </c>
      <c r="V41" s="13">
        <f t="shared" ca="1" si="12"/>
        <v>3</v>
      </c>
      <c r="W41" s="13">
        <f t="shared" ca="1" si="13"/>
        <v>8</v>
      </c>
      <c r="X41" s="61" t="str">
        <f t="shared" ca="1" si="14"/>
        <v>MONITOR</v>
      </c>
    </row>
    <row r="42" spans="1:24" x14ac:dyDescent="0.35">
      <c r="A42" s="25" t="s">
        <v>56</v>
      </c>
      <c r="B42" s="10" t="s">
        <v>316</v>
      </c>
      <c r="C42" s="10" t="s">
        <v>341</v>
      </c>
      <c r="D42" s="10" t="s">
        <v>346</v>
      </c>
      <c r="E42" s="11">
        <v>45850</v>
      </c>
      <c r="F42" s="14">
        <f t="shared" ca="1" si="1"/>
        <v>249</v>
      </c>
      <c r="G42" s="17">
        <v>599</v>
      </c>
      <c r="H42" s="17">
        <v>317</v>
      </c>
      <c r="I42" s="53">
        <f t="shared" si="2"/>
        <v>1245</v>
      </c>
      <c r="J42" s="17">
        <v>1300</v>
      </c>
      <c r="K42" s="66">
        <v>55</v>
      </c>
      <c r="L42" s="52">
        <f t="shared" ca="1" si="3"/>
        <v>0.22088353413654618</v>
      </c>
      <c r="M42" s="50">
        <f t="shared" si="4"/>
        <v>0.92883099285538351</v>
      </c>
      <c r="N42" s="52">
        <f t="shared" si="5"/>
        <v>0.1676829268292683</v>
      </c>
      <c r="O42" s="56">
        <f t="shared" si="6"/>
        <v>13.75</v>
      </c>
      <c r="P42" s="54">
        <f t="shared" si="7"/>
        <v>90.545454545454547</v>
      </c>
      <c r="Q42" s="55">
        <f t="shared" si="8"/>
        <v>47.078464106844741</v>
      </c>
      <c r="R42" s="55">
        <f t="shared" si="9"/>
        <v>4.2307692307692308</v>
      </c>
      <c r="S42" s="13">
        <f t="shared" si="10"/>
        <v>1</v>
      </c>
      <c r="T42" s="13">
        <f t="shared" si="0"/>
        <v>1</v>
      </c>
      <c r="U42" s="13">
        <f t="shared" si="11"/>
        <v>2</v>
      </c>
      <c r="V42" s="13">
        <f t="shared" ca="1" si="12"/>
        <v>3</v>
      </c>
      <c r="W42" s="13">
        <f t="shared" ca="1" si="13"/>
        <v>7</v>
      </c>
      <c r="X42" s="61" t="str">
        <f t="shared" ca="1" si="14"/>
        <v>MONITOR</v>
      </c>
    </row>
    <row r="43" spans="1:24" x14ac:dyDescent="0.35">
      <c r="A43" s="25" t="s">
        <v>57</v>
      </c>
      <c r="B43" s="10" t="s">
        <v>316</v>
      </c>
      <c r="C43" s="10" t="s">
        <v>341</v>
      </c>
      <c r="D43" s="10" t="s">
        <v>346</v>
      </c>
      <c r="E43" s="11">
        <v>45850</v>
      </c>
      <c r="F43" s="14">
        <f t="shared" ca="1" si="1"/>
        <v>249</v>
      </c>
      <c r="G43" s="17">
        <v>599</v>
      </c>
      <c r="H43" s="17">
        <v>317</v>
      </c>
      <c r="I43" s="53">
        <f t="shared" si="2"/>
        <v>1224</v>
      </c>
      <c r="J43" s="17">
        <v>1300</v>
      </c>
      <c r="K43" s="66">
        <v>76</v>
      </c>
      <c r="L43" s="52">
        <f t="shared" ca="1" si="3"/>
        <v>0.30522088353413657</v>
      </c>
      <c r="M43" s="50">
        <f t="shared" si="4"/>
        <v>0.92883099285538351</v>
      </c>
      <c r="N43" s="52">
        <f t="shared" si="5"/>
        <v>0.23170731707317074</v>
      </c>
      <c r="O43" s="56">
        <f t="shared" si="6"/>
        <v>19</v>
      </c>
      <c r="P43" s="54">
        <f t="shared" si="7"/>
        <v>64.421052631578945</v>
      </c>
      <c r="Q43" s="55">
        <f t="shared" si="8"/>
        <v>47.078464106844741</v>
      </c>
      <c r="R43" s="55">
        <f t="shared" si="9"/>
        <v>5.8461538461538458</v>
      </c>
      <c r="S43" s="13">
        <f t="shared" si="10"/>
        <v>1</v>
      </c>
      <c r="T43" s="13">
        <f t="shared" si="0"/>
        <v>1</v>
      </c>
      <c r="U43" s="13">
        <f t="shared" si="11"/>
        <v>2</v>
      </c>
      <c r="V43" s="13">
        <f t="shared" ca="1" si="12"/>
        <v>3</v>
      </c>
      <c r="W43" s="13">
        <f t="shared" ca="1" si="13"/>
        <v>7</v>
      </c>
      <c r="X43" s="61" t="str">
        <f t="shared" ca="1" si="14"/>
        <v>MONITOR</v>
      </c>
    </row>
    <row r="44" spans="1:24" x14ac:dyDescent="0.35">
      <c r="A44" s="25" t="s">
        <v>58</v>
      </c>
      <c r="B44" s="10" t="s">
        <v>316</v>
      </c>
      <c r="C44" s="10" t="s">
        <v>341</v>
      </c>
      <c r="D44" s="10" t="s">
        <v>346</v>
      </c>
      <c r="E44" s="11">
        <v>45850</v>
      </c>
      <c r="F44" s="14">
        <f t="shared" ca="1" si="1"/>
        <v>249</v>
      </c>
      <c r="G44" s="17">
        <v>599</v>
      </c>
      <c r="H44" s="17">
        <v>317</v>
      </c>
      <c r="I44" s="53">
        <f t="shared" si="2"/>
        <v>1430</v>
      </c>
      <c r="J44" s="17">
        <v>1500</v>
      </c>
      <c r="K44" s="66">
        <v>70</v>
      </c>
      <c r="L44" s="52">
        <f t="shared" ca="1" si="3"/>
        <v>0.28112449799196787</v>
      </c>
      <c r="M44" s="50">
        <f t="shared" si="4"/>
        <v>0.92883099285538351</v>
      </c>
      <c r="N44" s="52">
        <f t="shared" si="5"/>
        <v>0.21341463414634146</v>
      </c>
      <c r="O44" s="56">
        <f t="shared" si="6"/>
        <v>17.5</v>
      </c>
      <c r="P44" s="54">
        <f t="shared" si="7"/>
        <v>81.714285714285708</v>
      </c>
      <c r="Q44" s="55">
        <f t="shared" si="8"/>
        <v>47.078464106844741</v>
      </c>
      <c r="R44" s="55">
        <f t="shared" si="9"/>
        <v>4.666666666666667</v>
      </c>
      <c r="S44" s="13">
        <f t="shared" si="10"/>
        <v>1</v>
      </c>
      <c r="T44" s="13">
        <f t="shared" si="0"/>
        <v>1</v>
      </c>
      <c r="U44" s="13">
        <f t="shared" si="11"/>
        <v>2</v>
      </c>
      <c r="V44" s="13">
        <f t="shared" ca="1" si="12"/>
        <v>3</v>
      </c>
      <c r="W44" s="13">
        <f t="shared" ca="1" si="13"/>
        <v>7</v>
      </c>
      <c r="X44" s="61" t="str">
        <f t="shared" ca="1" si="14"/>
        <v>MONITOR</v>
      </c>
    </row>
    <row r="45" spans="1:24" x14ac:dyDescent="0.35">
      <c r="A45" s="25" t="s">
        <v>59</v>
      </c>
      <c r="B45" s="10" t="s">
        <v>316</v>
      </c>
      <c r="C45" s="10" t="s">
        <v>341</v>
      </c>
      <c r="D45" s="10" t="s">
        <v>346</v>
      </c>
      <c r="E45" s="11">
        <v>45850</v>
      </c>
      <c r="F45" s="14">
        <f t="shared" ca="1" si="1"/>
        <v>249</v>
      </c>
      <c r="G45" s="17">
        <v>599</v>
      </c>
      <c r="H45" s="17">
        <v>317</v>
      </c>
      <c r="I45" s="53">
        <f t="shared" si="2"/>
        <v>1480</v>
      </c>
      <c r="J45" s="17">
        <v>1500</v>
      </c>
      <c r="K45" s="66">
        <v>20</v>
      </c>
      <c r="L45" s="52">
        <f t="shared" ca="1" si="3"/>
        <v>8.0321285140562249E-2</v>
      </c>
      <c r="M45" s="50">
        <f t="shared" si="4"/>
        <v>0.92883099285538351</v>
      </c>
      <c r="N45" s="52">
        <f t="shared" si="5"/>
        <v>6.097560975609756E-2</v>
      </c>
      <c r="O45" s="56">
        <f t="shared" si="6"/>
        <v>5</v>
      </c>
      <c r="P45" s="54">
        <f t="shared" si="7"/>
        <v>296</v>
      </c>
      <c r="Q45" s="55">
        <f t="shared" si="8"/>
        <v>47.078464106844741</v>
      </c>
      <c r="R45" s="55">
        <f t="shared" si="9"/>
        <v>1.3333333333333335</v>
      </c>
      <c r="S45" s="13">
        <f t="shared" si="10"/>
        <v>1</v>
      </c>
      <c r="T45" s="13">
        <f t="shared" si="0"/>
        <v>1</v>
      </c>
      <c r="U45" s="13">
        <f t="shared" si="11"/>
        <v>2</v>
      </c>
      <c r="V45" s="13">
        <f t="shared" ca="1" si="12"/>
        <v>3</v>
      </c>
      <c r="W45" s="13">
        <f t="shared" ca="1" si="13"/>
        <v>7</v>
      </c>
      <c r="X45" s="61" t="str">
        <f t="shared" ca="1" si="14"/>
        <v>MONITOR</v>
      </c>
    </row>
    <row r="46" spans="1:24" x14ac:dyDescent="0.35">
      <c r="A46" s="25" t="s">
        <v>60</v>
      </c>
      <c r="B46" s="10" t="s">
        <v>316</v>
      </c>
      <c r="C46" s="10" t="s">
        <v>341</v>
      </c>
      <c r="D46" s="10" t="s">
        <v>346</v>
      </c>
      <c r="E46" s="11">
        <v>45878</v>
      </c>
      <c r="F46" s="14">
        <f t="shared" ca="1" si="1"/>
        <v>221</v>
      </c>
      <c r="G46" s="17">
        <v>599</v>
      </c>
      <c r="H46" s="17">
        <v>317</v>
      </c>
      <c r="I46" s="53">
        <f t="shared" si="2"/>
        <v>821</v>
      </c>
      <c r="J46" s="17">
        <v>1100</v>
      </c>
      <c r="K46" s="66">
        <v>279</v>
      </c>
      <c r="L46" s="52">
        <f t="shared" ca="1" si="3"/>
        <v>1.2624434389140271</v>
      </c>
      <c r="M46" s="50">
        <f t="shared" si="4"/>
        <v>0.92883099285538351</v>
      </c>
      <c r="N46" s="52">
        <f t="shared" si="5"/>
        <v>0.85060975609756095</v>
      </c>
      <c r="O46" s="56">
        <f t="shared" si="6"/>
        <v>69.75</v>
      </c>
      <c r="P46" s="54">
        <f t="shared" si="7"/>
        <v>11.770609318996415</v>
      </c>
      <c r="Q46" s="55">
        <f t="shared" si="8"/>
        <v>47.078464106844741</v>
      </c>
      <c r="R46" s="55">
        <f t="shared" si="9"/>
        <v>25.363636363636367</v>
      </c>
      <c r="S46" s="13">
        <f t="shared" si="10"/>
        <v>2</v>
      </c>
      <c r="T46" s="13">
        <f t="shared" si="0"/>
        <v>1</v>
      </c>
      <c r="U46" s="13">
        <f t="shared" si="11"/>
        <v>2</v>
      </c>
      <c r="V46" s="13">
        <f t="shared" ca="1" si="12"/>
        <v>3</v>
      </c>
      <c r="W46" s="13">
        <f t="shared" ca="1" si="13"/>
        <v>8</v>
      </c>
      <c r="X46" s="61" t="str">
        <f t="shared" ca="1" si="14"/>
        <v>MONITOR</v>
      </c>
    </row>
    <row r="47" spans="1:24" x14ac:dyDescent="0.35">
      <c r="A47" s="25" t="s">
        <v>61</v>
      </c>
      <c r="B47" s="10" t="s">
        <v>316</v>
      </c>
      <c r="C47" s="10" t="s">
        <v>341</v>
      </c>
      <c r="D47" s="10" t="s">
        <v>346</v>
      </c>
      <c r="E47" s="11">
        <v>45878</v>
      </c>
      <c r="F47" s="14">
        <f t="shared" ca="1" si="1"/>
        <v>221</v>
      </c>
      <c r="G47" s="17">
        <v>599</v>
      </c>
      <c r="H47" s="17">
        <v>317</v>
      </c>
      <c r="I47" s="53">
        <f t="shared" si="2"/>
        <v>975</v>
      </c>
      <c r="J47" s="17">
        <v>1100</v>
      </c>
      <c r="K47" s="66">
        <v>125</v>
      </c>
      <c r="L47" s="52">
        <f t="shared" ca="1" si="3"/>
        <v>0.56561085972850678</v>
      </c>
      <c r="M47" s="50">
        <f t="shared" si="4"/>
        <v>0.92883099285538351</v>
      </c>
      <c r="N47" s="52">
        <f t="shared" si="5"/>
        <v>0.38109756097560976</v>
      </c>
      <c r="O47" s="56">
        <f t="shared" si="6"/>
        <v>31.25</v>
      </c>
      <c r="P47" s="54">
        <f t="shared" si="7"/>
        <v>31.2</v>
      </c>
      <c r="Q47" s="55">
        <f t="shared" si="8"/>
        <v>47.078464106844741</v>
      </c>
      <c r="R47" s="55">
        <f t="shared" si="9"/>
        <v>11.363636363636363</v>
      </c>
      <c r="S47" s="13">
        <f t="shared" si="10"/>
        <v>1</v>
      </c>
      <c r="T47" s="13">
        <f t="shared" si="0"/>
        <v>1</v>
      </c>
      <c r="U47" s="13">
        <f t="shared" si="11"/>
        <v>2</v>
      </c>
      <c r="V47" s="13">
        <f t="shared" ca="1" si="12"/>
        <v>3</v>
      </c>
      <c r="W47" s="13">
        <f t="shared" ca="1" si="13"/>
        <v>7</v>
      </c>
      <c r="X47" s="61" t="str">
        <f t="shared" ca="1" si="14"/>
        <v>MONITOR</v>
      </c>
    </row>
    <row r="48" spans="1:24" x14ac:dyDescent="0.35">
      <c r="A48" s="25" t="s">
        <v>62</v>
      </c>
      <c r="B48" s="10" t="s">
        <v>316</v>
      </c>
      <c r="C48" s="10" t="s">
        <v>341</v>
      </c>
      <c r="D48" s="10" t="s">
        <v>346</v>
      </c>
      <c r="E48" s="11">
        <v>45976</v>
      </c>
      <c r="F48" s="14">
        <f t="shared" ca="1" si="1"/>
        <v>123</v>
      </c>
      <c r="G48" s="17">
        <v>799</v>
      </c>
      <c r="H48" s="17">
        <v>455</v>
      </c>
      <c r="I48" s="53">
        <f t="shared" si="2"/>
        <v>594</v>
      </c>
      <c r="J48" s="17">
        <v>750</v>
      </c>
      <c r="K48" s="66">
        <v>156</v>
      </c>
      <c r="L48" s="52">
        <f t="shared" ca="1" si="3"/>
        <v>1.2682926829268293</v>
      </c>
      <c r="M48" s="50">
        <f t="shared" si="4"/>
        <v>0.92883099285538351</v>
      </c>
      <c r="N48" s="52">
        <f t="shared" si="5"/>
        <v>0.47560975609756095</v>
      </c>
      <c r="O48" s="56">
        <f t="shared" si="6"/>
        <v>39</v>
      </c>
      <c r="P48" s="54">
        <f t="shared" si="7"/>
        <v>15.23076923076923</v>
      </c>
      <c r="Q48" s="55">
        <f t="shared" si="8"/>
        <v>43.053817271589487</v>
      </c>
      <c r="R48" s="55">
        <f t="shared" si="9"/>
        <v>20.8</v>
      </c>
      <c r="S48" s="13">
        <f t="shared" si="10"/>
        <v>1</v>
      </c>
      <c r="T48" s="13">
        <f t="shared" si="0"/>
        <v>1</v>
      </c>
      <c r="U48" s="13">
        <f t="shared" si="11"/>
        <v>1</v>
      </c>
      <c r="V48" s="13">
        <f t="shared" ca="1" si="12"/>
        <v>3</v>
      </c>
      <c r="W48" s="13">
        <f t="shared" ca="1" si="13"/>
        <v>6</v>
      </c>
      <c r="X48" s="61" t="str">
        <f t="shared" ca="1" si="14"/>
        <v>MONITOR</v>
      </c>
    </row>
    <row r="49" spans="1:24" x14ac:dyDescent="0.35">
      <c r="A49" s="25" t="s">
        <v>63</v>
      </c>
      <c r="B49" s="10" t="s">
        <v>316</v>
      </c>
      <c r="C49" s="10" t="s">
        <v>341</v>
      </c>
      <c r="D49" s="10" t="s">
        <v>346</v>
      </c>
      <c r="E49" s="11">
        <v>45878</v>
      </c>
      <c r="F49" s="14">
        <f t="shared" ca="1" si="1"/>
        <v>221</v>
      </c>
      <c r="G49" s="17">
        <v>599</v>
      </c>
      <c r="H49" s="17">
        <v>317</v>
      </c>
      <c r="I49" s="53">
        <f t="shared" si="2"/>
        <v>912</v>
      </c>
      <c r="J49" s="17">
        <v>1200</v>
      </c>
      <c r="K49" s="66">
        <v>288</v>
      </c>
      <c r="L49" s="52">
        <f t="shared" ca="1" si="3"/>
        <v>1.3031674208144797</v>
      </c>
      <c r="M49" s="50">
        <f t="shared" si="4"/>
        <v>0.92883099285538351</v>
      </c>
      <c r="N49" s="52">
        <f t="shared" si="5"/>
        <v>0.87804878048780488</v>
      </c>
      <c r="O49" s="56">
        <f t="shared" si="6"/>
        <v>72</v>
      </c>
      <c r="P49" s="54">
        <f t="shared" si="7"/>
        <v>12.666666666666666</v>
      </c>
      <c r="Q49" s="55">
        <f t="shared" si="8"/>
        <v>47.078464106844741</v>
      </c>
      <c r="R49" s="55">
        <f t="shared" si="9"/>
        <v>24</v>
      </c>
      <c r="S49" s="13">
        <f t="shared" si="10"/>
        <v>2</v>
      </c>
      <c r="T49" s="13">
        <f t="shared" si="0"/>
        <v>1</v>
      </c>
      <c r="U49" s="13">
        <f t="shared" si="11"/>
        <v>2</v>
      </c>
      <c r="V49" s="13">
        <f t="shared" ca="1" si="12"/>
        <v>3</v>
      </c>
      <c r="W49" s="13">
        <f t="shared" ca="1" si="13"/>
        <v>8</v>
      </c>
      <c r="X49" s="61" t="str">
        <f t="shared" ca="1" si="14"/>
        <v>MONITOR</v>
      </c>
    </row>
    <row r="50" spans="1:24" x14ac:dyDescent="0.35">
      <c r="A50" s="25" t="s">
        <v>64</v>
      </c>
      <c r="B50" s="10" t="s">
        <v>316</v>
      </c>
      <c r="C50" s="10" t="s">
        <v>341</v>
      </c>
      <c r="D50" s="10" t="s">
        <v>346</v>
      </c>
      <c r="E50" s="11">
        <v>45906</v>
      </c>
      <c r="F50" s="14">
        <f t="shared" ca="1" si="1"/>
        <v>193</v>
      </c>
      <c r="G50" s="17">
        <v>599</v>
      </c>
      <c r="H50" s="17">
        <v>317</v>
      </c>
      <c r="I50" s="53">
        <f t="shared" si="2"/>
        <v>806</v>
      </c>
      <c r="J50" s="17">
        <v>1000</v>
      </c>
      <c r="K50" s="66">
        <v>194</v>
      </c>
      <c r="L50" s="52">
        <f t="shared" ca="1" si="3"/>
        <v>1.0051813471502591</v>
      </c>
      <c r="M50" s="50">
        <f t="shared" si="4"/>
        <v>0.92883099285538351</v>
      </c>
      <c r="N50" s="52">
        <f t="shared" si="5"/>
        <v>0.59146341463414631</v>
      </c>
      <c r="O50" s="56">
        <f t="shared" si="6"/>
        <v>48.5</v>
      </c>
      <c r="P50" s="54">
        <f t="shared" si="7"/>
        <v>16.618556701030929</v>
      </c>
      <c r="Q50" s="55">
        <f t="shared" si="8"/>
        <v>47.078464106844741</v>
      </c>
      <c r="R50" s="55">
        <f t="shared" si="9"/>
        <v>19.400000000000002</v>
      </c>
      <c r="S50" s="13">
        <f t="shared" si="10"/>
        <v>1</v>
      </c>
      <c r="T50" s="13">
        <f t="shared" si="0"/>
        <v>1</v>
      </c>
      <c r="U50" s="13">
        <f t="shared" si="11"/>
        <v>2</v>
      </c>
      <c r="V50" s="13">
        <f t="shared" ca="1" si="12"/>
        <v>3</v>
      </c>
      <c r="W50" s="13">
        <f t="shared" ca="1" si="13"/>
        <v>7</v>
      </c>
      <c r="X50" s="61" t="str">
        <f t="shared" ca="1" si="14"/>
        <v>MONITOR</v>
      </c>
    </row>
    <row r="51" spans="1:24" x14ac:dyDescent="0.35">
      <c r="A51" s="25" t="s">
        <v>65</v>
      </c>
      <c r="B51" s="10" t="s">
        <v>316</v>
      </c>
      <c r="C51" s="10" t="s">
        <v>341</v>
      </c>
      <c r="D51" s="10" t="s">
        <v>346</v>
      </c>
      <c r="E51" s="11">
        <v>45906</v>
      </c>
      <c r="F51" s="14">
        <f t="shared" ca="1" si="1"/>
        <v>193</v>
      </c>
      <c r="G51" s="17">
        <v>599</v>
      </c>
      <c r="H51" s="17">
        <v>317</v>
      </c>
      <c r="I51" s="53">
        <f t="shared" si="2"/>
        <v>823</v>
      </c>
      <c r="J51" s="17">
        <v>1100</v>
      </c>
      <c r="K51" s="66">
        <v>277</v>
      </c>
      <c r="L51" s="52">
        <f t="shared" ca="1" si="3"/>
        <v>1.4352331606217616</v>
      </c>
      <c r="M51" s="50">
        <f t="shared" si="4"/>
        <v>0.92883099285538351</v>
      </c>
      <c r="N51" s="52">
        <f t="shared" si="5"/>
        <v>0.84451219512195119</v>
      </c>
      <c r="O51" s="56">
        <f t="shared" si="6"/>
        <v>69.25</v>
      </c>
      <c r="P51" s="54">
        <f t="shared" si="7"/>
        <v>11.884476534296029</v>
      </c>
      <c r="Q51" s="55">
        <f t="shared" si="8"/>
        <v>47.078464106844741</v>
      </c>
      <c r="R51" s="55">
        <f t="shared" si="9"/>
        <v>25.181818181818183</v>
      </c>
      <c r="S51" s="13">
        <f t="shared" si="10"/>
        <v>2</v>
      </c>
      <c r="T51" s="13">
        <f t="shared" si="0"/>
        <v>1</v>
      </c>
      <c r="U51" s="13">
        <f t="shared" si="11"/>
        <v>2</v>
      </c>
      <c r="V51" s="13">
        <f t="shared" ca="1" si="12"/>
        <v>3</v>
      </c>
      <c r="W51" s="13">
        <f t="shared" ca="1" si="13"/>
        <v>8</v>
      </c>
      <c r="X51" s="61" t="str">
        <f t="shared" ca="1" si="14"/>
        <v>MONITOR</v>
      </c>
    </row>
    <row r="52" spans="1:24" x14ac:dyDescent="0.35">
      <c r="A52" s="25" t="s">
        <v>66</v>
      </c>
      <c r="B52" s="10" t="s">
        <v>316</v>
      </c>
      <c r="C52" s="10" t="s">
        <v>341</v>
      </c>
      <c r="D52" s="10" t="s">
        <v>346</v>
      </c>
      <c r="E52" s="11">
        <v>45906</v>
      </c>
      <c r="F52" s="14">
        <f t="shared" ca="1" si="1"/>
        <v>193</v>
      </c>
      <c r="G52" s="17">
        <v>599</v>
      </c>
      <c r="H52" s="17">
        <v>317</v>
      </c>
      <c r="I52" s="53">
        <f t="shared" si="2"/>
        <v>920</v>
      </c>
      <c r="J52" s="17">
        <v>1000</v>
      </c>
      <c r="K52" s="66">
        <v>80</v>
      </c>
      <c r="L52" s="52">
        <f t="shared" ca="1" si="3"/>
        <v>0.41450777202072536</v>
      </c>
      <c r="M52" s="50">
        <f t="shared" si="4"/>
        <v>0.92883099285538351</v>
      </c>
      <c r="N52" s="52">
        <f t="shared" si="5"/>
        <v>0.24390243902439024</v>
      </c>
      <c r="O52" s="56">
        <f t="shared" si="6"/>
        <v>20</v>
      </c>
      <c r="P52" s="54">
        <f t="shared" si="7"/>
        <v>46</v>
      </c>
      <c r="Q52" s="55">
        <f t="shared" si="8"/>
        <v>47.078464106844741</v>
      </c>
      <c r="R52" s="55">
        <f t="shared" si="9"/>
        <v>8</v>
      </c>
      <c r="S52" s="13">
        <f t="shared" si="10"/>
        <v>1</v>
      </c>
      <c r="T52" s="13">
        <f t="shared" si="0"/>
        <v>1</v>
      </c>
      <c r="U52" s="13">
        <f t="shared" si="11"/>
        <v>2</v>
      </c>
      <c r="V52" s="13">
        <f t="shared" ca="1" si="12"/>
        <v>3</v>
      </c>
      <c r="W52" s="13">
        <f t="shared" ca="1" si="13"/>
        <v>7</v>
      </c>
      <c r="X52" s="61" t="str">
        <f t="shared" ca="1" si="14"/>
        <v>MONITOR</v>
      </c>
    </row>
    <row r="53" spans="1:24" x14ac:dyDescent="0.35">
      <c r="A53" s="25" t="s">
        <v>67</v>
      </c>
      <c r="B53" s="10" t="s">
        <v>316</v>
      </c>
      <c r="C53" s="10" t="s">
        <v>341</v>
      </c>
      <c r="D53" s="10" t="s">
        <v>346</v>
      </c>
      <c r="E53" s="11">
        <v>45906</v>
      </c>
      <c r="F53" s="14">
        <f t="shared" ca="1" si="1"/>
        <v>193</v>
      </c>
      <c r="G53" s="17">
        <v>599</v>
      </c>
      <c r="H53" s="17">
        <v>317</v>
      </c>
      <c r="I53" s="53">
        <f t="shared" si="2"/>
        <v>677</v>
      </c>
      <c r="J53" s="17">
        <v>1100</v>
      </c>
      <c r="K53" s="66">
        <v>423</v>
      </c>
      <c r="L53" s="52">
        <f t="shared" ca="1" si="3"/>
        <v>2.1917098445595853</v>
      </c>
      <c r="M53" s="50">
        <f t="shared" si="4"/>
        <v>0.92883099285538351</v>
      </c>
      <c r="N53" s="52">
        <f t="shared" si="5"/>
        <v>1.2896341463414633</v>
      </c>
      <c r="O53" s="56">
        <f t="shared" si="6"/>
        <v>105.75</v>
      </c>
      <c r="P53" s="54">
        <f t="shared" si="7"/>
        <v>6.4018912529550827</v>
      </c>
      <c r="Q53" s="55">
        <f t="shared" si="8"/>
        <v>47.078464106844741</v>
      </c>
      <c r="R53" s="55">
        <f t="shared" si="9"/>
        <v>38.454545454545453</v>
      </c>
      <c r="S53" s="13">
        <f t="shared" si="10"/>
        <v>3</v>
      </c>
      <c r="T53" s="13">
        <f t="shared" si="0"/>
        <v>1</v>
      </c>
      <c r="U53" s="13">
        <f t="shared" si="11"/>
        <v>2</v>
      </c>
      <c r="V53" s="13">
        <f t="shared" ca="1" si="12"/>
        <v>3</v>
      </c>
      <c r="W53" s="13">
        <f t="shared" ca="1" si="13"/>
        <v>9</v>
      </c>
      <c r="X53" s="61" t="str">
        <f t="shared" ca="1" si="14"/>
        <v>RE-BUY</v>
      </c>
    </row>
    <row r="54" spans="1:24" x14ac:dyDescent="0.35">
      <c r="A54" s="25" t="s">
        <v>68</v>
      </c>
      <c r="B54" s="10" t="s">
        <v>316</v>
      </c>
      <c r="C54" s="10" t="s">
        <v>341</v>
      </c>
      <c r="D54" s="10" t="s">
        <v>346</v>
      </c>
      <c r="E54" s="11">
        <v>45927</v>
      </c>
      <c r="F54" s="14">
        <f t="shared" ca="1" si="1"/>
        <v>172</v>
      </c>
      <c r="G54" s="17">
        <v>599</v>
      </c>
      <c r="H54" s="17">
        <v>317</v>
      </c>
      <c r="I54" s="53">
        <f t="shared" si="2"/>
        <v>655</v>
      </c>
      <c r="J54" s="17">
        <v>1000</v>
      </c>
      <c r="K54" s="66">
        <v>345</v>
      </c>
      <c r="L54" s="52">
        <f t="shared" ca="1" si="3"/>
        <v>2.0058139534883721</v>
      </c>
      <c r="M54" s="50">
        <f t="shared" si="4"/>
        <v>0.92883099285538351</v>
      </c>
      <c r="N54" s="52">
        <f t="shared" si="5"/>
        <v>1.0518292682926829</v>
      </c>
      <c r="O54" s="56">
        <f t="shared" si="6"/>
        <v>86.25</v>
      </c>
      <c r="P54" s="54">
        <f t="shared" si="7"/>
        <v>7.5942028985507246</v>
      </c>
      <c r="Q54" s="55">
        <f t="shared" si="8"/>
        <v>47.078464106844741</v>
      </c>
      <c r="R54" s="55">
        <f t="shared" si="9"/>
        <v>34.5</v>
      </c>
      <c r="S54" s="13">
        <f t="shared" si="10"/>
        <v>3</v>
      </c>
      <c r="T54" s="13">
        <f t="shared" si="0"/>
        <v>1</v>
      </c>
      <c r="U54" s="13">
        <f t="shared" si="11"/>
        <v>2</v>
      </c>
      <c r="V54" s="13">
        <f t="shared" ca="1" si="12"/>
        <v>3</v>
      </c>
      <c r="W54" s="13">
        <f t="shared" ca="1" si="13"/>
        <v>9</v>
      </c>
      <c r="X54" s="61" t="str">
        <f t="shared" ca="1" si="14"/>
        <v>RE-BUY</v>
      </c>
    </row>
    <row r="55" spans="1:24" x14ac:dyDescent="0.35">
      <c r="A55" s="25" t="s">
        <v>69</v>
      </c>
      <c r="B55" s="10" t="s">
        <v>321</v>
      </c>
      <c r="C55" s="10" t="s">
        <v>341</v>
      </c>
      <c r="D55" s="10" t="s">
        <v>346</v>
      </c>
      <c r="E55" s="11">
        <v>45878</v>
      </c>
      <c r="F55" s="14">
        <f t="shared" ca="1" si="1"/>
        <v>221</v>
      </c>
      <c r="G55" s="17">
        <v>799</v>
      </c>
      <c r="H55" s="17">
        <v>410</v>
      </c>
      <c r="I55" s="53">
        <f t="shared" si="2"/>
        <v>886</v>
      </c>
      <c r="J55" s="17">
        <v>1100</v>
      </c>
      <c r="K55" s="66">
        <v>214</v>
      </c>
      <c r="L55" s="52">
        <f t="shared" ca="1" si="3"/>
        <v>0.96832579185520362</v>
      </c>
      <c r="M55" s="50">
        <f t="shared" si="4"/>
        <v>0.92883099285538351</v>
      </c>
      <c r="N55" s="52">
        <f t="shared" si="5"/>
        <v>0.65243902439024393</v>
      </c>
      <c r="O55" s="56">
        <f t="shared" si="6"/>
        <v>53.5</v>
      </c>
      <c r="P55" s="54">
        <f t="shared" si="7"/>
        <v>16.560747663551403</v>
      </c>
      <c r="Q55" s="55">
        <f t="shared" si="8"/>
        <v>48.685857321652065</v>
      </c>
      <c r="R55" s="55">
        <f t="shared" si="9"/>
        <v>19.454545454545453</v>
      </c>
      <c r="S55" s="13">
        <f t="shared" si="10"/>
        <v>1</v>
      </c>
      <c r="T55" s="13">
        <f t="shared" si="0"/>
        <v>1</v>
      </c>
      <c r="U55" s="13">
        <f t="shared" si="11"/>
        <v>2</v>
      </c>
      <c r="V55" s="13">
        <f t="shared" ca="1" si="12"/>
        <v>3</v>
      </c>
      <c r="W55" s="13">
        <f t="shared" ca="1" si="13"/>
        <v>7</v>
      </c>
      <c r="X55" s="61" t="str">
        <f t="shared" ca="1" si="14"/>
        <v>MONITOR</v>
      </c>
    </row>
    <row r="56" spans="1:24" x14ac:dyDescent="0.35">
      <c r="A56" s="25" t="s">
        <v>70</v>
      </c>
      <c r="B56" s="10" t="s">
        <v>321</v>
      </c>
      <c r="C56" s="10" t="s">
        <v>341</v>
      </c>
      <c r="D56" s="10" t="s">
        <v>346</v>
      </c>
      <c r="E56" s="11">
        <v>45878</v>
      </c>
      <c r="F56" s="14">
        <f t="shared" ca="1" si="1"/>
        <v>221</v>
      </c>
      <c r="G56" s="17">
        <v>799</v>
      </c>
      <c r="H56" s="17">
        <v>410</v>
      </c>
      <c r="I56" s="53">
        <f t="shared" si="2"/>
        <v>989</v>
      </c>
      <c r="J56" s="17">
        <v>1200</v>
      </c>
      <c r="K56" s="66">
        <v>211</v>
      </c>
      <c r="L56" s="52">
        <f t="shared" ca="1" si="3"/>
        <v>0.95475113122171951</v>
      </c>
      <c r="M56" s="50">
        <f t="shared" si="4"/>
        <v>0.92883099285538351</v>
      </c>
      <c r="N56" s="52">
        <f t="shared" si="5"/>
        <v>0.64329268292682928</v>
      </c>
      <c r="O56" s="56">
        <f t="shared" si="6"/>
        <v>52.75</v>
      </c>
      <c r="P56" s="54">
        <f t="shared" si="7"/>
        <v>18.748815165876778</v>
      </c>
      <c r="Q56" s="55">
        <f t="shared" si="8"/>
        <v>48.685857321652065</v>
      </c>
      <c r="R56" s="55">
        <f t="shared" si="9"/>
        <v>17.583333333333336</v>
      </c>
      <c r="S56" s="13">
        <f t="shared" si="10"/>
        <v>1</v>
      </c>
      <c r="T56" s="13">
        <f t="shared" si="0"/>
        <v>1</v>
      </c>
      <c r="U56" s="13">
        <f t="shared" si="11"/>
        <v>2</v>
      </c>
      <c r="V56" s="13">
        <f t="shared" ca="1" si="12"/>
        <v>3</v>
      </c>
      <c r="W56" s="13">
        <f t="shared" ca="1" si="13"/>
        <v>7</v>
      </c>
      <c r="X56" s="61" t="str">
        <f t="shared" ca="1" si="14"/>
        <v>MONITOR</v>
      </c>
    </row>
    <row r="57" spans="1:24" x14ac:dyDescent="0.35">
      <c r="A57" s="25" t="s">
        <v>71</v>
      </c>
      <c r="B57" s="10" t="s">
        <v>321</v>
      </c>
      <c r="C57" s="10" t="s">
        <v>341</v>
      </c>
      <c r="D57" s="10" t="s">
        <v>346</v>
      </c>
      <c r="E57" s="11">
        <v>45878</v>
      </c>
      <c r="F57" s="14">
        <f t="shared" ca="1" si="1"/>
        <v>221</v>
      </c>
      <c r="G57" s="17">
        <v>799</v>
      </c>
      <c r="H57" s="17">
        <v>410</v>
      </c>
      <c r="I57" s="53">
        <f t="shared" si="2"/>
        <v>1097</v>
      </c>
      <c r="J57" s="17">
        <v>1200</v>
      </c>
      <c r="K57" s="66">
        <v>103</v>
      </c>
      <c r="L57" s="52">
        <f t="shared" ca="1" si="3"/>
        <v>0.4660633484162896</v>
      </c>
      <c r="M57" s="50">
        <f t="shared" si="4"/>
        <v>0.92883099285538351</v>
      </c>
      <c r="N57" s="52">
        <f t="shared" si="5"/>
        <v>0.31402439024390244</v>
      </c>
      <c r="O57" s="56">
        <f t="shared" si="6"/>
        <v>25.75</v>
      </c>
      <c r="P57" s="54">
        <f t="shared" si="7"/>
        <v>42.601941747572816</v>
      </c>
      <c r="Q57" s="55">
        <f t="shared" si="8"/>
        <v>48.685857321652065</v>
      </c>
      <c r="R57" s="55">
        <f t="shared" si="9"/>
        <v>8.5833333333333339</v>
      </c>
      <c r="S57" s="13">
        <f t="shared" si="10"/>
        <v>1</v>
      </c>
      <c r="T57" s="13">
        <f t="shared" si="0"/>
        <v>1</v>
      </c>
      <c r="U57" s="13">
        <f t="shared" si="11"/>
        <v>2</v>
      </c>
      <c r="V57" s="13">
        <f t="shared" ca="1" si="12"/>
        <v>3</v>
      </c>
      <c r="W57" s="13">
        <f t="shared" ca="1" si="13"/>
        <v>7</v>
      </c>
      <c r="X57" s="61" t="str">
        <f t="shared" ca="1" si="14"/>
        <v>MONITOR</v>
      </c>
    </row>
    <row r="58" spans="1:24" x14ac:dyDescent="0.35">
      <c r="A58" s="25" t="s">
        <v>72</v>
      </c>
      <c r="B58" s="10" t="s">
        <v>321</v>
      </c>
      <c r="C58" s="10" t="s">
        <v>341</v>
      </c>
      <c r="D58" s="10" t="s">
        <v>346</v>
      </c>
      <c r="E58" s="11">
        <v>45878</v>
      </c>
      <c r="F58" s="14">
        <f t="shared" ca="1" si="1"/>
        <v>221</v>
      </c>
      <c r="G58" s="17">
        <v>799</v>
      </c>
      <c r="H58" s="17">
        <v>410</v>
      </c>
      <c r="I58" s="53">
        <f t="shared" si="2"/>
        <v>1173</v>
      </c>
      <c r="J58" s="17">
        <v>1300</v>
      </c>
      <c r="K58" s="66">
        <v>127</v>
      </c>
      <c r="L58" s="52">
        <f t="shared" ca="1" si="3"/>
        <v>0.57466063348416285</v>
      </c>
      <c r="M58" s="50">
        <f t="shared" si="4"/>
        <v>0.92883099285538351</v>
      </c>
      <c r="N58" s="52">
        <f t="shared" si="5"/>
        <v>0.38719512195121952</v>
      </c>
      <c r="O58" s="56">
        <f t="shared" si="6"/>
        <v>31.75</v>
      </c>
      <c r="P58" s="54">
        <f t="shared" si="7"/>
        <v>36.944881889763778</v>
      </c>
      <c r="Q58" s="55">
        <f t="shared" si="8"/>
        <v>48.685857321652065</v>
      </c>
      <c r="R58" s="55">
        <f t="shared" si="9"/>
        <v>9.7692307692307683</v>
      </c>
      <c r="S58" s="13">
        <f t="shared" si="10"/>
        <v>1</v>
      </c>
      <c r="T58" s="13">
        <f t="shared" si="0"/>
        <v>1</v>
      </c>
      <c r="U58" s="13">
        <f t="shared" si="11"/>
        <v>2</v>
      </c>
      <c r="V58" s="13">
        <f t="shared" ca="1" si="12"/>
        <v>3</v>
      </c>
      <c r="W58" s="13">
        <f t="shared" ca="1" si="13"/>
        <v>7</v>
      </c>
      <c r="X58" s="61" t="str">
        <f t="shared" ca="1" si="14"/>
        <v>MONITOR</v>
      </c>
    </row>
    <row r="59" spans="1:24" x14ac:dyDescent="0.35">
      <c r="A59" s="25" t="s">
        <v>73</v>
      </c>
      <c r="B59" s="10" t="s">
        <v>321</v>
      </c>
      <c r="C59" s="10" t="s">
        <v>341</v>
      </c>
      <c r="D59" s="10" t="s">
        <v>346</v>
      </c>
      <c r="E59" s="11">
        <v>45920</v>
      </c>
      <c r="F59" s="14">
        <f t="shared" ca="1" si="1"/>
        <v>179</v>
      </c>
      <c r="G59" s="17">
        <v>799</v>
      </c>
      <c r="H59" s="17">
        <v>410</v>
      </c>
      <c r="I59" s="53">
        <f t="shared" si="2"/>
        <v>958</v>
      </c>
      <c r="J59" s="17">
        <v>1300</v>
      </c>
      <c r="K59" s="66">
        <v>342</v>
      </c>
      <c r="L59" s="52">
        <f t="shared" ca="1" si="3"/>
        <v>1.9106145251396649</v>
      </c>
      <c r="M59" s="50">
        <f t="shared" si="4"/>
        <v>0.92883099285538351</v>
      </c>
      <c r="N59" s="52">
        <f t="shared" si="5"/>
        <v>1.0426829268292683</v>
      </c>
      <c r="O59" s="56">
        <f t="shared" si="6"/>
        <v>85.5</v>
      </c>
      <c r="P59" s="54">
        <f t="shared" si="7"/>
        <v>11.2046783625731</v>
      </c>
      <c r="Q59" s="55">
        <f t="shared" si="8"/>
        <v>48.685857321652065</v>
      </c>
      <c r="R59" s="55">
        <f t="shared" si="9"/>
        <v>26.30769230769231</v>
      </c>
      <c r="S59" s="13">
        <f t="shared" si="10"/>
        <v>3</v>
      </c>
      <c r="T59" s="13">
        <f t="shared" si="0"/>
        <v>1</v>
      </c>
      <c r="U59" s="13">
        <f t="shared" si="11"/>
        <v>2</v>
      </c>
      <c r="V59" s="13">
        <f t="shared" ca="1" si="12"/>
        <v>3</v>
      </c>
      <c r="W59" s="13">
        <f t="shared" ca="1" si="13"/>
        <v>9</v>
      </c>
      <c r="X59" s="61" t="str">
        <f t="shared" ca="1" si="14"/>
        <v>RE-BUY</v>
      </c>
    </row>
    <row r="60" spans="1:24" x14ac:dyDescent="0.35">
      <c r="A60" s="25" t="s">
        <v>74</v>
      </c>
      <c r="B60" s="10" t="s">
        <v>321</v>
      </c>
      <c r="C60" s="10" t="s">
        <v>341</v>
      </c>
      <c r="D60" s="10" t="s">
        <v>346</v>
      </c>
      <c r="E60" s="11">
        <v>45920</v>
      </c>
      <c r="F60" s="14">
        <f t="shared" ca="1" si="1"/>
        <v>179</v>
      </c>
      <c r="G60" s="17">
        <v>799</v>
      </c>
      <c r="H60" s="17">
        <v>410</v>
      </c>
      <c r="I60" s="53">
        <f t="shared" si="2"/>
        <v>793</v>
      </c>
      <c r="J60" s="17">
        <v>1100</v>
      </c>
      <c r="K60" s="66">
        <v>307</v>
      </c>
      <c r="L60" s="52">
        <f t="shared" ca="1" si="3"/>
        <v>1.7150837988826815</v>
      </c>
      <c r="M60" s="50">
        <f t="shared" si="4"/>
        <v>0.92883099285538351</v>
      </c>
      <c r="N60" s="52">
        <f t="shared" si="5"/>
        <v>0.93597560975609762</v>
      </c>
      <c r="O60" s="56">
        <f t="shared" si="6"/>
        <v>76.75</v>
      </c>
      <c r="P60" s="54">
        <f t="shared" si="7"/>
        <v>10.332247557003257</v>
      </c>
      <c r="Q60" s="55">
        <f t="shared" si="8"/>
        <v>48.685857321652065</v>
      </c>
      <c r="R60" s="55">
        <f t="shared" si="9"/>
        <v>27.90909090909091</v>
      </c>
      <c r="S60" s="13">
        <f t="shared" si="10"/>
        <v>3</v>
      </c>
      <c r="T60" s="13">
        <f t="shared" si="0"/>
        <v>1</v>
      </c>
      <c r="U60" s="13">
        <f t="shared" si="11"/>
        <v>2</v>
      </c>
      <c r="V60" s="13">
        <f t="shared" ca="1" si="12"/>
        <v>3</v>
      </c>
      <c r="W60" s="13">
        <f t="shared" ca="1" si="13"/>
        <v>9</v>
      </c>
      <c r="X60" s="61" t="str">
        <f t="shared" ca="1" si="14"/>
        <v>RE-BUY</v>
      </c>
    </row>
    <row r="61" spans="1:24" x14ac:dyDescent="0.35">
      <c r="A61" s="25" t="s">
        <v>75</v>
      </c>
      <c r="B61" s="10" t="s">
        <v>321</v>
      </c>
      <c r="C61" s="10" t="s">
        <v>341</v>
      </c>
      <c r="D61" s="10" t="s">
        <v>346</v>
      </c>
      <c r="E61" s="11">
        <v>45871</v>
      </c>
      <c r="F61" s="14">
        <f t="shared" ca="1" si="1"/>
        <v>228</v>
      </c>
      <c r="G61" s="17">
        <v>799</v>
      </c>
      <c r="H61" s="17">
        <v>425</v>
      </c>
      <c r="I61" s="53">
        <f t="shared" si="2"/>
        <v>1155</v>
      </c>
      <c r="J61" s="17">
        <v>1200</v>
      </c>
      <c r="K61" s="66">
        <v>45</v>
      </c>
      <c r="L61" s="52">
        <f t="shared" ca="1" si="3"/>
        <v>0.19736842105263158</v>
      </c>
      <c r="M61" s="50">
        <f t="shared" si="4"/>
        <v>0.92883099285538351</v>
      </c>
      <c r="N61" s="52">
        <f t="shared" si="5"/>
        <v>0.13719512195121952</v>
      </c>
      <c r="O61" s="56">
        <f t="shared" si="6"/>
        <v>11.25</v>
      </c>
      <c r="P61" s="54">
        <f t="shared" si="7"/>
        <v>102.66666666666667</v>
      </c>
      <c r="Q61" s="55">
        <f t="shared" si="8"/>
        <v>46.808510638297875</v>
      </c>
      <c r="R61" s="55">
        <f t="shared" si="9"/>
        <v>3.75</v>
      </c>
      <c r="S61" s="13">
        <f t="shared" si="10"/>
        <v>1</v>
      </c>
      <c r="T61" s="13">
        <f t="shared" si="0"/>
        <v>1</v>
      </c>
      <c r="U61" s="13">
        <f t="shared" si="11"/>
        <v>2</v>
      </c>
      <c r="V61" s="13">
        <f t="shared" ca="1" si="12"/>
        <v>3</v>
      </c>
      <c r="W61" s="13">
        <f t="shared" ca="1" si="13"/>
        <v>7</v>
      </c>
      <c r="X61" s="61" t="str">
        <f t="shared" ca="1" si="14"/>
        <v>MONITOR</v>
      </c>
    </row>
    <row r="62" spans="1:24" x14ac:dyDescent="0.35">
      <c r="A62" s="25" t="s">
        <v>76</v>
      </c>
      <c r="B62" s="10" t="s">
        <v>316</v>
      </c>
      <c r="C62" s="10" t="s">
        <v>341</v>
      </c>
      <c r="D62" s="10" t="s">
        <v>346</v>
      </c>
      <c r="E62" s="11">
        <v>45871</v>
      </c>
      <c r="F62" s="14">
        <f t="shared" ca="1" si="1"/>
        <v>228</v>
      </c>
      <c r="G62" s="17">
        <v>799</v>
      </c>
      <c r="H62" s="17">
        <v>410</v>
      </c>
      <c r="I62" s="53">
        <f t="shared" si="2"/>
        <v>821</v>
      </c>
      <c r="J62" s="17">
        <v>1200</v>
      </c>
      <c r="K62" s="66">
        <v>379</v>
      </c>
      <c r="L62" s="52">
        <f t="shared" ca="1" si="3"/>
        <v>1.6622807017543859</v>
      </c>
      <c r="M62" s="50">
        <f t="shared" si="4"/>
        <v>0.92883099285538351</v>
      </c>
      <c r="N62" s="52">
        <f t="shared" si="5"/>
        <v>1.1554878048780488</v>
      </c>
      <c r="O62" s="56">
        <f t="shared" si="6"/>
        <v>94.75</v>
      </c>
      <c r="P62" s="54">
        <f t="shared" si="7"/>
        <v>8.6649076517150387</v>
      </c>
      <c r="Q62" s="55">
        <f t="shared" si="8"/>
        <v>48.685857321652065</v>
      </c>
      <c r="R62" s="55">
        <f t="shared" si="9"/>
        <v>31.583333333333336</v>
      </c>
      <c r="S62" s="13">
        <f t="shared" si="10"/>
        <v>3</v>
      </c>
      <c r="T62" s="13">
        <f t="shared" si="0"/>
        <v>1</v>
      </c>
      <c r="U62" s="13">
        <f t="shared" si="11"/>
        <v>2</v>
      </c>
      <c r="V62" s="13">
        <f t="shared" ca="1" si="12"/>
        <v>3</v>
      </c>
      <c r="W62" s="13">
        <f t="shared" ca="1" si="13"/>
        <v>9</v>
      </c>
      <c r="X62" s="61" t="str">
        <f t="shared" ca="1" si="14"/>
        <v>RE-BUY</v>
      </c>
    </row>
    <row r="63" spans="1:24" x14ac:dyDescent="0.35">
      <c r="A63" s="25" t="s">
        <v>77</v>
      </c>
      <c r="B63" s="10" t="s">
        <v>321</v>
      </c>
      <c r="C63" s="10" t="s">
        <v>341</v>
      </c>
      <c r="D63" s="10" t="s">
        <v>346</v>
      </c>
      <c r="E63" s="11">
        <v>45871</v>
      </c>
      <c r="F63" s="14">
        <f t="shared" ca="1" si="1"/>
        <v>228</v>
      </c>
      <c r="G63" s="17">
        <v>799</v>
      </c>
      <c r="H63" s="17">
        <v>425</v>
      </c>
      <c r="I63" s="53">
        <f t="shared" si="2"/>
        <v>955</v>
      </c>
      <c r="J63" s="17">
        <v>1200</v>
      </c>
      <c r="K63" s="66">
        <v>245</v>
      </c>
      <c r="L63" s="52">
        <f t="shared" ca="1" si="3"/>
        <v>1.0745614035087718</v>
      </c>
      <c r="M63" s="50">
        <f t="shared" si="4"/>
        <v>0.92883099285538351</v>
      </c>
      <c r="N63" s="52">
        <f t="shared" si="5"/>
        <v>0.74695121951219512</v>
      </c>
      <c r="O63" s="56">
        <f t="shared" si="6"/>
        <v>61.25</v>
      </c>
      <c r="P63" s="54">
        <f t="shared" si="7"/>
        <v>15.591836734693878</v>
      </c>
      <c r="Q63" s="55">
        <f t="shared" si="8"/>
        <v>46.808510638297875</v>
      </c>
      <c r="R63" s="55">
        <f t="shared" si="9"/>
        <v>20.416666666666668</v>
      </c>
      <c r="S63" s="13">
        <f t="shared" si="10"/>
        <v>2</v>
      </c>
      <c r="T63" s="13">
        <f t="shared" si="0"/>
        <v>1</v>
      </c>
      <c r="U63" s="13">
        <f t="shared" si="11"/>
        <v>2</v>
      </c>
      <c r="V63" s="13">
        <f t="shared" ca="1" si="12"/>
        <v>3</v>
      </c>
      <c r="W63" s="13">
        <f t="shared" ca="1" si="13"/>
        <v>8</v>
      </c>
      <c r="X63" s="61" t="str">
        <f t="shared" ca="1" si="14"/>
        <v>MONITOR</v>
      </c>
    </row>
    <row r="64" spans="1:24" x14ac:dyDescent="0.35">
      <c r="A64" s="25" t="s">
        <v>78</v>
      </c>
      <c r="B64" s="10" t="s">
        <v>316</v>
      </c>
      <c r="C64" s="10" t="s">
        <v>341</v>
      </c>
      <c r="D64" s="10" t="s">
        <v>346</v>
      </c>
      <c r="E64" s="11">
        <v>45920</v>
      </c>
      <c r="F64" s="14">
        <f t="shared" ca="1" si="1"/>
        <v>179</v>
      </c>
      <c r="G64" s="17">
        <v>799</v>
      </c>
      <c r="H64" s="17">
        <v>410</v>
      </c>
      <c r="I64" s="53">
        <f t="shared" si="2"/>
        <v>1039</v>
      </c>
      <c r="J64" s="17">
        <v>1200</v>
      </c>
      <c r="K64" s="66">
        <v>161</v>
      </c>
      <c r="L64" s="52">
        <f t="shared" ca="1" si="3"/>
        <v>0.8994413407821229</v>
      </c>
      <c r="M64" s="50">
        <f t="shared" si="4"/>
        <v>0.92883099285538351</v>
      </c>
      <c r="N64" s="52">
        <f t="shared" si="5"/>
        <v>0.49085365853658536</v>
      </c>
      <c r="O64" s="56">
        <f t="shared" si="6"/>
        <v>40.25</v>
      </c>
      <c r="P64" s="54">
        <f t="shared" si="7"/>
        <v>25.813664596273291</v>
      </c>
      <c r="Q64" s="55">
        <f t="shared" si="8"/>
        <v>48.685857321652065</v>
      </c>
      <c r="R64" s="55">
        <f t="shared" si="9"/>
        <v>13.416666666666666</v>
      </c>
      <c r="S64" s="13">
        <f t="shared" si="10"/>
        <v>1</v>
      </c>
      <c r="T64" s="13">
        <f t="shared" si="0"/>
        <v>1</v>
      </c>
      <c r="U64" s="13">
        <f t="shared" si="11"/>
        <v>2</v>
      </c>
      <c r="V64" s="13">
        <f t="shared" ca="1" si="12"/>
        <v>3</v>
      </c>
      <c r="W64" s="13">
        <f t="shared" ca="1" si="13"/>
        <v>7</v>
      </c>
      <c r="X64" s="61" t="str">
        <f t="shared" ca="1" si="14"/>
        <v>MONITOR</v>
      </c>
    </row>
    <row r="65" spans="1:24" x14ac:dyDescent="0.35">
      <c r="A65" s="25" t="s">
        <v>79</v>
      </c>
      <c r="B65" s="10" t="s">
        <v>321</v>
      </c>
      <c r="C65" s="10" t="s">
        <v>341</v>
      </c>
      <c r="D65" s="10" t="s">
        <v>346</v>
      </c>
      <c r="E65" s="11">
        <v>45871</v>
      </c>
      <c r="F65" s="14">
        <f t="shared" ca="1" si="1"/>
        <v>228</v>
      </c>
      <c r="G65" s="17">
        <v>799</v>
      </c>
      <c r="H65" s="17">
        <v>425</v>
      </c>
      <c r="I65" s="53">
        <f t="shared" si="2"/>
        <v>1198</v>
      </c>
      <c r="J65" s="17">
        <v>1300</v>
      </c>
      <c r="K65" s="66">
        <v>102</v>
      </c>
      <c r="L65" s="52">
        <f t="shared" ca="1" si="3"/>
        <v>0.44736842105263158</v>
      </c>
      <c r="M65" s="50">
        <f t="shared" si="4"/>
        <v>0.92883099285538351</v>
      </c>
      <c r="N65" s="52">
        <f t="shared" si="5"/>
        <v>0.31097560975609756</v>
      </c>
      <c r="O65" s="56">
        <f t="shared" si="6"/>
        <v>25.5</v>
      </c>
      <c r="P65" s="54">
        <f t="shared" si="7"/>
        <v>46.980392156862742</v>
      </c>
      <c r="Q65" s="55">
        <f t="shared" si="8"/>
        <v>46.808510638297875</v>
      </c>
      <c r="R65" s="55">
        <f t="shared" si="9"/>
        <v>7.8461538461538458</v>
      </c>
      <c r="S65" s="13">
        <f t="shared" si="10"/>
        <v>1</v>
      </c>
      <c r="T65" s="13">
        <f t="shared" si="0"/>
        <v>1</v>
      </c>
      <c r="U65" s="13">
        <f t="shared" si="11"/>
        <v>2</v>
      </c>
      <c r="V65" s="13">
        <f t="shared" ca="1" si="12"/>
        <v>3</v>
      </c>
      <c r="W65" s="13">
        <f t="shared" ca="1" si="13"/>
        <v>7</v>
      </c>
      <c r="X65" s="61" t="str">
        <f t="shared" ca="1" si="14"/>
        <v>MONITOR</v>
      </c>
    </row>
    <row r="66" spans="1:24" x14ac:dyDescent="0.35">
      <c r="A66" s="25" t="s">
        <v>80</v>
      </c>
      <c r="B66" s="10" t="s">
        <v>321</v>
      </c>
      <c r="C66" s="10" t="s">
        <v>341</v>
      </c>
      <c r="D66" s="10" t="s">
        <v>346</v>
      </c>
      <c r="E66" s="11">
        <v>45871</v>
      </c>
      <c r="F66" s="14">
        <f t="shared" ca="1" si="1"/>
        <v>228</v>
      </c>
      <c r="G66" s="17">
        <v>799</v>
      </c>
      <c r="H66" s="17">
        <v>350</v>
      </c>
      <c r="I66" s="53">
        <f t="shared" si="2"/>
        <v>1016</v>
      </c>
      <c r="J66" s="17">
        <v>1200</v>
      </c>
      <c r="K66" s="66">
        <v>184</v>
      </c>
      <c r="L66" s="52">
        <f t="shared" ca="1" si="3"/>
        <v>0.80701754385964908</v>
      </c>
      <c r="M66" s="50">
        <f t="shared" si="4"/>
        <v>0.92883099285538351</v>
      </c>
      <c r="N66" s="52">
        <f t="shared" si="5"/>
        <v>0.56097560975609762</v>
      </c>
      <c r="O66" s="56">
        <f t="shared" si="6"/>
        <v>46.000000000000007</v>
      </c>
      <c r="P66" s="54">
        <f t="shared" si="7"/>
        <v>22.086956521739125</v>
      </c>
      <c r="Q66" s="55">
        <f t="shared" si="8"/>
        <v>56.195244055068841</v>
      </c>
      <c r="R66" s="55">
        <f t="shared" si="9"/>
        <v>15.333333333333332</v>
      </c>
      <c r="S66" s="13">
        <f t="shared" si="10"/>
        <v>1</v>
      </c>
      <c r="T66" s="13">
        <f t="shared" si="0"/>
        <v>1</v>
      </c>
      <c r="U66" s="13">
        <f t="shared" si="11"/>
        <v>2</v>
      </c>
      <c r="V66" s="13">
        <f t="shared" ca="1" si="12"/>
        <v>3</v>
      </c>
      <c r="W66" s="13">
        <f t="shared" ca="1" si="13"/>
        <v>7</v>
      </c>
      <c r="X66" s="61" t="str">
        <f t="shared" ca="1" si="14"/>
        <v>MONITOR</v>
      </c>
    </row>
    <row r="67" spans="1:24" x14ac:dyDescent="0.35">
      <c r="A67" s="25" t="s">
        <v>81</v>
      </c>
      <c r="B67" s="10" t="s">
        <v>321</v>
      </c>
      <c r="C67" s="10" t="s">
        <v>341</v>
      </c>
      <c r="D67" s="10" t="s">
        <v>346</v>
      </c>
      <c r="E67" s="11">
        <v>45920</v>
      </c>
      <c r="F67" s="14">
        <f t="shared" ref="F67:F130" ca="1" si="15">TODAY()-E67</f>
        <v>179</v>
      </c>
      <c r="G67" s="17">
        <v>799</v>
      </c>
      <c r="H67" s="17">
        <v>350</v>
      </c>
      <c r="I67" s="53">
        <f t="shared" ref="I67:I130" si="16">J67-K67</f>
        <v>1183</v>
      </c>
      <c r="J67" s="17">
        <v>1500</v>
      </c>
      <c r="K67" s="66">
        <v>317</v>
      </c>
      <c r="L67" s="52">
        <f t="shared" ref="L67:L130" ca="1" si="17">K67/F67</f>
        <v>1.770949720670391</v>
      </c>
      <c r="M67" s="50">
        <f t="shared" ref="M67:M130" si="18">AVERAGEIFS(N:N,C:C,C67)</f>
        <v>0.92883099285538351</v>
      </c>
      <c r="N67" s="52">
        <f t="shared" ref="N67:N130" si="19">K67/328</f>
        <v>0.96646341463414631</v>
      </c>
      <c r="O67" s="56">
        <f t="shared" ref="O67:O130" si="20">N67*82</f>
        <v>79.25</v>
      </c>
      <c r="P67" s="54">
        <f t="shared" ref="P67:P130" si="21">I67/O67</f>
        <v>14.927444794952681</v>
      </c>
      <c r="Q67" s="55">
        <f t="shared" ref="Q67:Q130" si="22">(G67-H67)/G67*100</f>
        <v>56.195244055068841</v>
      </c>
      <c r="R67" s="55">
        <f t="shared" ref="R67:R130" si="23">K67/J67*100</f>
        <v>21.133333333333333</v>
      </c>
      <c r="S67" s="13">
        <f t="shared" ref="S67:S130" si="24">IF(N67&gt;=M67,3,IF(N67&gt;=0.8*M67,2,1))</f>
        <v>3</v>
      </c>
      <c r="T67" s="13">
        <f t="shared" ref="T67:T130" si="25">IF(P67&lt;=4,3,IF(P67&lt;=6,2,1))</f>
        <v>1</v>
      </c>
      <c r="U67" s="13">
        <f t="shared" ref="U67:U130" si="26">IF(Q67&gt;=60,3,IF(Q67&gt;=45,2,1))</f>
        <v>2</v>
      </c>
      <c r="V67" s="13">
        <f t="shared" ref="V67:V130" ca="1" si="27">IF(L67&lt;=10,3,IF(L67&lt;=25,2,1))</f>
        <v>3</v>
      </c>
      <c r="W67" s="13">
        <f t="shared" ref="W67:W130" ca="1" si="28">S67+T67+U67+V67</f>
        <v>9</v>
      </c>
      <c r="X67" s="61" t="str">
        <f t="shared" ref="X67:X130" ca="1" si="29">IFERROR(IF(W67&gt;=9,"RE-BUY",IF(W67&gt;=6,"MONITOR","EXIT")),"EXIT")</f>
        <v>RE-BUY</v>
      </c>
    </row>
    <row r="68" spans="1:24" x14ac:dyDescent="0.35">
      <c r="A68" s="25" t="s">
        <v>82</v>
      </c>
      <c r="B68" s="10" t="s">
        <v>321</v>
      </c>
      <c r="C68" s="10" t="s">
        <v>341</v>
      </c>
      <c r="D68" s="10" t="s">
        <v>346</v>
      </c>
      <c r="E68" s="11">
        <v>45920</v>
      </c>
      <c r="F68" s="14">
        <f t="shared" ca="1" si="15"/>
        <v>179</v>
      </c>
      <c r="G68" s="17">
        <v>799</v>
      </c>
      <c r="H68" s="17">
        <v>425</v>
      </c>
      <c r="I68" s="53">
        <f t="shared" si="16"/>
        <v>1118</v>
      </c>
      <c r="J68" s="17">
        <v>1400</v>
      </c>
      <c r="K68" s="66">
        <v>282</v>
      </c>
      <c r="L68" s="52">
        <f t="shared" ca="1" si="17"/>
        <v>1.5754189944134078</v>
      </c>
      <c r="M68" s="50">
        <f t="shared" si="18"/>
        <v>0.92883099285538351</v>
      </c>
      <c r="N68" s="52">
        <f t="shared" si="19"/>
        <v>0.8597560975609756</v>
      </c>
      <c r="O68" s="56">
        <f t="shared" si="20"/>
        <v>70.5</v>
      </c>
      <c r="P68" s="54">
        <f t="shared" si="21"/>
        <v>15.858156028368795</v>
      </c>
      <c r="Q68" s="55">
        <f t="shared" si="22"/>
        <v>46.808510638297875</v>
      </c>
      <c r="R68" s="55">
        <f t="shared" si="23"/>
        <v>20.142857142857142</v>
      </c>
      <c r="S68" s="13">
        <f t="shared" si="24"/>
        <v>2</v>
      </c>
      <c r="T68" s="13">
        <f t="shared" si="25"/>
        <v>1</v>
      </c>
      <c r="U68" s="13">
        <f t="shared" si="26"/>
        <v>2</v>
      </c>
      <c r="V68" s="13">
        <f t="shared" ca="1" si="27"/>
        <v>3</v>
      </c>
      <c r="W68" s="13">
        <f t="shared" ca="1" si="28"/>
        <v>8</v>
      </c>
      <c r="X68" s="61" t="str">
        <f t="shared" ca="1" si="29"/>
        <v>MONITOR</v>
      </c>
    </row>
    <row r="69" spans="1:24" x14ac:dyDescent="0.35">
      <c r="A69" s="25" t="s">
        <v>83</v>
      </c>
      <c r="B69" s="10" t="s">
        <v>316</v>
      </c>
      <c r="C69" s="10" t="s">
        <v>341</v>
      </c>
      <c r="D69" s="10" t="s">
        <v>346</v>
      </c>
      <c r="E69" s="11">
        <v>45871</v>
      </c>
      <c r="F69" s="14">
        <f t="shared" ca="1" si="15"/>
        <v>228</v>
      </c>
      <c r="G69" s="17">
        <v>999</v>
      </c>
      <c r="H69" s="17">
        <v>500</v>
      </c>
      <c r="I69" s="53">
        <f t="shared" si="16"/>
        <v>1131</v>
      </c>
      <c r="J69" s="17">
        <v>1200</v>
      </c>
      <c r="K69" s="66">
        <v>69</v>
      </c>
      <c r="L69" s="52">
        <f t="shared" ca="1" si="17"/>
        <v>0.30263157894736842</v>
      </c>
      <c r="M69" s="50">
        <f t="shared" si="18"/>
        <v>0.92883099285538351</v>
      </c>
      <c r="N69" s="52">
        <f t="shared" si="19"/>
        <v>0.21036585365853658</v>
      </c>
      <c r="O69" s="56">
        <f t="shared" si="20"/>
        <v>17.25</v>
      </c>
      <c r="P69" s="54">
        <f t="shared" si="21"/>
        <v>65.565217391304344</v>
      </c>
      <c r="Q69" s="55">
        <f t="shared" si="22"/>
        <v>49.949949949949954</v>
      </c>
      <c r="R69" s="55">
        <f t="shared" si="23"/>
        <v>5.75</v>
      </c>
      <c r="S69" s="13">
        <f t="shared" si="24"/>
        <v>1</v>
      </c>
      <c r="T69" s="13">
        <f t="shared" si="25"/>
        <v>1</v>
      </c>
      <c r="U69" s="13">
        <f t="shared" si="26"/>
        <v>2</v>
      </c>
      <c r="V69" s="13">
        <f t="shared" ca="1" si="27"/>
        <v>3</v>
      </c>
      <c r="W69" s="13">
        <f t="shared" ca="1" si="28"/>
        <v>7</v>
      </c>
      <c r="X69" s="61" t="str">
        <f t="shared" ca="1" si="29"/>
        <v>MONITOR</v>
      </c>
    </row>
    <row r="70" spans="1:24" x14ac:dyDescent="0.35">
      <c r="A70" s="25" t="s">
        <v>84</v>
      </c>
      <c r="B70" s="10" t="s">
        <v>321</v>
      </c>
      <c r="C70" s="10" t="s">
        <v>341</v>
      </c>
      <c r="D70" s="10" t="s">
        <v>346</v>
      </c>
      <c r="E70" s="11">
        <v>45920</v>
      </c>
      <c r="F70" s="14">
        <f t="shared" ca="1" si="15"/>
        <v>179</v>
      </c>
      <c r="G70" s="17">
        <v>799</v>
      </c>
      <c r="H70" s="17">
        <v>413</v>
      </c>
      <c r="I70" s="53">
        <f t="shared" si="16"/>
        <v>1544</v>
      </c>
      <c r="J70" s="17">
        <v>1600</v>
      </c>
      <c r="K70" s="66">
        <v>56</v>
      </c>
      <c r="L70" s="52">
        <f t="shared" ca="1" si="17"/>
        <v>0.31284916201117319</v>
      </c>
      <c r="M70" s="50">
        <f t="shared" si="18"/>
        <v>0.92883099285538351</v>
      </c>
      <c r="N70" s="52">
        <f t="shared" si="19"/>
        <v>0.17073170731707318</v>
      </c>
      <c r="O70" s="56">
        <f t="shared" si="20"/>
        <v>14.000000000000002</v>
      </c>
      <c r="P70" s="54">
        <f t="shared" si="21"/>
        <v>110.28571428571428</v>
      </c>
      <c r="Q70" s="55">
        <f t="shared" si="22"/>
        <v>48.310387984981226</v>
      </c>
      <c r="R70" s="55">
        <f t="shared" si="23"/>
        <v>3.5000000000000004</v>
      </c>
      <c r="S70" s="13">
        <f t="shared" si="24"/>
        <v>1</v>
      </c>
      <c r="T70" s="13">
        <f t="shared" si="25"/>
        <v>1</v>
      </c>
      <c r="U70" s="13">
        <f t="shared" si="26"/>
        <v>2</v>
      </c>
      <c r="V70" s="13">
        <f t="shared" ca="1" si="27"/>
        <v>3</v>
      </c>
      <c r="W70" s="13">
        <f t="shared" ca="1" si="28"/>
        <v>7</v>
      </c>
      <c r="X70" s="61" t="str">
        <f t="shared" ca="1" si="29"/>
        <v>MONITOR</v>
      </c>
    </row>
    <row r="71" spans="1:24" x14ac:dyDescent="0.35">
      <c r="A71" s="25" t="s">
        <v>85</v>
      </c>
      <c r="B71" s="10" t="s">
        <v>316</v>
      </c>
      <c r="C71" s="10" t="s">
        <v>341</v>
      </c>
      <c r="D71" s="10" t="s">
        <v>346</v>
      </c>
      <c r="E71" s="11">
        <v>45871</v>
      </c>
      <c r="F71" s="14">
        <f t="shared" ca="1" si="15"/>
        <v>228</v>
      </c>
      <c r="G71" s="17">
        <v>799</v>
      </c>
      <c r="H71" s="17">
        <v>455</v>
      </c>
      <c r="I71" s="53">
        <f t="shared" si="16"/>
        <v>1059</v>
      </c>
      <c r="J71" s="17">
        <v>1200</v>
      </c>
      <c r="K71" s="66">
        <v>141</v>
      </c>
      <c r="L71" s="52">
        <f t="shared" ca="1" si="17"/>
        <v>0.61842105263157898</v>
      </c>
      <c r="M71" s="50">
        <f t="shared" si="18"/>
        <v>0.92883099285538351</v>
      </c>
      <c r="N71" s="52">
        <f t="shared" si="19"/>
        <v>0.4298780487804878</v>
      </c>
      <c r="O71" s="56">
        <f t="shared" si="20"/>
        <v>35.25</v>
      </c>
      <c r="P71" s="54">
        <f t="shared" si="21"/>
        <v>30.042553191489361</v>
      </c>
      <c r="Q71" s="55">
        <f t="shared" si="22"/>
        <v>43.053817271589487</v>
      </c>
      <c r="R71" s="55">
        <f t="shared" si="23"/>
        <v>11.75</v>
      </c>
      <c r="S71" s="13">
        <f t="shared" si="24"/>
        <v>1</v>
      </c>
      <c r="T71" s="13">
        <f t="shared" si="25"/>
        <v>1</v>
      </c>
      <c r="U71" s="13">
        <f t="shared" si="26"/>
        <v>1</v>
      </c>
      <c r="V71" s="13">
        <f t="shared" ca="1" si="27"/>
        <v>3</v>
      </c>
      <c r="W71" s="13">
        <f t="shared" ca="1" si="28"/>
        <v>6</v>
      </c>
      <c r="X71" s="61" t="str">
        <f t="shared" ca="1" si="29"/>
        <v>MONITOR</v>
      </c>
    </row>
    <row r="72" spans="1:24" x14ac:dyDescent="0.35">
      <c r="A72" s="25" t="s">
        <v>86</v>
      </c>
      <c r="B72" s="10" t="s">
        <v>316</v>
      </c>
      <c r="C72" s="10" t="s">
        <v>341</v>
      </c>
      <c r="D72" s="10" t="s">
        <v>346</v>
      </c>
      <c r="E72" s="11">
        <v>45871</v>
      </c>
      <c r="F72" s="14">
        <f t="shared" ca="1" si="15"/>
        <v>228</v>
      </c>
      <c r="G72" s="17">
        <v>799</v>
      </c>
      <c r="H72" s="17">
        <v>455</v>
      </c>
      <c r="I72" s="53">
        <f t="shared" si="16"/>
        <v>777</v>
      </c>
      <c r="J72" s="17">
        <v>1000</v>
      </c>
      <c r="K72" s="66">
        <v>223</v>
      </c>
      <c r="L72" s="52">
        <f t="shared" ca="1" si="17"/>
        <v>0.97807017543859653</v>
      </c>
      <c r="M72" s="50">
        <f t="shared" si="18"/>
        <v>0.92883099285538351</v>
      </c>
      <c r="N72" s="52">
        <f t="shared" si="19"/>
        <v>0.67987804878048785</v>
      </c>
      <c r="O72" s="56">
        <f t="shared" si="20"/>
        <v>55.750000000000007</v>
      </c>
      <c r="P72" s="54">
        <f t="shared" si="21"/>
        <v>13.937219730941703</v>
      </c>
      <c r="Q72" s="55">
        <f t="shared" si="22"/>
        <v>43.053817271589487</v>
      </c>
      <c r="R72" s="55">
        <f t="shared" si="23"/>
        <v>22.3</v>
      </c>
      <c r="S72" s="13">
        <f t="shared" si="24"/>
        <v>1</v>
      </c>
      <c r="T72" s="13">
        <f t="shared" si="25"/>
        <v>1</v>
      </c>
      <c r="U72" s="13">
        <f t="shared" si="26"/>
        <v>1</v>
      </c>
      <c r="V72" s="13">
        <f t="shared" ca="1" si="27"/>
        <v>3</v>
      </c>
      <c r="W72" s="13">
        <f t="shared" ca="1" si="28"/>
        <v>6</v>
      </c>
      <c r="X72" s="61" t="str">
        <f t="shared" ca="1" si="29"/>
        <v>MONITOR</v>
      </c>
    </row>
    <row r="73" spans="1:24" x14ac:dyDescent="0.35">
      <c r="A73" s="25" t="s">
        <v>87</v>
      </c>
      <c r="B73" s="10" t="s">
        <v>316</v>
      </c>
      <c r="C73" s="10" t="s">
        <v>341</v>
      </c>
      <c r="D73" s="10" t="s">
        <v>346</v>
      </c>
      <c r="E73" s="11">
        <v>45871</v>
      </c>
      <c r="F73" s="14">
        <f t="shared" ca="1" si="15"/>
        <v>228</v>
      </c>
      <c r="G73" s="17">
        <v>799</v>
      </c>
      <c r="H73" s="17">
        <v>390</v>
      </c>
      <c r="I73" s="53">
        <f t="shared" si="16"/>
        <v>640</v>
      </c>
      <c r="J73" s="17">
        <v>800</v>
      </c>
      <c r="K73" s="66">
        <v>160</v>
      </c>
      <c r="L73" s="52">
        <f t="shared" ca="1" si="17"/>
        <v>0.70175438596491224</v>
      </c>
      <c r="M73" s="50">
        <f t="shared" si="18"/>
        <v>0.92883099285538351</v>
      </c>
      <c r="N73" s="52">
        <f t="shared" si="19"/>
        <v>0.48780487804878048</v>
      </c>
      <c r="O73" s="56">
        <f t="shared" si="20"/>
        <v>40</v>
      </c>
      <c r="P73" s="54">
        <f t="shared" si="21"/>
        <v>16</v>
      </c>
      <c r="Q73" s="55">
        <f t="shared" si="22"/>
        <v>51.188986232790988</v>
      </c>
      <c r="R73" s="55">
        <f t="shared" si="23"/>
        <v>20</v>
      </c>
      <c r="S73" s="13">
        <f t="shared" si="24"/>
        <v>1</v>
      </c>
      <c r="T73" s="13">
        <f t="shared" si="25"/>
        <v>1</v>
      </c>
      <c r="U73" s="13">
        <f t="shared" si="26"/>
        <v>2</v>
      </c>
      <c r="V73" s="13">
        <f t="shared" ca="1" si="27"/>
        <v>3</v>
      </c>
      <c r="W73" s="13">
        <f t="shared" ca="1" si="28"/>
        <v>7</v>
      </c>
      <c r="X73" s="61" t="str">
        <f t="shared" ca="1" si="29"/>
        <v>MONITOR</v>
      </c>
    </row>
    <row r="74" spans="1:24" x14ac:dyDescent="0.35">
      <c r="A74" s="25" t="s">
        <v>88</v>
      </c>
      <c r="B74" s="10" t="s">
        <v>316</v>
      </c>
      <c r="C74" s="10" t="s">
        <v>341</v>
      </c>
      <c r="D74" s="10" t="s">
        <v>346</v>
      </c>
      <c r="E74" s="11">
        <v>45871</v>
      </c>
      <c r="F74" s="14">
        <f t="shared" ca="1" si="15"/>
        <v>228</v>
      </c>
      <c r="G74" s="17">
        <v>799</v>
      </c>
      <c r="H74" s="17">
        <v>390</v>
      </c>
      <c r="I74" s="53">
        <f t="shared" si="16"/>
        <v>564</v>
      </c>
      <c r="J74" s="17">
        <v>800</v>
      </c>
      <c r="K74" s="66">
        <v>236</v>
      </c>
      <c r="L74" s="52">
        <f t="shared" ca="1" si="17"/>
        <v>1.0350877192982457</v>
      </c>
      <c r="M74" s="50">
        <f t="shared" si="18"/>
        <v>0.92883099285538351</v>
      </c>
      <c r="N74" s="52">
        <f t="shared" si="19"/>
        <v>0.71951219512195119</v>
      </c>
      <c r="O74" s="56">
        <f t="shared" si="20"/>
        <v>59</v>
      </c>
      <c r="P74" s="54">
        <f t="shared" si="21"/>
        <v>9.5593220338983045</v>
      </c>
      <c r="Q74" s="55">
        <f t="shared" si="22"/>
        <v>51.188986232790988</v>
      </c>
      <c r="R74" s="55">
        <f t="shared" si="23"/>
        <v>29.5</v>
      </c>
      <c r="S74" s="13">
        <f t="shared" si="24"/>
        <v>1</v>
      </c>
      <c r="T74" s="13">
        <f t="shared" si="25"/>
        <v>1</v>
      </c>
      <c r="U74" s="13">
        <f t="shared" si="26"/>
        <v>2</v>
      </c>
      <c r="V74" s="13">
        <f t="shared" ca="1" si="27"/>
        <v>3</v>
      </c>
      <c r="W74" s="13">
        <f t="shared" ca="1" si="28"/>
        <v>7</v>
      </c>
      <c r="X74" s="61" t="str">
        <f t="shared" ca="1" si="29"/>
        <v>MONITOR</v>
      </c>
    </row>
    <row r="75" spans="1:24" x14ac:dyDescent="0.35">
      <c r="A75" s="25" t="s">
        <v>89</v>
      </c>
      <c r="B75" s="10" t="s">
        <v>316</v>
      </c>
      <c r="C75" s="10" t="s">
        <v>341</v>
      </c>
      <c r="D75" s="10" t="s">
        <v>346</v>
      </c>
      <c r="E75" s="11">
        <v>45976</v>
      </c>
      <c r="F75" s="14">
        <f t="shared" ca="1" si="15"/>
        <v>123</v>
      </c>
      <c r="G75" s="17">
        <v>799</v>
      </c>
      <c r="H75" s="17">
        <v>390</v>
      </c>
      <c r="I75" s="53">
        <f t="shared" si="16"/>
        <v>500</v>
      </c>
      <c r="J75" s="17">
        <v>800</v>
      </c>
      <c r="K75" s="66">
        <v>300</v>
      </c>
      <c r="L75" s="52">
        <f t="shared" ca="1" si="17"/>
        <v>2.4390243902439024</v>
      </c>
      <c r="M75" s="50">
        <f t="shared" si="18"/>
        <v>0.92883099285538351</v>
      </c>
      <c r="N75" s="52">
        <f t="shared" si="19"/>
        <v>0.91463414634146345</v>
      </c>
      <c r="O75" s="56">
        <f t="shared" si="20"/>
        <v>75</v>
      </c>
      <c r="P75" s="54">
        <f t="shared" si="21"/>
        <v>6.666666666666667</v>
      </c>
      <c r="Q75" s="55">
        <f t="shared" si="22"/>
        <v>51.188986232790988</v>
      </c>
      <c r="R75" s="55">
        <f t="shared" si="23"/>
        <v>37.5</v>
      </c>
      <c r="S75" s="13">
        <f t="shared" si="24"/>
        <v>2</v>
      </c>
      <c r="T75" s="13">
        <f t="shared" si="25"/>
        <v>1</v>
      </c>
      <c r="U75" s="13">
        <f t="shared" si="26"/>
        <v>2</v>
      </c>
      <c r="V75" s="13">
        <f t="shared" ca="1" si="27"/>
        <v>3</v>
      </c>
      <c r="W75" s="13">
        <f t="shared" ca="1" si="28"/>
        <v>8</v>
      </c>
      <c r="X75" s="61" t="str">
        <f t="shared" ca="1" si="29"/>
        <v>MONITOR</v>
      </c>
    </row>
    <row r="76" spans="1:24" x14ac:dyDescent="0.35">
      <c r="A76" s="25" t="s">
        <v>90</v>
      </c>
      <c r="B76" s="10" t="s">
        <v>322</v>
      </c>
      <c r="C76" s="10" t="s">
        <v>341</v>
      </c>
      <c r="D76" s="10" t="s">
        <v>346</v>
      </c>
      <c r="E76" s="11">
        <v>45871</v>
      </c>
      <c r="F76" s="14">
        <f t="shared" ca="1" si="15"/>
        <v>228</v>
      </c>
      <c r="G76" s="17">
        <v>499</v>
      </c>
      <c r="H76" s="17">
        <v>261</v>
      </c>
      <c r="I76" s="53">
        <f t="shared" si="16"/>
        <v>784</v>
      </c>
      <c r="J76" s="17">
        <v>1000</v>
      </c>
      <c r="K76" s="66">
        <v>216</v>
      </c>
      <c r="L76" s="52">
        <f t="shared" ca="1" si="17"/>
        <v>0.94736842105263153</v>
      </c>
      <c r="M76" s="50">
        <f t="shared" si="18"/>
        <v>0.92883099285538351</v>
      </c>
      <c r="N76" s="52">
        <f t="shared" si="19"/>
        <v>0.65853658536585369</v>
      </c>
      <c r="O76" s="56">
        <f t="shared" si="20"/>
        <v>54</v>
      </c>
      <c r="P76" s="54">
        <f t="shared" si="21"/>
        <v>14.518518518518519</v>
      </c>
      <c r="Q76" s="55">
        <f t="shared" si="22"/>
        <v>47.695390781563127</v>
      </c>
      <c r="R76" s="55">
        <f t="shared" si="23"/>
        <v>21.6</v>
      </c>
      <c r="S76" s="13">
        <f t="shared" si="24"/>
        <v>1</v>
      </c>
      <c r="T76" s="13">
        <f t="shared" si="25"/>
        <v>1</v>
      </c>
      <c r="U76" s="13">
        <f t="shared" si="26"/>
        <v>2</v>
      </c>
      <c r="V76" s="13">
        <f t="shared" ca="1" si="27"/>
        <v>3</v>
      </c>
      <c r="W76" s="13">
        <f t="shared" ca="1" si="28"/>
        <v>7</v>
      </c>
      <c r="X76" s="61" t="str">
        <f t="shared" ca="1" si="29"/>
        <v>MONITOR</v>
      </c>
    </row>
    <row r="77" spans="1:24" x14ac:dyDescent="0.35">
      <c r="A77" s="25" t="s">
        <v>91</v>
      </c>
      <c r="B77" s="10" t="s">
        <v>322</v>
      </c>
      <c r="C77" s="10" t="s">
        <v>341</v>
      </c>
      <c r="D77" s="10" t="s">
        <v>346</v>
      </c>
      <c r="E77" s="11">
        <v>45913</v>
      </c>
      <c r="F77" s="14">
        <f t="shared" ca="1" si="15"/>
        <v>186</v>
      </c>
      <c r="G77" s="17">
        <v>499</v>
      </c>
      <c r="H77" s="17">
        <v>261</v>
      </c>
      <c r="I77" s="53">
        <f t="shared" si="16"/>
        <v>465</v>
      </c>
      <c r="J77" s="17">
        <v>1000</v>
      </c>
      <c r="K77" s="66">
        <v>535</v>
      </c>
      <c r="L77" s="52">
        <f t="shared" ca="1" si="17"/>
        <v>2.8763440860215055</v>
      </c>
      <c r="M77" s="50">
        <f t="shared" si="18"/>
        <v>0.92883099285538351</v>
      </c>
      <c r="N77" s="52">
        <f t="shared" si="19"/>
        <v>1.6310975609756098</v>
      </c>
      <c r="O77" s="56">
        <f t="shared" si="20"/>
        <v>133.75</v>
      </c>
      <c r="P77" s="54">
        <f t="shared" si="21"/>
        <v>3.4766355140186915</v>
      </c>
      <c r="Q77" s="55">
        <f t="shared" si="22"/>
        <v>47.695390781563127</v>
      </c>
      <c r="R77" s="55">
        <f t="shared" si="23"/>
        <v>53.5</v>
      </c>
      <c r="S77" s="13">
        <f t="shared" si="24"/>
        <v>3</v>
      </c>
      <c r="T77" s="13">
        <f t="shared" si="25"/>
        <v>3</v>
      </c>
      <c r="U77" s="13">
        <f t="shared" si="26"/>
        <v>2</v>
      </c>
      <c r="V77" s="13">
        <f t="shared" ca="1" si="27"/>
        <v>3</v>
      </c>
      <c r="W77" s="13">
        <f t="shared" ca="1" si="28"/>
        <v>11</v>
      </c>
      <c r="X77" s="61" t="str">
        <f t="shared" ca="1" si="29"/>
        <v>RE-BUY</v>
      </c>
    </row>
    <row r="78" spans="1:24" x14ac:dyDescent="0.35">
      <c r="A78" s="25" t="s">
        <v>92</v>
      </c>
      <c r="B78" s="10" t="s">
        <v>322</v>
      </c>
      <c r="C78" s="10" t="s">
        <v>341</v>
      </c>
      <c r="D78" s="10" t="s">
        <v>346</v>
      </c>
      <c r="E78" s="11">
        <v>45871</v>
      </c>
      <c r="F78" s="14">
        <f t="shared" ca="1" si="15"/>
        <v>228</v>
      </c>
      <c r="G78" s="17">
        <v>499</v>
      </c>
      <c r="H78" s="17">
        <v>261</v>
      </c>
      <c r="I78" s="53">
        <f t="shared" si="16"/>
        <v>879</v>
      </c>
      <c r="J78" s="17">
        <v>1000</v>
      </c>
      <c r="K78" s="66">
        <v>121</v>
      </c>
      <c r="L78" s="52">
        <f t="shared" ca="1" si="17"/>
        <v>0.5307017543859649</v>
      </c>
      <c r="M78" s="50">
        <f t="shared" si="18"/>
        <v>0.92883099285538351</v>
      </c>
      <c r="N78" s="52">
        <f t="shared" si="19"/>
        <v>0.36890243902439024</v>
      </c>
      <c r="O78" s="56">
        <f t="shared" si="20"/>
        <v>30.25</v>
      </c>
      <c r="P78" s="54">
        <f t="shared" si="21"/>
        <v>29.057851239669422</v>
      </c>
      <c r="Q78" s="55">
        <f t="shared" si="22"/>
        <v>47.695390781563127</v>
      </c>
      <c r="R78" s="55">
        <f t="shared" si="23"/>
        <v>12.1</v>
      </c>
      <c r="S78" s="13">
        <f t="shared" si="24"/>
        <v>1</v>
      </c>
      <c r="T78" s="13">
        <f t="shared" si="25"/>
        <v>1</v>
      </c>
      <c r="U78" s="13">
        <f t="shared" si="26"/>
        <v>2</v>
      </c>
      <c r="V78" s="13">
        <f t="shared" ca="1" si="27"/>
        <v>3</v>
      </c>
      <c r="W78" s="13">
        <f t="shared" ca="1" si="28"/>
        <v>7</v>
      </c>
      <c r="X78" s="61" t="str">
        <f t="shared" ca="1" si="29"/>
        <v>MONITOR</v>
      </c>
    </row>
    <row r="79" spans="1:24" x14ac:dyDescent="0.35">
      <c r="A79" s="25" t="s">
        <v>93</v>
      </c>
      <c r="B79" s="10" t="s">
        <v>322</v>
      </c>
      <c r="C79" s="10" t="s">
        <v>341</v>
      </c>
      <c r="D79" s="10" t="s">
        <v>346</v>
      </c>
      <c r="E79" s="11">
        <v>45913</v>
      </c>
      <c r="F79" s="14">
        <f t="shared" ca="1" si="15"/>
        <v>186</v>
      </c>
      <c r="G79" s="17">
        <v>499</v>
      </c>
      <c r="H79" s="17">
        <v>261</v>
      </c>
      <c r="I79" s="53">
        <f t="shared" si="16"/>
        <v>560</v>
      </c>
      <c r="J79" s="17">
        <v>1000</v>
      </c>
      <c r="K79" s="66">
        <v>440</v>
      </c>
      <c r="L79" s="52">
        <f t="shared" ca="1" si="17"/>
        <v>2.3655913978494625</v>
      </c>
      <c r="M79" s="50">
        <f t="shared" si="18"/>
        <v>0.92883099285538351</v>
      </c>
      <c r="N79" s="52">
        <f t="shared" si="19"/>
        <v>1.3414634146341464</v>
      </c>
      <c r="O79" s="56">
        <f t="shared" si="20"/>
        <v>110</v>
      </c>
      <c r="P79" s="54">
        <f t="shared" si="21"/>
        <v>5.0909090909090908</v>
      </c>
      <c r="Q79" s="55">
        <f t="shared" si="22"/>
        <v>47.695390781563127</v>
      </c>
      <c r="R79" s="55">
        <f t="shared" si="23"/>
        <v>44</v>
      </c>
      <c r="S79" s="13">
        <f t="shared" si="24"/>
        <v>3</v>
      </c>
      <c r="T79" s="13">
        <f t="shared" si="25"/>
        <v>2</v>
      </c>
      <c r="U79" s="13">
        <f t="shared" si="26"/>
        <v>2</v>
      </c>
      <c r="V79" s="13">
        <f t="shared" ca="1" si="27"/>
        <v>3</v>
      </c>
      <c r="W79" s="13">
        <f t="shared" ca="1" si="28"/>
        <v>10</v>
      </c>
      <c r="X79" s="61" t="str">
        <f t="shared" ca="1" si="29"/>
        <v>RE-BUY</v>
      </c>
    </row>
    <row r="80" spans="1:24" x14ac:dyDescent="0.35">
      <c r="A80" s="25" t="s">
        <v>94</v>
      </c>
      <c r="B80" s="10" t="s">
        <v>322</v>
      </c>
      <c r="C80" s="10" t="s">
        <v>341</v>
      </c>
      <c r="D80" s="10" t="s">
        <v>346</v>
      </c>
      <c r="E80" s="11">
        <v>45871</v>
      </c>
      <c r="F80" s="14">
        <f t="shared" ca="1" si="15"/>
        <v>228</v>
      </c>
      <c r="G80" s="17">
        <v>499</v>
      </c>
      <c r="H80" s="17">
        <v>261</v>
      </c>
      <c r="I80" s="53">
        <f t="shared" si="16"/>
        <v>771</v>
      </c>
      <c r="J80" s="17">
        <v>1000</v>
      </c>
      <c r="K80" s="66">
        <v>229</v>
      </c>
      <c r="L80" s="52">
        <f t="shared" ca="1" si="17"/>
        <v>1.0043859649122806</v>
      </c>
      <c r="M80" s="50">
        <f t="shared" si="18"/>
        <v>0.92883099285538351</v>
      </c>
      <c r="N80" s="52">
        <f t="shared" si="19"/>
        <v>0.69817073170731703</v>
      </c>
      <c r="O80" s="56">
        <f t="shared" si="20"/>
        <v>57.249999999999993</v>
      </c>
      <c r="P80" s="54">
        <f t="shared" si="21"/>
        <v>13.467248908296945</v>
      </c>
      <c r="Q80" s="55">
        <f t="shared" si="22"/>
        <v>47.695390781563127</v>
      </c>
      <c r="R80" s="55">
        <f t="shared" si="23"/>
        <v>22.900000000000002</v>
      </c>
      <c r="S80" s="13">
        <f t="shared" si="24"/>
        <v>1</v>
      </c>
      <c r="T80" s="13">
        <f t="shared" si="25"/>
        <v>1</v>
      </c>
      <c r="U80" s="13">
        <f t="shared" si="26"/>
        <v>2</v>
      </c>
      <c r="V80" s="13">
        <f t="shared" ca="1" si="27"/>
        <v>3</v>
      </c>
      <c r="W80" s="13">
        <f t="shared" ca="1" si="28"/>
        <v>7</v>
      </c>
      <c r="X80" s="61" t="str">
        <f t="shared" ca="1" si="29"/>
        <v>MONITOR</v>
      </c>
    </row>
    <row r="81" spans="1:24" x14ac:dyDescent="0.35">
      <c r="A81" s="25" t="s">
        <v>95</v>
      </c>
      <c r="B81" s="10" t="s">
        <v>322</v>
      </c>
      <c r="C81" s="10" t="s">
        <v>341</v>
      </c>
      <c r="D81" s="10" t="s">
        <v>346</v>
      </c>
      <c r="E81" s="11">
        <v>45871</v>
      </c>
      <c r="F81" s="14">
        <f t="shared" ca="1" si="15"/>
        <v>228</v>
      </c>
      <c r="G81" s="17">
        <v>499</v>
      </c>
      <c r="H81" s="17">
        <v>261</v>
      </c>
      <c r="I81" s="53">
        <f t="shared" si="16"/>
        <v>750</v>
      </c>
      <c r="J81" s="17">
        <v>1000</v>
      </c>
      <c r="K81" s="66">
        <v>250</v>
      </c>
      <c r="L81" s="52">
        <f t="shared" ca="1" si="17"/>
        <v>1.0964912280701755</v>
      </c>
      <c r="M81" s="50">
        <f t="shared" si="18"/>
        <v>0.92883099285538351</v>
      </c>
      <c r="N81" s="52">
        <f t="shared" si="19"/>
        <v>0.76219512195121952</v>
      </c>
      <c r="O81" s="56">
        <f t="shared" si="20"/>
        <v>62.5</v>
      </c>
      <c r="P81" s="54">
        <f t="shared" si="21"/>
        <v>12</v>
      </c>
      <c r="Q81" s="55">
        <f t="shared" si="22"/>
        <v>47.695390781563127</v>
      </c>
      <c r="R81" s="55">
        <f t="shared" si="23"/>
        <v>25</v>
      </c>
      <c r="S81" s="13">
        <f t="shared" si="24"/>
        <v>2</v>
      </c>
      <c r="T81" s="13">
        <f t="shared" si="25"/>
        <v>1</v>
      </c>
      <c r="U81" s="13">
        <f t="shared" si="26"/>
        <v>2</v>
      </c>
      <c r="V81" s="13">
        <f t="shared" ca="1" si="27"/>
        <v>3</v>
      </c>
      <c r="W81" s="13">
        <f t="shared" ca="1" si="28"/>
        <v>8</v>
      </c>
      <c r="X81" s="61" t="str">
        <f t="shared" ca="1" si="29"/>
        <v>MONITOR</v>
      </c>
    </row>
    <row r="82" spans="1:24" x14ac:dyDescent="0.35">
      <c r="A82" s="25" t="s">
        <v>96</v>
      </c>
      <c r="B82" s="10" t="s">
        <v>322</v>
      </c>
      <c r="C82" s="10" t="s">
        <v>341</v>
      </c>
      <c r="D82" s="10" t="s">
        <v>346</v>
      </c>
      <c r="E82" s="11">
        <v>45920</v>
      </c>
      <c r="F82" s="14">
        <f t="shared" ca="1" si="15"/>
        <v>179</v>
      </c>
      <c r="G82" s="17">
        <v>499</v>
      </c>
      <c r="H82" s="17">
        <v>261</v>
      </c>
      <c r="I82" s="53">
        <f t="shared" si="16"/>
        <v>302</v>
      </c>
      <c r="J82" s="17">
        <v>750</v>
      </c>
      <c r="K82" s="66">
        <v>448</v>
      </c>
      <c r="L82" s="52">
        <f t="shared" ca="1" si="17"/>
        <v>2.5027932960893855</v>
      </c>
      <c r="M82" s="50">
        <f t="shared" si="18"/>
        <v>0.92883099285538351</v>
      </c>
      <c r="N82" s="52">
        <f t="shared" si="19"/>
        <v>1.3658536585365855</v>
      </c>
      <c r="O82" s="56">
        <f t="shared" si="20"/>
        <v>112.00000000000001</v>
      </c>
      <c r="P82" s="54">
        <f t="shared" si="21"/>
        <v>2.6964285714285712</v>
      </c>
      <c r="Q82" s="55">
        <f t="shared" si="22"/>
        <v>47.695390781563127</v>
      </c>
      <c r="R82" s="55">
        <f t="shared" si="23"/>
        <v>59.733333333333341</v>
      </c>
      <c r="S82" s="13">
        <f t="shared" si="24"/>
        <v>3</v>
      </c>
      <c r="T82" s="13">
        <f t="shared" si="25"/>
        <v>3</v>
      </c>
      <c r="U82" s="13">
        <f t="shared" si="26"/>
        <v>2</v>
      </c>
      <c r="V82" s="13">
        <f t="shared" ca="1" si="27"/>
        <v>3</v>
      </c>
      <c r="W82" s="13">
        <f t="shared" ca="1" si="28"/>
        <v>11</v>
      </c>
      <c r="X82" s="61" t="str">
        <f t="shared" ca="1" si="29"/>
        <v>RE-BUY</v>
      </c>
    </row>
    <row r="83" spans="1:24" x14ac:dyDescent="0.35">
      <c r="A83" s="25" t="s">
        <v>97</v>
      </c>
      <c r="B83" s="10" t="s">
        <v>322</v>
      </c>
      <c r="C83" s="10" t="s">
        <v>341</v>
      </c>
      <c r="D83" s="10" t="s">
        <v>346</v>
      </c>
      <c r="E83" s="11">
        <v>45920</v>
      </c>
      <c r="F83" s="14">
        <f t="shared" ca="1" si="15"/>
        <v>179</v>
      </c>
      <c r="G83" s="17">
        <v>499</v>
      </c>
      <c r="H83" s="17">
        <v>261</v>
      </c>
      <c r="I83" s="53">
        <f t="shared" si="16"/>
        <v>234</v>
      </c>
      <c r="J83" s="17">
        <v>750</v>
      </c>
      <c r="K83" s="66">
        <v>516</v>
      </c>
      <c r="L83" s="52">
        <f t="shared" ca="1" si="17"/>
        <v>2.8826815642458099</v>
      </c>
      <c r="M83" s="50">
        <f t="shared" si="18"/>
        <v>0.92883099285538351</v>
      </c>
      <c r="N83" s="52">
        <f t="shared" si="19"/>
        <v>1.5731707317073171</v>
      </c>
      <c r="O83" s="56">
        <f t="shared" si="20"/>
        <v>129</v>
      </c>
      <c r="P83" s="54">
        <f t="shared" si="21"/>
        <v>1.8139534883720929</v>
      </c>
      <c r="Q83" s="55">
        <f t="shared" si="22"/>
        <v>47.695390781563127</v>
      </c>
      <c r="R83" s="55">
        <f t="shared" si="23"/>
        <v>68.8</v>
      </c>
      <c r="S83" s="13">
        <f t="shared" si="24"/>
        <v>3</v>
      </c>
      <c r="T83" s="13">
        <f t="shared" si="25"/>
        <v>3</v>
      </c>
      <c r="U83" s="13">
        <f t="shared" si="26"/>
        <v>2</v>
      </c>
      <c r="V83" s="13">
        <f t="shared" ca="1" si="27"/>
        <v>3</v>
      </c>
      <c r="W83" s="13">
        <f t="shared" ca="1" si="28"/>
        <v>11</v>
      </c>
      <c r="X83" s="61" t="str">
        <f t="shared" ca="1" si="29"/>
        <v>RE-BUY</v>
      </c>
    </row>
    <row r="84" spans="1:24" x14ac:dyDescent="0.35">
      <c r="A84" s="25" t="s">
        <v>98</v>
      </c>
      <c r="B84" s="10" t="s">
        <v>322</v>
      </c>
      <c r="C84" s="10" t="s">
        <v>341</v>
      </c>
      <c r="D84" s="10" t="s">
        <v>346</v>
      </c>
      <c r="E84" s="11">
        <v>45920</v>
      </c>
      <c r="F84" s="14">
        <f t="shared" ca="1" si="15"/>
        <v>179</v>
      </c>
      <c r="G84" s="17">
        <v>499</v>
      </c>
      <c r="H84" s="17">
        <v>261</v>
      </c>
      <c r="I84" s="53">
        <f t="shared" si="16"/>
        <v>330</v>
      </c>
      <c r="J84" s="17">
        <v>750</v>
      </c>
      <c r="K84" s="66">
        <v>420</v>
      </c>
      <c r="L84" s="52">
        <f t="shared" ca="1" si="17"/>
        <v>2.3463687150837989</v>
      </c>
      <c r="M84" s="50">
        <f t="shared" si="18"/>
        <v>0.92883099285538351</v>
      </c>
      <c r="N84" s="52">
        <f t="shared" si="19"/>
        <v>1.2804878048780488</v>
      </c>
      <c r="O84" s="56">
        <f t="shared" si="20"/>
        <v>105</v>
      </c>
      <c r="P84" s="54">
        <f t="shared" si="21"/>
        <v>3.1428571428571428</v>
      </c>
      <c r="Q84" s="55">
        <f t="shared" si="22"/>
        <v>47.695390781563127</v>
      </c>
      <c r="R84" s="55">
        <f t="shared" si="23"/>
        <v>56.000000000000007</v>
      </c>
      <c r="S84" s="13">
        <f t="shared" si="24"/>
        <v>3</v>
      </c>
      <c r="T84" s="13">
        <f t="shared" si="25"/>
        <v>3</v>
      </c>
      <c r="U84" s="13">
        <f t="shared" si="26"/>
        <v>2</v>
      </c>
      <c r="V84" s="13">
        <f t="shared" ca="1" si="27"/>
        <v>3</v>
      </c>
      <c r="W84" s="13">
        <f t="shared" ca="1" si="28"/>
        <v>11</v>
      </c>
      <c r="X84" s="61" t="str">
        <f t="shared" ca="1" si="29"/>
        <v>RE-BUY</v>
      </c>
    </row>
    <row r="85" spans="1:24" x14ac:dyDescent="0.35">
      <c r="A85" s="25" t="s">
        <v>99</v>
      </c>
      <c r="B85" s="15" t="s">
        <v>323</v>
      </c>
      <c r="C85" s="10" t="s">
        <v>343</v>
      </c>
      <c r="D85" s="10" t="s">
        <v>346</v>
      </c>
      <c r="E85" s="11">
        <v>45920</v>
      </c>
      <c r="F85" s="14">
        <f t="shared" ca="1" si="15"/>
        <v>179</v>
      </c>
      <c r="G85" s="17">
        <v>699</v>
      </c>
      <c r="H85" s="17">
        <v>338</v>
      </c>
      <c r="I85" s="53">
        <f t="shared" si="16"/>
        <v>687</v>
      </c>
      <c r="J85" s="17">
        <v>1050</v>
      </c>
      <c r="K85" s="66">
        <v>363</v>
      </c>
      <c r="L85" s="52">
        <f t="shared" ca="1" si="17"/>
        <v>2.0279329608938546</v>
      </c>
      <c r="M85" s="50">
        <f t="shared" si="18"/>
        <v>0.56143292682926838</v>
      </c>
      <c r="N85" s="52">
        <f t="shared" si="19"/>
        <v>1.1067073170731707</v>
      </c>
      <c r="O85" s="56">
        <f t="shared" si="20"/>
        <v>90.75</v>
      </c>
      <c r="P85" s="54">
        <f t="shared" si="21"/>
        <v>7.5702479338842972</v>
      </c>
      <c r="Q85" s="55">
        <f t="shared" si="22"/>
        <v>51.645207439198856</v>
      </c>
      <c r="R85" s="55">
        <f t="shared" si="23"/>
        <v>34.571428571428569</v>
      </c>
      <c r="S85" s="13">
        <f t="shared" si="24"/>
        <v>3</v>
      </c>
      <c r="T85" s="13">
        <f t="shared" si="25"/>
        <v>1</v>
      </c>
      <c r="U85" s="13">
        <f t="shared" si="26"/>
        <v>2</v>
      </c>
      <c r="V85" s="13">
        <f t="shared" ca="1" si="27"/>
        <v>3</v>
      </c>
      <c r="W85" s="13">
        <f t="shared" ca="1" si="28"/>
        <v>9</v>
      </c>
      <c r="X85" s="61" t="str">
        <f t="shared" ca="1" si="29"/>
        <v>RE-BUY</v>
      </c>
    </row>
    <row r="86" spans="1:24" x14ac:dyDescent="0.35">
      <c r="A86" s="25" t="s">
        <v>100</v>
      </c>
      <c r="B86" s="15" t="s">
        <v>323</v>
      </c>
      <c r="C86" s="10" t="s">
        <v>343</v>
      </c>
      <c r="D86" s="10" t="s">
        <v>346</v>
      </c>
      <c r="E86" s="11">
        <v>45920</v>
      </c>
      <c r="F86" s="14">
        <f t="shared" ca="1" si="15"/>
        <v>179</v>
      </c>
      <c r="G86" s="17">
        <v>699</v>
      </c>
      <c r="H86" s="17">
        <v>338</v>
      </c>
      <c r="I86" s="53">
        <f t="shared" si="16"/>
        <v>830</v>
      </c>
      <c r="J86" s="17">
        <v>1050</v>
      </c>
      <c r="K86" s="66">
        <v>220</v>
      </c>
      <c r="L86" s="52">
        <f t="shared" ca="1" si="17"/>
        <v>1.229050279329609</v>
      </c>
      <c r="M86" s="50">
        <f t="shared" si="18"/>
        <v>0.56143292682926838</v>
      </c>
      <c r="N86" s="52">
        <f t="shared" si="19"/>
        <v>0.67073170731707321</v>
      </c>
      <c r="O86" s="56">
        <f t="shared" si="20"/>
        <v>55</v>
      </c>
      <c r="P86" s="54">
        <f t="shared" si="21"/>
        <v>15.090909090909092</v>
      </c>
      <c r="Q86" s="55">
        <f t="shared" si="22"/>
        <v>51.645207439198856</v>
      </c>
      <c r="R86" s="55">
        <f t="shared" si="23"/>
        <v>20.952380952380953</v>
      </c>
      <c r="S86" s="13">
        <f t="shared" si="24"/>
        <v>3</v>
      </c>
      <c r="T86" s="13">
        <f t="shared" si="25"/>
        <v>1</v>
      </c>
      <c r="U86" s="13">
        <f t="shared" si="26"/>
        <v>2</v>
      </c>
      <c r="V86" s="13">
        <f t="shared" ca="1" si="27"/>
        <v>3</v>
      </c>
      <c r="W86" s="13">
        <f t="shared" ca="1" si="28"/>
        <v>9</v>
      </c>
      <c r="X86" s="61" t="str">
        <f t="shared" ca="1" si="29"/>
        <v>RE-BUY</v>
      </c>
    </row>
    <row r="87" spans="1:24" x14ac:dyDescent="0.35">
      <c r="A87" s="25" t="s">
        <v>101</v>
      </c>
      <c r="B87" s="15" t="s">
        <v>323</v>
      </c>
      <c r="C87" s="10" t="s">
        <v>343</v>
      </c>
      <c r="D87" s="10" t="s">
        <v>346</v>
      </c>
      <c r="E87" s="11">
        <v>45920</v>
      </c>
      <c r="F87" s="14">
        <f t="shared" ca="1" si="15"/>
        <v>179</v>
      </c>
      <c r="G87" s="17">
        <v>699</v>
      </c>
      <c r="H87" s="17">
        <v>338</v>
      </c>
      <c r="I87" s="53">
        <f t="shared" si="16"/>
        <v>834</v>
      </c>
      <c r="J87" s="17">
        <v>1050</v>
      </c>
      <c r="K87" s="66">
        <v>216</v>
      </c>
      <c r="L87" s="52">
        <f t="shared" ca="1" si="17"/>
        <v>1.2067039106145252</v>
      </c>
      <c r="M87" s="50">
        <f t="shared" si="18"/>
        <v>0.56143292682926838</v>
      </c>
      <c r="N87" s="52">
        <f t="shared" si="19"/>
        <v>0.65853658536585369</v>
      </c>
      <c r="O87" s="56">
        <f t="shared" si="20"/>
        <v>54</v>
      </c>
      <c r="P87" s="54">
        <f t="shared" si="21"/>
        <v>15.444444444444445</v>
      </c>
      <c r="Q87" s="55">
        <f t="shared" si="22"/>
        <v>51.645207439198856</v>
      </c>
      <c r="R87" s="55">
        <f t="shared" si="23"/>
        <v>20.571428571428569</v>
      </c>
      <c r="S87" s="13">
        <f t="shared" si="24"/>
        <v>3</v>
      </c>
      <c r="T87" s="13">
        <f t="shared" si="25"/>
        <v>1</v>
      </c>
      <c r="U87" s="13">
        <f t="shared" si="26"/>
        <v>2</v>
      </c>
      <c r="V87" s="13">
        <f t="shared" ca="1" si="27"/>
        <v>3</v>
      </c>
      <c r="W87" s="13">
        <f t="shared" ca="1" si="28"/>
        <v>9</v>
      </c>
      <c r="X87" s="61" t="str">
        <f t="shared" ca="1" si="29"/>
        <v>RE-BUY</v>
      </c>
    </row>
    <row r="88" spans="1:24" x14ac:dyDescent="0.35">
      <c r="A88" s="25" t="s">
        <v>102</v>
      </c>
      <c r="B88" s="15" t="s">
        <v>323</v>
      </c>
      <c r="C88" s="10" t="s">
        <v>343</v>
      </c>
      <c r="D88" s="10" t="s">
        <v>346</v>
      </c>
      <c r="E88" s="11">
        <v>45920</v>
      </c>
      <c r="F88" s="14">
        <f t="shared" ca="1" si="15"/>
        <v>179</v>
      </c>
      <c r="G88" s="17">
        <v>699</v>
      </c>
      <c r="H88" s="17">
        <v>338</v>
      </c>
      <c r="I88" s="53">
        <f t="shared" si="16"/>
        <v>598</v>
      </c>
      <c r="J88" s="17">
        <v>1050</v>
      </c>
      <c r="K88" s="66">
        <v>452</v>
      </c>
      <c r="L88" s="52">
        <f t="shared" ca="1" si="17"/>
        <v>2.5251396648044691</v>
      </c>
      <c r="M88" s="50">
        <f t="shared" si="18"/>
        <v>0.56143292682926838</v>
      </c>
      <c r="N88" s="52">
        <f t="shared" si="19"/>
        <v>1.3780487804878048</v>
      </c>
      <c r="O88" s="56">
        <f t="shared" si="20"/>
        <v>112.99999999999999</v>
      </c>
      <c r="P88" s="54">
        <f t="shared" si="21"/>
        <v>5.2920353982300892</v>
      </c>
      <c r="Q88" s="55">
        <f t="shared" si="22"/>
        <v>51.645207439198856</v>
      </c>
      <c r="R88" s="55">
        <f t="shared" si="23"/>
        <v>43.047619047619044</v>
      </c>
      <c r="S88" s="13">
        <f t="shared" si="24"/>
        <v>3</v>
      </c>
      <c r="T88" s="13">
        <f t="shared" si="25"/>
        <v>2</v>
      </c>
      <c r="U88" s="13">
        <f t="shared" si="26"/>
        <v>2</v>
      </c>
      <c r="V88" s="13">
        <f t="shared" ca="1" si="27"/>
        <v>3</v>
      </c>
      <c r="W88" s="13">
        <f t="shared" ca="1" si="28"/>
        <v>10</v>
      </c>
      <c r="X88" s="61" t="str">
        <f t="shared" ca="1" si="29"/>
        <v>RE-BUY</v>
      </c>
    </row>
    <row r="89" spans="1:24" x14ac:dyDescent="0.35">
      <c r="A89" s="25" t="s">
        <v>103</v>
      </c>
      <c r="B89" s="10" t="s">
        <v>324</v>
      </c>
      <c r="C89" s="10" t="s">
        <v>344</v>
      </c>
      <c r="D89" s="10" t="s">
        <v>346</v>
      </c>
      <c r="E89" s="11">
        <v>45878</v>
      </c>
      <c r="F89" s="14">
        <f t="shared" ca="1" si="15"/>
        <v>221</v>
      </c>
      <c r="G89" s="17">
        <v>599</v>
      </c>
      <c r="H89" s="17">
        <v>340</v>
      </c>
      <c r="I89" s="53">
        <f t="shared" si="16"/>
        <v>991</v>
      </c>
      <c r="J89" s="17">
        <v>1050</v>
      </c>
      <c r="K89" s="66">
        <v>59</v>
      </c>
      <c r="L89" s="52">
        <f t="shared" ca="1" si="17"/>
        <v>0.2669683257918552</v>
      </c>
      <c r="M89" s="50">
        <f t="shared" si="18"/>
        <v>0.33193597560975613</v>
      </c>
      <c r="N89" s="52">
        <f t="shared" si="19"/>
        <v>0.1798780487804878</v>
      </c>
      <c r="O89" s="56">
        <f t="shared" si="20"/>
        <v>14.75</v>
      </c>
      <c r="P89" s="54">
        <f t="shared" si="21"/>
        <v>67.186440677966104</v>
      </c>
      <c r="Q89" s="55">
        <f t="shared" si="22"/>
        <v>43.238731218697829</v>
      </c>
      <c r="R89" s="55">
        <f t="shared" si="23"/>
        <v>5.6190476190476195</v>
      </c>
      <c r="S89" s="13">
        <f t="shared" si="24"/>
        <v>1</v>
      </c>
      <c r="T89" s="13">
        <f t="shared" si="25"/>
        <v>1</v>
      </c>
      <c r="U89" s="13">
        <f t="shared" si="26"/>
        <v>1</v>
      </c>
      <c r="V89" s="13">
        <f t="shared" ca="1" si="27"/>
        <v>3</v>
      </c>
      <c r="W89" s="13">
        <f t="shared" ca="1" si="28"/>
        <v>6</v>
      </c>
      <c r="X89" s="61" t="str">
        <f t="shared" ca="1" si="29"/>
        <v>MONITOR</v>
      </c>
    </row>
    <row r="90" spans="1:24" x14ac:dyDescent="0.35">
      <c r="A90" s="25" t="s">
        <v>104</v>
      </c>
      <c r="B90" s="10" t="s">
        <v>324</v>
      </c>
      <c r="C90" s="10" t="s">
        <v>344</v>
      </c>
      <c r="D90" s="10" t="s">
        <v>346</v>
      </c>
      <c r="E90" s="11">
        <v>45878</v>
      </c>
      <c r="F90" s="14">
        <f t="shared" ca="1" si="15"/>
        <v>221</v>
      </c>
      <c r="G90" s="17">
        <v>599</v>
      </c>
      <c r="H90" s="17">
        <v>330</v>
      </c>
      <c r="I90" s="53">
        <f t="shared" si="16"/>
        <v>945</v>
      </c>
      <c r="J90" s="17">
        <v>1050</v>
      </c>
      <c r="K90" s="66">
        <v>105</v>
      </c>
      <c r="L90" s="52">
        <f t="shared" ca="1" si="17"/>
        <v>0.47511312217194568</v>
      </c>
      <c r="M90" s="50">
        <f t="shared" si="18"/>
        <v>0.33193597560975613</v>
      </c>
      <c r="N90" s="52">
        <f t="shared" si="19"/>
        <v>0.3201219512195122</v>
      </c>
      <c r="O90" s="56">
        <f t="shared" si="20"/>
        <v>26.25</v>
      </c>
      <c r="P90" s="54">
        <f t="shared" si="21"/>
        <v>36</v>
      </c>
      <c r="Q90" s="55">
        <f t="shared" si="22"/>
        <v>44.908180300500831</v>
      </c>
      <c r="R90" s="55">
        <f t="shared" si="23"/>
        <v>10</v>
      </c>
      <c r="S90" s="13">
        <f t="shared" si="24"/>
        <v>2</v>
      </c>
      <c r="T90" s="13">
        <f t="shared" si="25"/>
        <v>1</v>
      </c>
      <c r="U90" s="13">
        <f t="shared" si="26"/>
        <v>1</v>
      </c>
      <c r="V90" s="13">
        <f t="shared" ca="1" si="27"/>
        <v>3</v>
      </c>
      <c r="W90" s="13">
        <f t="shared" ca="1" si="28"/>
        <v>7</v>
      </c>
      <c r="X90" s="61" t="str">
        <f t="shared" ca="1" si="29"/>
        <v>MONITOR</v>
      </c>
    </row>
    <row r="91" spans="1:24" x14ac:dyDescent="0.35">
      <c r="A91" s="25" t="s">
        <v>105</v>
      </c>
      <c r="B91" s="10" t="s">
        <v>325</v>
      </c>
      <c r="C91" s="10" t="s">
        <v>344</v>
      </c>
      <c r="D91" s="10" t="s">
        <v>346</v>
      </c>
      <c r="E91" s="11">
        <v>45878</v>
      </c>
      <c r="F91" s="14">
        <f t="shared" ca="1" si="15"/>
        <v>221</v>
      </c>
      <c r="G91" s="17">
        <v>599</v>
      </c>
      <c r="H91" s="17">
        <v>295</v>
      </c>
      <c r="I91" s="53">
        <f t="shared" si="16"/>
        <v>908</v>
      </c>
      <c r="J91" s="17">
        <v>1050</v>
      </c>
      <c r="K91" s="66">
        <v>142</v>
      </c>
      <c r="L91" s="52">
        <f t="shared" ca="1" si="17"/>
        <v>0.64253393665158376</v>
      </c>
      <c r="M91" s="50">
        <f t="shared" si="18"/>
        <v>0.33193597560975613</v>
      </c>
      <c r="N91" s="52">
        <f t="shared" si="19"/>
        <v>0.43292682926829268</v>
      </c>
      <c r="O91" s="56">
        <f t="shared" si="20"/>
        <v>35.5</v>
      </c>
      <c r="P91" s="54">
        <f t="shared" si="21"/>
        <v>25.577464788732396</v>
      </c>
      <c r="Q91" s="55">
        <f t="shared" si="22"/>
        <v>50.751252086811348</v>
      </c>
      <c r="R91" s="55">
        <f t="shared" si="23"/>
        <v>13.523809523809524</v>
      </c>
      <c r="S91" s="13">
        <f t="shared" si="24"/>
        <v>3</v>
      </c>
      <c r="T91" s="13">
        <f t="shared" si="25"/>
        <v>1</v>
      </c>
      <c r="U91" s="13">
        <f t="shared" si="26"/>
        <v>2</v>
      </c>
      <c r="V91" s="13">
        <f t="shared" ca="1" si="27"/>
        <v>3</v>
      </c>
      <c r="W91" s="13">
        <f t="shared" ca="1" si="28"/>
        <v>9</v>
      </c>
      <c r="X91" s="61" t="str">
        <f t="shared" ca="1" si="29"/>
        <v>RE-BUY</v>
      </c>
    </row>
    <row r="92" spans="1:24" x14ac:dyDescent="0.35">
      <c r="A92" s="25" t="s">
        <v>106</v>
      </c>
      <c r="B92" s="10" t="s">
        <v>325</v>
      </c>
      <c r="C92" s="10" t="s">
        <v>344</v>
      </c>
      <c r="D92" s="10" t="s">
        <v>346</v>
      </c>
      <c r="E92" s="11">
        <v>45878</v>
      </c>
      <c r="F92" s="14">
        <f t="shared" ca="1" si="15"/>
        <v>221</v>
      </c>
      <c r="G92" s="17">
        <v>599</v>
      </c>
      <c r="H92" s="17">
        <v>295</v>
      </c>
      <c r="I92" s="53">
        <f t="shared" si="16"/>
        <v>929</v>
      </c>
      <c r="J92" s="17">
        <v>1050</v>
      </c>
      <c r="K92" s="66">
        <v>121</v>
      </c>
      <c r="L92" s="52">
        <f t="shared" ca="1" si="17"/>
        <v>0.54751131221719462</v>
      </c>
      <c r="M92" s="50">
        <f t="shared" si="18"/>
        <v>0.33193597560975613</v>
      </c>
      <c r="N92" s="52">
        <f t="shared" si="19"/>
        <v>0.36890243902439024</v>
      </c>
      <c r="O92" s="56">
        <f t="shared" si="20"/>
        <v>30.25</v>
      </c>
      <c r="P92" s="54">
        <f t="shared" si="21"/>
        <v>30.710743801652892</v>
      </c>
      <c r="Q92" s="55">
        <f t="shared" si="22"/>
        <v>50.751252086811348</v>
      </c>
      <c r="R92" s="55">
        <f t="shared" si="23"/>
        <v>11.523809523809524</v>
      </c>
      <c r="S92" s="13">
        <f t="shared" si="24"/>
        <v>3</v>
      </c>
      <c r="T92" s="13">
        <f t="shared" si="25"/>
        <v>1</v>
      </c>
      <c r="U92" s="13">
        <f t="shared" si="26"/>
        <v>2</v>
      </c>
      <c r="V92" s="13">
        <f t="shared" ca="1" si="27"/>
        <v>3</v>
      </c>
      <c r="W92" s="13">
        <f t="shared" ca="1" si="28"/>
        <v>9</v>
      </c>
      <c r="X92" s="61" t="str">
        <f t="shared" ca="1" si="29"/>
        <v>RE-BUY</v>
      </c>
    </row>
    <row r="93" spans="1:24" x14ac:dyDescent="0.35">
      <c r="A93" s="25" t="s">
        <v>107</v>
      </c>
      <c r="B93" s="10" t="s">
        <v>325</v>
      </c>
      <c r="C93" s="10" t="s">
        <v>344</v>
      </c>
      <c r="D93" s="10" t="s">
        <v>346</v>
      </c>
      <c r="E93" s="11">
        <v>45878</v>
      </c>
      <c r="F93" s="14">
        <f t="shared" ca="1" si="15"/>
        <v>221</v>
      </c>
      <c r="G93" s="17">
        <v>599</v>
      </c>
      <c r="H93" s="17">
        <v>295</v>
      </c>
      <c r="I93" s="53">
        <f t="shared" si="16"/>
        <v>647</v>
      </c>
      <c r="J93" s="17">
        <v>700</v>
      </c>
      <c r="K93" s="66">
        <v>53</v>
      </c>
      <c r="L93" s="52">
        <f t="shared" ca="1" si="17"/>
        <v>0.23981900452488689</v>
      </c>
      <c r="M93" s="50">
        <f t="shared" si="18"/>
        <v>0.33193597560975613</v>
      </c>
      <c r="N93" s="52">
        <f t="shared" si="19"/>
        <v>0.16158536585365854</v>
      </c>
      <c r="O93" s="56">
        <f t="shared" si="20"/>
        <v>13.25</v>
      </c>
      <c r="P93" s="54">
        <f t="shared" si="21"/>
        <v>48.830188679245282</v>
      </c>
      <c r="Q93" s="55">
        <f t="shared" si="22"/>
        <v>50.751252086811348</v>
      </c>
      <c r="R93" s="55">
        <f t="shared" si="23"/>
        <v>7.5714285714285721</v>
      </c>
      <c r="S93" s="13">
        <f t="shared" si="24"/>
        <v>1</v>
      </c>
      <c r="T93" s="13">
        <f t="shared" si="25"/>
        <v>1</v>
      </c>
      <c r="U93" s="13">
        <f t="shared" si="26"/>
        <v>2</v>
      </c>
      <c r="V93" s="13">
        <f t="shared" ca="1" si="27"/>
        <v>3</v>
      </c>
      <c r="W93" s="13">
        <f t="shared" ca="1" si="28"/>
        <v>7</v>
      </c>
      <c r="X93" s="61" t="str">
        <f t="shared" ca="1" si="29"/>
        <v>MONITOR</v>
      </c>
    </row>
    <row r="94" spans="1:24" x14ac:dyDescent="0.35">
      <c r="A94" s="25" t="s">
        <v>108</v>
      </c>
      <c r="B94" s="10" t="s">
        <v>324</v>
      </c>
      <c r="C94" s="10" t="s">
        <v>344</v>
      </c>
      <c r="D94" s="10" t="s">
        <v>346</v>
      </c>
      <c r="E94" s="11">
        <v>45878</v>
      </c>
      <c r="F94" s="14">
        <f t="shared" ca="1" si="15"/>
        <v>221</v>
      </c>
      <c r="G94" s="17">
        <v>599</v>
      </c>
      <c r="H94" s="17">
        <v>340</v>
      </c>
      <c r="I94" s="53">
        <f t="shared" si="16"/>
        <v>629</v>
      </c>
      <c r="J94" s="17">
        <v>700</v>
      </c>
      <c r="K94" s="66">
        <v>71</v>
      </c>
      <c r="L94" s="52">
        <f t="shared" ca="1" si="17"/>
        <v>0.32126696832579188</v>
      </c>
      <c r="M94" s="50">
        <f t="shared" si="18"/>
        <v>0.33193597560975613</v>
      </c>
      <c r="N94" s="52">
        <f t="shared" si="19"/>
        <v>0.21646341463414634</v>
      </c>
      <c r="O94" s="56">
        <f t="shared" si="20"/>
        <v>17.75</v>
      </c>
      <c r="P94" s="54">
        <f t="shared" si="21"/>
        <v>35.436619718309856</v>
      </c>
      <c r="Q94" s="55">
        <f t="shared" si="22"/>
        <v>43.238731218697829</v>
      </c>
      <c r="R94" s="55">
        <f t="shared" si="23"/>
        <v>10.142857142857142</v>
      </c>
      <c r="S94" s="13">
        <f t="shared" si="24"/>
        <v>1</v>
      </c>
      <c r="T94" s="13">
        <f t="shared" si="25"/>
        <v>1</v>
      </c>
      <c r="U94" s="13">
        <f t="shared" si="26"/>
        <v>1</v>
      </c>
      <c r="V94" s="13">
        <f t="shared" ca="1" si="27"/>
        <v>3</v>
      </c>
      <c r="W94" s="13">
        <f t="shared" ca="1" si="28"/>
        <v>6</v>
      </c>
      <c r="X94" s="61" t="str">
        <f t="shared" ca="1" si="29"/>
        <v>MONITOR</v>
      </c>
    </row>
    <row r="95" spans="1:24" x14ac:dyDescent="0.35">
      <c r="A95" s="25" t="s">
        <v>109</v>
      </c>
      <c r="B95" s="10" t="s">
        <v>324</v>
      </c>
      <c r="C95" s="10" t="s">
        <v>344</v>
      </c>
      <c r="D95" s="10" t="s">
        <v>346</v>
      </c>
      <c r="E95" s="11">
        <v>45878</v>
      </c>
      <c r="F95" s="14">
        <f t="shared" ca="1" si="15"/>
        <v>221</v>
      </c>
      <c r="G95" s="17">
        <v>599</v>
      </c>
      <c r="H95" s="17">
        <v>340</v>
      </c>
      <c r="I95" s="53">
        <f t="shared" si="16"/>
        <v>647</v>
      </c>
      <c r="J95" s="17">
        <v>700</v>
      </c>
      <c r="K95" s="66">
        <v>53</v>
      </c>
      <c r="L95" s="52">
        <f t="shared" ca="1" si="17"/>
        <v>0.23981900452488689</v>
      </c>
      <c r="M95" s="50">
        <f t="shared" si="18"/>
        <v>0.33193597560975613</v>
      </c>
      <c r="N95" s="52">
        <f t="shared" si="19"/>
        <v>0.16158536585365854</v>
      </c>
      <c r="O95" s="56">
        <f t="shared" si="20"/>
        <v>13.25</v>
      </c>
      <c r="P95" s="54">
        <f t="shared" si="21"/>
        <v>48.830188679245282</v>
      </c>
      <c r="Q95" s="55">
        <f t="shared" si="22"/>
        <v>43.238731218697829</v>
      </c>
      <c r="R95" s="55">
        <f t="shared" si="23"/>
        <v>7.5714285714285721</v>
      </c>
      <c r="S95" s="13">
        <f t="shared" si="24"/>
        <v>1</v>
      </c>
      <c r="T95" s="13">
        <f t="shared" si="25"/>
        <v>1</v>
      </c>
      <c r="U95" s="13">
        <f t="shared" si="26"/>
        <v>1</v>
      </c>
      <c r="V95" s="13">
        <f t="shared" ca="1" si="27"/>
        <v>3</v>
      </c>
      <c r="W95" s="13">
        <f t="shared" ca="1" si="28"/>
        <v>6</v>
      </c>
      <c r="X95" s="61" t="str">
        <f t="shared" ca="1" si="29"/>
        <v>MONITOR</v>
      </c>
    </row>
    <row r="96" spans="1:24" x14ac:dyDescent="0.35">
      <c r="A96" s="25" t="s">
        <v>110</v>
      </c>
      <c r="B96" s="10" t="s">
        <v>324</v>
      </c>
      <c r="C96" s="10" t="s">
        <v>344</v>
      </c>
      <c r="D96" s="10" t="s">
        <v>346</v>
      </c>
      <c r="E96" s="11">
        <v>45878</v>
      </c>
      <c r="F96" s="14">
        <f t="shared" ca="1" si="15"/>
        <v>221</v>
      </c>
      <c r="G96" s="17">
        <v>599</v>
      </c>
      <c r="H96" s="17">
        <v>340</v>
      </c>
      <c r="I96" s="53">
        <f t="shared" si="16"/>
        <v>627</v>
      </c>
      <c r="J96" s="17">
        <v>700</v>
      </c>
      <c r="K96" s="66">
        <v>73</v>
      </c>
      <c r="L96" s="52">
        <f t="shared" ca="1" si="17"/>
        <v>0.33031674208144796</v>
      </c>
      <c r="M96" s="50">
        <f t="shared" si="18"/>
        <v>0.33193597560975613</v>
      </c>
      <c r="N96" s="52">
        <f t="shared" si="19"/>
        <v>0.2225609756097561</v>
      </c>
      <c r="O96" s="56">
        <f t="shared" si="20"/>
        <v>18.25</v>
      </c>
      <c r="P96" s="54">
        <f t="shared" si="21"/>
        <v>34.356164383561641</v>
      </c>
      <c r="Q96" s="55">
        <f t="shared" si="22"/>
        <v>43.238731218697829</v>
      </c>
      <c r="R96" s="55">
        <f t="shared" si="23"/>
        <v>10.428571428571429</v>
      </c>
      <c r="S96" s="13">
        <f t="shared" si="24"/>
        <v>1</v>
      </c>
      <c r="T96" s="13">
        <f t="shared" si="25"/>
        <v>1</v>
      </c>
      <c r="U96" s="13">
        <f t="shared" si="26"/>
        <v>1</v>
      </c>
      <c r="V96" s="13">
        <f t="shared" ca="1" si="27"/>
        <v>3</v>
      </c>
      <c r="W96" s="13">
        <f t="shared" ca="1" si="28"/>
        <v>6</v>
      </c>
      <c r="X96" s="61" t="str">
        <f t="shared" ca="1" si="29"/>
        <v>MONITOR</v>
      </c>
    </row>
    <row r="97" spans="1:24" x14ac:dyDescent="0.35">
      <c r="A97" s="25" t="s">
        <v>111</v>
      </c>
      <c r="B97" s="10" t="s">
        <v>324</v>
      </c>
      <c r="C97" s="10" t="s">
        <v>344</v>
      </c>
      <c r="D97" s="10" t="s">
        <v>346</v>
      </c>
      <c r="E97" s="11">
        <v>45878</v>
      </c>
      <c r="F97" s="14">
        <f t="shared" ca="1" si="15"/>
        <v>221</v>
      </c>
      <c r="G97" s="17">
        <v>599</v>
      </c>
      <c r="H97" s="17">
        <v>340</v>
      </c>
      <c r="I97" s="53">
        <f t="shared" si="16"/>
        <v>634</v>
      </c>
      <c r="J97" s="17">
        <v>700</v>
      </c>
      <c r="K97" s="66">
        <v>66</v>
      </c>
      <c r="L97" s="52">
        <f t="shared" ca="1" si="17"/>
        <v>0.29864253393665158</v>
      </c>
      <c r="M97" s="50">
        <f t="shared" si="18"/>
        <v>0.33193597560975613</v>
      </c>
      <c r="N97" s="52">
        <f t="shared" si="19"/>
        <v>0.20121951219512196</v>
      </c>
      <c r="O97" s="56">
        <f t="shared" si="20"/>
        <v>16.5</v>
      </c>
      <c r="P97" s="54">
        <f t="shared" si="21"/>
        <v>38.424242424242422</v>
      </c>
      <c r="Q97" s="55">
        <f t="shared" si="22"/>
        <v>43.238731218697829</v>
      </c>
      <c r="R97" s="55">
        <f t="shared" si="23"/>
        <v>9.4285714285714288</v>
      </c>
      <c r="S97" s="13">
        <f t="shared" si="24"/>
        <v>1</v>
      </c>
      <c r="T97" s="13">
        <f t="shared" si="25"/>
        <v>1</v>
      </c>
      <c r="U97" s="13">
        <f t="shared" si="26"/>
        <v>1</v>
      </c>
      <c r="V97" s="13">
        <f t="shared" ca="1" si="27"/>
        <v>3</v>
      </c>
      <c r="W97" s="13">
        <f t="shared" ca="1" si="28"/>
        <v>6</v>
      </c>
      <c r="X97" s="61" t="str">
        <f t="shared" ca="1" si="29"/>
        <v>MONITOR</v>
      </c>
    </row>
    <row r="98" spans="1:24" x14ac:dyDescent="0.35">
      <c r="A98" s="25" t="s">
        <v>112</v>
      </c>
      <c r="B98" s="10" t="s">
        <v>324</v>
      </c>
      <c r="C98" s="10" t="s">
        <v>344</v>
      </c>
      <c r="D98" s="10" t="s">
        <v>346</v>
      </c>
      <c r="E98" s="11">
        <v>45878</v>
      </c>
      <c r="F98" s="14">
        <f t="shared" ca="1" si="15"/>
        <v>221</v>
      </c>
      <c r="G98" s="17">
        <v>599</v>
      </c>
      <c r="H98" s="17">
        <v>330</v>
      </c>
      <c r="I98" s="53">
        <f t="shared" si="16"/>
        <v>624</v>
      </c>
      <c r="J98" s="17">
        <v>700</v>
      </c>
      <c r="K98" s="66">
        <v>76</v>
      </c>
      <c r="L98" s="52">
        <f t="shared" ca="1" si="17"/>
        <v>0.34389140271493213</v>
      </c>
      <c r="M98" s="50">
        <f t="shared" si="18"/>
        <v>0.33193597560975613</v>
      </c>
      <c r="N98" s="52">
        <f t="shared" si="19"/>
        <v>0.23170731707317074</v>
      </c>
      <c r="O98" s="56">
        <f t="shared" si="20"/>
        <v>19</v>
      </c>
      <c r="P98" s="54">
        <f t="shared" si="21"/>
        <v>32.842105263157897</v>
      </c>
      <c r="Q98" s="55">
        <f t="shared" si="22"/>
        <v>44.908180300500831</v>
      </c>
      <c r="R98" s="55">
        <f t="shared" si="23"/>
        <v>10.857142857142858</v>
      </c>
      <c r="S98" s="13">
        <f t="shared" si="24"/>
        <v>1</v>
      </c>
      <c r="T98" s="13">
        <f t="shared" si="25"/>
        <v>1</v>
      </c>
      <c r="U98" s="13">
        <f t="shared" si="26"/>
        <v>1</v>
      </c>
      <c r="V98" s="13">
        <f t="shared" ca="1" si="27"/>
        <v>3</v>
      </c>
      <c r="W98" s="13">
        <f t="shared" ca="1" si="28"/>
        <v>6</v>
      </c>
      <c r="X98" s="61" t="str">
        <f t="shared" ca="1" si="29"/>
        <v>MONITOR</v>
      </c>
    </row>
    <row r="99" spans="1:24" x14ac:dyDescent="0.35">
      <c r="A99" s="25" t="s">
        <v>113</v>
      </c>
      <c r="B99" s="10" t="s">
        <v>324</v>
      </c>
      <c r="C99" s="10" t="s">
        <v>344</v>
      </c>
      <c r="D99" s="10" t="s">
        <v>346</v>
      </c>
      <c r="E99" s="11">
        <v>45878</v>
      </c>
      <c r="F99" s="14">
        <f t="shared" ca="1" si="15"/>
        <v>221</v>
      </c>
      <c r="G99" s="17">
        <v>599</v>
      </c>
      <c r="H99" s="17">
        <v>330</v>
      </c>
      <c r="I99" s="53">
        <f t="shared" si="16"/>
        <v>629</v>
      </c>
      <c r="J99" s="17">
        <v>700</v>
      </c>
      <c r="K99" s="66">
        <v>71</v>
      </c>
      <c r="L99" s="52">
        <f t="shared" ca="1" si="17"/>
        <v>0.32126696832579188</v>
      </c>
      <c r="M99" s="50">
        <f t="shared" si="18"/>
        <v>0.33193597560975613</v>
      </c>
      <c r="N99" s="52">
        <f t="shared" si="19"/>
        <v>0.21646341463414634</v>
      </c>
      <c r="O99" s="56">
        <f t="shared" si="20"/>
        <v>17.75</v>
      </c>
      <c r="P99" s="54">
        <f t="shared" si="21"/>
        <v>35.436619718309856</v>
      </c>
      <c r="Q99" s="55">
        <f t="shared" si="22"/>
        <v>44.908180300500831</v>
      </c>
      <c r="R99" s="55">
        <f t="shared" si="23"/>
        <v>10.142857142857142</v>
      </c>
      <c r="S99" s="13">
        <f t="shared" si="24"/>
        <v>1</v>
      </c>
      <c r="T99" s="13">
        <f t="shared" si="25"/>
        <v>1</v>
      </c>
      <c r="U99" s="13">
        <f t="shared" si="26"/>
        <v>1</v>
      </c>
      <c r="V99" s="13">
        <f t="shared" ca="1" si="27"/>
        <v>3</v>
      </c>
      <c r="W99" s="13">
        <f t="shared" ca="1" si="28"/>
        <v>6</v>
      </c>
      <c r="X99" s="61" t="str">
        <f t="shared" ca="1" si="29"/>
        <v>MONITOR</v>
      </c>
    </row>
    <row r="100" spans="1:24" x14ac:dyDescent="0.35">
      <c r="A100" s="25" t="s">
        <v>114</v>
      </c>
      <c r="B100" s="10" t="s">
        <v>324</v>
      </c>
      <c r="C100" s="10" t="s">
        <v>344</v>
      </c>
      <c r="D100" s="10" t="s">
        <v>346</v>
      </c>
      <c r="E100" s="11">
        <v>45920</v>
      </c>
      <c r="F100" s="14">
        <f t="shared" ca="1" si="15"/>
        <v>179</v>
      </c>
      <c r="G100" s="17">
        <v>599</v>
      </c>
      <c r="H100" s="17">
        <v>300</v>
      </c>
      <c r="I100" s="53">
        <f t="shared" si="16"/>
        <v>587</v>
      </c>
      <c r="J100" s="17">
        <v>700</v>
      </c>
      <c r="K100" s="66">
        <v>113</v>
      </c>
      <c r="L100" s="52">
        <f t="shared" ca="1" si="17"/>
        <v>0.63128491620111726</v>
      </c>
      <c r="M100" s="50">
        <f t="shared" si="18"/>
        <v>0.33193597560975613</v>
      </c>
      <c r="N100" s="52">
        <f t="shared" si="19"/>
        <v>0.34451219512195119</v>
      </c>
      <c r="O100" s="56">
        <f t="shared" si="20"/>
        <v>28.249999999999996</v>
      </c>
      <c r="P100" s="54">
        <f t="shared" si="21"/>
        <v>20.778761061946906</v>
      </c>
      <c r="Q100" s="55">
        <f t="shared" si="22"/>
        <v>49.916527545909851</v>
      </c>
      <c r="R100" s="55">
        <f t="shared" si="23"/>
        <v>16.142857142857142</v>
      </c>
      <c r="S100" s="13">
        <f t="shared" si="24"/>
        <v>3</v>
      </c>
      <c r="T100" s="13">
        <f t="shared" si="25"/>
        <v>1</v>
      </c>
      <c r="U100" s="13">
        <f t="shared" si="26"/>
        <v>2</v>
      </c>
      <c r="V100" s="13">
        <f t="shared" ca="1" si="27"/>
        <v>3</v>
      </c>
      <c r="W100" s="13">
        <f t="shared" ca="1" si="28"/>
        <v>9</v>
      </c>
      <c r="X100" s="61" t="str">
        <f t="shared" ca="1" si="29"/>
        <v>RE-BUY</v>
      </c>
    </row>
    <row r="101" spans="1:24" x14ac:dyDescent="0.35">
      <c r="A101" s="25" t="s">
        <v>115</v>
      </c>
      <c r="B101" s="10" t="s">
        <v>324</v>
      </c>
      <c r="C101" s="10" t="s">
        <v>344</v>
      </c>
      <c r="D101" s="10" t="s">
        <v>346</v>
      </c>
      <c r="E101" s="11">
        <v>45920</v>
      </c>
      <c r="F101" s="14">
        <f t="shared" ca="1" si="15"/>
        <v>179</v>
      </c>
      <c r="G101" s="17">
        <v>599</v>
      </c>
      <c r="H101" s="17">
        <v>300</v>
      </c>
      <c r="I101" s="53">
        <f t="shared" si="16"/>
        <v>587</v>
      </c>
      <c r="J101" s="17">
        <v>700</v>
      </c>
      <c r="K101" s="66">
        <v>113</v>
      </c>
      <c r="L101" s="52">
        <f t="shared" ca="1" si="17"/>
        <v>0.63128491620111726</v>
      </c>
      <c r="M101" s="50">
        <f t="shared" si="18"/>
        <v>0.33193597560975613</v>
      </c>
      <c r="N101" s="52">
        <f t="shared" si="19"/>
        <v>0.34451219512195119</v>
      </c>
      <c r="O101" s="56">
        <f t="shared" si="20"/>
        <v>28.249999999999996</v>
      </c>
      <c r="P101" s="54">
        <f t="shared" si="21"/>
        <v>20.778761061946906</v>
      </c>
      <c r="Q101" s="55">
        <f t="shared" si="22"/>
        <v>49.916527545909851</v>
      </c>
      <c r="R101" s="55">
        <f t="shared" si="23"/>
        <v>16.142857142857142</v>
      </c>
      <c r="S101" s="13">
        <f t="shared" si="24"/>
        <v>3</v>
      </c>
      <c r="T101" s="13">
        <f t="shared" si="25"/>
        <v>1</v>
      </c>
      <c r="U101" s="13">
        <f t="shared" si="26"/>
        <v>2</v>
      </c>
      <c r="V101" s="13">
        <f t="shared" ca="1" si="27"/>
        <v>3</v>
      </c>
      <c r="W101" s="13">
        <f t="shared" ca="1" si="28"/>
        <v>9</v>
      </c>
      <c r="X101" s="61" t="str">
        <f t="shared" ca="1" si="29"/>
        <v>RE-BUY</v>
      </c>
    </row>
    <row r="102" spans="1:24" x14ac:dyDescent="0.35">
      <c r="A102" s="25" t="s">
        <v>116</v>
      </c>
      <c r="B102" s="10" t="s">
        <v>324</v>
      </c>
      <c r="C102" s="10" t="s">
        <v>344</v>
      </c>
      <c r="D102" s="10" t="s">
        <v>346</v>
      </c>
      <c r="E102" s="11">
        <v>45920</v>
      </c>
      <c r="F102" s="14">
        <f t="shared" ca="1" si="15"/>
        <v>179</v>
      </c>
      <c r="G102" s="17">
        <v>599</v>
      </c>
      <c r="H102" s="17">
        <v>300</v>
      </c>
      <c r="I102" s="53">
        <f t="shared" si="16"/>
        <v>587</v>
      </c>
      <c r="J102" s="17">
        <v>700</v>
      </c>
      <c r="K102" s="66">
        <v>113</v>
      </c>
      <c r="L102" s="52">
        <f t="shared" ca="1" si="17"/>
        <v>0.63128491620111726</v>
      </c>
      <c r="M102" s="50">
        <f t="shared" si="18"/>
        <v>0.33193597560975613</v>
      </c>
      <c r="N102" s="52">
        <f t="shared" si="19"/>
        <v>0.34451219512195119</v>
      </c>
      <c r="O102" s="56">
        <f t="shared" si="20"/>
        <v>28.249999999999996</v>
      </c>
      <c r="P102" s="54">
        <f t="shared" si="21"/>
        <v>20.778761061946906</v>
      </c>
      <c r="Q102" s="55">
        <f t="shared" si="22"/>
        <v>49.916527545909851</v>
      </c>
      <c r="R102" s="55">
        <f t="shared" si="23"/>
        <v>16.142857142857142</v>
      </c>
      <c r="S102" s="13">
        <f t="shared" si="24"/>
        <v>3</v>
      </c>
      <c r="T102" s="13">
        <f t="shared" si="25"/>
        <v>1</v>
      </c>
      <c r="U102" s="13">
        <f t="shared" si="26"/>
        <v>2</v>
      </c>
      <c r="V102" s="13">
        <f t="shared" ca="1" si="27"/>
        <v>3</v>
      </c>
      <c r="W102" s="13">
        <f t="shared" ca="1" si="28"/>
        <v>9</v>
      </c>
      <c r="X102" s="61" t="str">
        <f t="shared" ca="1" si="29"/>
        <v>RE-BUY</v>
      </c>
    </row>
    <row r="103" spans="1:24" x14ac:dyDescent="0.35">
      <c r="A103" s="25" t="s">
        <v>117</v>
      </c>
      <c r="B103" s="10" t="s">
        <v>324</v>
      </c>
      <c r="C103" s="10" t="s">
        <v>344</v>
      </c>
      <c r="D103" s="10" t="s">
        <v>346</v>
      </c>
      <c r="E103" s="11">
        <v>45920</v>
      </c>
      <c r="F103" s="14">
        <f t="shared" ca="1" si="15"/>
        <v>179</v>
      </c>
      <c r="G103" s="17">
        <v>599</v>
      </c>
      <c r="H103" s="17">
        <v>300</v>
      </c>
      <c r="I103" s="53">
        <f t="shared" si="16"/>
        <v>534</v>
      </c>
      <c r="J103" s="17">
        <v>700</v>
      </c>
      <c r="K103" s="66">
        <v>166</v>
      </c>
      <c r="L103" s="52">
        <f t="shared" ca="1" si="17"/>
        <v>0.92737430167597767</v>
      </c>
      <c r="M103" s="50">
        <f t="shared" si="18"/>
        <v>0.33193597560975613</v>
      </c>
      <c r="N103" s="52">
        <f t="shared" si="19"/>
        <v>0.50609756097560976</v>
      </c>
      <c r="O103" s="56">
        <f t="shared" si="20"/>
        <v>41.5</v>
      </c>
      <c r="P103" s="54">
        <f t="shared" si="21"/>
        <v>12.867469879518072</v>
      </c>
      <c r="Q103" s="55">
        <f t="shared" si="22"/>
        <v>49.916527545909851</v>
      </c>
      <c r="R103" s="55">
        <f t="shared" si="23"/>
        <v>23.714285714285715</v>
      </c>
      <c r="S103" s="13">
        <f t="shared" si="24"/>
        <v>3</v>
      </c>
      <c r="T103" s="13">
        <f t="shared" si="25"/>
        <v>1</v>
      </c>
      <c r="U103" s="13">
        <f t="shared" si="26"/>
        <v>2</v>
      </c>
      <c r="V103" s="13">
        <f t="shared" ca="1" si="27"/>
        <v>3</v>
      </c>
      <c r="W103" s="13">
        <f t="shared" ca="1" si="28"/>
        <v>9</v>
      </c>
      <c r="X103" s="61" t="str">
        <f t="shared" ca="1" si="29"/>
        <v>RE-BUY</v>
      </c>
    </row>
    <row r="104" spans="1:24" x14ac:dyDescent="0.35">
      <c r="A104" s="25" t="s">
        <v>118</v>
      </c>
      <c r="B104" s="10" t="s">
        <v>324</v>
      </c>
      <c r="C104" s="10" t="s">
        <v>344</v>
      </c>
      <c r="D104" s="10" t="s">
        <v>346</v>
      </c>
      <c r="E104" s="11">
        <v>45920</v>
      </c>
      <c r="F104" s="14">
        <f t="shared" ca="1" si="15"/>
        <v>179</v>
      </c>
      <c r="G104" s="17">
        <v>599</v>
      </c>
      <c r="H104" s="17">
        <v>300</v>
      </c>
      <c r="I104" s="53">
        <f t="shared" si="16"/>
        <v>602</v>
      </c>
      <c r="J104" s="17">
        <v>700</v>
      </c>
      <c r="K104" s="66">
        <v>98</v>
      </c>
      <c r="L104" s="52">
        <f t="shared" ca="1" si="17"/>
        <v>0.54748603351955305</v>
      </c>
      <c r="M104" s="50">
        <f t="shared" si="18"/>
        <v>0.33193597560975613</v>
      </c>
      <c r="N104" s="52">
        <f t="shared" si="19"/>
        <v>0.29878048780487804</v>
      </c>
      <c r="O104" s="56">
        <f t="shared" si="20"/>
        <v>24.5</v>
      </c>
      <c r="P104" s="54">
        <f t="shared" si="21"/>
        <v>24.571428571428573</v>
      </c>
      <c r="Q104" s="55">
        <f t="shared" si="22"/>
        <v>49.916527545909851</v>
      </c>
      <c r="R104" s="55">
        <f t="shared" si="23"/>
        <v>14.000000000000002</v>
      </c>
      <c r="S104" s="13">
        <f t="shared" si="24"/>
        <v>2</v>
      </c>
      <c r="T104" s="13">
        <f t="shared" si="25"/>
        <v>1</v>
      </c>
      <c r="U104" s="13">
        <f t="shared" si="26"/>
        <v>2</v>
      </c>
      <c r="V104" s="13">
        <f t="shared" ca="1" si="27"/>
        <v>3</v>
      </c>
      <c r="W104" s="13">
        <f t="shared" ca="1" si="28"/>
        <v>8</v>
      </c>
      <c r="X104" s="61" t="str">
        <f t="shared" ca="1" si="29"/>
        <v>MONITOR</v>
      </c>
    </row>
    <row r="105" spans="1:24" x14ac:dyDescent="0.35">
      <c r="A105" s="25" t="s">
        <v>119</v>
      </c>
      <c r="B105" s="10" t="s">
        <v>325</v>
      </c>
      <c r="C105" s="10" t="s">
        <v>344</v>
      </c>
      <c r="D105" s="10" t="s">
        <v>346</v>
      </c>
      <c r="E105" s="11">
        <v>45920</v>
      </c>
      <c r="F105" s="14">
        <f t="shared" ca="1" si="15"/>
        <v>179</v>
      </c>
      <c r="G105" s="17">
        <v>599</v>
      </c>
      <c r="H105" s="17">
        <v>300</v>
      </c>
      <c r="I105" s="53">
        <f t="shared" si="16"/>
        <v>625</v>
      </c>
      <c r="J105" s="17">
        <v>700</v>
      </c>
      <c r="K105" s="66">
        <v>75</v>
      </c>
      <c r="L105" s="52">
        <f t="shared" ca="1" si="17"/>
        <v>0.41899441340782123</v>
      </c>
      <c r="M105" s="50">
        <f t="shared" si="18"/>
        <v>0.33193597560975613</v>
      </c>
      <c r="N105" s="52">
        <f t="shared" si="19"/>
        <v>0.22865853658536586</v>
      </c>
      <c r="O105" s="56">
        <f t="shared" si="20"/>
        <v>18.75</v>
      </c>
      <c r="P105" s="54">
        <f t="shared" si="21"/>
        <v>33.333333333333336</v>
      </c>
      <c r="Q105" s="55">
        <f t="shared" si="22"/>
        <v>49.916527545909851</v>
      </c>
      <c r="R105" s="55">
        <f t="shared" si="23"/>
        <v>10.714285714285714</v>
      </c>
      <c r="S105" s="13">
        <f t="shared" si="24"/>
        <v>1</v>
      </c>
      <c r="T105" s="13">
        <f t="shared" si="25"/>
        <v>1</v>
      </c>
      <c r="U105" s="13">
        <f t="shared" si="26"/>
        <v>2</v>
      </c>
      <c r="V105" s="13">
        <f t="shared" ca="1" si="27"/>
        <v>3</v>
      </c>
      <c r="W105" s="13">
        <f t="shared" ca="1" si="28"/>
        <v>7</v>
      </c>
      <c r="X105" s="61" t="str">
        <f t="shared" ca="1" si="29"/>
        <v>MONITOR</v>
      </c>
    </row>
    <row r="106" spans="1:24" x14ac:dyDescent="0.35">
      <c r="A106" s="25" t="s">
        <v>120</v>
      </c>
      <c r="B106" s="10" t="s">
        <v>325</v>
      </c>
      <c r="C106" s="10" t="s">
        <v>344</v>
      </c>
      <c r="D106" s="10" t="s">
        <v>346</v>
      </c>
      <c r="E106" s="11">
        <v>45920</v>
      </c>
      <c r="F106" s="14">
        <f t="shared" ca="1" si="15"/>
        <v>179</v>
      </c>
      <c r="G106" s="17">
        <v>599</v>
      </c>
      <c r="H106" s="17">
        <v>300</v>
      </c>
      <c r="I106" s="53">
        <f t="shared" si="16"/>
        <v>628</v>
      </c>
      <c r="J106" s="17">
        <v>700</v>
      </c>
      <c r="K106" s="66">
        <v>72</v>
      </c>
      <c r="L106" s="52">
        <f t="shared" ca="1" si="17"/>
        <v>0.4022346368715084</v>
      </c>
      <c r="M106" s="50">
        <f t="shared" si="18"/>
        <v>0.33193597560975613</v>
      </c>
      <c r="N106" s="52">
        <f t="shared" si="19"/>
        <v>0.21951219512195122</v>
      </c>
      <c r="O106" s="56">
        <f t="shared" si="20"/>
        <v>18</v>
      </c>
      <c r="P106" s="54">
        <f t="shared" si="21"/>
        <v>34.888888888888886</v>
      </c>
      <c r="Q106" s="55">
        <f t="shared" si="22"/>
        <v>49.916527545909851</v>
      </c>
      <c r="R106" s="55">
        <f t="shared" si="23"/>
        <v>10.285714285714285</v>
      </c>
      <c r="S106" s="13">
        <f t="shared" si="24"/>
        <v>1</v>
      </c>
      <c r="T106" s="13">
        <f t="shared" si="25"/>
        <v>1</v>
      </c>
      <c r="U106" s="13">
        <f t="shared" si="26"/>
        <v>2</v>
      </c>
      <c r="V106" s="13">
        <f t="shared" ca="1" si="27"/>
        <v>3</v>
      </c>
      <c r="W106" s="13">
        <f t="shared" ca="1" si="28"/>
        <v>7</v>
      </c>
      <c r="X106" s="61" t="str">
        <f t="shared" ca="1" si="29"/>
        <v>MONITOR</v>
      </c>
    </row>
    <row r="107" spans="1:24" x14ac:dyDescent="0.35">
      <c r="A107" s="25" t="s">
        <v>121</v>
      </c>
      <c r="B107" s="10" t="s">
        <v>317</v>
      </c>
      <c r="C107" s="10" t="s">
        <v>344</v>
      </c>
      <c r="D107" s="10" t="s">
        <v>346</v>
      </c>
      <c r="E107" s="11">
        <v>45878</v>
      </c>
      <c r="F107" s="14">
        <f t="shared" ca="1" si="15"/>
        <v>221</v>
      </c>
      <c r="G107" s="17">
        <v>799</v>
      </c>
      <c r="H107" s="17">
        <v>450</v>
      </c>
      <c r="I107" s="53">
        <f t="shared" si="16"/>
        <v>744</v>
      </c>
      <c r="J107" s="17">
        <v>800</v>
      </c>
      <c r="K107" s="66">
        <v>56</v>
      </c>
      <c r="L107" s="52">
        <f t="shared" ca="1" si="17"/>
        <v>0.25339366515837103</v>
      </c>
      <c r="M107" s="50">
        <f t="shared" si="18"/>
        <v>0.33193597560975613</v>
      </c>
      <c r="N107" s="52">
        <f t="shared" si="19"/>
        <v>0.17073170731707318</v>
      </c>
      <c r="O107" s="56">
        <f t="shared" si="20"/>
        <v>14.000000000000002</v>
      </c>
      <c r="P107" s="54">
        <f t="shared" si="21"/>
        <v>53.142857142857139</v>
      </c>
      <c r="Q107" s="55">
        <f t="shared" si="22"/>
        <v>43.67959949937422</v>
      </c>
      <c r="R107" s="55">
        <f t="shared" si="23"/>
        <v>7.0000000000000009</v>
      </c>
      <c r="S107" s="13">
        <f t="shared" si="24"/>
        <v>1</v>
      </c>
      <c r="T107" s="13">
        <f t="shared" si="25"/>
        <v>1</v>
      </c>
      <c r="U107" s="13">
        <f t="shared" si="26"/>
        <v>1</v>
      </c>
      <c r="V107" s="13">
        <f t="shared" ca="1" si="27"/>
        <v>3</v>
      </c>
      <c r="W107" s="13">
        <f t="shared" ca="1" si="28"/>
        <v>6</v>
      </c>
      <c r="X107" s="61" t="str">
        <f t="shared" ca="1" si="29"/>
        <v>MONITOR</v>
      </c>
    </row>
    <row r="108" spans="1:24" x14ac:dyDescent="0.35">
      <c r="A108" s="25" t="s">
        <v>122</v>
      </c>
      <c r="B108" s="10" t="s">
        <v>317</v>
      </c>
      <c r="C108" s="10" t="s">
        <v>344</v>
      </c>
      <c r="D108" s="10" t="s">
        <v>346</v>
      </c>
      <c r="E108" s="11">
        <v>45878</v>
      </c>
      <c r="F108" s="14">
        <f t="shared" ca="1" si="15"/>
        <v>221</v>
      </c>
      <c r="G108" s="17">
        <v>799</v>
      </c>
      <c r="H108" s="17">
        <v>450</v>
      </c>
      <c r="I108" s="53">
        <f t="shared" si="16"/>
        <v>631</v>
      </c>
      <c r="J108" s="17">
        <v>800</v>
      </c>
      <c r="K108" s="66">
        <v>169</v>
      </c>
      <c r="L108" s="52">
        <f t="shared" ca="1" si="17"/>
        <v>0.76470588235294112</v>
      </c>
      <c r="M108" s="50">
        <f t="shared" si="18"/>
        <v>0.33193597560975613</v>
      </c>
      <c r="N108" s="52">
        <f t="shared" si="19"/>
        <v>0.5152439024390244</v>
      </c>
      <c r="O108" s="56">
        <f t="shared" si="20"/>
        <v>42.25</v>
      </c>
      <c r="P108" s="54">
        <f t="shared" si="21"/>
        <v>14.934911242603551</v>
      </c>
      <c r="Q108" s="55">
        <f t="shared" si="22"/>
        <v>43.67959949937422</v>
      </c>
      <c r="R108" s="55">
        <f t="shared" si="23"/>
        <v>21.125</v>
      </c>
      <c r="S108" s="13">
        <f t="shared" si="24"/>
        <v>3</v>
      </c>
      <c r="T108" s="13">
        <f t="shared" si="25"/>
        <v>1</v>
      </c>
      <c r="U108" s="13">
        <f t="shared" si="26"/>
        <v>1</v>
      </c>
      <c r="V108" s="13">
        <f t="shared" ca="1" si="27"/>
        <v>3</v>
      </c>
      <c r="W108" s="13">
        <f t="shared" ca="1" si="28"/>
        <v>8</v>
      </c>
      <c r="X108" s="61" t="str">
        <f t="shared" ca="1" si="29"/>
        <v>MONITOR</v>
      </c>
    </row>
    <row r="109" spans="1:24" x14ac:dyDescent="0.35">
      <c r="A109" s="25" t="s">
        <v>123</v>
      </c>
      <c r="B109" s="10" t="s">
        <v>317</v>
      </c>
      <c r="C109" s="10" t="s">
        <v>344</v>
      </c>
      <c r="D109" s="10" t="s">
        <v>346</v>
      </c>
      <c r="E109" s="11">
        <v>45878</v>
      </c>
      <c r="F109" s="14">
        <f t="shared" ca="1" si="15"/>
        <v>221</v>
      </c>
      <c r="G109" s="17">
        <v>799</v>
      </c>
      <c r="H109" s="17">
        <v>450</v>
      </c>
      <c r="I109" s="53">
        <f t="shared" si="16"/>
        <v>643</v>
      </c>
      <c r="J109" s="17">
        <v>800</v>
      </c>
      <c r="K109" s="66">
        <v>157</v>
      </c>
      <c r="L109" s="52">
        <f t="shared" ca="1" si="17"/>
        <v>0.71040723981900455</v>
      </c>
      <c r="M109" s="50">
        <f t="shared" si="18"/>
        <v>0.33193597560975613</v>
      </c>
      <c r="N109" s="52">
        <f t="shared" si="19"/>
        <v>0.47865853658536583</v>
      </c>
      <c r="O109" s="56">
        <f t="shared" si="20"/>
        <v>39.25</v>
      </c>
      <c r="P109" s="54">
        <f t="shared" si="21"/>
        <v>16.38216560509554</v>
      </c>
      <c r="Q109" s="55">
        <f t="shared" si="22"/>
        <v>43.67959949937422</v>
      </c>
      <c r="R109" s="55">
        <f t="shared" si="23"/>
        <v>19.625</v>
      </c>
      <c r="S109" s="13">
        <f t="shared" si="24"/>
        <v>3</v>
      </c>
      <c r="T109" s="13">
        <f t="shared" si="25"/>
        <v>1</v>
      </c>
      <c r="U109" s="13">
        <f t="shared" si="26"/>
        <v>1</v>
      </c>
      <c r="V109" s="13">
        <f t="shared" ca="1" si="27"/>
        <v>3</v>
      </c>
      <c r="W109" s="13">
        <f t="shared" ca="1" si="28"/>
        <v>8</v>
      </c>
      <c r="X109" s="61" t="str">
        <f t="shared" ca="1" si="29"/>
        <v>MONITOR</v>
      </c>
    </row>
    <row r="110" spans="1:24" x14ac:dyDescent="0.35">
      <c r="A110" s="25" t="s">
        <v>124</v>
      </c>
      <c r="B110" s="10" t="s">
        <v>317</v>
      </c>
      <c r="C110" s="10" t="s">
        <v>344</v>
      </c>
      <c r="D110" s="10" t="s">
        <v>346</v>
      </c>
      <c r="E110" s="11">
        <v>45878</v>
      </c>
      <c r="F110" s="14">
        <f t="shared" ca="1" si="15"/>
        <v>221</v>
      </c>
      <c r="G110" s="17">
        <v>799</v>
      </c>
      <c r="H110" s="17">
        <v>450</v>
      </c>
      <c r="I110" s="53">
        <f t="shared" si="16"/>
        <v>648</v>
      </c>
      <c r="J110" s="17">
        <v>800</v>
      </c>
      <c r="K110" s="66">
        <v>152</v>
      </c>
      <c r="L110" s="52">
        <f t="shared" ca="1" si="17"/>
        <v>0.68778280542986425</v>
      </c>
      <c r="M110" s="50">
        <f t="shared" si="18"/>
        <v>0.33193597560975613</v>
      </c>
      <c r="N110" s="52">
        <f t="shared" si="19"/>
        <v>0.46341463414634149</v>
      </c>
      <c r="O110" s="56">
        <f t="shared" si="20"/>
        <v>38</v>
      </c>
      <c r="P110" s="54">
        <f t="shared" si="21"/>
        <v>17.05263157894737</v>
      </c>
      <c r="Q110" s="55">
        <f t="shared" si="22"/>
        <v>43.67959949937422</v>
      </c>
      <c r="R110" s="55">
        <f t="shared" si="23"/>
        <v>19</v>
      </c>
      <c r="S110" s="13">
        <f t="shared" si="24"/>
        <v>3</v>
      </c>
      <c r="T110" s="13">
        <f t="shared" si="25"/>
        <v>1</v>
      </c>
      <c r="U110" s="13">
        <f t="shared" si="26"/>
        <v>1</v>
      </c>
      <c r="V110" s="13">
        <f t="shared" ca="1" si="27"/>
        <v>3</v>
      </c>
      <c r="W110" s="13">
        <f t="shared" ca="1" si="28"/>
        <v>8</v>
      </c>
      <c r="X110" s="61" t="str">
        <f t="shared" ca="1" si="29"/>
        <v>MONITOR</v>
      </c>
    </row>
    <row r="111" spans="1:24" x14ac:dyDescent="0.35">
      <c r="A111" s="25" t="s">
        <v>125</v>
      </c>
      <c r="B111" s="10" t="s">
        <v>317</v>
      </c>
      <c r="C111" s="10" t="s">
        <v>344</v>
      </c>
      <c r="D111" s="10" t="s">
        <v>346</v>
      </c>
      <c r="E111" s="11">
        <v>45920</v>
      </c>
      <c r="F111" s="14">
        <f t="shared" ca="1" si="15"/>
        <v>179</v>
      </c>
      <c r="G111" s="17">
        <v>799</v>
      </c>
      <c r="H111" s="17">
        <v>450</v>
      </c>
      <c r="I111" s="53">
        <f t="shared" si="16"/>
        <v>566</v>
      </c>
      <c r="J111" s="17">
        <v>800</v>
      </c>
      <c r="K111" s="66">
        <v>234</v>
      </c>
      <c r="L111" s="52">
        <f t="shared" ca="1" si="17"/>
        <v>1.3072625698324023</v>
      </c>
      <c r="M111" s="50">
        <f t="shared" si="18"/>
        <v>0.33193597560975613</v>
      </c>
      <c r="N111" s="52">
        <f t="shared" si="19"/>
        <v>0.71341463414634143</v>
      </c>
      <c r="O111" s="56">
        <f t="shared" si="20"/>
        <v>58.5</v>
      </c>
      <c r="P111" s="54">
        <f t="shared" si="21"/>
        <v>9.6752136752136746</v>
      </c>
      <c r="Q111" s="55">
        <f t="shared" si="22"/>
        <v>43.67959949937422</v>
      </c>
      <c r="R111" s="55">
        <f t="shared" si="23"/>
        <v>29.25</v>
      </c>
      <c r="S111" s="13">
        <f t="shared" si="24"/>
        <v>3</v>
      </c>
      <c r="T111" s="13">
        <f t="shared" si="25"/>
        <v>1</v>
      </c>
      <c r="U111" s="13">
        <f t="shared" si="26"/>
        <v>1</v>
      </c>
      <c r="V111" s="13">
        <f t="shared" ca="1" si="27"/>
        <v>3</v>
      </c>
      <c r="W111" s="13">
        <f t="shared" ca="1" si="28"/>
        <v>8</v>
      </c>
      <c r="X111" s="61" t="str">
        <f t="shared" ca="1" si="29"/>
        <v>MONITOR</v>
      </c>
    </row>
    <row r="112" spans="1:24" x14ac:dyDescent="0.35">
      <c r="A112" s="25" t="s">
        <v>126</v>
      </c>
      <c r="B112" s="10" t="s">
        <v>317</v>
      </c>
      <c r="C112" s="10" t="s">
        <v>344</v>
      </c>
      <c r="D112" s="10" t="s">
        <v>346</v>
      </c>
      <c r="E112" s="11">
        <v>45920</v>
      </c>
      <c r="F112" s="14">
        <f t="shared" ca="1" si="15"/>
        <v>179</v>
      </c>
      <c r="G112" s="17">
        <v>799</v>
      </c>
      <c r="H112" s="17">
        <v>450</v>
      </c>
      <c r="I112" s="53">
        <f t="shared" si="16"/>
        <v>595</v>
      </c>
      <c r="J112" s="17">
        <v>800</v>
      </c>
      <c r="K112" s="66">
        <v>205</v>
      </c>
      <c r="L112" s="52">
        <f t="shared" ca="1" si="17"/>
        <v>1.1452513966480447</v>
      </c>
      <c r="M112" s="50">
        <f t="shared" si="18"/>
        <v>0.33193597560975613</v>
      </c>
      <c r="N112" s="52">
        <f t="shared" si="19"/>
        <v>0.625</v>
      </c>
      <c r="O112" s="56">
        <f t="shared" si="20"/>
        <v>51.25</v>
      </c>
      <c r="P112" s="54">
        <f t="shared" si="21"/>
        <v>11.609756097560975</v>
      </c>
      <c r="Q112" s="55">
        <f t="shared" si="22"/>
        <v>43.67959949937422</v>
      </c>
      <c r="R112" s="55">
        <f t="shared" si="23"/>
        <v>25.624999999999996</v>
      </c>
      <c r="S112" s="13">
        <f t="shared" si="24"/>
        <v>3</v>
      </c>
      <c r="T112" s="13">
        <f t="shared" si="25"/>
        <v>1</v>
      </c>
      <c r="U112" s="13">
        <f t="shared" si="26"/>
        <v>1</v>
      </c>
      <c r="V112" s="13">
        <f t="shared" ca="1" si="27"/>
        <v>3</v>
      </c>
      <c r="W112" s="13">
        <f t="shared" ca="1" si="28"/>
        <v>8</v>
      </c>
      <c r="X112" s="61" t="str">
        <f t="shared" ca="1" si="29"/>
        <v>MONITOR</v>
      </c>
    </row>
    <row r="113" spans="1:24" x14ac:dyDescent="0.35">
      <c r="A113" s="25" t="s">
        <v>127</v>
      </c>
      <c r="B113" s="10" t="s">
        <v>326</v>
      </c>
      <c r="C113" s="10" t="s">
        <v>342</v>
      </c>
      <c r="D113" s="10" t="s">
        <v>346</v>
      </c>
      <c r="E113" s="11">
        <v>45864</v>
      </c>
      <c r="F113" s="14">
        <f t="shared" ca="1" si="15"/>
        <v>235</v>
      </c>
      <c r="G113" s="17">
        <v>999</v>
      </c>
      <c r="H113" s="17">
        <v>500</v>
      </c>
      <c r="I113" s="53">
        <f t="shared" si="16"/>
        <v>685</v>
      </c>
      <c r="J113" s="17">
        <v>1050</v>
      </c>
      <c r="K113" s="66">
        <v>365</v>
      </c>
      <c r="L113" s="52">
        <f t="shared" ca="1" si="17"/>
        <v>1.553191489361702</v>
      </c>
      <c r="M113" s="50">
        <f t="shared" si="18"/>
        <v>0.80451009251471861</v>
      </c>
      <c r="N113" s="52">
        <f t="shared" si="19"/>
        <v>1.1128048780487805</v>
      </c>
      <c r="O113" s="56">
        <f t="shared" si="20"/>
        <v>91.25</v>
      </c>
      <c r="P113" s="54">
        <f t="shared" si="21"/>
        <v>7.506849315068493</v>
      </c>
      <c r="Q113" s="55">
        <f t="shared" si="22"/>
        <v>49.949949949949954</v>
      </c>
      <c r="R113" s="55">
        <f t="shared" si="23"/>
        <v>34.761904761904759</v>
      </c>
      <c r="S113" s="13">
        <f t="shared" si="24"/>
        <v>3</v>
      </c>
      <c r="T113" s="13">
        <f t="shared" si="25"/>
        <v>1</v>
      </c>
      <c r="U113" s="13">
        <f t="shared" si="26"/>
        <v>2</v>
      </c>
      <c r="V113" s="13">
        <f t="shared" ca="1" si="27"/>
        <v>3</v>
      </c>
      <c r="W113" s="13">
        <f t="shared" ca="1" si="28"/>
        <v>9</v>
      </c>
      <c r="X113" s="61" t="str">
        <f t="shared" ca="1" si="29"/>
        <v>RE-BUY</v>
      </c>
    </row>
    <row r="114" spans="1:24" x14ac:dyDescent="0.35">
      <c r="A114" s="25" t="s">
        <v>128</v>
      </c>
      <c r="B114" s="10" t="s">
        <v>326</v>
      </c>
      <c r="C114" s="10" t="s">
        <v>342</v>
      </c>
      <c r="D114" s="10" t="s">
        <v>346</v>
      </c>
      <c r="E114" s="11">
        <v>45864</v>
      </c>
      <c r="F114" s="14">
        <f t="shared" ca="1" si="15"/>
        <v>235</v>
      </c>
      <c r="G114" s="17">
        <v>999</v>
      </c>
      <c r="H114" s="17">
        <v>520</v>
      </c>
      <c r="I114" s="53">
        <f t="shared" si="16"/>
        <v>830</v>
      </c>
      <c r="J114" s="17">
        <v>1050</v>
      </c>
      <c r="K114" s="66">
        <v>220</v>
      </c>
      <c r="L114" s="52">
        <f t="shared" ca="1" si="17"/>
        <v>0.93617021276595747</v>
      </c>
      <c r="M114" s="50">
        <f t="shared" si="18"/>
        <v>0.80451009251471861</v>
      </c>
      <c r="N114" s="52">
        <f t="shared" si="19"/>
        <v>0.67073170731707321</v>
      </c>
      <c r="O114" s="56">
        <f t="shared" si="20"/>
        <v>55</v>
      </c>
      <c r="P114" s="54">
        <f t="shared" si="21"/>
        <v>15.090909090909092</v>
      </c>
      <c r="Q114" s="55">
        <f t="shared" si="22"/>
        <v>47.947947947947952</v>
      </c>
      <c r="R114" s="55">
        <f t="shared" si="23"/>
        <v>20.952380952380953</v>
      </c>
      <c r="S114" s="13">
        <f t="shared" si="24"/>
        <v>2</v>
      </c>
      <c r="T114" s="13">
        <f t="shared" si="25"/>
        <v>1</v>
      </c>
      <c r="U114" s="13">
        <f t="shared" si="26"/>
        <v>2</v>
      </c>
      <c r="V114" s="13">
        <f t="shared" ca="1" si="27"/>
        <v>3</v>
      </c>
      <c r="W114" s="13">
        <f t="shared" ca="1" si="28"/>
        <v>8</v>
      </c>
      <c r="X114" s="61" t="str">
        <f t="shared" ca="1" si="29"/>
        <v>MONITOR</v>
      </c>
    </row>
    <row r="115" spans="1:24" x14ac:dyDescent="0.35">
      <c r="A115" s="25" t="s">
        <v>129</v>
      </c>
      <c r="B115" s="10" t="s">
        <v>326</v>
      </c>
      <c r="C115" s="10" t="s">
        <v>342</v>
      </c>
      <c r="D115" s="10" t="s">
        <v>346</v>
      </c>
      <c r="E115" s="11">
        <v>45864</v>
      </c>
      <c r="F115" s="14">
        <f t="shared" ca="1" si="15"/>
        <v>235</v>
      </c>
      <c r="G115" s="17">
        <v>999</v>
      </c>
      <c r="H115" s="17">
        <v>500</v>
      </c>
      <c r="I115" s="53">
        <f t="shared" si="16"/>
        <v>703</v>
      </c>
      <c r="J115" s="17">
        <v>1050</v>
      </c>
      <c r="K115" s="66">
        <v>347</v>
      </c>
      <c r="L115" s="52">
        <f t="shared" ca="1" si="17"/>
        <v>1.4765957446808511</v>
      </c>
      <c r="M115" s="50">
        <f t="shared" si="18"/>
        <v>0.80451009251471861</v>
      </c>
      <c r="N115" s="52">
        <f t="shared" si="19"/>
        <v>1.0579268292682926</v>
      </c>
      <c r="O115" s="56">
        <f t="shared" si="20"/>
        <v>86.75</v>
      </c>
      <c r="P115" s="54">
        <f t="shared" si="21"/>
        <v>8.1037463976945237</v>
      </c>
      <c r="Q115" s="55">
        <f t="shared" si="22"/>
        <v>49.949949949949954</v>
      </c>
      <c r="R115" s="55">
        <f t="shared" si="23"/>
        <v>33.047619047619051</v>
      </c>
      <c r="S115" s="13">
        <f t="shared" si="24"/>
        <v>3</v>
      </c>
      <c r="T115" s="13">
        <f t="shared" si="25"/>
        <v>1</v>
      </c>
      <c r="U115" s="13">
        <f t="shared" si="26"/>
        <v>2</v>
      </c>
      <c r="V115" s="13">
        <f t="shared" ca="1" si="27"/>
        <v>3</v>
      </c>
      <c r="W115" s="13">
        <f t="shared" ca="1" si="28"/>
        <v>9</v>
      </c>
      <c r="X115" s="61" t="str">
        <f t="shared" ca="1" si="29"/>
        <v>RE-BUY</v>
      </c>
    </row>
    <row r="116" spans="1:24" x14ac:dyDescent="0.35">
      <c r="A116" s="25" t="s">
        <v>130</v>
      </c>
      <c r="B116" s="10" t="s">
        <v>328</v>
      </c>
      <c r="C116" s="10" t="s">
        <v>342</v>
      </c>
      <c r="D116" s="10" t="s">
        <v>346</v>
      </c>
      <c r="E116" s="11">
        <v>45864</v>
      </c>
      <c r="F116" s="14">
        <f t="shared" ca="1" si="15"/>
        <v>235</v>
      </c>
      <c r="G116" s="17">
        <v>999</v>
      </c>
      <c r="H116" s="17">
        <v>480</v>
      </c>
      <c r="I116" s="53">
        <f t="shared" si="16"/>
        <v>1030</v>
      </c>
      <c r="J116" s="17">
        <v>1100</v>
      </c>
      <c r="K116" s="66">
        <v>70</v>
      </c>
      <c r="L116" s="52">
        <f t="shared" ca="1" si="17"/>
        <v>0.2978723404255319</v>
      </c>
      <c r="M116" s="50">
        <f t="shared" si="18"/>
        <v>0.80451009251471861</v>
      </c>
      <c r="N116" s="52">
        <f t="shared" si="19"/>
        <v>0.21341463414634146</v>
      </c>
      <c r="O116" s="56">
        <f t="shared" si="20"/>
        <v>17.5</v>
      </c>
      <c r="P116" s="54">
        <f t="shared" si="21"/>
        <v>58.857142857142854</v>
      </c>
      <c r="Q116" s="55">
        <f t="shared" si="22"/>
        <v>51.951951951951948</v>
      </c>
      <c r="R116" s="55">
        <f t="shared" si="23"/>
        <v>6.3636363636363633</v>
      </c>
      <c r="S116" s="13">
        <f t="shared" si="24"/>
        <v>1</v>
      </c>
      <c r="T116" s="13">
        <f t="shared" si="25"/>
        <v>1</v>
      </c>
      <c r="U116" s="13">
        <f t="shared" si="26"/>
        <v>2</v>
      </c>
      <c r="V116" s="13">
        <f t="shared" ca="1" si="27"/>
        <v>3</v>
      </c>
      <c r="W116" s="13">
        <f t="shared" ca="1" si="28"/>
        <v>7</v>
      </c>
      <c r="X116" s="61" t="str">
        <f t="shared" ca="1" si="29"/>
        <v>MONITOR</v>
      </c>
    </row>
    <row r="117" spans="1:24" x14ac:dyDescent="0.35">
      <c r="A117" s="25" t="s">
        <v>131</v>
      </c>
      <c r="B117" s="10" t="s">
        <v>328</v>
      </c>
      <c r="C117" s="10" t="s">
        <v>342</v>
      </c>
      <c r="D117" s="10" t="s">
        <v>346</v>
      </c>
      <c r="E117" s="11">
        <v>45864</v>
      </c>
      <c r="F117" s="14">
        <f t="shared" ca="1" si="15"/>
        <v>235</v>
      </c>
      <c r="G117" s="17">
        <v>999</v>
      </c>
      <c r="H117" s="17">
        <v>530</v>
      </c>
      <c r="I117" s="53">
        <f t="shared" si="16"/>
        <v>1060</v>
      </c>
      <c r="J117" s="17">
        <v>1100</v>
      </c>
      <c r="K117" s="66">
        <v>40</v>
      </c>
      <c r="L117" s="52">
        <f t="shared" ca="1" si="17"/>
        <v>0.1702127659574468</v>
      </c>
      <c r="M117" s="50">
        <f t="shared" si="18"/>
        <v>0.80451009251471861</v>
      </c>
      <c r="N117" s="52">
        <f t="shared" si="19"/>
        <v>0.12195121951219512</v>
      </c>
      <c r="O117" s="56">
        <f t="shared" si="20"/>
        <v>10</v>
      </c>
      <c r="P117" s="54">
        <f t="shared" si="21"/>
        <v>106</v>
      </c>
      <c r="Q117" s="55">
        <f t="shared" si="22"/>
        <v>46.946946946946952</v>
      </c>
      <c r="R117" s="55">
        <f t="shared" si="23"/>
        <v>3.6363636363636362</v>
      </c>
      <c r="S117" s="13">
        <f t="shared" si="24"/>
        <v>1</v>
      </c>
      <c r="T117" s="13">
        <f t="shared" si="25"/>
        <v>1</v>
      </c>
      <c r="U117" s="13">
        <f t="shared" si="26"/>
        <v>2</v>
      </c>
      <c r="V117" s="13">
        <f t="shared" ca="1" si="27"/>
        <v>3</v>
      </c>
      <c r="W117" s="13">
        <f t="shared" ca="1" si="28"/>
        <v>7</v>
      </c>
      <c r="X117" s="61" t="str">
        <f t="shared" ca="1" si="29"/>
        <v>MONITOR</v>
      </c>
    </row>
    <row r="118" spans="1:24" x14ac:dyDescent="0.35">
      <c r="A118" s="25" t="s">
        <v>132</v>
      </c>
      <c r="B118" s="10" t="s">
        <v>328</v>
      </c>
      <c r="C118" s="10" t="s">
        <v>342</v>
      </c>
      <c r="D118" s="10" t="s">
        <v>346</v>
      </c>
      <c r="E118" s="11">
        <v>45892</v>
      </c>
      <c r="F118" s="14">
        <f t="shared" ca="1" si="15"/>
        <v>207</v>
      </c>
      <c r="G118" s="17">
        <v>999</v>
      </c>
      <c r="H118" s="17">
        <v>480</v>
      </c>
      <c r="I118" s="53">
        <f t="shared" si="16"/>
        <v>973</v>
      </c>
      <c r="J118" s="17">
        <v>1200</v>
      </c>
      <c r="K118" s="66">
        <v>227</v>
      </c>
      <c r="L118" s="52">
        <f t="shared" ca="1" si="17"/>
        <v>1.0966183574879227</v>
      </c>
      <c r="M118" s="50">
        <f t="shared" si="18"/>
        <v>0.80451009251471861</v>
      </c>
      <c r="N118" s="52">
        <f t="shared" si="19"/>
        <v>0.69207317073170727</v>
      </c>
      <c r="O118" s="56">
        <f t="shared" si="20"/>
        <v>56.749999999999993</v>
      </c>
      <c r="P118" s="54">
        <f t="shared" si="21"/>
        <v>17.145374449339208</v>
      </c>
      <c r="Q118" s="55">
        <f t="shared" si="22"/>
        <v>51.951951951951948</v>
      </c>
      <c r="R118" s="55">
        <f t="shared" si="23"/>
        <v>18.916666666666668</v>
      </c>
      <c r="S118" s="13">
        <f t="shared" si="24"/>
        <v>2</v>
      </c>
      <c r="T118" s="13">
        <f t="shared" si="25"/>
        <v>1</v>
      </c>
      <c r="U118" s="13">
        <f t="shared" si="26"/>
        <v>2</v>
      </c>
      <c r="V118" s="13">
        <f t="shared" ca="1" si="27"/>
        <v>3</v>
      </c>
      <c r="W118" s="13">
        <f t="shared" ca="1" si="28"/>
        <v>8</v>
      </c>
      <c r="X118" s="61" t="str">
        <f t="shared" ca="1" si="29"/>
        <v>MONITOR</v>
      </c>
    </row>
    <row r="119" spans="1:24" x14ac:dyDescent="0.35">
      <c r="A119" s="25" t="s">
        <v>133</v>
      </c>
      <c r="B119" s="10" t="s">
        <v>328</v>
      </c>
      <c r="C119" s="10" t="s">
        <v>342</v>
      </c>
      <c r="D119" s="10" t="s">
        <v>346</v>
      </c>
      <c r="E119" s="11">
        <v>45920</v>
      </c>
      <c r="F119" s="14">
        <f t="shared" ca="1" si="15"/>
        <v>179</v>
      </c>
      <c r="G119" s="17">
        <v>999</v>
      </c>
      <c r="H119" s="17">
        <v>470</v>
      </c>
      <c r="I119" s="53">
        <f t="shared" si="16"/>
        <v>738</v>
      </c>
      <c r="J119" s="17">
        <v>1100</v>
      </c>
      <c r="K119" s="66">
        <v>362</v>
      </c>
      <c r="L119" s="52">
        <f t="shared" ca="1" si="17"/>
        <v>2.022346368715084</v>
      </c>
      <c r="M119" s="50">
        <f t="shared" si="18"/>
        <v>0.80451009251471861</v>
      </c>
      <c r="N119" s="52">
        <f t="shared" si="19"/>
        <v>1.1036585365853659</v>
      </c>
      <c r="O119" s="56">
        <f t="shared" si="20"/>
        <v>90.500000000000014</v>
      </c>
      <c r="P119" s="54">
        <f t="shared" si="21"/>
        <v>8.1546961325966834</v>
      </c>
      <c r="Q119" s="55">
        <f t="shared" si="22"/>
        <v>52.952952952952948</v>
      </c>
      <c r="R119" s="55">
        <f t="shared" si="23"/>
        <v>32.909090909090907</v>
      </c>
      <c r="S119" s="13">
        <f t="shared" si="24"/>
        <v>3</v>
      </c>
      <c r="T119" s="13">
        <f t="shared" si="25"/>
        <v>1</v>
      </c>
      <c r="U119" s="13">
        <f t="shared" si="26"/>
        <v>2</v>
      </c>
      <c r="V119" s="13">
        <f t="shared" ca="1" si="27"/>
        <v>3</v>
      </c>
      <c r="W119" s="13">
        <f t="shared" ca="1" si="28"/>
        <v>9</v>
      </c>
      <c r="X119" s="61" t="str">
        <f t="shared" ca="1" si="29"/>
        <v>RE-BUY</v>
      </c>
    </row>
    <row r="120" spans="1:24" x14ac:dyDescent="0.35">
      <c r="A120" s="25" t="s">
        <v>134</v>
      </c>
      <c r="B120" s="10" t="s">
        <v>328</v>
      </c>
      <c r="C120" s="10" t="s">
        <v>342</v>
      </c>
      <c r="D120" s="10" t="s">
        <v>346</v>
      </c>
      <c r="E120" s="11">
        <v>45920</v>
      </c>
      <c r="F120" s="14">
        <f t="shared" ca="1" si="15"/>
        <v>179</v>
      </c>
      <c r="G120" s="17">
        <v>999</v>
      </c>
      <c r="H120" s="17">
        <v>530</v>
      </c>
      <c r="I120" s="53">
        <f t="shared" si="16"/>
        <v>702</v>
      </c>
      <c r="J120" s="17">
        <v>1100</v>
      </c>
      <c r="K120" s="66">
        <v>398</v>
      </c>
      <c r="L120" s="52">
        <f t="shared" ca="1" si="17"/>
        <v>2.2234636871508382</v>
      </c>
      <c r="M120" s="50">
        <f t="shared" si="18"/>
        <v>0.80451009251471861</v>
      </c>
      <c r="N120" s="52">
        <f t="shared" si="19"/>
        <v>1.2134146341463414</v>
      </c>
      <c r="O120" s="56">
        <f t="shared" si="20"/>
        <v>99.5</v>
      </c>
      <c r="P120" s="54">
        <f t="shared" si="21"/>
        <v>7.0552763819095476</v>
      </c>
      <c r="Q120" s="55">
        <f t="shared" si="22"/>
        <v>46.946946946946952</v>
      </c>
      <c r="R120" s="55">
        <f t="shared" si="23"/>
        <v>36.18181818181818</v>
      </c>
      <c r="S120" s="13">
        <f t="shared" si="24"/>
        <v>3</v>
      </c>
      <c r="T120" s="13">
        <f t="shared" si="25"/>
        <v>1</v>
      </c>
      <c r="U120" s="13">
        <f t="shared" si="26"/>
        <v>2</v>
      </c>
      <c r="V120" s="13">
        <f t="shared" ca="1" si="27"/>
        <v>3</v>
      </c>
      <c r="W120" s="13">
        <f t="shared" ca="1" si="28"/>
        <v>9</v>
      </c>
      <c r="X120" s="61" t="str">
        <f t="shared" ca="1" si="29"/>
        <v>RE-BUY</v>
      </c>
    </row>
    <row r="121" spans="1:24" x14ac:dyDescent="0.35">
      <c r="A121" s="25" t="s">
        <v>135</v>
      </c>
      <c r="B121" s="10" t="s">
        <v>319</v>
      </c>
      <c r="C121" s="10" t="s">
        <v>342</v>
      </c>
      <c r="D121" s="10" t="s">
        <v>346</v>
      </c>
      <c r="E121" s="11">
        <v>45864</v>
      </c>
      <c r="F121" s="14">
        <f t="shared" ca="1" si="15"/>
        <v>235</v>
      </c>
      <c r="G121" s="17">
        <v>599</v>
      </c>
      <c r="H121" s="17">
        <v>301</v>
      </c>
      <c r="I121" s="53">
        <f t="shared" si="16"/>
        <v>975</v>
      </c>
      <c r="J121" s="17">
        <v>1050</v>
      </c>
      <c r="K121" s="66">
        <v>75</v>
      </c>
      <c r="L121" s="52">
        <f t="shared" ca="1" si="17"/>
        <v>0.31914893617021278</v>
      </c>
      <c r="M121" s="50">
        <f t="shared" si="18"/>
        <v>0.80451009251471861</v>
      </c>
      <c r="N121" s="52">
        <f t="shared" si="19"/>
        <v>0.22865853658536586</v>
      </c>
      <c r="O121" s="56">
        <f t="shared" si="20"/>
        <v>18.75</v>
      </c>
      <c r="P121" s="54">
        <f t="shared" si="21"/>
        <v>52</v>
      </c>
      <c r="Q121" s="55">
        <f t="shared" si="22"/>
        <v>49.749582637729553</v>
      </c>
      <c r="R121" s="55">
        <f t="shared" si="23"/>
        <v>7.1428571428571423</v>
      </c>
      <c r="S121" s="13">
        <f t="shared" si="24"/>
        <v>1</v>
      </c>
      <c r="T121" s="13">
        <f t="shared" si="25"/>
        <v>1</v>
      </c>
      <c r="U121" s="13">
        <f t="shared" si="26"/>
        <v>2</v>
      </c>
      <c r="V121" s="13">
        <f t="shared" ca="1" si="27"/>
        <v>3</v>
      </c>
      <c r="W121" s="13">
        <f t="shared" ca="1" si="28"/>
        <v>7</v>
      </c>
      <c r="X121" s="61" t="str">
        <f t="shared" ca="1" si="29"/>
        <v>MONITOR</v>
      </c>
    </row>
    <row r="122" spans="1:24" x14ac:dyDescent="0.35">
      <c r="A122" s="25" t="s">
        <v>136</v>
      </c>
      <c r="B122" s="10" t="s">
        <v>319</v>
      </c>
      <c r="C122" s="10" t="s">
        <v>342</v>
      </c>
      <c r="D122" s="10" t="s">
        <v>346</v>
      </c>
      <c r="E122" s="11">
        <v>45920</v>
      </c>
      <c r="F122" s="14">
        <f t="shared" ca="1" si="15"/>
        <v>179</v>
      </c>
      <c r="G122" s="17">
        <v>599</v>
      </c>
      <c r="H122" s="17">
        <v>300</v>
      </c>
      <c r="I122" s="53">
        <f t="shared" si="16"/>
        <v>581</v>
      </c>
      <c r="J122" s="17">
        <v>750</v>
      </c>
      <c r="K122" s="66">
        <v>169</v>
      </c>
      <c r="L122" s="52">
        <f t="shared" ca="1" si="17"/>
        <v>0.94413407821229045</v>
      </c>
      <c r="M122" s="50">
        <f t="shared" si="18"/>
        <v>0.80451009251471861</v>
      </c>
      <c r="N122" s="52">
        <f t="shared" si="19"/>
        <v>0.5152439024390244</v>
      </c>
      <c r="O122" s="56">
        <f t="shared" si="20"/>
        <v>42.25</v>
      </c>
      <c r="P122" s="54">
        <f t="shared" si="21"/>
        <v>13.751479289940828</v>
      </c>
      <c r="Q122" s="55">
        <f t="shared" si="22"/>
        <v>49.916527545909851</v>
      </c>
      <c r="R122" s="55">
        <f t="shared" si="23"/>
        <v>22.533333333333331</v>
      </c>
      <c r="S122" s="13">
        <f t="shared" si="24"/>
        <v>1</v>
      </c>
      <c r="T122" s="13">
        <f t="shared" si="25"/>
        <v>1</v>
      </c>
      <c r="U122" s="13">
        <f t="shared" si="26"/>
        <v>2</v>
      </c>
      <c r="V122" s="13">
        <f t="shared" ca="1" si="27"/>
        <v>3</v>
      </c>
      <c r="W122" s="13">
        <f t="shared" ca="1" si="28"/>
        <v>7</v>
      </c>
      <c r="X122" s="61" t="str">
        <f t="shared" ca="1" si="29"/>
        <v>MONITOR</v>
      </c>
    </row>
    <row r="123" spans="1:24" x14ac:dyDescent="0.35">
      <c r="A123" s="25" t="s">
        <v>137</v>
      </c>
      <c r="B123" s="10" t="s">
        <v>319</v>
      </c>
      <c r="C123" s="10" t="s">
        <v>342</v>
      </c>
      <c r="D123" s="10" t="s">
        <v>346</v>
      </c>
      <c r="E123" s="11">
        <v>45920</v>
      </c>
      <c r="F123" s="14">
        <f t="shared" ca="1" si="15"/>
        <v>179</v>
      </c>
      <c r="G123" s="17">
        <v>599</v>
      </c>
      <c r="H123" s="17">
        <v>305</v>
      </c>
      <c r="I123" s="53">
        <f t="shared" si="16"/>
        <v>916</v>
      </c>
      <c r="J123" s="17">
        <v>1050</v>
      </c>
      <c r="K123" s="66">
        <v>134</v>
      </c>
      <c r="L123" s="52">
        <f t="shared" ca="1" si="17"/>
        <v>0.74860335195530725</v>
      </c>
      <c r="M123" s="50">
        <f t="shared" si="18"/>
        <v>0.80451009251471861</v>
      </c>
      <c r="N123" s="52">
        <f t="shared" si="19"/>
        <v>0.40853658536585363</v>
      </c>
      <c r="O123" s="56">
        <f t="shared" si="20"/>
        <v>33.5</v>
      </c>
      <c r="P123" s="54">
        <f t="shared" si="21"/>
        <v>27.343283582089551</v>
      </c>
      <c r="Q123" s="55">
        <f t="shared" si="22"/>
        <v>49.081803005008346</v>
      </c>
      <c r="R123" s="55">
        <f t="shared" si="23"/>
        <v>12.761904761904763</v>
      </c>
      <c r="S123" s="13">
        <f t="shared" si="24"/>
        <v>1</v>
      </c>
      <c r="T123" s="13">
        <f t="shared" si="25"/>
        <v>1</v>
      </c>
      <c r="U123" s="13">
        <f t="shared" si="26"/>
        <v>2</v>
      </c>
      <c r="V123" s="13">
        <f t="shared" ca="1" si="27"/>
        <v>3</v>
      </c>
      <c r="W123" s="13">
        <f t="shared" ca="1" si="28"/>
        <v>7</v>
      </c>
      <c r="X123" s="61" t="str">
        <f t="shared" ca="1" si="29"/>
        <v>MONITOR</v>
      </c>
    </row>
    <row r="124" spans="1:24" x14ac:dyDescent="0.35">
      <c r="A124" s="25" t="s">
        <v>138</v>
      </c>
      <c r="B124" s="10" t="s">
        <v>327</v>
      </c>
      <c r="C124" s="10" t="s">
        <v>342</v>
      </c>
      <c r="D124" s="10" t="s">
        <v>346</v>
      </c>
      <c r="E124" s="11">
        <v>45906</v>
      </c>
      <c r="F124" s="14">
        <f t="shared" ca="1" si="15"/>
        <v>193</v>
      </c>
      <c r="G124" s="17">
        <v>599</v>
      </c>
      <c r="H124" s="17">
        <v>290</v>
      </c>
      <c r="I124" s="53">
        <f t="shared" si="16"/>
        <v>1058</v>
      </c>
      <c r="J124" s="17">
        <v>1100</v>
      </c>
      <c r="K124" s="66">
        <v>42</v>
      </c>
      <c r="L124" s="52">
        <f t="shared" ca="1" si="17"/>
        <v>0.21761658031088082</v>
      </c>
      <c r="M124" s="50">
        <f t="shared" si="18"/>
        <v>0.80451009251471861</v>
      </c>
      <c r="N124" s="52">
        <f t="shared" si="19"/>
        <v>0.12804878048780488</v>
      </c>
      <c r="O124" s="56">
        <f t="shared" si="20"/>
        <v>10.5</v>
      </c>
      <c r="P124" s="54">
        <f t="shared" si="21"/>
        <v>100.76190476190476</v>
      </c>
      <c r="Q124" s="55">
        <f t="shared" si="22"/>
        <v>51.58597662771286</v>
      </c>
      <c r="R124" s="55">
        <f t="shared" si="23"/>
        <v>3.8181818181818183</v>
      </c>
      <c r="S124" s="13">
        <f t="shared" si="24"/>
        <v>1</v>
      </c>
      <c r="T124" s="13">
        <f t="shared" si="25"/>
        <v>1</v>
      </c>
      <c r="U124" s="13">
        <f t="shared" si="26"/>
        <v>2</v>
      </c>
      <c r="V124" s="13">
        <f t="shared" ca="1" si="27"/>
        <v>3</v>
      </c>
      <c r="W124" s="13">
        <f t="shared" ca="1" si="28"/>
        <v>7</v>
      </c>
      <c r="X124" s="61" t="str">
        <f t="shared" ca="1" si="29"/>
        <v>MONITOR</v>
      </c>
    </row>
    <row r="125" spans="1:24" x14ac:dyDescent="0.35">
      <c r="A125" s="25" t="s">
        <v>139</v>
      </c>
      <c r="B125" s="10" t="s">
        <v>327</v>
      </c>
      <c r="C125" s="10" t="s">
        <v>342</v>
      </c>
      <c r="D125" s="10" t="s">
        <v>346</v>
      </c>
      <c r="E125" s="11">
        <v>45906</v>
      </c>
      <c r="F125" s="14">
        <f t="shared" ca="1" si="15"/>
        <v>193</v>
      </c>
      <c r="G125" s="17">
        <v>599</v>
      </c>
      <c r="H125" s="17">
        <v>290</v>
      </c>
      <c r="I125" s="53">
        <f t="shared" si="16"/>
        <v>1050</v>
      </c>
      <c r="J125" s="17">
        <v>1100</v>
      </c>
      <c r="K125" s="66">
        <v>50</v>
      </c>
      <c r="L125" s="52">
        <f t="shared" ca="1" si="17"/>
        <v>0.25906735751295334</v>
      </c>
      <c r="M125" s="50">
        <f t="shared" si="18"/>
        <v>0.80451009251471861</v>
      </c>
      <c r="N125" s="52">
        <f t="shared" si="19"/>
        <v>0.1524390243902439</v>
      </c>
      <c r="O125" s="56">
        <f t="shared" si="20"/>
        <v>12.5</v>
      </c>
      <c r="P125" s="54">
        <f t="shared" si="21"/>
        <v>84</v>
      </c>
      <c r="Q125" s="55">
        <f t="shared" si="22"/>
        <v>51.58597662771286</v>
      </c>
      <c r="R125" s="55">
        <f t="shared" si="23"/>
        <v>4.5454545454545459</v>
      </c>
      <c r="S125" s="13">
        <f t="shared" si="24"/>
        <v>1</v>
      </c>
      <c r="T125" s="13">
        <f t="shared" si="25"/>
        <v>1</v>
      </c>
      <c r="U125" s="13">
        <f t="shared" si="26"/>
        <v>2</v>
      </c>
      <c r="V125" s="13">
        <f t="shared" ca="1" si="27"/>
        <v>3</v>
      </c>
      <c r="W125" s="13">
        <f t="shared" ca="1" si="28"/>
        <v>7</v>
      </c>
      <c r="X125" s="61" t="str">
        <f t="shared" ca="1" si="29"/>
        <v>MONITOR</v>
      </c>
    </row>
    <row r="126" spans="1:24" x14ac:dyDescent="0.35">
      <c r="A126" s="25" t="s">
        <v>140</v>
      </c>
      <c r="B126" s="10" t="s">
        <v>321</v>
      </c>
      <c r="C126" s="10" t="s">
        <v>342</v>
      </c>
      <c r="D126" s="10" t="s">
        <v>346</v>
      </c>
      <c r="E126" s="11">
        <v>45920</v>
      </c>
      <c r="F126" s="14">
        <f t="shared" ca="1" si="15"/>
        <v>179</v>
      </c>
      <c r="G126" s="17">
        <v>599</v>
      </c>
      <c r="H126" s="17">
        <v>310</v>
      </c>
      <c r="I126" s="53">
        <f t="shared" si="16"/>
        <v>854</v>
      </c>
      <c r="J126" s="17">
        <v>900</v>
      </c>
      <c r="K126" s="66">
        <v>46</v>
      </c>
      <c r="L126" s="52">
        <f t="shared" ca="1" si="17"/>
        <v>0.25698324022346369</v>
      </c>
      <c r="M126" s="50">
        <f t="shared" si="18"/>
        <v>0.80451009251471861</v>
      </c>
      <c r="N126" s="52">
        <f t="shared" si="19"/>
        <v>0.1402439024390244</v>
      </c>
      <c r="O126" s="56">
        <f t="shared" si="20"/>
        <v>11.500000000000002</v>
      </c>
      <c r="P126" s="54">
        <f t="shared" si="21"/>
        <v>74.260869565217376</v>
      </c>
      <c r="Q126" s="55">
        <f t="shared" si="22"/>
        <v>48.247078464106849</v>
      </c>
      <c r="R126" s="55">
        <f t="shared" si="23"/>
        <v>5.1111111111111116</v>
      </c>
      <c r="S126" s="13">
        <f t="shared" si="24"/>
        <v>1</v>
      </c>
      <c r="T126" s="13">
        <f t="shared" si="25"/>
        <v>1</v>
      </c>
      <c r="U126" s="13">
        <f t="shared" si="26"/>
        <v>2</v>
      </c>
      <c r="V126" s="13">
        <f t="shared" ca="1" si="27"/>
        <v>3</v>
      </c>
      <c r="W126" s="13">
        <f t="shared" ca="1" si="28"/>
        <v>7</v>
      </c>
      <c r="X126" s="61" t="str">
        <f t="shared" ca="1" si="29"/>
        <v>MONITOR</v>
      </c>
    </row>
    <row r="127" spans="1:24" x14ac:dyDescent="0.35">
      <c r="A127" s="25" t="s">
        <v>141</v>
      </c>
      <c r="B127" s="10" t="s">
        <v>321</v>
      </c>
      <c r="C127" s="10" t="s">
        <v>342</v>
      </c>
      <c r="D127" s="10" t="s">
        <v>346</v>
      </c>
      <c r="E127" s="11">
        <v>45920</v>
      </c>
      <c r="F127" s="14">
        <f t="shared" ca="1" si="15"/>
        <v>179</v>
      </c>
      <c r="G127" s="17">
        <v>599</v>
      </c>
      <c r="H127" s="17">
        <v>310</v>
      </c>
      <c r="I127" s="53">
        <f t="shared" si="16"/>
        <v>837</v>
      </c>
      <c r="J127" s="17">
        <v>900</v>
      </c>
      <c r="K127" s="66">
        <v>63</v>
      </c>
      <c r="L127" s="52">
        <f t="shared" ca="1" si="17"/>
        <v>0.35195530726256985</v>
      </c>
      <c r="M127" s="50">
        <f t="shared" si="18"/>
        <v>0.80451009251471861</v>
      </c>
      <c r="N127" s="52">
        <f t="shared" si="19"/>
        <v>0.19207317073170732</v>
      </c>
      <c r="O127" s="56">
        <f t="shared" si="20"/>
        <v>15.75</v>
      </c>
      <c r="P127" s="54">
        <f t="shared" si="21"/>
        <v>53.142857142857146</v>
      </c>
      <c r="Q127" s="55">
        <f t="shared" si="22"/>
        <v>48.247078464106849</v>
      </c>
      <c r="R127" s="55">
        <f t="shared" si="23"/>
        <v>7.0000000000000009</v>
      </c>
      <c r="S127" s="13">
        <f t="shared" si="24"/>
        <v>1</v>
      </c>
      <c r="T127" s="13">
        <f t="shared" si="25"/>
        <v>1</v>
      </c>
      <c r="U127" s="13">
        <f t="shared" si="26"/>
        <v>2</v>
      </c>
      <c r="V127" s="13">
        <f t="shared" ca="1" si="27"/>
        <v>3</v>
      </c>
      <c r="W127" s="13">
        <f t="shared" ca="1" si="28"/>
        <v>7</v>
      </c>
      <c r="X127" s="61" t="str">
        <f t="shared" ca="1" si="29"/>
        <v>MONITOR</v>
      </c>
    </row>
    <row r="128" spans="1:24" x14ac:dyDescent="0.35">
      <c r="A128" s="25" t="s">
        <v>142</v>
      </c>
      <c r="B128" s="10" t="s">
        <v>321</v>
      </c>
      <c r="C128" s="10" t="s">
        <v>342</v>
      </c>
      <c r="D128" s="10" t="s">
        <v>346</v>
      </c>
      <c r="E128" s="11">
        <v>45892</v>
      </c>
      <c r="F128" s="14">
        <f t="shared" ca="1" si="15"/>
        <v>207</v>
      </c>
      <c r="G128" s="17">
        <v>799</v>
      </c>
      <c r="H128" s="17">
        <v>410</v>
      </c>
      <c r="I128" s="53">
        <f t="shared" si="16"/>
        <v>747</v>
      </c>
      <c r="J128" s="17">
        <v>1200</v>
      </c>
      <c r="K128" s="66">
        <v>453</v>
      </c>
      <c r="L128" s="52">
        <f t="shared" ca="1" si="17"/>
        <v>2.1884057971014492</v>
      </c>
      <c r="M128" s="50">
        <f t="shared" si="18"/>
        <v>0.80451009251471861</v>
      </c>
      <c r="N128" s="52">
        <f t="shared" si="19"/>
        <v>1.3810975609756098</v>
      </c>
      <c r="O128" s="56">
        <f t="shared" si="20"/>
        <v>113.25</v>
      </c>
      <c r="P128" s="54">
        <f t="shared" si="21"/>
        <v>6.5960264900662251</v>
      </c>
      <c r="Q128" s="55">
        <f t="shared" si="22"/>
        <v>48.685857321652065</v>
      </c>
      <c r="R128" s="55">
        <f t="shared" si="23"/>
        <v>37.75</v>
      </c>
      <c r="S128" s="13">
        <f t="shared" si="24"/>
        <v>3</v>
      </c>
      <c r="T128" s="13">
        <f t="shared" si="25"/>
        <v>1</v>
      </c>
      <c r="U128" s="13">
        <f t="shared" si="26"/>
        <v>2</v>
      </c>
      <c r="V128" s="13">
        <f t="shared" ca="1" si="27"/>
        <v>3</v>
      </c>
      <c r="W128" s="13">
        <f t="shared" ca="1" si="28"/>
        <v>9</v>
      </c>
      <c r="X128" s="61" t="str">
        <f t="shared" ca="1" si="29"/>
        <v>RE-BUY</v>
      </c>
    </row>
    <row r="129" spans="1:24" x14ac:dyDescent="0.35">
      <c r="A129" s="25" t="s">
        <v>143</v>
      </c>
      <c r="B129" s="10" t="s">
        <v>321</v>
      </c>
      <c r="C129" s="10" t="s">
        <v>342</v>
      </c>
      <c r="D129" s="10" t="s">
        <v>346</v>
      </c>
      <c r="E129" s="11">
        <v>45920</v>
      </c>
      <c r="F129" s="14">
        <f t="shared" ca="1" si="15"/>
        <v>179</v>
      </c>
      <c r="G129" s="17">
        <v>799</v>
      </c>
      <c r="H129" s="17">
        <v>410</v>
      </c>
      <c r="I129" s="53">
        <f t="shared" si="16"/>
        <v>933</v>
      </c>
      <c r="J129" s="17">
        <v>1200</v>
      </c>
      <c r="K129" s="66">
        <v>267</v>
      </c>
      <c r="L129" s="52">
        <f t="shared" ca="1" si="17"/>
        <v>1.4916201117318435</v>
      </c>
      <c r="M129" s="50">
        <f t="shared" si="18"/>
        <v>0.80451009251471861</v>
      </c>
      <c r="N129" s="52">
        <f t="shared" si="19"/>
        <v>0.81402439024390238</v>
      </c>
      <c r="O129" s="56">
        <f t="shared" si="20"/>
        <v>66.75</v>
      </c>
      <c r="P129" s="54">
        <f t="shared" si="21"/>
        <v>13.97752808988764</v>
      </c>
      <c r="Q129" s="55">
        <f t="shared" si="22"/>
        <v>48.685857321652065</v>
      </c>
      <c r="R129" s="55">
        <f t="shared" si="23"/>
        <v>22.25</v>
      </c>
      <c r="S129" s="13">
        <f t="shared" si="24"/>
        <v>3</v>
      </c>
      <c r="T129" s="13">
        <f t="shared" si="25"/>
        <v>1</v>
      </c>
      <c r="U129" s="13">
        <f t="shared" si="26"/>
        <v>2</v>
      </c>
      <c r="V129" s="13">
        <f t="shared" ca="1" si="27"/>
        <v>3</v>
      </c>
      <c r="W129" s="13">
        <f t="shared" ca="1" si="28"/>
        <v>9</v>
      </c>
      <c r="X129" s="61" t="str">
        <f t="shared" ca="1" si="29"/>
        <v>RE-BUY</v>
      </c>
    </row>
    <row r="130" spans="1:24" x14ac:dyDescent="0.35">
      <c r="A130" s="25" t="s">
        <v>144</v>
      </c>
      <c r="B130" s="10" t="s">
        <v>321</v>
      </c>
      <c r="C130" s="10" t="s">
        <v>342</v>
      </c>
      <c r="D130" s="10" t="s">
        <v>346</v>
      </c>
      <c r="E130" s="11">
        <v>45920</v>
      </c>
      <c r="F130" s="14">
        <f t="shared" ca="1" si="15"/>
        <v>179</v>
      </c>
      <c r="G130" s="17">
        <v>799</v>
      </c>
      <c r="H130" s="17">
        <v>410</v>
      </c>
      <c r="I130" s="53">
        <f t="shared" si="16"/>
        <v>1097</v>
      </c>
      <c r="J130" s="17">
        <v>1300</v>
      </c>
      <c r="K130" s="66">
        <v>203</v>
      </c>
      <c r="L130" s="52">
        <f t="shared" ca="1" si="17"/>
        <v>1.1340782122905029</v>
      </c>
      <c r="M130" s="50">
        <f t="shared" si="18"/>
        <v>0.80451009251471861</v>
      </c>
      <c r="N130" s="52">
        <f t="shared" si="19"/>
        <v>0.61890243902439024</v>
      </c>
      <c r="O130" s="56">
        <f t="shared" si="20"/>
        <v>50.75</v>
      </c>
      <c r="P130" s="54">
        <f t="shared" si="21"/>
        <v>21.615763546798028</v>
      </c>
      <c r="Q130" s="55">
        <f t="shared" si="22"/>
        <v>48.685857321652065</v>
      </c>
      <c r="R130" s="55">
        <f t="shared" si="23"/>
        <v>15.615384615384615</v>
      </c>
      <c r="S130" s="13">
        <f t="shared" si="24"/>
        <v>1</v>
      </c>
      <c r="T130" s="13">
        <f t="shared" si="25"/>
        <v>1</v>
      </c>
      <c r="U130" s="13">
        <f t="shared" si="26"/>
        <v>2</v>
      </c>
      <c r="V130" s="13">
        <f t="shared" ca="1" si="27"/>
        <v>3</v>
      </c>
      <c r="W130" s="13">
        <f t="shared" ca="1" si="28"/>
        <v>7</v>
      </c>
      <c r="X130" s="61" t="str">
        <f t="shared" ca="1" si="29"/>
        <v>MONITOR</v>
      </c>
    </row>
    <row r="131" spans="1:24" x14ac:dyDescent="0.35">
      <c r="A131" s="25" t="s">
        <v>145</v>
      </c>
      <c r="B131" s="10" t="s">
        <v>321</v>
      </c>
      <c r="C131" s="10" t="s">
        <v>342</v>
      </c>
      <c r="D131" s="10" t="s">
        <v>346</v>
      </c>
      <c r="E131" s="11">
        <v>45920</v>
      </c>
      <c r="F131" s="14">
        <f t="shared" ref="F131:F194" ca="1" si="30">TODAY()-E131</f>
        <v>179</v>
      </c>
      <c r="G131" s="17">
        <v>799</v>
      </c>
      <c r="H131" s="17">
        <v>410</v>
      </c>
      <c r="I131" s="53">
        <f t="shared" ref="I131:I194" si="31">J131-K131</f>
        <v>901</v>
      </c>
      <c r="J131" s="17">
        <v>1300</v>
      </c>
      <c r="K131" s="66">
        <v>399</v>
      </c>
      <c r="L131" s="52">
        <f t="shared" ref="L131:L194" ca="1" si="32">K131/F131</f>
        <v>2.2290502793296088</v>
      </c>
      <c r="M131" s="50">
        <f t="shared" ref="M131:M194" si="33">AVERAGEIFS(N:N,C:C,C131)</f>
        <v>0.80451009251471861</v>
      </c>
      <c r="N131" s="52">
        <f t="shared" ref="N131:N194" si="34">K131/328</f>
        <v>1.2164634146341464</v>
      </c>
      <c r="O131" s="56">
        <f t="shared" ref="O131:O194" si="35">N131*82</f>
        <v>99.75</v>
      </c>
      <c r="P131" s="54">
        <f t="shared" ref="P131:P194" si="36">I131/O131</f>
        <v>9.0325814536340854</v>
      </c>
      <c r="Q131" s="55">
        <f t="shared" ref="Q131:Q194" si="37">(G131-H131)/G131*100</f>
        <v>48.685857321652065</v>
      </c>
      <c r="R131" s="55">
        <f t="shared" ref="R131:R194" si="38">K131/J131*100</f>
        <v>30.69230769230769</v>
      </c>
      <c r="S131" s="13">
        <f t="shared" ref="S131:S194" si="39">IF(N131&gt;=M131,3,IF(N131&gt;=0.8*M131,2,1))</f>
        <v>3</v>
      </c>
      <c r="T131" s="13">
        <f t="shared" ref="T131:T194" si="40">IF(P131&lt;=4,3,IF(P131&lt;=6,2,1))</f>
        <v>1</v>
      </c>
      <c r="U131" s="13">
        <f t="shared" ref="U131:U194" si="41">IF(Q131&gt;=60,3,IF(Q131&gt;=45,2,1))</f>
        <v>2</v>
      </c>
      <c r="V131" s="13">
        <f t="shared" ref="V131:V194" ca="1" si="42">IF(L131&lt;=10,3,IF(L131&lt;=25,2,1))</f>
        <v>3</v>
      </c>
      <c r="W131" s="13">
        <f t="shared" ref="W131:W194" ca="1" si="43">S131+T131+U131+V131</f>
        <v>9</v>
      </c>
      <c r="X131" s="61" t="str">
        <f t="shared" ref="X131:X194" ca="1" si="44">IFERROR(IF(W131&gt;=9,"RE-BUY",IF(W131&gt;=6,"MONITOR","EXIT")),"EXIT")</f>
        <v>RE-BUY</v>
      </c>
    </row>
    <row r="132" spans="1:24" x14ac:dyDescent="0.35">
      <c r="A132" s="25" t="s">
        <v>146</v>
      </c>
      <c r="B132" s="10" t="s">
        <v>321</v>
      </c>
      <c r="C132" s="10" t="s">
        <v>342</v>
      </c>
      <c r="D132" s="10" t="s">
        <v>346</v>
      </c>
      <c r="E132" s="11">
        <v>45920</v>
      </c>
      <c r="F132" s="14">
        <f t="shared" ca="1" si="30"/>
        <v>179</v>
      </c>
      <c r="G132" s="17">
        <v>799</v>
      </c>
      <c r="H132" s="17">
        <v>410</v>
      </c>
      <c r="I132" s="53">
        <f t="shared" si="31"/>
        <v>1103</v>
      </c>
      <c r="J132" s="17">
        <v>1300</v>
      </c>
      <c r="K132" s="66">
        <v>197</v>
      </c>
      <c r="L132" s="52">
        <f t="shared" ca="1" si="32"/>
        <v>1.1005586592178771</v>
      </c>
      <c r="M132" s="50">
        <f t="shared" si="33"/>
        <v>0.80451009251471861</v>
      </c>
      <c r="N132" s="52">
        <f t="shared" si="34"/>
        <v>0.60060975609756095</v>
      </c>
      <c r="O132" s="56">
        <f t="shared" si="35"/>
        <v>49.25</v>
      </c>
      <c r="P132" s="54">
        <f t="shared" si="36"/>
        <v>22.395939086294415</v>
      </c>
      <c r="Q132" s="55">
        <f t="shared" si="37"/>
        <v>48.685857321652065</v>
      </c>
      <c r="R132" s="55">
        <f t="shared" si="38"/>
        <v>15.153846153846153</v>
      </c>
      <c r="S132" s="13">
        <f t="shared" si="39"/>
        <v>1</v>
      </c>
      <c r="T132" s="13">
        <f t="shared" si="40"/>
        <v>1</v>
      </c>
      <c r="U132" s="13">
        <f t="shared" si="41"/>
        <v>2</v>
      </c>
      <c r="V132" s="13">
        <f t="shared" ca="1" si="42"/>
        <v>3</v>
      </c>
      <c r="W132" s="13">
        <f t="shared" ca="1" si="43"/>
        <v>7</v>
      </c>
      <c r="X132" s="61" t="str">
        <f t="shared" ca="1" si="44"/>
        <v>MONITOR</v>
      </c>
    </row>
    <row r="133" spans="1:24" x14ac:dyDescent="0.35">
      <c r="A133" s="25" t="s">
        <v>147</v>
      </c>
      <c r="B133" s="10" t="s">
        <v>321</v>
      </c>
      <c r="C133" s="10" t="s">
        <v>342</v>
      </c>
      <c r="D133" s="10" t="s">
        <v>346</v>
      </c>
      <c r="E133" s="11">
        <v>45892</v>
      </c>
      <c r="F133" s="14">
        <f t="shared" ca="1" si="30"/>
        <v>207</v>
      </c>
      <c r="G133" s="17">
        <v>799</v>
      </c>
      <c r="H133" s="17">
        <v>410</v>
      </c>
      <c r="I133" s="53">
        <f t="shared" si="31"/>
        <v>978</v>
      </c>
      <c r="J133" s="17">
        <v>1300</v>
      </c>
      <c r="K133" s="66">
        <v>322</v>
      </c>
      <c r="L133" s="52">
        <f t="shared" ca="1" si="32"/>
        <v>1.5555555555555556</v>
      </c>
      <c r="M133" s="50">
        <f t="shared" si="33"/>
        <v>0.80451009251471861</v>
      </c>
      <c r="N133" s="52">
        <f t="shared" si="34"/>
        <v>0.98170731707317072</v>
      </c>
      <c r="O133" s="56">
        <f t="shared" si="35"/>
        <v>80.5</v>
      </c>
      <c r="P133" s="54">
        <f t="shared" si="36"/>
        <v>12.149068322981366</v>
      </c>
      <c r="Q133" s="55">
        <f t="shared" si="37"/>
        <v>48.685857321652065</v>
      </c>
      <c r="R133" s="55">
        <f t="shared" si="38"/>
        <v>24.76923076923077</v>
      </c>
      <c r="S133" s="13">
        <f t="shared" si="39"/>
        <v>3</v>
      </c>
      <c r="T133" s="13">
        <f t="shared" si="40"/>
        <v>1</v>
      </c>
      <c r="U133" s="13">
        <f t="shared" si="41"/>
        <v>2</v>
      </c>
      <c r="V133" s="13">
        <f t="shared" ca="1" si="42"/>
        <v>3</v>
      </c>
      <c r="W133" s="13">
        <f t="shared" ca="1" si="43"/>
        <v>9</v>
      </c>
      <c r="X133" s="61" t="str">
        <f t="shared" ca="1" si="44"/>
        <v>RE-BUY</v>
      </c>
    </row>
    <row r="134" spans="1:24" x14ac:dyDescent="0.35">
      <c r="A134" s="25" t="s">
        <v>148</v>
      </c>
      <c r="B134" s="10" t="s">
        <v>321</v>
      </c>
      <c r="C134" s="10" t="s">
        <v>342</v>
      </c>
      <c r="D134" s="10" t="s">
        <v>346</v>
      </c>
      <c r="E134" s="11">
        <v>45892</v>
      </c>
      <c r="F134" s="14">
        <f t="shared" ca="1" si="30"/>
        <v>207</v>
      </c>
      <c r="G134" s="17">
        <v>799</v>
      </c>
      <c r="H134" s="17">
        <v>410</v>
      </c>
      <c r="I134" s="53">
        <f t="shared" si="31"/>
        <v>943</v>
      </c>
      <c r="J134" s="17">
        <v>1100</v>
      </c>
      <c r="K134" s="66">
        <v>157</v>
      </c>
      <c r="L134" s="52">
        <f t="shared" ca="1" si="32"/>
        <v>0.75845410628019327</v>
      </c>
      <c r="M134" s="50">
        <f t="shared" si="33"/>
        <v>0.80451009251471861</v>
      </c>
      <c r="N134" s="52">
        <f t="shared" si="34"/>
        <v>0.47865853658536583</v>
      </c>
      <c r="O134" s="56">
        <f t="shared" si="35"/>
        <v>39.25</v>
      </c>
      <c r="P134" s="54">
        <f t="shared" si="36"/>
        <v>24.02547770700637</v>
      </c>
      <c r="Q134" s="55">
        <f t="shared" si="37"/>
        <v>48.685857321652065</v>
      </c>
      <c r="R134" s="55">
        <f t="shared" si="38"/>
        <v>14.272727272727273</v>
      </c>
      <c r="S134" s="13">
        <f t="shared" si="39"/>
        <v>1</v>
      </c>
      <c r="T134" s="13">
        <f t="shared" si="40"/>
        <v>1</v>
      </c>
      <c r="U134" s="13">
        <f t="shared" si="41"/>
        <v>2</v>
      </c>
      <c r="V134" s="13">
        <f t="shared" ca="1" si="42"/>
        <v>3</v>
      </c>
      <c r="W134" s="13">
        <f t="shared" ca="1" si="43"/>
        <v>7</v>
      </c>
      <c r="X134" s="61" t="str">
        <f t="shared" ca="1" si="44"/>
        <v>MONITOR</v>
      </c>
    </row>
    <row r="135" spans="1:24" x14ac:dyDescent="0.35">
      <c r="A135" s="25" t="s">
        <v>149</v>
      </c>
      <c r="B135" s="10" t="s">
        <v>321</v>
      </c>
      <c r="C135" s="10" t="s">
        <v>342</v>
      </c>
      <c r="D135" s="10" t="s">
        <v>346</v>
      </c>
      <c r="E135" s="11">
        <v>45864</v>
      </c>
      <c r="F135" s="14">
        <f t="shared" ca="1" si="30"/>
        <v>235</v>
      </c>
      <c r="G135" s="17">
        <v>799</v>
      </c>
      <c r="H135" s="17">
        <v>395</v>
      </c>
      <c r="I135" s="53">
        <f t="shared" si="31"/>
        <v>674</v>
      </c>
      <c r="J135" s="17">
        <v>750</v>
      </c>
      <c r="K135" s="66">
        <v>76</v>
      </c>
      <c r="L135" s="52">
        <f t="shared" ca="1" si="32"/>
        <v>0.32340425531914896</v>
      </c>
      <c r="M135" s="50">
        <f t="shared" si="33"/>
        <v>0.80451009251471861</v>
      </c>
      <c r="N135" s="52">
        <f t="shared" si="34"/>
        <v>0.23170731707317074</v>
      </c>
      <c r="O135" s="56">
        <f t="shared" si="35"/>
        <v>19</v>
      </c>
      <c r="P135" s="54">
        <f t="shared" si="36"/>
        <v>35.473684210526315</v>
      </c>
      <c r="Q135" s="55">
        <f t="shared" si="37"/>
        <v>50.563204005006256</v>
      </c>
      <c r="R135" s="55">
        <f t="shared" si="38"/>
        <v>10.133333333333333</v>
      </c>
      <c r="S135" s="13">
        <f t="shared" si="39"/>
        <v>1</v>
      </c>
      <c r="T135" s="13">
        <f t="shared" si="40"/>
        <v>1</v>
      </c>
      <c r="U135" s="13">
        <f t="shared" si="41"/>
        <v>2</v>
      </c>
      <c r="V135" s="13">
        <f t="shared" ca="1" si="42"/>
        <v>3</v>
      </c>
      <c r="W135" s="13">
        <f t="shared" ca="1" si="43"/>
        <v>7</v>
      </c>
      <c r="X135" s="61" t="str">
        <f t="shared" ca="1" si="44"/>
        <v>MONITOR</v>
      </c>
    </row>
    <row r="136" spans="1:24" x14ac:dyDescent="0.35">
      <c r="A136" s="25" t="s">
        <v>150</v>
      </c>
      <c r="B136" s="10" t="s">
        <v>321</v>
      </c>
      <c r="C136" s="10" t="s">
        <v>342</v>
      </c>
      <c r="D136" s="10" t="s">
        <v>346</v>
      </c>
      <c r="E136" s="11">
        <v>45864</v>
      </c>
      <c r="F136" s="14">
        <f t="shared" ca="1" si="30"/>
        <v>235</v>
      </c>
      <c r="G136" s="17">
        <v>799</v>
      </c>
      <c r="H136" s="17">
        <v>395</v>
      </c>
      <c r="I136" s="53">
        <f t="shared" si="31"/>
        <v>593</v>
      </c>
      <c r="J136" s="17">
        <v>750</v>
      </c>
      <c r="K136" s="66">
        <v>157</v>
      </c>
      <c r="L136" s="52">
        <f t="shared" ca="1" si="32"/>
        <v>0.66808510638297869</v>
      </c>
      <c r="M136" s="50">
        <f t="shared" si="33"/>
        <v>0.80451009251471861</v>
      </c>
      <c r="N136" s="52">
        <f t="shared" si="34"/>
        <v>0.47865853658536583</v>
      </c>
      <c r="O136" s="56">
        <f t="shared" si="35"/>
        <v>39.25</v>
      </c>
      <c r="P136" s="54">
        <f t="shared" si="36"/>
        <v>15.108280254777069</v>
      </c>
      <c r="Q136" s="55">
        <f t="shared" si="37"/>
        <v>50.563204005006256</v>
      </c>
      <c r="R136" s="55">
        <f t="shared" si="38"/>
        <v>20.933333333333334</v>
      </c>
      <c r="S136" s="13">
        <f t="shared" si="39"/>
        <v>1</v>
      </c>
      <c r="T136" s="13">
        <f t="shared" si="40"/>
        <v>1</v>
      </c>
      <c r="U136" s="13">
        <f t="shared" si="41"/>
        <v>2</v>
      </c>
      <c r="V136" s="13">
        <f t="shared" ca="1" si="42"/>
        <v>3</v>
      </c>
      <c r="W136" s="13">
        <f t="shared" ca="1" si="43"/>
        <v>7</v>
      </c>
      <c r="X136" s="61" t="str">
        <f t="shared" ca="1" si="44"/>
        <v>MONITOR</v>
      </c>
    </row>
    <row r="137" spans="1:24" x14ac:dyDescent="0.35">
      <c r="A137" s="25" t="s">
        <v>151</v>
      </c>
      <c r="B137" s="10" t="s">
        <v>327</v>
      </c>
      <c r="C137" s="10" t="s">
        <v>342</v>
      </c>
      <c r="D137" s="10" t="s">
        <v>346</v>
      </c>
      <c r="E137" s="11">
        <v>45892</v>
      </c>
      <c r="F137" s="14">
        <f t="shared" ca="1" si="30"/>
        <v>207</v>
      </c>
      <c r="G137" s="17">
        <v>799</v>
      </c>
      <c r="H137" s="17">
        <v>400</v>
      </c>
      <c r="I137" s="53">
        <f t="shared" si="31"/>
        <v>687</v>
      </c>
      <c r="J137" s="17">
        <v>1050</v>
      </c>
      <c r="K137" s="66">
        <v>363</v>
      </c>
      <c r="L137" s="52">
        <f t="shared" ca="1" si="32"/>
        <v>1.7536231884057971</v>
      </c>
      <c r="M137" s="50">
        <f t="shared" si="33"/>
        <v>0.80451009251471861</v>
      </c>
      <c r="N137" s="52">
        <f t="shared" si="34"/>
        <v>1.1067073170731707</v>
      </c>
      <c r="O137" s="56">
        <f t="shared" si="35"/>
        <v>90.75</v>
      </c>
      <c r="P137" s="54">
        <f t="shared" si="36"/>
        <v>7.5702479338842972</v>
      </c>
      <c r="Q137" s="55">
        <f t="shared" si="37"/>
        <v>49.937421777221523</v>
      </c>
      <c r="R137" s="55">
        <f t="shared" si="38"/>
        <v>34.571428571428569</v>
      </c>
      <c r="S137" s="13">
        <f t="shared" si="39"/>
        <v>3</v>
      </c>
      <c r="T137" s="13">
        <f t="shared" si="40"/>
        <v>1</v>
      </c>
      <c r="U137" s="13">
        <f t="shared" si="41"/>
        <v>2</v>
      </c>
      <c r="V137" s="13">
        <f t="shared" ca="1" si="42"/>
        <v>3</v>
      </c>
      <c r="W137" s="13">
        <f t="shared" ca="1" si="43"/>
        <v>9</v>
      </c>
      <c r="X137" s="61" t="str">
        <f t="shared" ca="1" si="44"/>
        <v>RE-BUY</v>
      </c>
    </row>
    <row r="138" spans="1:24" x14ac:dyDescent="0.35">
      <c r="A138" s="25" t="s">
        <v>152</v>
      </c>
      <c r="B138" s="10" t="s">
        <v>321</v>
      </c>
      <c r="C138" s="10" t="s">
        <v>342</v>
      </c>
      <c r="D138" s="10" t="s">
        <v>346</v>
      </c>
      <c r="E138" s="11">
        <v>45920</v>
      </c>
      <c r="F138" s="14">
        <f t="shared" ca="1" si="30"/>
        <v>179</v>
      </c>
      <c r="G138" s="17">
        <v>799</v>
      </c>
      <c r="H138" s="17">
        <v>410</v>
      </c>
      <c r="I138" s="53">
        <f t="shared" si="31"/>
        <v>567</v>
      </c>
      <c r="J138" s="17">
        <v>1200</v>
      </c>
      <c r="K138" s="66">
        <v>633</v>
      </c>
      <c r="L138" s="52">
        <f t="shared" ca="1" si="32"/>
        <v>3.5363128491620111</v>
      </c>
      <c r="M138" s="50">
        <f t="shared" si="33"/>
        <v>0.80451009251471861</v>
      </c>
      <c r="N138" s="52">
        <f t="shared" si="34"/>
        <v>1.9298780487804879</v>
      </c>
      <c r="O138" s="56">
        <f t="shared" si="35"/>
        <v>158.25</v>
      </c>
      <c r="P138" s="54">
        <f t="shared" si="36"/>
        <v>3.5829383886255926</v>
      </c>
      <c r="Q138" s="55">
        <f t="shared" si="37"/>
        <v>48.685857321652065</v>
      </c>
      <c r="R138" s="55">
        <f t="shared" si="38"/>
        <v>52.75</v>
      </c>
      <c r="S138" s="13">
        <f t="shared" si="39"/>
        <v>3</v>
      </c>
      <c r="T138" s="13">
        <f t="shared" si="40"/>
        <v>3</v>
      </c>
      <c r="U138" s="13">
        <f t="shared" si="41"/>
        <v>2</v>
      </c>
      <c r="V138" s="13">
        <f t="shared" ca="1" si="42"/>
        <v>3</v>
      </c>
      <c r="W138" s="13">
        <f t="shared" ca="1" si="43"/>
        <v>11</v>
      </c>
      <c r="X138" s="61" t="str">
        <f t="shared" ca="1" si="44"/>
        <v>RE-BUY</v>
      </c>
    </row>
    <row r="139" spans="1:24" x14ac:dyDescent="0.35">
      <c r="A139" s="25" t="s">
        <v>153</v>
      </c>
      <c r="B139" s="10" t="s">
        <v>321</v>
      </c>
      <c r="C139" s="10" t="s">
        <v>342</v>
      </c>
      <c r="D139" s="10" t="s">
        <v>346</v>
      </c>
      <c r="E139" s="11">
        <v>45920</v>
      </c>
      <c r="F139" s="14">
        <f t="shared" ca="1" si="30"/>
        <v>179</v>
      </c>
      <c r="G139" s="17">
        <v>799</v>
      </c>
      <c r="H139" s="17">
        <v>410</v>
      </c>
      <c r="I139" s="53">
        <f t="shared" si="31"/>
        <v>852</v>
      </c>
      <c r="J139" s="17">
        <v>1200</v>
      </c>
      <c r="K139" s="66">
        <v>348</v>
      </c>
      <c r="L139" s="52">
        <f t="shared" ca="1" si="32"/>
        <v>1.9441340782122905</v>
      </c>
      <c r="M139" s="50">
        <f t="shared" si="33"/>
        <v>0.80451009251471861</v>
      </c>
      <c r="N139" s="52">
        <f t="shared" si="34"/>
        <v>1.0609756097560976</v>
      </c>
      <c r="O139" s="56">
        <f t="shared" si="35"/>
        <v>87</v>
      </c>
      <c r="P139" s="54">
        <f t="shared" si="36"/>
        <v>9.7931034482758612</v>
      </c>
      <c r="Q139" s="55">
        <f t="shared" si="37"/>
        <v>48.685857321652065</v>
      </c>
      <c r="R139" s="55">
        <f t="shared" si="38"/>
        <v>28.999999999999996</v>
      </c>
      <c r="S139" s="13">
        <f t="shared" si="39"/>
        <v>3</v>
      </c>
      <c r="T139" s="13">
        <f t="shared" si="40"/>
        <v>1</v>
      </c>
      <c r="U139" s="13">
        <f t="shared" si="41"/>
        <v>2</v>
      </c>
      <c r="V139" s="13">
        <f t="shared" ca="1" si="42"/>
        <v>3</v>
      </c>
      <c r="W139" s="13">
        <f t="shared" ca="1" si="43"/>
        <v>9</v>
      </c>
      <c r="X139" s="61" t="str">
        <f t="shared" ca="1" si="44"/>
        <v>RE-BUY</v>
      </c>
    </row>
    <row r="140" spans="1:24" x14ac:dyDescent="0.35">
      <c r="A140" s="25" t="s">
        <v>154</v>
      </c>
      <c r="B140" s="10" t="s">
        <v>321</v>
      </c>
      <c r="C140" s="10" t="s">
        <v>342</v>
      </c>
      <c r="D140" s="10" t="s">
        <v>346</v>
      </c>
      <c r="E140" s="11">
        <v>45892</v>
      </c>
      <c r="F140" s="14">
        <f t="shared" ca="1" si="30"/>
        <v>207</v>
      </c>
      <c r="G140" s="17">
        <v>799</v>
      </c>
      <c r="H140" s="17">
        <v>439.00000000000006</v>
      </c>
      <c r="I140" s="53">
        <f t="shared" si="31"/>
        <v>784</v>
      </c>
      <c r="J140" s="17">
        <v>1050</v>
      </c>
      <c r="K140" s="66">
        <v>266</v>
      </c>
      <c r="L140" s="52">
        <f t="shared" ca="1" si="32"/>
        <v>1.2850241545893719</v>
      </c>
      <c r="M140" s="50">
        <f t="shared" si="33"/>
        <v>0.80451009251471861</v>
      </c>
      <c r="N140" s="52">
        <f t="shared" si="34"/>
        <v>0.81097560975609762</v>
      </c>
      <c r="O140" s="56">
        <f t="shared" si="35"/>
        <v>66.5</v>
      </c>
      <c r="P140" s="54">
        <f t="shared" si="36"/>
        <v>11.789473684210526</v>
      </c>
      <c r="Q140" s="55">
        <f t="shared" si="37"/>
        <v>45.056320400500624</v>
      </c>
      <c r="R140" s="55">
        <f t="shared" si="38"/>
        <v>25.333333333333336</v>
      </c>
      <c r="S140" s="13">
        <f t="shared" si="39"/>
        <v>3</v>
      </c>
      <c r="T140" s="13">
        <f t="shared" si="40"/>
        <v>1</v>
      </c>
      <c r="U140" s="13">
        <f t="shared" si="41"/>
        <v>2</v>
      </c>
      <c r="V140" s="13">
        <f t="shared" ca="1" si="42"/>
        <v>3</v>
      </c>
      <c r="W140" s="13">
        <f t="shared" ca="1" si="43"/>
        <v>9</v>
      </c>
      <c r="X140" s="61" t="str">
        <f t="shared" ca="1" si="44"/>
        <v>RE-BUY</v>
      </c>
    </row>
    <row r="141" spans="1:24" x14ac:dyDescent="0.35">
      <c r="A141" s="25" t="s">
        <v>155</v>
      </c>
      <c r="B141" s="10" t="s">
        <v>321</v>
      </c>
      <c r="C141" s="10" t="s">
        <v>342</v>
      </c>
      <c r="D141" s="10" t="s">
        <v>346</v>
      </c>
      <c r="E141" s="11">
        <v>45892</v>
      </c>
      <c r="F141" s="14">
        <f t="shared" ca="1" si="30"/>
        <v>207</v>
      </c>
      <c r="G141" s="17">
        <v>799</v>
      </c>
      <c r="H141" s="17">
        <v>439.00000000000006</v>
      </c>
      <c r="I141" s="53">
        <f t="shared" si="31"/>
        <v>685</v>
      </c>
      <c r="J141" s="17">
        <v>1050</v>
      </c>
      <c r="K141" s="66">
        <v>365</v>
      </c>
      <c r="L141" s="52">
        <f t="shared" ca="1" si="32"/>
        <v>1.7632850241545894</v>
      </c>
      <c r="M141" s="50">
        <f t="shared" si="33"/>
        <v>0.80451009251471861</v>
      </c>
      <c r="N141" s="52">
        <f t="shared" si="34"/>
        <v>1.1128048780487805</v>
      </c>
      <c r="O141" s="56">
        <f t="shared" si="35"/>
        <v>91.25</v>
      </c>
      <c r="P141" s="54">
        <f t="shared" si="36"/>
        <v>7.506849315068493</v>
      </c>
      <c r="Q141" s="55">
        <f t="shared" si="37"/>
        <v>45.056320400500624</v>
      </c>
      <c r="R141" s="55">
        <f t="shared" si="38"/>
        <v>34.761904761904759</v>
      </c>
      <c r="S141" s="13">
        <f t="shared" si="39"/>
        <v>3</v>
      </c>
      <c r="T141" s="13">
        <f t="shared" si="40"/>
        <v>1</v>
      </c>
      <c r="U141" s="13">
        <f t="shared" si="41"/>
        <v>2</v>
      </c>
      <c r="V141" s="13">
        <f t="shared" ca="1" si="42"/>
        <v>3</v>
      </c>
      <c r="W141" s="13">
        <f t="shared" ca="1" si="43"/>
        <v>9</v>
      </c>
      <c r="X141" s="61" t="str">
        <f t="shared" ca="1" si="44"/>
        <v>RE-BUY</v>
      </c>
    </row>
    <row r="142" spans="1:24" x14ac:dyDescent="0.35">
      <c r="A142" s="25" t="s">
        <v>156</v>
      </c>
      <c r="B142" s="10" t="s">
        <v>321</v>
      </c>
      <c r="C142" s="10" t="s">
        <v>342</v>
      </c>
      <c r="D142" s="10" t="s">
        <v>346</v>
      </c>
      <c r="E142" s="11">
        <v>45892</v>
      </c>
      <c r="F142" s="14">
        <f t="shared" ca="1" si="30"/>
        <v>207</v>
      </c>
      <c r="G142" s="17">
        <v>799</v>
      </c>
      <c r="H142" s="17">
        <v>439.00000000000006</v>
      </c>
      <c r="I142" s="53">
        <f t="shared" si="31"/>
        <v>940</v>
      </c>
      <c r="J142" s="17">
        <v>1050</v>
      </c>
      <c r="K142" s="66">
        <v>110</v>
      </c>
      <c r="L142" s="52">
        <f t="shared" ca="1" si="32"/>
        <v>0.53140096618357491</v>
      </c>
      <c r="M142" s="50">
        <f t="shared" si="33"/>
        <v>0.80451009251471861</v>
      </c>
      <c r="N142" s="52">
        <f t="shared" si="34"/>
        <v>0.33536585365853661</v>
      </c>
      <c r="O142" s="56">
        <f t="shared" si="35"/>
        <v>27.5</v>
      </c>
      <c r="P142" s="54">
        <f t="shared" si="36"/>
        <v>34.18181818181818</v>
      </c>
      <c r="Q142" s="55">
        <f t="shared" si="37"/>
        <v>45.056320400500624</v>
      </c>
      <c r="R142" s="55">
        <f t="shared" si="38"/>
        <v>10.476190476190476</v>
      </c>
      <c r="S142" s="13">
        <f t="shared" si="39"/>
        <v>1</v>
      </c>
      <c r="T142" s="13">
        <f t="shared" si="40"/>
        <v>1</v>
      </c>
      <c r="U142" s="13">
        <f t="shared" si="41"/>
        <v>2</v>
      </c>
      <c r="V142" s="13">
        <f t="shared" ca="1" si="42"/>
        <v>3</v>
      </c>
      <c r="W142" s="13">
        <f t="shared" ca="1" si="43"/>
        <v>7</v>
      </c>
      <c r="X142" s="61" t="str">
        <f t="shared" ca="1" si="44"/>
        <v>MONITOR</v>
      </c>
    </row>
    <row r="143" spans="1:24" x14ac:dyDescent="0.35">
      <c r="A143" s="25" t="s">
        <v>157</v>
      </c>
      <c r="B143" s="10" t="s">
        <v>321</v>
      </c>
      <c r="C143" s="10" t="s">
        <v>342</v>
      </c>
      <c r="D143" s="10" t="s">
        <v>346</v>
      </c>
      <c r="E143" s="11">
        <v>45892</v>
      </c>
      <c r="F143" s="14">
        <f t="shared" ca="1" si="30"/>
        <v>207</v>
      </c>
      <c r="G143" s="17">
        <v>799</v>
      </c>
      <c r="H143" s="17">
        <v>439.00000000000006</v>
      </c>
      <c r="I143" s="53">
        <f t="shared" si="31"/>
        <v>890</v>
      </c>
      <c r="J143" s="17">
        <v>1050</v>
      </c>
      <c r="K143" s="66">
        <v>160</v>
      </c>
      <c r="L143" s="52">
        <f t="shared" ca="1" si="32"/>
        <v>0.77294685990338163</v>
      </c>
      <c r="M143" s="50">
        <f t="shared" si="33"/>
        <v>0.80451009251471861</v>
      </c>
      <c r="N143" s="52">
        <f t="shared" si="34"/>
        <v>0.48780487804878048</v>
      </c>
      <c r="O143" s="56">
        <f t="shared" si="35"/>
        <v>40</v>
      </c>
      <c r="P143" s="54">
        <f t="shared" si="36"/>
        <v>22.25</v>
      </c>
      <c r="Q143" s="55">
        <f t="shared" si="37"/>
        <v>45.056320400500624</v>
      </c>
      <c r="R143" s="55">
        <f t="shared" si="38"/>
        <v>15.238095238095239</v>
      </c>
      <c r="S143" s="13">
        <f t="shared" si="39"/>
        <v>1</v>
      </c>
      <c r="T143" s="13">
        <f t="shared" si="40"/>
        <v>1</v>
      </c>
      <c r="U143" s="13">
        <f t="shared" si="41"/>
        <v>2</v>
      </c>
      <c r="V143" s="13">
        <f t="shared" ca="1" si="42"/>
        <v>3</v>
      </c>
      <c r="W143" s="13">
        <f t="shared" ca="1" si="43"/>
        <v>7</v>
      </c>
      <c r="X143" s="61" t="str">
        <f t="shared" ca="1" si="44"/>
        <v>MONITOR</v>
      </c>
    </row>
    <row r="144" spans="1:24" x14ac:dyDescent="0.35">
      <c r="A144" s="25" t="s">
        <v>158</v>
      </c>
      <c r="B144" s="10" t="s">
        <v>321</v>
      </c>
      <c r="C144" s="10" t="s">
        <v>342</v>
      </c>
      <c r="D144" s="10" t="s">
        <v>346</v>
      </c>
      <c r="E144" s="11">
        <v>45864</v>
      </c>
      <c r="F144" s="14">
        <f t="shared" ca="1" si="30"/>
        <v>235</v>
      </c>
      <c r="G144" s="17">
        <v>999</v>
      </c>
      <c r="H144" s="17">
        <v>485</v>
      </c>
      <c r="I144" s="53">
        <f t="shared" si="31"/>
        <v>822</v>
      </c>
      <c r="J144" s="17">
        <v>1000</v>
      </c>
      <c r="K144" s="66">
        <v>178</v>
      </c>
      <c r="L144" s="52">
        <f t="shared" ca="1" si="32"/>
        <v>0.75744680851063828</v>
      </c>
      <c r="M144" s="50">
        <f t="shared" si="33"/>
        <v>0.80451009251471861</v>
      </c>
      <c r="N144" s="52">
        <f t="shared" si="34"/>
        <v>0.54268292682926833</v>
      </c>
      <c r="O144" s="56">
        <f t="shared" si="35"/>
        <v>44.5</v>
      </c>
      <c r="P144" s="54">
        <f t="shared" si="36"/>
        <v>18.471910112359552</v>
      </c>
      <c r="Q144" s="55">
        <f t="shared" si="37"/>
        <v>51.451451451451447</v>
      </c>
      <c r="R144" s="55">
        <f t="shared" si="38"/>
        <v>17.8</v>
      </c>
      <c r="S144" s="13">
        <f t="shared" si="39"/>
        <v>1</v>
      </c>
      <c r="T144" s="13">
        <f t="shared" si="40"/>
        <v>1</v>
      </c>
      <c r="U144" s="13">
        <f t="shared" si="41"/>
        <v>2</v>
      </c>
      <c r="V144" s="13">
        <f t="shared" ca="1" si="42"/>
        <v>3</v>
      </c>
      <c r="W144" s="13">
        <f t="shared" ca="1" si="43"/>
        <v>7</v>
      </c>
      <c r="X144" s="61" t="str">
        <f t="shared" ca="1" si="44"/>
        <v>MONITOR</v>
      </c>
    </row>
    <row r="145" spans="1:24" x14ac:dyDescent="0.35">
      <c r="A145" s="25" t="s">
        <v>159</v>
      </c>
      <c r="B145" s="10" t="s">
        <v>321</v>
      </c>
      <c r="C145" s="10" t="s">
        <v>342</v>
      </c>
      <c r="D145" s="10" t="s">
        <v>346</v>
      </c>
      <c r="E145" s="11">
        <v>45864</v>
      </c>
      <c r="F145" s="14">
        <f t="shared" ca="1" si="30"/>
        <v>235</v>
      </c>
      <c r="G145" s="17">
        <v>999</v>
      </c>
      <c r="H145" s="17">
        <v>485</v>
      </c>
      <c r="I145" s="53">
        <f t="shared" si="31"/>
        <v>870</v>
      </c>
      <c r="J145" s="17">
        <v>1000</v>
      </c>
      <c r="K145" s="66">
        <v>130</v>
      </c>
      <c r="L145" s="52">
        <f t="shared" ca="1" si="32"/>
        <v>0.55319148936170215</v>
      </c>
      <c r="M145" s="50">
        <f t="shared" si="33"/>
        <v>0.80451009251471861</v>
      </c>
      <c r="N145" s="52">
        <f t="shared" si="34"/>
        <v>0.39634146341463417</v>
      </c>
      <c r="O145" s="56">
        <f t="shared" si="35"/>
        <v>32.5</v>
      </c>
      <c r="P145" s="54">
        <f t="shared" si="36"/>
        <v>26.76923076923077</v>
      </c>
      <c r="Q145" s="55">
        <f t="shared" si="37"/>
        <v>51.451451451451447</v>
      </c>
      <c r="R145" s="55">
        <f t="shared" si="38"/>
        <v>13</v>
      </c>
      <c r="S145" s="13">
        <f t="shared" si="39"/>
        <v>1</v>
      </c>
      <c r="T145" s="13">
        <f t="shared" si="40"/>
        <v>1</v>
      </c>
      <c r="U145" s="13">
        <f t="shared" si="41"/>
        <v>2</v>
      </c>
      <c r="V145" s="13">
        <f t="shared" ca="1" si="42"/>
        <v>3</v>
      </c>
      <c r="W145" s="13">
        <f t="shared" ca="1" si="43"/>
        <v>7</v>
      </c>
      <c r="X145" s="61" t="str">
        <f t="shared" ca="1" si="44"/>
        <v>MONITOR</v>
      </c>
    </row>
    <row r="146" spans="1:24" x14ac:dyDescent="0.35">
      <c r="A146" s="25" t="s">
        <v>160</v>
      </c>
      <c r="B146" s="10" t="s">
        <v>321</v>
      </c>
      <c r="C146" s="10" t="s">
        <v>342</v>
      </c>
      <c r="D146" s="10" t="s">
        <v>346</v>
      </c>
      <c r="E146" s="11">
        <v>45864</v>
      </c>
      <c r="F146" s="14">
        <f t="shared" ca="1" si="30"/>
        <v>235</v>
      </c>
      <c r="G146" s="17">
        <v>999</v>
      </c>
      <c r="H146" s="17">
        <v>485</v>
      </c>
      <c r="I146" s="53">
        <f t="shared" si="31"/>
        <v>885</v>
      </c>
      <c r="J146" s="17">
        <v>1000</v>
      </c>
      <c r="K146" s="66">
        <v>115</v>
      </c>
      <c r="L146" s="52">
        <f t="shared" ca="1" si="32"/>
        <v>0.48936170212765956</v>
      </c>
      <c r="M146" s="50">
        <f t="shared" si="33"/>
        <v>0.80451009251471861</v>
      </c>
      <c r="N146" s="52">
        <f t="shared" si="34"/>
        <v>0.35060975609756095</v>
      </c>
      <c r="O146" s="56">
        <f t="shared" si="35"/>
        <v>28.75</v>
      </c>
      <c r="P146" s="54">
        <f t="shared" si="36"/>
        <v>30.782608695652176</v>
      </c>
      <c r="Q146" s="55">
        <f t="shared" si="37"/>
        <v>51.451451451451447</v>
      </c>
      <c r="R146" s="55">
        <f t="shared" si="38"/>
        <v>11.5</v>
      </c>
      <c r="S146" s="13">
        <f t="shared" si="39"/>
        <v>1</v>
      </c>
      <c r="T146" s="13">
        <f t="shared" si="40"/>
        <v>1</v>
      </c>
      <c r="U146" s="13">
        <f t="shared" si="41"/>
        <v>2</v>
      </c>
      <c r="V146" s="13">
        <f t="shared" ca="1" si="42"/>
        <v>3</v>
      </c>
      <c r="W146" s="13">
        <f t="shared" ca="1" si="43"/>
        <v>7</v>
      </c>
      <c r="X146" s="61" t="str">
        <f t="shared" ca="1" si="44"/>
        <v>MONITOR</v>
      </c>
    </row>
    <row r="147" spans="1:24" x14ac:dyDescent="0.35">
      <c r="A147" s="25" t="s">
        <v>161</v>
      </c>
      <c r="B147" s="10" t="s">
        <v>321</v>
      </c>
      <c r="C147" s="10" t="s">
        <v>342</v>
      </c>
      <c r="D147" s="10" t="s">
        <v>346</v>
      </c>
      <c r="E147" s="11">
        <v>45864</v>
      </c>
      <c r="F147" s="14">
        <f t="shared" ca="1" si="30"/>
        <v>235</v>
      </c>
      <c r="G147" s="17">
        <v>999</v>
      </c>
      <c r="H147" s="17">
        <v>485</v>
      </c>
      <c r="I147" s="53">
        <f t="shared" si="31"/>
        <v>998</v>
      </c>
      <c r="J147" s="17">
        <v>1000</v>
      </c>
      <c r="K147" s="66">
        <v>2</v>
      </c>
      <c r="L147" s="52">
        <f t="shared" ca="1" si="32"/>
        <v>8.5106382978723406E-3</v>
      </c>
      <c r="M147" s="50">
        <f t="shared" si="33"/>
        <v>0.80451009251471861</v>
      </c>
      <c r="N147" s="52">
        <f t="shared" si="34"/>
        <v>6.0975609756097563E-3</v>
      </c>
      <c r="O147" s="56">
        <f t="shared" si="35"/>
        <v>0.5</v>
      </c>
      <c r="P147" s="54">
        <f t="shared" si="36"/>
        <v>1996</v>
      </c>
      <c r="Q147" s="55">
        <f t="shared" si="37"/>
        <v>51.451451451451447</v>
      </c>
      <c r="R147" s="55">
        <f t="shared" si="38"/>
        <v>0.2</v>
      </c>
      <c r="S147" s="13">
        <f t="shared" si="39"/>
        <v>1</v>
      </c>
      <c r="T147" s="13">
        <f t="shared" si="40"/>
        <v>1</v>
      </c>
      <c r="U147" s="13">
        <f t="shared" si="41"/>
        <v>2</v>
      </c>
      <c r="V147" s="13">
        <f t="shared" ca="1" si="42"/>
        <v>3</v>
      </c>
      <c r="W147" s="13">
        <f t="shared" ca="1" si="43"/>
        <v>7</v>
      </c>
      <c r="X147" s="61" t="str">
        <f t="shared" ca="1" si="44"/>
        <v>MONITOR</v>
      </c>
    </row>
    <row r="148" spans="1:24" x14ac:dyDescent="0.35">
      <c r="A148" s="25" t="s">
        <v>162</v>
      </c>
      <c r="B148" s="10" t="s">
        <v>321</v>
      </c>
      <c r="C148" s="10" t="s">
        <v>342</v>
      </c>
      <c r="D148" s="10" t="s">
        <v>346</v>
      </c>
      <c r="E148" s="11">
        <v>45927</v>
      </c>
      <c r="F148" s="14">
        <f t="shared" ca="1" si="30"/>
        <v>172</v>
      </c>
      <c r="G148" s="17">
        <v>599</v>
      </c>
      <c r="H148" s="17">
        <v>290</v>
      </c>
      <c r="I148" s="53">
        <f t="shared" si="31"/>
        <v>799</v>
      </c>
      <c r="J148" s="17">
        <v>900</v>
      </c>
      <c r="K148" s="66">
        <v>101</v>
      </c>
      <c r="L148" s="52">
        <f t="shared" ca="1" si="32"/>
        <v>0.58720930232558144</v>
      </c>
      <c r="M148" s="50">
        <f t="shared" si="33"/>
        <v>0.80451009251471861</v>
      </c>
      <c r="N148" s="52">
        <f t="shared" si="34"/>
        <v>0.30792682926829268</v>
      </c>
      <c r="O148" s="56">
        <f t="shared" si="35"/>
        <v>25.25</v>
      </c>
      <c r="P148" s="54">
        <f t="shared" si="36"/>
        <v>31.643564356435643</v>
      </c>
      <c r="Q148" s="55">
        <f t="shared" si="37"/>
        <v>51.58597662771286</v>
      </c>
      <c r="R148" s="55">
        <f t="shared" si="38"/>
        <v>11.222222222222221</v>
      </c>
      <c r="S148" s="13">
        <f t="shared" si="39"/>
        <v>1</v>
      </c>
      <c r="T148" s="13">
        <f t="shared" si="40"/>
        <v>1</v>
      </c>
      <c r="U148" s="13">
        <f t="shared" si="41"/>
        <v>2</v>
      </c>
      <c r="V148" s="13">
        <f t="shared" ca="1" si="42"/>
        <v>3</v>
      </c>
      <c r="W148" s="13">
        <f t="shared" ca="1" si="43"/>
        <v>7</v>
      </c>
      <c r="X148" s="61" t="str">
        <f t="shared" ca="1" si="44"/>
        <v>MONITOR</v>
      </c>
    </row>
    <row r="149" spans="1:24" x14ac:dyDescent="0.35">
      <c r="A149" s="25" t="s">
        <v>163</v>
      </c>
      <c r="B149" s="10" t="s">
        <v>319</v>
      </c>
      <c r="C149" s="10" t="s">
        <v>342</v>
      </c>
      <c r="D149" s="10" t="s">
        <v>346</v>
      </c>
      <c r="E149" s="11">
        <v>45892</v>
      </c>
      <c r="F149" s="14">
        <f t="shared" ca="1" si="30"/>
        <v>207</v>
      </c>
      <c r="G149" s="17">
        <v>499</v>
      </c>
      <c r="H149" s="17">
        <v>259</v>
      </c>
      <c r="I149" s="53">
        <f t="shared" si="31"/>
        <v>982</v>
      </c>
      <c r="J149" s="17">
        <v>1050</v>
      </c>
      <c r="K149" s="66">
        <v>68</v>
      </c>
      <c r="L149" s="52">
        <f t="shared" ca="1" si="32"/>
        <v>0.32850241545893721</v>
      </c>
      <c r="M149" s="50">
        <f t="shared" si="33"/>
        <v>0.80451009251471861</v>
      </c>
      <c r="N149" s="52">
        <f t="shared" si="34"/>
        <v>0.2073170731707317</v>
      </c>
      <c r="O149" s="56">
        <f t="shared" si="35"/>
        <v>17</v>
      </c>
      <c r="P149" s="54">
        <f t="shared" si="36"/>
        <v>57.764705882352942</v>
      </c>
      <c r="Q149" s="55">
        <f t="shared" si="37"/>
        <v>48.096192384769537</v>
      </c>
      <c r="R149" s="55">
        <f t="shared" si="38"/>
        <v>6.4761904761904754</v>
      </c>
      <c r="S149" s="13">
        <f t="shared" si="39"/>
        <v>1</v>
      </c>
      <c r="T149" s="13">
        <f t="shared" si="40"/>
        <v>1</v>
      </c>
      <c r="U149" s="13">
        <f t="shared" si="41"/>
        <v>2</v>
      </c>
      <c r="V149" s="13">
        <f t="shared" ca="1" si="42"/>
        <v>3</v>
      </c>
      <c r="W149" s="13">
        <f t="shared" ca="1" si="43"/>
        <v>7</v>
      </c>
      <c r="X149" s="61" t="str">
        <f t="shared" ca="1" si="44"/>
        <v>MONITOR</v>
      </c>
    </row>
    <row r="150" spans="1:24" x14ac:dyDescent="0.35">
      <c r="A150" s="25" t="s">
        <v>164</v>
      </c>
      <c r="B150" s="10" t="s">
        <v>319</v>
      </c>
      <c r="C150" s="10" t="s">
        <v>342</v>
      </c>
      <c r="D150" s="10" t="s">
        <v>346</v>
      </c>
      <c r="E150" s="11">
        <v>45892</v>
      </c>
      <c r="F150" s="14">
        <f t="shared" ca="1" si="30"/>
        <v>207</v>
      </c>
      <c r="G150" s="17">
        <v>499</v>
      </c>
      <c r="H150" s="17">
        <v>259</v>
      </c>
      <c r="I150" s="53">
        <f t="shared" si="31"/>
        <v>929</v>
      </c>
      <c r="J150" s="17">
        <v>1050</v>
      </c>
      <c r="K150" s="66">
        <v>121</v>
      </c>
      <c r="L150" s="52">
        <f t="shared" ca="1" si="32"/>
        <v>0.58454106280193241</v>
      </c>
      <c r="M150" s="50">
        <f t="shared" si="33"/>
        <v>0.80451009251471861</v>
      </c>
      <c r="N150" s="52">
        <f t="shared" si="34"/>
        <v>0.36890243902439024</v>
      </c>
      <c r="O150" s="56">
        <f t="shared" si="35"/>
        <v>30.25</v>
      </c>
      <c r="P150" s="54">
        <f t="shared" si="36"/>
        <v>30.710743801652892</v>
      </c>
      <c r="Q150" s="55">
        <f t="shared" si="37"/>
        <v>48.096192384769537</v>
      </c>
      <c r="R150" s="55">
        <f t="shared" si="38"/>
        <v>11.523809523809524</v>
      </c>
      <c r="S150" s="13">
        <f t="shared" si="39"/>
        <v>1</v>
      </c>
      <c r="T150" s="13">
        <f t="shared" si="40"/>
        <v>1</v>
      </c>
      <c r="U150" s="13">
        <f t="shared" si="41"/>
        <v>2</v>
      </c>
      <c r="V150" s="13">
        <f t="shared" ca="1" si="42"/>
        <v>3</v>
      </c>
      <c r="W150" s="13">
        <f t="shared" ca="1" si="43"/>
        <v>7</v>
      </c>
      <c r="X150" s="61" t="str">
        <f t="shared" ca="1" si="44"/>
        <v>MONITOR</v>
      </c>
    </row>
    <row r="151" spans="1:24" x14ac:dyDescent="0.35">
      <c r="A151" s="25" t="s">
        <v>165</v>
      </c>
      <c r="B151" s="10" t="s">
        <v>326</v>
      </c>
      <c r="C151" s="10" t="s">
        <v>342</v>
      </c>
      <c r="D151" s="10" t="s">
        <v>346</v>
      </c>
      <c r="E151" s="11">
        <v>45864</v>
      </c>
      <c r="F151" s="14">
        <f t="shared" ca="1" si="30"/>
        <v>235</v>
      </c>
      <c r="G151" s="17">
        <v>799</v>
      </c>
      <c r="H151" s="17">
        <v>400</v>
      </c>
      <c r="I151" s="53">
        <f t="shared" si="31"/>
        <v>927</v>
      </c>
      <c r="J151" s="17">
        <v>1050</v>
      </c>
      <c r="K151" s="66">
        <v>123</v>
      </c>
      <c r="L151" s="52">
        <f t="shared" ca="1" si="32"/>
        <v>0.52340425531914891</v>
      </c>
      <c r="M151" s="50">
        <f t="shared" si="33"/>
        <v>0.80451009251471861</v>
      </c>
      <c r="N151" s="52">
        <f t="shared" si="34"/>
        <v>0.375</v>
      </c>
      <c r="O151" s="56">
        <f t="shared" si="35"/>
        <v>30.75</v>
      </c>
      <c r="P151" s="54">
        <f t="shared" si="36"/>
        <v>30.146341463414632</v>
      </c>
      <c r="Q151" s="55">
        <f t="shared" si="37"/>
        <v>49.937421777221523</v>
      </c>
      <c r="R151" s="55">
        <f t="shared" si="38"/>
        <v>11.714285714285715</v>
      </c>
      <c r="S151" s="13">
        <f t="shared" si="39"/>
        <v>1</v>
      </c>
      <c r="T151" s="13">
        <f t="shared" si="40"/>
        <v>1</v>
      </c>
      <c r="U151" s="13">
        <f t="shared" si="41"/>
        <v>2</v>
      </c>
      <c r="V151" s="13">
        <f t="shared" ca="1" si="42"/>
        <v>3</v>
      </c>
      <c r="W151" s="13">
        <f t="shared" ca="1" si="43"/>
        <v>7</v>
      </c>
      <c r="X151" s="61" t="str">
        <f t="shared" ca="1" si="44"/>
        <v>MONITOR</v>
      </c>
    </row>
    <row r="152" spans="1:24" x14ac:dyDescent="0.35">
      <c r="A152" s="25" t="s">
        <v>166</v>
      </c>
      <c r="B152" s="10" t="s">
        <v>326</v>
      </c>
      <c r="C152" s="10" t="s">
        <v>342</v>
      </c>
      <c r="D152" s="10" t="s">
        <v>346</v>
      </c>
      <c r="E152" s="11">
        <v>45920</v>
      </c>
      <c r="F152" s="14">
        <f t="shared" ca="1" si="30"/>
        <v>179</v>
      </c>
      <c r="G152" s="17">
        <v>799</v>
      </c>
      <c r="H152" s="17">
        <v>400</v>
      </c>
      <c r="I152" s="53">
        <f t="shared" si="31"/>
        <v>927</v>
      </c>
      <c r="J152" s="17">
        <v>1050</v>
      </c>
      <c r="K152" s="66">
        <v>123</v>
      </c>
      <c r="L152" s="52">
        <f t="shared" ca="1" si="32"/>
        <v>0.68715083798882681</v>
      </c>
      <c r="M152" s="50">
        <f t="shared" si="33"/>
        <v>0.80451009251471861</v>
      </c>
      <c r="N152" s="52">
        <f t="shared" si="34"/>
        <v>0.375</v>
      </c>
      <c r="O152" s="56">
        <f t="shared" si="35"/>
        <v>30.75</v>
      </c>
      <c r="P152" s="54">
        <f t="shared" si="36"/>
        <v>30.146341463414632</v>
      </c>
      <c r="Q152" s="55">
        <f t="shared" si="37"/>
        <v>49.937421777221523</v>
      </c>
      <c r="R152" s="55">
        <f t="shared" si="38"/>
        <v>11.714285714285715</v>
      </c>
      <c r="S152" s="13">
        <f t="shared" si="39"/>
        <v>1</v>
      </c>
      <c r="T152" s="13">
        <f t="shared" si="40"/>
        <v>1</v>
      </c>
      <c r="U152" s="13">
        <f t="shared" si="41"/>
        <v>2</v>
      </c>
      <c r="V152" s="13">
        <f t="shared" ca="1" si="42"/>
        <v>3</v>
      </c>
      <c r="W152" s="13">
        <f t="shared" ca="1" si="43"/>
        <v>7</v>
      </c>
      <c r="X152" s="61" t="str">
        <f t="shared" ca="1" si="44"/>
        <v>MONITOR</v>
      </c>
    </row>
    <row r="153" spans="1:24" x14ac:dyDescent="0.35">
      <c r="A153" s="25" t="s">
        <v>167</v>
      </c>
      <c r="B153" s="15" t="s">
        <v>323</v>
      </c>
      <c r="C153" s="10" t="s">
        <v>342</v>
      </c>
      <c r="D153" s="10" t="s">
        <v>346</v>
      </c>
      <c r="E153" s="11">
        <v>45878</v>
      </c>
      <c r="F153" s="14">
        <f t="shared" ca="1" si="30"/>
        <v>221</v>
      </c>
      <c r="G153" s="17">
        <v>599</v>
      </c>
      <c r="H153" s="17">
        <v>280</v>
      </c>
      <c r="I153" s="53">
        <f t="shared" si="31"/>
        <v>916</v>
      </c>
      <c r="J153" s="17">
        <v>1000</v>
      </c>
      <c r="K153" s="66">
        <v>84</v>
      </c>
      <c r="L153" s="52">
        <f t="shared" ca="1" si="32"/>
        <v>0.38009049773755654</v>
      </c>
      <c r="M153" s="50">
        <f t="shared" si="33"/>
        <v>0.80451009251471861</v>
      </c>
      <c r="N153" s="52">
        <f t="shared" si="34"/>
        <v>0.25609756097560976</v>
      </c>
      <c r="O153" s="56">
        <f t="shared" si="35"/>
        <v>21</v>
      </c>
      <c r="P153" s="54">
        <f t="shared" si="36"/>
        <v>43.61904761904762</v>
      </c>
      <c r="Q153" s="55">
        <f t="shared" si="37"/>
        <v>53.255425709515855</v>
      </c>
      <c r="R153" s="55">
        <f t="shared" si="38"/>
        <v>8.4</v>
      </c>
      <c r="S153" s="13">
        <f t="shared" si="39"/>
        <v>1</v>
      </c>
      <c r="T153" s="13">
        <f t="shared" si="40"/>
        <v>1</v>
      </c>
      <c r="U153" s="13">
        <f t="shared" si="41"/>
        <v>2</v>
      </c>
      <c r="V153" s="13">
        <f t="shared" ca="1" si="42"/>
        <v>3</v>
      </c>
      <c r="W153" s="13">
        <f t="shared" ca="1" si="43"/>
        <v>7</v>
      </c>
      <c r="X153" s="61" t="str">
        <f t="shared" ca="1" si="44"/>
        <v>MONITOR</v>
      </c>
    </row>
    <row r="154" spans="1:24" x14ac:dyDescent="0.35">
      <c r="A154" s="25" t="s">
        <v>168</v>
      </c>
      <c r="B154" s="15" t="s">
        <v>323</v>
      </c>
      <c r="C154" s="10" t="s">
        <v>342</v>
      </c>
      <c r="D154" s="10" t="s">
        <v>346</v>
      </c>
      <c r="E154" s="11">
        <v>45878</v>
      </c>
      <c r="F154" s="14">
        <f t="shared" ca="1" si="30"/>
        <v>221</v>
      </c>
      <c r="G154" s="17">
        <v>599</v>
      </c>
      <c r="H154" s="17">
        <v>280</v>
      </c>
      <c r="I154" s="53">
        <f t="shared" si="31"/>
        <v>919</v>
      </c>
      <c r="J154" s="17">
        <v>1000</v>
      </c>
      <c r="K154" s="66">
        <v>81</v>
      </c>
      <c r="L154" s="52">
        <f t="shared" ca="1" si="32"/>
        <v>0.36651583710407237</v>
      </c>
      <c r="M154" s="50">
        <f t="shared" si="33"/>
        <v>0.80451009251471861</v>
      </c>
      <c r="N154" s="52">
        <f t="shared" si="34"/>
        <v>0.24695121951219512</v>
      </c>
      <c r="O154" s="56">
        <f t="shared" si="35"/>
        <v>20.25</v>
      </c>
      <c r="P154" s="54">
        <f t="shared" si="36"/>
        <v>45.382716049382715</v>
      </c>
      <c r="Q154" s="55">
        <f t="shared" si="37"/>
        <v>53.255425709515855</v>
      </c>
      <c r="R154" s="55">
        <f t="shared" si="38"/>
        <v>8.1</v>
      </c>
      <c r="S154" s="13">
        <f t="shared" si="39"/>
        <v>1</v>
      </c>
      <c r="T154" s="13">
        <f t="shared" si="40"/>
        <v>1</v>
      </c>
      <c r="U154" s="13">
        <f t="shared" si="41"/>
        <v>2</v>
      </c>
      <c r="V154" s="13">
        <f t="shared" ca="1" si="42"/>
        <v>3</v>
      </c>
      <c r="W154" s="13">
        <f t="shared" ca="1" si="43"/>
        <v>7</v>
      </c>
      <c r="X154" s="61" t="str">
        <f t="shared" ca="1" si="44"/>
        <v>MONITOR</v>
      </c>
    </row>
    <row r="155" spans="1:24" x14ac:dyDescent="0.35">
      <c r="A155" s="25" t="s">
        <v>169</v>
      </c>
      <c r="B155" s="15" t="s">
        <v>323</v>
      </c>
      <c r="C155" s="10" t="s">
        <v>342</v>
      </c>
      <c r="D155" s="10" t="s">
        <v>346</v>
      </c>
      <c r="E155" s="11">
        <v>45878</v>
      </c>
      <c r="F155" s="14">
        <f t="shared" ca="1" si="30"/>
        <v>221</v>
      </c>
      <c r="G155" s="17">
        <v>599</v>
      </c>
      <c r="H155" s="17">
        <v>280</v>
      </c>
      <c r="I155" s="53">
        <f t="shared" si="31"/>
        <v>898</v>
      </c>
      <c r="J155" s="17">
        <v>1000</v>
      </c>
      <c r="K155" s="66">
        <v>102</v>
      </c>
      <c r="L155" s="52">
        <f t="shared" ca="1" si="32"/>
        <v>0.46153846153846156</v>
      </c>
      <c r="M155" s="50">
        <f t="shared" si="33"/>
        <v>0.80451009251471861</v>
      </c>
      <c r="N155" s="52">
        <f t="shared" si="34"/>
        <v>0.31097560975609756</v>
      </c>
      <c r="O155" s="56">
        <f t="shared" si="35"/>
        <v>25.5</v>
      </c>
      <c r="P155" s="54">
        <f t="shared" si="36"/>
        <v>35.215686274509807</v>
      </c>
      <c r="Q155" s="55">
        <f t="shared" si="37"/>
        <v>53.255425709515855</v>
      </c>
      <c r="R155" s="55">
        <f t="shared" si="38"/>
        <v>10.199999999999999</v>
      </c>
      <c r="S155" s="13">
        <f t="shared" si="39"/>
        <v>1</v>
      </c>
      <c r="T155" s="13">
        <f t="shared" si="40"/>
        <v>1</v>
      </c>
      <c r="U155" s="13">
        <f t="shared" si="41"/>
        <v>2</v>
      </c>
      <c r="V155" s="13">
        <f t="shared" ca="1" si="42"/>
        <v>3</v>
      </c>
      <c r="W155" s="13">
        <f t="shared" ca="1" si="43"/>
        <v>7</v>
      </c>
      <c r="X155" s="61" t="str">
        <f t="shared" ca="1" si="44"/>
        <v>MONITOR</v>
      </c>
    </row>
    <row r="156" spans="1:24" x14ac:dyDescent="0.35">
      <c r="A156" s="25" t="s">
        <v>170</v>
      </c>
      <c r="B156" s="15" t="s">
        <v>323</v>
      </c>
      <c r="C156" s="10" t="s">
        <v>342</v>
      </c>
      <c r="D156" s="10" t="s">
        <v>346</v>
      </c>
      <c r="E156" s="11">
        <v>45878</v>
      </c>
      <c r="F156" s="14">
        <f t="shared" ca="1" si="30"/>
        <v>221</v>
      </c>
      <c r="G156" s="17">
        <v>599</v>
      </c>
      <c r="H156" s="17">
        <v>280</v>
      </c>
      <c r="I156" s="53">
        <f t="shared" si="31"/>
        <v>918</v>
      </c>
      <c r="J156" s="17">
        <v>1000</v>
      </c>
      <c r="K156" s="66">
        <v>82</v>
      </c>
      <c r="L156" s="52">
        <f t="shared" ca="1" si="32"/>
        <v>0.37104072398190047</v>
      </c>
      <c r="M156" s="50">
        <f t="shared" si="33"/>
        <v>0.80451009251471861</v>
      </c>
      <c r="N156" s="52">
        <f t="shared" si="34"/>
        <v>0.25</v>
      </c>
      <c r="O156" s="56">
        <f t="shared" si="35"/>
        <v>20.5</v>
      </c>
      <c r="P156" s="54">
        <f t="shared" si="36"/>
        <v>44.780487804878049</v>
      </c>
      <c r="Q156" s="55">
        <f t="shared" si="37"/>
        <v>53.255425709515855</v>
      </c>
      <c r="R156" s="55">
        <f t="shared" si="38"/>
        <v>8.2000000000000011</v>
      </c>
      <c r="S156" s="13">
        <f t="shared" si="39"/>
        <v>1</v>
      </c>
      <c r="T156" s="13">
        <f t="shared" si="40"/>
        <v>1</v>
      </c>
      <c r="U156" s="13">
        <f t="shared" si="41"/>
        <v>2</v>
      </c>
      <c r="V156" s="13">
        <f t="shared" ca="1" si="42"/>
        <v>3</v>
      </c>
      <c r="W156" s="13">
        <f t="shared" ca="1" si="43"/>
        <v>7</v>
      </c>
      <c r="X156" s="61" t="str">
        <f t="shared" ca="1" si="44"/>
        <v>MONITOR</v>
      </c>
    </row>
    <row r="157" spans="1:24" x14ac:dyDescent="0.35">
      <c r="A157" s="25" t="s">
        <v>171</v>
      </c>
      <c r="B157" s="10" t="s">
        <v>330</v>
      </c>
      <c r="C157" s="10" t="s">
        <v>342</v>
      </c>
      <c r="D157" s="10" t="s">
        <v>346</v>
      </c>
      <c r="E157" s="11">
        <v>45920</v>
      </c>
      <c r="F157" s="14">
        <f t="shared" ca="1" si="30"/>
        <v>179</v>
      </c>
      <c r="G157" s="17">
        <v>599</v>
      </c>
      <c r="H157" s="17">
        <v>290</v>
      </c>
      <c r="I157" s="53">
        <f t="shared" si="31"/>
        <v>1000</v>
      </c>
      <c r="J157" s="17">
        <v>1000</v>
      </c>
      <c r="K157" s="67">
        <v>0</v>
      </c>
      <c r="L157" s="52">
        <f t="shared" ca="1" si="32"/>
        <v>0</v>
      </c>
      <c r="M157" s="50">
        <f t="shared" si="33"/>
        <v>0.80451009251471861</v>
      </c>
      <c r="N157" s="52">
        <f t="shared" si="34"/>
        <v>0</v>
      </c>
      <c r="O157" s="56">
        <f t="shared" si="35"/>
        <v>0</v>
      </c>
      <c r="P157" s="54" t="e">
        <f t="shared" si="36"/>
        <v>#DIV/0!</v>
      </c>
      <c r="Q157" s="55">
        <f t="shared" si="37"/>
        <v>51.58597662771286</v>
      </c>
      <c r="R157" s="55">
        <f t="shared" si="38"/>
        <v>0</v>
      </c>
      <c r="S157" s="13">
        <f t="shared" si="39"/>
        <v>1</v>
      </c>
      <c r="T157" s="13" t="e">
        <f t="shared" si="40"/>
        <v>#DIV/0!</v>
      </c>
      <c r="U157" s="13">
        <f t="shared" si="41"/>
        <v>2</v>
      </c>
      <c r="V157" s="13">
        <f t="shared" ca="1" si="42"/>
        <v>3</v>
      </c>
      <c r="W157" s="13" t="e">
        <f t="shared" ca="1" si="43"/>
        <v>#DIV/0!</v>
      </c>
      <c r="X157" s="61" t="str">
        <f t="shared" ca="1" si="44"/>
        <v>EXIT</v>
      </c>
    </row>
    <row r="158" spans="1:24" x14ac:dyDescent="0.35">
      <c r="A158" s="25" t="s">
        <v>172</v>
      </c>
      <c r="B158" s="10" t="s">
        <v>331</v>
      </c>
      <c r="C158" s="10" t="s">
        <v>342</v>
      </c>
      <c r="D158" s="10" t="s">
        <v>346</v>
      </c>
      <c r="E158" s="11">
        <v>45878</v>
      </c>
      <c r="F158" s="14">
        <f t="shared" ca="1" si="30"/>
        <v>221</v>
      </c>
      <c r="G158" s="17">
        <v>199</v>
      </c>
      <c r="H158" s="17">
        <v>135</v>
      </c>
      <c r="I158" s="53">
        <f t="shared" si="31"/>
        <v>1131</v>
      </c>
      <c r="J158" s="17">
        <v>1800</v>
      </c>
      <c r="K158" s="66">
        <v>669</v>
      </c>
      <c r="L158" s="52">
        <f t="shared" ca="1" si="32"/>
        <v>3.0271493212669682</v>
      </c>
      <c r="M158" s="50">
        <f t="shared" si="33"/>
        <v>0.80451009251471861</v>
      </c>
      <c r="N158" s="52">
        <f t="shared" si="34"/>
        <v>2.0396341463414633</v>
      </c>
      <c r="O158" s="56">
        <f t="shared" si="35"/>
        <v>167.25</v>
      </c>
      <c r="P158" s="54">
        <f t="shared" si="36"/>
        <v>6.7623318385650224</v>
      </c>
      <c r="Q158" s="55">
        <f t="shared" si="37"/>
        <v>32.1608040201005</v>
      </c>
      <c r="R158" s="55">
        <f t="shared" si="38"/>
        <v>37.166666666666664</v>
      </c>
      <c r="S158" s="13">
        <f t="shared" si="39"/>
        <v>3</v>
      </c>
      <c r="T158" s="13">
        <f t="shared" si="40"/>
        <v>1</v>
      </c>
      <c r="U158" s="13">
        <f t="shared" si="41"/>
        <v>1</v>
      </c>
      <c r="V158" s="13">
        <f t="shared" ca="1" si="42"/>
        <v>3</v>
      </c>
      <c r="W158" s="13">
        <f t="shared" ca="1" si="43"/>
        <v>8</v>
      </c>
      <c r="X158" s="61" t="str">
        <f t="shared" ca="1" si="44"/>
        <v>MONITOR</v>
      </c>
    </row>
    <row r="159" spans="1:24" x14ac:dyDescent="0.35">
      <c r="A159" s="25" t="s">
        <v>173</v>
      </c>
      <c r="B159" s="10" t="s">
        <v>331</v>
      </c>
      <c r="C159" s="10" t="s">
        <v>342</v>
      </c>
      <c r="D159" s="10" t="s">
        <v>346</v>
      </c>
      <c r="E159" s="11">
        <v>45878</v>
      </c>
      <c r="F159" s="14">
        <f t="shared" ca="1" si="30"/>
        <v>221</v>
      </c>
      <c r="G159" s="17">
        <v>199</v>
      </c>
      <c r="H159" s="17">
        <v>135</v>
      </c>
      <c r="I159" s="53">
        <f t="shared" si="31"/>
        <v>1514</v>
      </c>
      <c r="J159" s="17">
        <v>2000</v>
      </c>
      <c r="K159" s="66">
        <v>486</v>
      </c>
      <c r="L159" s="52">
        <f t="shared" ca="1" si="32"/>
        <v>2.1990950226244346</v>
      </c>
      <c r="M159" s="50">
        <f t="shared" si="33"/>
        <v>0.80451009251471861</v>
      </c>
      <c r="N159" s="52">
        <f t="shared" si="34"/>
        <v>1.4817073170731707</v>
      </c>
      <c r="O159" s="56">
        <f t="shared" si="35"/>
        <v>121.5</v>
      </c>
      <c r="P159" s="54">
        <f t="shared" si="36"/>
        <v>12.460905349794238</v>
      </c>
      <c r="Q159" s="55">
        <f t="shared" si="37"/>
        <v>32.1608040201005</v>
      </c>
      <c r="R159" s="55">
        <f t="shared" si="38"/>
        <v>24.3</v>
      </c>
      <c r="S159" s="13">
        <f t="shared" si="39"/>
        <v>3</v>
      </c>
      <c r="T159" s="13">
        <f t="shared" si="40"/>
        <v>1</v>
      </c>
      <c r="U159" s="13">
        <f t="shared" si="41"/>
        <v>1</v>
      </c>
      <c r="V159" s="13">
        <f t="shared" ca="1" si="42"/>
        <v>3</v>
      </c>
      <c r="W159" s="13">
        <f t="shared" ca="1" si="43"/>
        <v>8</v>
      </c>
      <c r="X159" s="61" t="str">
        <f t="shared" ca="1" si="44"/>
        <v>MONITOR</v>
      </c>
    </row>
    <row r="160" spans="1:24" x14ac:dyDescent="0.35">
      <c r="A160" s="25" t="s">
        <v>174</v>
      </c>
      <c r="B160" s="10" t="s">
        <v>331</v>
      </c>
      <c r="C160" s="10" t="s">
        <v>342</v>
      </c>
      <c r="D160" s="10" t="s">
        <v>346</v>
      </c>
      <c r="E160" s="11">
        <v>45878</v>
      </c>
      <c r="F160" s="14">
        <f t="shared" ca="1" si="30"/>
        <v>221</v>
      </c>
      <c r="G160" s="17">
        <v>199</v>
      </c>
      <c r="H160" s="17">
        <v>135</v>
      </c>
      <c r="I160" s="53">
        <f t="shared" si="31"/>
        <v>1706</v>
      </c>
      <c r="J160" s="17">
        <v>1800</v>
      </c>
      <c r="K160" s="66">
        <v>94</v>
      </c>
      <c r="L160" s="52">
        <f t="shared" ca="1" si="32"/>
        <v>0.42533936651583709</v>
      </c>
      <c r="M160" s="50">
        <f t="shared" si="33"/>
        <v>0.80451009251471861</v>
      </c>
      <c r="N160" s="52">
        <f t="shared" si="34"/>
        <v>0.28658536585365851</v>
      </c>
      <c r="O160" s="56">
        <f t="shared" si="35"/>
        <v>23.499999999999996</v>
      </c>
      <c r="P160" s="54">
        <f t="shared" si="36"/>
        <v>72.59574468085107</v>
      </c>
      <c r="Q160" s="55">
        <f t="shared" si="37"/>
        <v>32.1608040201005</v>
      </c>
      <c r="R160" s="55">
        <f t="shared" si="38"/>
        <v>5.2222222222222223</v>
      </c>
      <c r="S160" s="13">
        <f t="shared" si="39"/>
        <v>1</v>
      </c>
      <c r="T160" s="13">
        <f t="shared" si="40"/>
        <v>1</v>
      </c>
      <c r="U160" s="13">
        <f t="shared" si="41"/>
        <v>1</v>
      </c>
      <c r="V160" s="13">
        <f t="shared" ca="1" si="42"/>
        <v>3</v>
      </c>
      <c r="W160" s="13">
        <f t="shared" ca="1" si="43"/>
        <v>6</v>
      </c>
      <c r="X160" s="61" t="str">
        <f t="shared" ca="1" si="44"/>
        <v>MONITOR</v>
      </c>
    </row>
    <row r="161" spans="1:24" x14ac:dyDescent="0.35">
      <c r="A161" s="25" t="s">
        <v>175</v>
      </c>
      <c r="B161" s="10" t="s">
        <v>331</v>
      </c>
      <c r="C161" s="10" t="s">
        <v>342</v>
      </c>
      <c r="D161" s="10" t="s">
        <v>346</v>
      </c>
      <c r="E161" s="11">
        <v>45878</v>
      </c>
      <c r="F161" s="14">
        <f t="shared" ca="1" si="30"/>
        <v>221</v>
      </c>
      <c r="G161" s="17">
        <v>199</v>
      </c>
      <c r="H161" s="17">
        <v>135</v>
      </c>
      <c r="I161" s="53">
        <f t="shared" si="31"/>
        <v>865</v>
      </c>
      <c r="J161" s="17">
        <v>1600</v>
      </c>
      <c r="K161" s="66">
        <v>735</v>
      </c>
      <c r="L161" s="52">
        <f t="shared" ca="1" si="32"/>
        <v>3.3257918552036201</v>
      </c>
      <c r="M161" s="50">
        <f t="shared" si="33"/>
        <v>0.80451009251471861</v>
      </c>
      <c r="N161" s="52">
        <f t="shared" si="34"/>
        <v>2.2408536585365852</v>
      </c>
      <c r="O161" s="56">
        <f t="shared" si="35"/>
        <v>183.75</v>
      </c>
      <c r="P161" s="54">
        <f t="shared" si="36"/>
        <v>4.7074829931972788</v>
      </c>
      <c r="Q161" s="55">
        <f t="shared" si="37"/>
        <v>32.1608040201005</v>
      </c>
      <c r="R161" s="55">
        <f t="shared" si="38"/>
        <v>45.9375</v>
      </c>
      <c r="S161" s="13">
        <f t="shared" si="39"/>
        <v>3</v>
      </c>
      <c r="T161" s="13">
        <f t="shared" si="40"/>
        <v>2</v>
      </c>
      <c r="U161" s="13">
        <f t="shared" si="41"/>
        <v>1</v>
      </c>
      <c r="V161" s="13">
        <f t="shared" ca="1" si="42"/>
        <v>3</v>
      </c>
      <c r="W161" s="13">
        <f t="shared" ca="1" si="43"/>
        <v>9</v>
      </c>
      <c r="X161" s="61" t="str">
        <f t="shared" ca="1" si="44"/>
        <v>RE-BUY</v>
      </c>
    </row>
    <row r="162" spans="1:24" x14ac:dyDescent="0.35">
      <c r="A162" s="25" t="s">
        <v>176</v>
      </c>
      <c r="B162" s="10" t="s">
        <v>331</v>
      </c>
      <c r="C162" s="10" t="s">
        <v>342</v>
      </c>
      <c r="D162" s="10" t="s">
        <v>346</v>
      </c>
      <c r="E162" s="11">
        <v>45948</v>
      </c>
      <c r="F162" s="14">
        <f t="shared" ca="1" si="30"/>
        <v>151</v>
      </c>
      <c r="G162" s="17">
        <v>199</v>
      </c>
      <c r="H162" s="17">
        <v>135</v>
      </c>
      <c r="I162" s="53">
        <f t="shared" si="31"/>
        <v>1482</v>
      </c>
      <c r="J162" s="17">
        <v>2000</v>
      </c>
      <c r="K162" s="66">
        <v>518</v>
      </c>
      <c r="L162" s="52">
        <f t="shared" ca="1" si="32"/>
        <v>3.4304635761589406</v>
      </c>
      <c r="M162" s="50">
        <f t="shared" si="33"/>
        <v>0.80451009251471861</v>
      </c>
      <c r="N162" s="52">
        <f t="shared" si="34"/>
        <v>1.5792682926829269</v>
      </c>
      <c r="O162" s="56">
        <f t="shared" si="35"/>
        <v>129.5</v>
      </c>
      <c r="P162" s="54">
        <f t="shared" si="36"/>
        <v>11.444015444015443</v>
      </c>
      <c r="Q162" s="55">
        <f t="shared" si="37"/>
        <v>32.1608040201005</v>
      </c>
      <c r="R162" s="55">
        <f t="shared" si="38"/>
        <v>25.900000000000002</v>
      </c>
      <c r="S162" s="13">
        <f t="shared" si="39"/>
        <v>3</v>
      </c>
      <c r="T162" s="13">
        <f t="shared" si="40"/>
        <v>1</v>
      </c>
      <c r="U162" s="13">
        <f t="shared" si="41"/>
        <v>1</v>
      </c>
      <c r="V162" s="13">
        <f t="shared" ca="1" si="42"/>
        <v>3</v>
      </c>
      <c r="W162" s="13">
        <f t="shared" ca="1" si="43"/>
        <v>8</v>
      </c>
      <c r="X162" s="61" t="str">
        <f t="shared" ca="1" si="44"/>
        <v>MONITOR</v>
      </c>
    </row>
    <row r="163" spans="1:24" x14ac:dyDescent="0.35">
      <c r="A163" s="25" t="s">
        <v>177</v>
      </c>
      <c r="B163" s="10" t="s">
        <v>331</v>
      </c>
      <c r="C163" s="10" t="s">
        <v>342</v>
      </c>
      <c r="D163" s="10" t="s">
        <v>346</v>
      </c>
      <c r="E163" s="11">
        <v>45948</v>
      </c>
      <c r="F163" s="14">
        <f t="shared" ca="1" si="30"/>
        <v>151</v>
      </c>
      <c r="G163" s="17">
        <v>199</v>
      </c>
      <c r="H163" s="17">
        <v>135</v>
      </c>
      <c r="I163" s="53">
        <f t="shared" si="31"/>
        <v>1036</v>
      </c>
      <c r="J163" s="17">
        <v>1800</v>
      </c>
      <c r="K163" s="66">
        <v>764</v>
      </c>
      <c r="L163" s="52">
        <f t="shared" ca="1" si="32"/>
        <v>5.0596026490066226</v>
      </c>
      <c r="M163" s="50">
        <f t="shared" si="33"/>
        <v>0.80451009251471861</v>
      </c>
      <c r="N163" s="52">
        <f t="shared" si="34"/>
        <v>2.3292682926829267</v>
      </c>
      <c r="O163" s="56">
        <f t="shared" si="35"/>
        <v>191</v>
      </c>
      <c r="P163" s="54">
        <f t="shared" si="36"/>
        <v>5.4240837696335076</v>
      </c>
      <c r="Q163" s="55">
        <f t="shared" si="37"/>
        <v>32.1608040201005</v>
      </c>
      <c r="R163" s="55">
        <f t="shared" si="38"/>
        <v>42.444444444444443</v>
      </c>
      <c r="S163" s="13">
        <f t="shared" si="39"/>
        <v>3</v>
      </c>
      <c r="T163" s="13">
        <f t="shared" si="40"/>
        <v>2</v>
      </c>
      <c r="U163" s="13">
        <f t="shared" si="41"/>
        <v>1</v>
      </c>
      <c r="V163" s="13">
        <f t="shared" ca="1" si="42"/>
        <v>3</v>
      </c>
      <c r="W163" s="13">
        <f t="shared" ca="1" si="43"/>
        <v>9</v>
      </c>
      <c r="X163" s="61" t="str">
        <f t="shared" ca="1" si="44"/>
        <v>RE-BUY</v>
      </c>
    </row>
    <row r="164" spans="1:24" x14ac:dyDescent="0.35">
      <c r="A164" s="25" t="s">
        <v>178</v>
      </c>
      <c r="B164" s="10" t="s">
        <v>331</v>
      </c>
      <c r="C164" s="10" t="s">
        <v>342</v>
      </c>
      <c r="D164" s="10" t="s">
        <v>346</v>
      </c>
      <c r="E164" s="11">
        <v>45948</v>
      </c>
      <c r="F164" s="14">
        <f t="shared" ca="1" si="30"/>
        <v>151</v>
      </c>
      <c r="G164" s="17">
        <v>199</v>
      </c>
      <c r="H164" s="17">
        <v>135</v>
      </c>
      <c r="I164" s="53">
        <f t="shared" si="31"/>
        <v>934</v>
      </c>
      <c r="J164" s="17">
        <v>1600</v>
      </c>
      <c r="K164" s="66">
        <v>666</v>
      </c>
      <c r="L164" s="52">
        <f t="shared" ca="1" si="32"/>
        <v>4.4105960264900661</v>
      </c>
      <c r="M164" s="50">
        <f t="shared" si="33"/>
        <v>0.80451009251471861</v>
      </c>
      <c r="N164" s="52">
        <f t="shared" si="34"/>
        <v>2.0304878048780486</v>
      </c>
      <c r="O164" s="56">
        <f t="shared" si="35"/>
        <v>166.49999999999997</v>
      </c>
      <c r="P164" s="54">
        <f t="shared" si="36"/>
        <v>5.6096096096096106</v>
      </c>
      <c r="Q164" s="55">
        <f t="shared" si="37"/>
        <v>32.1608040201005</v>
      </c>
      <c r="R164" s="55">
        <f t="shared" si="38"/>
        <v>41.625</v>
      </c>
      <c r="S164" s="13">
        <f t="shared" si="39"/>
        <v>3</v>
      </c>
      <c r="T164" s="13">
        <f t="shared" si="40"/>
        <v>2</v>
      </c>
      <c r="U164" s="13">
        <f t="shared" si="41"/>
        <v>1</v>
      </c>
      <c r="V164" s="13">
        <f t="shared" ca="1" si="42"/>
        <v>3</v>
      </c>
      <c r="W164" s="13">
        <f t="shared" ca="1" si="43"/>
        <v>9</v>
      </c>
      <c r="X164" s="61" t="str">
        <f t="shared" ca="1" si="44"/>
        <v>RE-BUY</v>
      </c>
    </row>
    <row r="165" spans="1:24" x14ac:dyDescent="0.35">
      <c r="A165" s="25" t="s">
        <v>179</v>
      </c>
      <c r="B165" s="10" t="s">
        <v>331</v>
      </c>
      <c r="C165" s="10" t="s">
        <v>342</v>
      </c>
      <c r="D165" s="10" t="s">
        <v>346</v>
      </c>
      <c r="E165" s="11">
        <v>45948</v>
      </c>
      <c r="F165" s="14">
        <f t="shared" ca="1" si="30"/>
        <v>151</v>
      </c>
      <c r="G165" s="17">
        <v>199</v>
      </c>
      <c r="H165" s="17">
        <v>135</v>
      </c>
      <c r="I165" s="53">
        <f t="shared" si="31"/>
        <v>1158</v>
      </c>
      <c r="J165" s="17">
        <v>1800</v>
      </c>
      <c r="K165" s="66">
        <v>642</v>
      </c>
      <c r="L165" s="52">
        <f t="shared" ca="1" si="32"/>
        <v>4.2516556291390728</v>
      </c>
      <c r="M165" s="50">
        <f t="shared" si="33"/>
        <v>0.80451009251471861</v>
      </c>
      <c r="N165" s="52">
        <f t="shared" si="34"/>
        <v>1.9573170731707317</v>
      </c>
      <c r="O165" s="56">
        <f t="shared" si="35"/>
        <v>160.5</v>
      </c>
      <c r="P165" s="54">
        <f t="shared" si="36"/>
        <v>7.2149532710280377</v>
      </c>
      <c r="Q165" s="55">
        <f t="shared" si="37"/>
        <v>32.1608040201005</v>
      </c>
      <c r="R165" s="55">
        <f t="shared" si="38"/>
        <v>35.666666666666671</v>
      </c>
      <c r="S165" s="13">
        <f t="shared" si="39"/>
        <v>3</v>
      </c>
      <c r="T165" s="13">
        <f t="shared" si="40"/>
        <v>1</v>
      </c>
      <c r="U165" s="13">
        <f t="shared" si="41"/>
        <v>1</v>
      </c>
      <c r="V165" s="13">
        <f t="shared" ca="1" si="42"/>
        <v>3</v>
      </c>
      <c r="W165" s="13">
        <f t="shared" ca="1" si="43"/>
        <v>8</v>
      </c>
      <c r="X165" s="61" t="str">
        <f t="shared" ca="1" si="44"/>
        <v>MONITOR</v>
      </c>
    </row>
    <row r="166" spans="1:24" x14ac:dyDescent="0.35">
      <c r="A166" s="25" t="s">
        <v>180</v>
      </c>
      <c r="B166" s="10" t="s">
        <v>331</v>
      </c>
      <c r="C166" s="10" t="s">
        <v>342</v>
      </c>
      <c r="D166" s="10" t="s">
        <v>346</v>
      </c>
      <c r="E166" s="11">
        <v>45976</v>
      </c>
      <c r="F166" s="14">
        <f t="shared" ca="1" si="30"/>
        <v>123</v>
      </c>
      <c r="G166" s="17">
        <v>199</v>
      </c>
      <c r="H166" s="17">
        <v>135</v>
      </c>
      <c r="I166" s="53">
        <f t="shared" si="31"/>
        <v>1567</v>
      </c>
      <c r="J166" s="17">
        <v>1600</v>
      </c>
      <c r="K166" s="66">
        <v>33</v>
      </c>
      <c r="L166" s="52">
        <f t="shared" ca="1" si="32"/>
        <v>0.26829268292682928</v>
      </c>
      <c r="M166" s="50">
        <f t="shared" si="33"/>
        <v>0.80451009251471861</v>
      </c>
      <c r="N166" s="52">
        <f t="shared" si="34"/>
        <v>0.10060975609756098</v>
      </c>
      <c r="O166" s="56">
        <f t="shared" si="35"/>
        <v>8.25</v>
      </c>
      <c r="P166" s="54">
        <f t="shared" si="36"/>
        <v>189.93939393939394</v>
      </c>
      <c r="Q166" s="55">
        <f t="shared" si="37"/>
        <v>32.1608040201005</v>
      </c>
      <c r="R166" s="55">
        <f t="shared" si="38"/>
        <v>2.0625</v>
      </c>
      <c r="S166" s="13">
        <f t="shared" si="39"/>
        <v>1</v>
      </c>
      <c r="T166" s="13">
        <f t="shared" si="40"/>
        <v>1</v>
      </c>
      <c r="U166" s="13">
        <f t="shared" si="41"/>
        <v>1</v>
      </c>
      <c r="V166" s="13">
        <f t="shared" ca="1" si="42"/>
        <v>3</v>
      </c>
      <c r="W166" s="13">
        <f t="shared" ca="1" si="43"/>
        <v>6</v>
      </c>
      <c r="X166" s="61" t="str">
        <f t="shared" ca="1" si="44"/>
        <v>MONITOR</v>
      </c>
    </row>
    <row r="167" spans="1:24" x14ac:dyDescent="0.35">
      <c r="A167" s="25" t="s">
        <v>181</v>
      </c>
      <c r="B167" s="10" t="s">
        <v>331</v>
      </c>
      <c r="C167" s="10" t="s">
        <v>342</v>
      </c>
      <c r="D167" s="10" t="s">
        <v>346</v>
      </c>
      <c r="E167" s="11">
        <v>45976</v>
      </c>
      <c r="F167" s="14">
        <f t="shared" ca="1" si="30"/>
        <v>123</v>
      </c>
      <c r="G167" s="17">
        <v>199</v>
      </c>
      <c r="H167" s="17">
        <v>135</v>
      </c>
      <c r="I167" s="53">
        <f t="shared" si="31"/>
        <v>1332</v>
      </c>
      <c r="J167" s="17">
        <v>2000</v>
      </c>
      <c r="K167" s="66">
        <v>668</v>
      </c>
      <c r="L167" s="52">
        <f t="shared" ca="1" si="32"/>
        <v>5.4308943089430892</v>
      </c>
      <c r="M167" s="50">
        <f t="shared" si="33"/>
        <v>0.80451009251471861</v>
      </c>
      <c r="N167" s="52">
        <f t="shared" si="34"/>
        <v>2.0365853658536586</v>
      </c>
      <c r="O167" s="56">
        <f t="shared" si="35"/>
        <v>167</v>
      </c>
      <c r="P167" s="54">
        <f t="shared" si="36"/>
        <v>7.976047904191617</v>
      </c>
      <c r="Q167" s="55">
        <f t="shared" si="37"/>
        <v>32.1608040201005</v>
      </c>
      <c r="R167" s="55">
        <f t="shared" si="38"/>
        <v>33.4</v>
      </c>
      <c r="S167" s="13">
        <f t="shared" si="39"/>
        <v>3</v>
      </c>
      <c r="T167" s="13">
        <f t="shared" si="40"/>
        <v>1</v>
      </c>
      <c r="U167" s="13">
        <f t="shared" si="41"/>
        <v>1</v>
      </c>
      <c r="V167" s="13">
        <f t="shared" ca="1" si="42"/>
        <v>3</v>
      </c>
      <c r="W167" s="13">
        <f t="shared" ca="1" si="43"/>
        <v>8</v>
      </c>
      <c r="X167" s="61" t="str">
        <f t="shared" ca="1" si="44"/>
        <v>MONITOR</v>
      </c>
    </row>
    <row r="168" spans="1:24" x14ac:dyDescent="0.35">
      <c r="A168" s="25" t="s">
        <v>182</v>
      </c>
      <c r="B168" s="10" t="s">
        <v>331</v>
      </c>
      <c r="C168" s="10" t="s">
        <v>342</v>
      </c>
      <c r="D168" s="10" t="s">
        <v>346</v>
      </c>
      <c r="E168" s="11">
        <v>45976</v>
      </c>
      <c r="F168" s="14">
        <f t="shared" ca="1" si="30"/>
        <v>123</v>
      </c>
      <c r="G168" s="17">
        <v>199</v>
      </c>
      <c r="H168" s="17">
        <v>135</v>
      </c>
      <c r="I168" s="53">
        <f t="shared" si="31"/>
        <v>1308</v>
      </c>
      <c r="J168" s="17">
        <v>2000</v>
      </c>
      <c r="K168" s="66">
        <v>692</v>
      </c>
      <c r="L168" s="52">
        <f t="shared" ca="1" si="32"/>
        <v>5.6260162601626016</v>
      </c>
      <c r="M168" s="50">
        <f t="shared" si="33"/>
        <v>0.80451009251471861</v>
      </c>
      <c r="N168" s="52">
        <f t="shared" si="34"/>
        <v>2.1097560975609757</v>
      </c>
      <c r="O168" s="56">
        <f t="shared" si="35"/>
        <v>173</v>
      </c>
      <c r="P168" s="54">
        <f t="shared" si="36"/>
        <v>7.5606936416184976</v>
      </c>
      <c r="Q168" s="55">
        <f t="shared" si="37"/>
        <v>32.1608040201005</v>
      </c>
      <c r="R168" s="55">
        <f t="shared" si="38"/>
        <v>34.599999999999994</v>
      </c>
      <c r="S168" s="13">
        <f t="shared" si="39"/>
        <v>3</v>
      </c>
      <c r="T168" s="13">
        <f t="shared" si="40"/>
        <v>1</v>
      </c>
      <c r="U168" s="13">
        <f t="shared" si="41"/>
        <v>1</v>
      </c>
      <c r="V168" s="13">
        <f t="shared" ca="1" si="42"/>
        <v>3</v>
      </c>
      <c r="W168" s="13">
        <f t="shared" ca="1" si="43"/>
        <v>8</v>
      </c>
      <c r="X168" s="61" t="str">
        <f t="shared" ca="1" si="44"/>
        <v>MONITOR</v>
      </c>
    </row>
    <row r="169" spans="1:24" x14ac:dyDescent="0.35">
      <c r="A169" s="25" t="s">
        <v>183</v>
      </c>
      <c r="B169" s="10" t="s">
        <v>331</v>
      </c>
      <c r="C169" s="10" t="s">
        <v>342</v>
      </c>
      <c r="D169" s="10" t="s">
        <v>346</v>
      </c>
      <c r="E169" s="11">
        <v>45976</v>
      </c>
      <c r="F169" s="14">
        <f t="shared" ca="1" si="30"/>
        <v>123</v>
      </c>
      <c r="G169" s="17">
        <v>199</v>
      </c>
      <c r="H169" s="17">
        <v>135</v>
      </c>
      <c r="I169" s="53">
        <f t="shared" si="31"/>
        <v>1042</v>
      </c>
      <c r="J169" s="17">
        <v>1800</v>
      </c>
      <c r="K169" s="66">
        <v>758</v>
      </c>
      <c r="L169" s="52">
        <f t="shared" ca="1" si="32"/>
        <v>6.1626016260162606</v>
      </c>
      <c r="M169" s="50">
        <f t="shared" si="33"/>
        <v>0.80451009251471861</v>
      </c>
      <c r="N169" s="52">
        <f t="shared" si="34"/>
        <v>2.3109756097560976</v>
      </c>
      <c r="O169" s="56">
        <f t="shared" si="35"/>
        <v>189.5</v>
      </c>
      <c r="P169" s="54">
        <f t="shared" si="36"/>
        <v>5.4986807387862795</v>
      </c>
      <c r="Q169" s="55">
        <f t="shared" si="37"/>
        <v>32.1608040201005</v>
      </c>
      <c r="R169" s="55">
        <f t="shared" si="38"/>
        <v>42.111111111111107</v>
      </c>
      <c r="S169" s="13">
        <f t="shared" si="39"/>
        <v>3</v>
      </c>
      <c r="T169" s="13">
        <f t="shared" si="40"/>
        <v>2</v>
      </c>
      <c r="U169" s="13">
        <f t="shared" si="41"/>
        <v>1</v>
      </c>
      <c r="V169" s="13">
        <f t="shared" ca="1" si="42"/>
        <v>3</v>
      </c>
      <c r="W169" s="13">
        <f t="shared" ca="1" si="43"/>
        <v>9</v>
      </c>
      <c r="X169" s="61" t="str">
        <f t="shared" ca="1" si="44"/>
        <v>RE-BUY</v>
      </c>
    </row>
    <row r="170" spans="1:24" x14ac:dyDescent="0.35">
      <c r="A170" s="25" t="s">
        <v>184</v>
      </c>
      <c r="B170" s="10" t="s">
        <v>330</v>
      </c>
      <c r="C170" s="10" t="s">
        <v>342</v>
      </c>
      <c r="D170" s="10" t="s">
        <v>346</v>
      </c>
      <c r="E170" s="11">
        <v>45906</v>
      </c>
      <c r="F170" s="14">
        <f t="shared" ca="1" si="30"/>
        <v>193</v>
      </c>
      <c r="G170" s="17">
        <v>199</v>
      </c>
      <c r="H170" s="17">
        <v>135</v>
      </c>
      <c r="I170" s="53">
        <f t="shared" si="31"/>
        <v>991</v>
      </c>
      <c r="J170" s="17">
        <v>1800</v>
      </c>
      <c r="K170" s="66">
        <v>809</v>
      </c>
      <c r="L170" s="52">
        <f t="shared" ca="1" si="32"/>
        <v>4.1917098445595853</v>
      </c>
      <c r="M170" s="50">
        <f t="shared" si="33"/>
        <v>0.80451009251471861</v>
      </c>
      <c r="N170" s="52">
        <f t="shared" si="34"/>
        <v>2.4664634146341462</v>
      </c>
      <c r="O170" s="56">
        <f t="shared" si="35"/>
        <v>202.25</v>
      </c>
      <c r="P170" s="54">
        <f t="shared" si="36"/>
        <v>4.8998763906056864</v>
      </c>
      <c r="Q170" s="55">
        <f t="shared" si="37"/>
        <v>32.1608040201005</v>
      </c>
      <c r="R170" s="55">
        <f t="shared" si="38"/>
        <v>44.944444444444443</v>
      </c>
      <c r="S170" s="13">
        <f t="shared" si="39"/>
        <v>3</v>
      </c>
      <c r="T170" s="13">
        <f t="shared" si="40"/>
        <v>2</v>
      </c>
      <c r="U170" s="13">
        <f t="shared" si="41"/>
        <v>1</v>
      </c>
      <c r="V170" s="13">
        <f t="shared" ca="1" si="42"/>
        <v>3</v>
      </c>
      <c r="W170" s="13">
        <f t="shared" ca="1" si="43"/>
        <v>9</v>
      </c>
      <c r="X170" s="61" t="str">
        <f t="shared" ca="1" si="44"/>
        <v>RE-BUY</v>
      </c>
    </row>
    <row r="171" spans="1:24" x14ac:dyDescent="0.35">
      <c r="A171" s="25" t="s">
        <v>185</v>
      </c>
      <c r="B171" s="10" t="s">
        <v>330</v>
      </c>
      <c r="C171" s="10" t="s">
        <v>342</v>
      </c>
      <c r="D171" s="10" t="s">
        <v>346</v>
      </c>
      <c r="E171" s="11">
        <v>45906</v>
      </c>
      <c r="F171" s="14">
        <f t="shared" ca="1" si="30"/>
        <v>193</v>
      </c>
      <c r="G171" s="17">
        <v>199</v>
      </c>
      <c r="H171" s="17">
        <v>135</v>
      </c>
      <c r="I171" s="53">
        <f t="shared" si="31"/>
        <v>1310</v>
      </c>
      <c r="J171" s="17">
        <v>1800</v>
      </c>
      <c r="K171" s="66">
        <v>490</v>
      </c>
      <c r="L171" s="52">
        <f t="shared" ca="1" si="32"/>
        <v>2.5388601036269431</v>
      </c>
      <c r="M171" s="50">
        <f t="shared" si="33"/>
        <v>0.80451009251471861</v>
      </c>
      <c r="N171" s="52">
        <f t="shared" si="34"/>
        <v>1.4939024390243902</v>
      </c>
      <c r="O171" s="56">
        <f t="shared" si="35"/>
        <v>122.5</v>
      </c>
      <c r="P171" s="54">
        <f t="shared" si="36"/>
        <v>10.693877551020408</v>
      </c>
      <c r="Q171" s="55">
        <f t="shared" si="37"/>
        <v>32.1608040201005</v>
      </c>
      <c r="R171" s="55">
        <f t="shared" si="38"/>
        <v>27.222222222222221</v>
      </c>
      <c r="S171" s="13">
        <f t="shared" si="39"/>
        <v>3</v>
      </c>
      <c r="T171" s="13">
        <f t="shared" si="40"/>
        <v>1</v>
      </c>
      <c r="U171" s="13">
        <f t="shared" si="41"/>
        <v>1</v>
      </c>
      <c r="V171" s="13">
        <f t="shared" ca="1" si="42"/>
        <v>3</v>
      </c>
      <c r="W171" s="13">
        <f t="shared" ca="1" si="43"/>
        <v>8</v>
      </c>
      <c r="X171" s="61" t="str">
        <f t="shared" ca="1" si="44"/>
        <v>MONITOR</v>
      </c>
    </row>
    <row r="172" spans="1:24" x14ac:dyDescent="0.35">
      <c r="A172" s="25" t="s">
        <v>186</v>
      </c>
      <c r="B172" s="10" t="s">
        <v>330</v>
      </c>
      <c r="C172" s="10" t="s">
        <v>342</v>
      </c>
      <c r="D172" s="10" t="s">
        <v>346</v>
      </c>
      <c r="E172" s="11">
        <v>45906</v>
      </c>
      <c r="F172" s="14">
        <f t="shared" ca="1" si="30"/>
        <v>193</v>
      </c>
      <c r="G172" s="17">
        <v>199</v>
      </c>
      <c r="H172" s="17">
        <v>135</v>
      </c>
      <c r="I172" s="53">
        <f t="shared" si="31"/>
        <v>1098</v>
      </c>
      <c r="J172" s="17">
        <v>1600</v>
      </c>
      <c r="K172" s="66">
        <v>502</v>
      </c>
      <c r="L172" s="52">
        <f t="shared" ca="1" si="32"/>
        <v>2.6010362694300517</v>
      </c>
      <c r="M172" s="50">
        <f t="shared" si="33"/>
        <v>0.80451009251471861</v>
      </c>
      <c r="N172" s="52">
        <f t="shared" si="34"/>
        <v>1.5304878048780488</v>
      </c>
      <c r="O172" s="56">
        <f t="shared" si="35"/>
        <v>125.5</v>
      </c>
      <c r="P172" s="54">
        <f t="shared" si="36"/>
        <v>8.7490039840637444</v>
      </c>
      <c r="Q172" s="55">
        <f t="shared" si="37"/>
        <v>32.1608040201005</v>
      </c>
      <c r="R172" s="55">
        <f t="shared" si="38"/>
        <v>31.374999999999996</v>
      </c>
      <c r="S172" s="13">
        <f t="shared" si="39"/>
        <v>3</v>
      </c>
      <c r="T172" s="13">
        <f t="shared" si="40"/>
        <v>1</v>
      </c>
      <c r="U172" s="13">
        <f t="shared" si="41"/>
        <v>1</v>
      </c>
      <c r="V172" s="13">
        <f t="shared" ca="1" si="42"/>
        <v>3</v>
      </c>
      <c r="W172" s="13">
        <f t="shared" ca="1" si="43"/>
        <v>8</v>
      </c>
      <c r="X172" s="61" t="str">
        <f t="shared" ca="1" si="44"/>
        <v>MONITOR</v>
      </c>
    </row>
    <row r="173" spans="1:24" x14ac:dyDescent="0.35">
      <c r="A173" s="25" t="s">
        <v>187</v>
      </c>
      <c r="B173" s="10" t="s">
        <v>330</v>
      </c>
      <c r="C173" s="10" t="s">
        <v>342</v>
      </c>
      <c r="D173" s="10" t="s">
        <v>346</v>
      </c>
      <c r="E173" s="11">
        <v>45906</v>
      </c>
      <c r="F173" s="14">
        <f t="shared" ca="1" si="30"/>
        <v>193</v>
      </c>
      <c r="G173" s="17">
        <v>199</v>
      </c>
      <c r="H173" s="17">
        <v>135</v>
      </c>
      <c r="I173" s="53">
        <f t="shared" si="31"/>
        <v>1321</v>
      </c>
      <c r="J173" s="17">
        <v>2000</v>
      </c>
      <c r="K173" s="66">
        <v>679</v>
      </c>
      <c r="L173" s="52">
        <f t="shared" ca="1" si="32"/>
        <v>3.5181347150259068</v>
      </c>
      <c r="M173" s="50">
        <f t="shared" si="33"/>
        <v>0.80451009251471861</v>
      </c>
      <c r="N173" s="52">
        <f t="shared" si="34"/>
        <v>2.0701219512195124</v>
      </c>
      <c r="O173" s="56">
        <f t="shared" si="35"/>
        <v>169.75</v>
      </c>
      <c r="P173" s="54">
        <f t="shared" si="36"/>
        <v>7.7820324005891015</v>
      </c>
      <c r="Q173" s="55">
        <f t="shared" si="37"/>
        <v>32.1608040201005</v>
      </c>
      <c r="R173" s="55">
        <f t="shared" si="38"/>
        <v>33.950000000000003</v>
      </c>
      <c r="S173" s="13">
        <f t="shared" si="39"/>
        <v>3</v>
      </c>
      <c r="T173" s="13">
        <f t="shared" si="40"/>
        <v>1</v>
      </c>
      <c r="U173" s="13">
        <f t="shared" si="41"/>
        <v>1</v>
      </c>
      <c r="V173" s="13">
        <f t="shared" ca="1" si="42"/>
        <v>3</v>
      </c>
      <c r="W173" s="13">
        <f t="shared" ca="1" si="43"/>
        <v>8</v>
      </c>
      <c r="X173" s="61" t="str">
        <f t="shared" ca="1" si="44"/>
        <v>MONITOR</v>
      </c>
    </row>
    <row r="174" spans="1:24" x14ac:dyDescent="0.35">
      <c r="A174" s="25" t="s">
        <v>188</v>
      </c>
      <c r="B174" s="10" t="s">
        <v>330</v>
      </c>
      <c r="C174" s="10" t="s">
        <v>342</v>
      </c>
      <c r="D174" s="10" t="s">
        <v>346</v>
      </c>
      <c r="E174" s="11">
        <v>45906</v>
      </c>
      <c r="F174" s="14">
        <f t="shared" ca="1" si="30"/>
        <v>193</v>
      </c>
      <c r="G174" s="17">
        <v>199</v>
      </c>
      <c r="H174" s="17">
        <v>135</v>
      </c>
      <c r="I174" s="53">
        <f t="shared" si="31"/>
        <v>1970</v>
      </c>
      <c r="J174" s="17">
        <v>2000</v>
      </c>
      <c r="K174" s="66">
        <v>30</v>
      </c>
      <c r="L174" s="52">
        <f t="shared" ca="1" si="32"/>
        <v>0.15544041450777202</v>
      </c>
      <c r="M174" s="50">
        <f t="shared" si="33"/>
        <v>0.80451009251471861</v>
      </c>
      <c r="N174" s="52">
        <f t="shared" si="34"/>
        <v>9.1463414634146339E-2</v>
      </c>
      <c r="O174" s="56">
        <f t="shared" si="35"/>
        <v>7.5</v>
      </c>
      <c r="P174" s="54">
        <f t="shared" si="36"/>
        <v>262.66666666666669</v>
      </c>
      <c r="Q174" s="55">
        <f t="shared" si="37"/>
        <v>32.1608040201005</v>
      </c>
      <c r="R174" s="55">
        <f t="shared" si="38"/>
        <v>1.5</v>
      </c>
      <c r="S174" s="13">
        <f t="shared" si="39"/>
        <v>1</v>
      </c>
      <c r="T174" s="13">
        <f t="shared" si="40"/>
        <v>1</v>
      </c>
      <c r="U174" s="13">
        <f t="shared" si="41"/>
        <v>1</v>
      </c>
      <c r="V174" s="13">
        <f t="shared" ca="1" si="42"/>
        <v>3</v>
      </c>
      <c r="W174" s="13">
        <f t="shared" ca="1" si="43"/>
        <v>6</v>
      </c>
      <c r="X174" s="61" t="str">
        <f t="shared" ca="1" si="44"/>
        <v>MONITOR</v>
      </c>
    </row>
    <row r="175" spans="1:24" x14ac:dyDescent="0.35">
      <c r="A175" s="25" t="s">
        <v>189</v>
      </c>
      <c r="B175" s="10" t="s">
        <v>330</v>
      </c>
      <c r="C175" s="10" t="s">
        <v>342</v>
      </c>
      <c r="D175" s="10" t="s">
        <v>346</v>
      </c>
      <c r="E175" s="11">
        <v>45906</v>
      </c>
      <c r="F175" s="14">
        <f t="shared" ca="1" si="30"/>
        <v>193</v>
      </c>
      <c r="G175" s="17">
        <v>199</v>
      </c>
      <c r="H175" s="17">
        <v>135</v>
      </c>
      <c r="I175" s="53">
        <f t="shared" si="31"/>
        <v>881</v>
      </c>
      <c r="J175" s="17">
        <v>1600</v>
      </c>
      <c r="K175" s="66">
        <v>719</v>
      </c>
      <c r="L175" s="52">
        <f t="shared" ca="1" si="32"/>
        <v>3.7253886010362693</v>
      </c>
      <c r="M175" s="50">
        <f t="shared" si="33"/>
        <v>0.80451009251471861</v>
      </c>
      <c r="N175" s="52">
        <f t="shared" si="34"/>
        <v>2.1920731707317072</v>
      </c>
      <c r="O175" s="56">
        <f t="shared" si="35"/>
        <v>179.75</v>
      </c>
      <c r="P175" s="54">
        <f t="shared" si="36"/>
        <v>4.9012517385257306</v>
      </c>
      <c r="Q175" s="55">
        <f t="shared" si="37"/>
        <v>32.1608040201005</v>
      </c>
      <c r="R175" s="55">
        <f t="shared" si="38"/>
        <v>44.9375</v>
      </c>
      <c r="S175" s="13">
        <f t="shared" si="39"/>
        <v>3</v>
      </c>
      <c r="T175" s="13">
        <f t="shared" si="40"/>
        <v>2</v>
      </c>
      <c r="U175" s="13">
        <f t="shared" si="41"/>
        <v>1</v>
      </c>
      <c r="V175" s="13">
        <f t="shared" ca="1" si="42"/>
        <v>3</v>
      </c>
      <c r="W175" s="13">
        <f t="shared" ca="1" si="43"/>
        <v>9</v>
      </c>
      <c r="X175" s="61" t="str">
        <f t="shared" ca="1" si="44"/>
        <v>RE-BUY</v>
      </c>
    </row>
    <row r="176" spans="1:24" x14ac:dyDescent="0.35">
      <c r="A176" s="25" t="s">
        <v>190</v>
      </c>
      <c r="B176" s="10" t="s">
        <v>330</v>
      </c>
      <c r="C176" s="10" t="s">
        <v>342</v>
      </c>
      <c r="D176" s="10" t="s">
        <v>346</v>
      </c>
      <c r="E176" s="11">
        <v>45906</v>
      </c>
      <c r="F176" s="14">
        <f t="shared" ca="1" si="30"/>
        <v>193</v>
      </c>
      <c r="G176" s="17">
        <v>199</v>
      </c>
      <c r="H176" s="17">
        <v>135</v>
      </c>
      <c r="I176" s="53">
        <f t="shared" si="31"/>
        <v>1371</v>
      </c>
      <c r="J176" s="17">
        <v>2000</v>
      </c>
      <c r="K176" s="66">
        <v>629</v>
      </c>
      <c r="L176" s="52">
        <f t="shared" ca="1" si="32"/>
        <v>3.2590673575129534</v>
      </c>
      <c r="M176" s="50">
        <f t="shared" si="33"/>
        <v>0.80451009251471861</v>
      </c>
      <c r="N176" s="52">
        <f t="shared" si="34"/>
        <v>1.9176829268292683</v>
      </c>
      <c r="O176" s="56">
        <f t="shared" si="35"/>
        <v>157.25</v>
      </c>
      <c r="P176" s="54">
        <f t="shared" si="36"/>
        <v>8.7186009538950717</v>
      </c>
      <c r="Q176" s="55">
        <f t="shared" si="37"/>
        <v>32.1608040201005</v>
      </c>
      <c r="R176" s="55">
        <f t="shared" si="38"/>
        <v>31.45</v>
      </c>
      <c r="S176" s="13">
        <f t="shared" si="39"/>
        <v>3</v>
      </c>
      <c r="T176" s="13">
        <f t="shared" si="40"/>
        <v>1</v>
      </c>
      <c r="U176" s="13">
        <f t="shared" si="41"/>
        <v>1</v>
      </c>
      <c r="V176" s="13">
        <f t="shared" ca="1" si="42"/>
        <v>3</v>
      </c>
      <c r="W176" s="13">
        <f t="shared" ca="1" si="43"/>
        <v>8</v>
      </c>
      <c r="X176" s="61" t="str">
        <f t="shared" ca="1" si="44"/>
        <v>MONITOR</v>
      </c>
    </row>
    <row r="177" spans="1:24" x14ac:dyDescent="0.35">
      <c r="A177" s="25" t="s">
        <v>191</v>
      </c>
      <c r="B177" s="10" t="s">
        <v>330</v>
      </c>
      <c r="C177" s="10" t="s">
        <v>342</v>
      </c>
      <c r="D177" s="10" t="s">
        <v>346</v>
      </c>
      <c r="E177" s="11">
        <v>45927</v>
      </c>
      <c r="F177" s="14">
        <f t="shared" ca="1" si="30"/>
        <v>172</v>
      </c>
      <c r="G177" s="17">
        <v>199</v>
      </c>
      <c r="H177" s="17">
        <v>135</v>
      </c>
      <c r="I177" s="53">
        <f t="shared" si="31"/>
        <v>1029</v>
      </c>
      <c r="J177" s="17">
        <v>1800</v>
      </c>
      <c r="K177" s="66">
        <v>771</v>
      </c>
      <c r="L177" s="52">
        <f t="shared" ca="1" si="32"/>
        <v>4.4825581395348841</v>
      </c>
      <c r="M177" s="50">
        <f t="shared" si="33"/>
        <v>0.80451009251471861</v>
      </c>
      <c r="N177" s="52">
        <f t="shared" si="34"/>
        <v>2.350609756097561</v>
      </c>
      <c r="O177" s="56">
        <f t="shared" si="35"/>
        <v>192.75</v>
      </c>
      <c r="P177" s="54">
        <f t="shared" si="36"/>
        <v>5.3385214007782098</v>
      </c>
      <c r="Q177" s="55">
        <f t="shared" si="37"/>
        <v>32.1608040201005</v>
      </c>
      <c r="R177" s="55">
        <f t="shared" si="38"/>
        <v>42.833333333333336</v>
      </c>
      <c r="S177" s="13">
        <f t="shared" si="39"/>
        <v>3</v>
      </c>
      <c r="T177" s="13">
        <f t="shared" si="40"/>
        <v>2</v>
      </c>
      <c r="U177" s="13">
        <f t="shared" si="41"/>
        <v>1</v>
      </c>
      <c r="V177" s="13">
        <f t="shared" ca="1" si="42"/>
        <v>3</v>
      </c>
      <c r="W177" s="13">
        <f t="shared" ca="1" si="43"/>
        <v>9</v>
      </c>
      <c r="X177" s="61" t="str">
        <f t="shared" ca="1" si="44"/>
        <v>RE-BUY</v>
      </c>
    </row>
    <row r="178" spans="1:24" x14ac:dyDescent="0.35">
      <c r="A178" s="25" t="s">
        <v>192</v>
      </c>
      <c r="B178" s="10" t="s">
        <v>330</v>
      </c>
      <c r="C178" s="10" t="s">
        <v>342</v>
      </c>
      <c r="D178" s="10" t="s">
        <v>346</v>
      </c>
      <c r="E178" s="11">
        <v>45927</v>
      </c>
      <c r="F178" s="14">
        <f t="shared" ca="1" si="30"/>
        <v>172</v>
      </c>
      <c r="G178" s="17">
        <v>199</v>
      </c>
      <c r="H178" s="17">
        <v>135</v>
      </c>
      <c r="I178" s="53">
        <f t="shared" si="31"/>
        <v>1465</v>
      </c>
      <c r="J178" s="17">
        <v>2000</v>
      </c>
      <c r="K178" s="66">
        <v>535</v>
      </c>
      <c r="L178" s="52">
        <f t="shared" ca="1" si="32"/>
        <v>3.11046511627907</v>
      </c>
      <c r="M178" s="50">
        <f t="shared" si="33"/>
        <v>0.80451009251471861</v>
      </c>
      <c r="N178" s="52">
        <f t="shared" si="34"/>
        <v>1.6310975609756098</v>
      </c>
      <c r="O178" s="56">
        <f t="shared" si="35"/>
        <v>133.75</v>
      </c>
      <c r="P178" s="54">
        <f t="shared" si="36"/>
        <v>10.953271028037383</v>
      </c>
      <c r="Q178" s="55">
        <f t="shared" si="37"/>
        <v>32.1608040201005</v>
      </c>
      <c r="R178" s="55">
        <f t="shared" si="38"/>
        <v>26.75</v>
      </c>
      <c r="S178" s="13">
        <f t="shared" si="39"/>
        <v>3</v>
      </c>
      <c r="T178" s="13">
        <f t="shared" si="40"/>
        <v>1</v>
      </c>
      <c r="U178" s="13">
        <f t="shared" si="41"/>
        <v>1</v>
      </c>
      <c r="V178" s="13">
        <f t="shared" ca="1" si="42"/>
        <v>3</v>
      </c>
      <c r="W178" s="13">
        <f t="shared" ca="1" si="43"/>
        <v>8</v>
      </c>
      <c r="X178" s="61" t="str">
        <f t="shared" ca="1" si="44"/>
        <v>MONITOR</v>
      </c>
    </row>
    <row r="179" spans="1:24" x14ac:dyDescent="0.35">
      <c r="A179" s="25" t="s">
        <v>193</v>
      </c>
      <c r="B179" s="10" t="s">
        <v>330</v>
      </c>
      <c r="C179" s="10" t="s">
        <v>342</v>
      </c>
      <c r="D179" s="10" t="s">
        <v>346</v>
      </c>
      <c r="E179" s="11">
        <v>45927</v>
      </c>
      <c r="F179" s="14">
        <f t="shared" ca="1" si="30"/>
        <v>172</v>
      </c>
      <c r="G179" s="17">
        <v>199</v>
      </c>
      <c r="H179" s="17">
        <v>135</v>
      </c>
      <c r="I179" s="53">
        <f t="shared" si="31"/>
        <v>1372</v>
      </c>
      <c r="J179" s="17">
        <v>1800</v>
      </c>
      <c r="K179" s="66">
        <v>428</v>
      </c>
      <c r="L179" s="52">
        <f t="shared" ca="1" si="32"/>
        <v>2.4883720930232558</v>
      </c>
      <c r="M179" s="50">
        <f t="shared" si="33"/>
        <v>0.80451009251471861</v>
      </c>
      <c r="N179" s="52">
        <f t="shared" si="34"/>
        <v>1.3048780487804879</v>
      </c>
      <c r="O179" s="56">
        <f t="shared" si="35"/>
        <v>107</v>
      </c>
      <c r="P179" s="54">
        <f t="shared" si="36"/>
        <v>12.822429906542055</v>
      </c>
      <c r="Q179" s="55">
        <f t="shared" si="37"/>
        <v>32.1608040201005</v>
      </c>
      <c r="R179" s="55">
        <f t="shared" si="38"/>
        <v>23.777777777777779</v>
      </c>
      <c r="S179" s="13">
        <f t="shared" si="39"/>
        <v>3</v>
      </c>
      <c r="T179" s="13">
        <f t="shared" si="40"/>
        <v>1</v>
      </c>
      <c r="U179" s="13">
        <f t="shared" si="41"/>
        <v>1</v>
      </c>
      <c r="V179" s="13">
        <f t="shared" ca="1" si="42"/>
        <v>3</v>
      </c>
      <c r="W179" s="13">
        <f t="shared" ca="1" si="43"/>
        <v>8</v>
      </c>
      <c r="X179" s="61" t="str">
        <f t="shared" ca="1" si="44"/>
        <v>MONITOR</v>
      </c>
    </row>
    <row r="180" spans="1:24" x14ac:dyDescent="0.35">
      <c r="A180" s="25" t="s">
        <v>194</v>
      </c>
      <c r="B180" s="10" t="s">
        <v>330</v>
      </c>
      <c r="C180" s="10" t="s">
        <v>342</v>
      </c>
      <c r="D180" s="10" t="s">
        <v>346</v>
      </c>
      <c r="E180" s="11">
        <v>45920</v>
      </c>
      <c r="F180" s="14">
        <f t="shared" ca="1" si="30"/>
        <v>179</v>
      </c>
      <c r="G180" s="17">
        <v>299</v>
      </c>
      <c r="H180" s="17">
        <v>180</v>
      </c>
      <c r="I180" s="53">
        <f t="shared" si="31"/>
        <v>1211</v>
      </c>
      <c r="J180" s="17">
        <v>1550</v>
      </c>
      <c r="K180" s="66">
        <v>339</v>
      </c>
      <c r="L180" s="52">
        <f t="shared" ca="1" si="32"/>
        <v>1.8938547486033519</v>
      </c>
      <c r="M180" s="50">
        <f t="shared" si="33"/>
        <v>0.80451009251471861</v>
      </c>
      <c r="N180" s="52">
        <f t="shared" si="34"/>
        <v>1.0335365853658536</v>
      </c>
      <c r="O180" s="56">
        <f t="shared" si="35"/>
        <v>84.75</v>
      </c>
      <c r="P180" s="54">
        <f t="shared" si="36"/>
        <v>14.289085545722713</v>
      </c>
      <c r="Q180" s="55">
        <f t="shared" si="37"/>
        <v>39.799331103678931</v>
      </c>
      <c r="R180" s="55">
        <f t="shared" si="38"/>
        <v>21.870967741935484</v>
      </c>
      <c r="S180" s="13">
        <f t="shared" si="39"/>
        <v>3</v>
      </c>
      <c r="T180" s="13">
        <f t="shared" si="40"/>
        <v>1</v>
      </c>
      <c r="U180" s="13">
        <f t="shared" si="41"/>
        <v>1</v>
      </c>
      <c r="V180" s="13">
        <f t="shared" ca="1" si="42"/>
        <v>3</v>
      </c>
      <c r="W180" s="13">
        <f t="shared" ca="1" si="43"/>
        <v>8</v>
      </c>
      <c r="X180" s="61" t="str">
        <f t="shared" ca="1" si="44"/>
        <v>MONITOR</v>
      </c>
    </row>
    <row r="181" spans="1:24" x14ac:dyDescent="0.35">
      <c r="A181" s="25" t="s">
        <v>195</v>
      </c>
      <c r="B181" s="10" t="s">
        <v>330</v>
      </c>
      <c r="C181" s="10" t="s">
        <v>342</v>
      </c>
      <c r="D181" s="10" t="s">
        <v>346</v>
      </c>
      <c r="E181" s="11">
        <v>45920</v>
      </c>
      <c r="F181" s="14">
        <f t="shared" ca="1" si="30"/>
        <v>179</v>
      </c>
      <c r="G181" s="17">
        <v>299</v>
      </c>
      <c r="H181" s="17">
        <v>180</v>
      </c>
      <c r="I181" s="53">
        <f t="shared" si="31"/>
        <v>1046</v>
      </c>
      <c r="J181" s="17">
        <v>1550</v>
      </c>
      <c r="K181" s="66">
        <v>504</v>
      </c>
      <c r="L181" s="52">
        <f t="shared" ca="1" si="32"/>
        <v>2.8156424581005588</v>
      </c>
      <c r="M181" s="50">
        <f t="shared" si="33"/>
        <v>0.80451009251471861</v>
      </c>
      <c r="N181" s="52">
        <f t="shared" si="34"/>
        <v>1.5365853658536586</v>
      </c>
      <c r="O181" s="56">
        <f t="shared" si="35"/>
        <v>126</v>
      </c>
      <c r="P181" s="54">
        <f t="shared" si="36"/>
        <v>8.3015873015873023</v>
      </c>
      <c r="Q181" s="55">
        <f t="shared" si="37"/>
        <v>39.799331103678931</v>
      </c>
      <c r="R181" s="55">
        <f t="shared" si="38"/>
        <v>32.516129032258064</v>
      </c>
      <c r="S181" s="13">
        <f t="shared" si="39"/>
        <v>3</v>
      </c>
      <c r="T181" s="13">
        <f t="shared" si="40"/>
        <v>1</v>
      </c>
      <c r="U181" s="13">
        <f t="shared" si="41"/>
        <v>1</v>
      </c>
      <c r="V181" s="13">
        <f t="shared" ca="1" si="42"/>
        <v>3</v>
      </c>
      <c r="W181" s="13">
        <f t="shared" ca="1" si="43"/>
        <v>8</v>
      </c>
      <c r="X181" s="61" t="str">
        <f t="shared" ca="1" si="44"/>
        <v>MONITOR</v>
      </c>
    </row>
    <row r="182" spans="1:24" x14ac:dyDescent="0.35">
      <c r="A182" s="25" t="s">
        <v>196</v>
      </c>
      <c r="B182" s="10" t="s">
        <v>330</v>
      </c>
      <c r="C182" s="10" t="s">
        <v>342</v>
      </c>
      <c r="D182" s="10" t="s">
        <v>346</v>
      </c>
      <c r="E182" s="11">
        <v>45885</v>
      </c>
      <c r="F182" s="14">
        <f t="shared" ca="1" si="30"/>
        <v>214</v>
      </c>
      <c r="G182" s="17">
        <v>299</v>
      </c>
      <c r="H182" s="17">
        <v>180</v>
      </c>
      <c r="I182" s="53">
        <f t="shared" si="31"/>
        <v>1087</v>
      </c>
      <c r="J182" s="17">
        <v>1550</v>
      </c>
      <c r="K182" s="66">
        <v>463</v>
      </c>
      <c r="L182" s="52">
        <f t="shared" ca="1" si="32"/>
        <v>2.1635514018691588</v>
      </c>
      <c r="M182" s="50">
        <f t="shared" si="33"/>
        <v>0.80451009251471861</v>
      </c>
      <c r="N182" s="52">
        <f t="shared" si="34"/>
        <v>1.4115853658536586</v>
      </c>
      <c r="O182" s="56">
        <f t="shared" si="35"/>
        <v>115.75</v>
      </c>
      <c r="P182" s="54">
        <f t="shared" si="36"/>
        <v>9.3909287257019436</v>
      </c>
      <c r="Q182" s="55">
        <f t="shared" si="37"/>
        <v>39.799331103678931</v>
      </c>
      <c r="R182" s="55">
        <f t="shared" si="38"/>
        <v>29.870967741935484</v>
      </c>
      <c r="S182" s="13">
        <f t="shared" si="39"/>
        <v>3</v>
      </c>
      <c r="T182" s="13">
        <f t="shared" si="40"/>
        <v>1</v>
      </c>
      <c r="U182" s="13">
        <f t="shared" si="41"/>
        <v>1</v>
      </c>
      <c r="V182" s="13">
        <f t="shared" ca="1" si="42"/>
        <v>3</v>
      </c>
      <c r="W182" s="13">
        <f t="shared" ca="1" si="43"/>
        <v>8</v>
      </c>
      <c r="X182" s="61" t="str">
        <f t="shared" ca="1" si="44"/>
        <v>MONITOR</v>
      </c>
    </row>
    <row r="183" spans="1:24" x14ac:dyDescent="0.35">
      <c r="A183" s="25" t="s">
        <v>197</v>
      </c>
      <c r="B183" s="10" t="s">
        <v>330</v>
      </c>
      <c r="C183" s="10" t="s">
        <v>342</v>
      </c>
      <c r="D183" s="10" t="s">
        <v>346</v>
      </c>
      <c r="E183" s="11">
        <v>45885</v>
      </c>
      <c r="F183" s="14">
        <f t="shared" ca="1" si="30"/>
        <v>214</v>
      </c>
      <c r="G183" s="17">
        <v>299</v>
      </c>
      <c r="H183" s="17">
        <v>180</v>
      </c>
      <c r="I183" s="53">
        <f t="shared" si="31"/>
        <v>1210</v>
      </c>
      <c r="J183" s="17">
        <v>1550</v>
      </c>
      <c r="K183" s="66">
        <v>340</v>
      </c>
      <c r="L183" s="52">
        <f t="shared" ca="1" si="32"/>
        <v>1.5887850467289719</v>
      </c>
      <c r="M183" s="50">
        <f t="shared" si="33"/>
        <v>0.80451009251471861</v>
      </c>
      <c r="N183" s="52">
        <f t="shared" si="34"/>
        <v>1.0365853658536586</v>
      </c>
      <c r="O183" s="56">
        <f t="shared" si="35"/>
        <v>85</v>
      </c>
      <c r="P183" s="54">
        <f t="shared" si="36"/>
        <v>14.235294117647058</v>
      </c>
      <c r="Q183" s="55">
        <f t="shared" si="37"/>
        <v>39.799331103678931</v>
      </c>
      <c r="R183" s="55">
        <f t="shared" si="38"/>
        <v>21.935483870967744</v>
      </c>
      <c r="S183" s="13">
        <f t="shared" si="39"/>
        <v>3</v>
      </c>
      <c r="T183" s="13">
        <f t="shared" si="40"/>
        <v>1</v>
      </c>
      <c r="U183" s="13">
        <f t="shared" si="41"/>
        <v>1</v>
      </c>
      <c r="V183" s="13">
        <f t="shared" ca="1" si="42"/>
        <v>3</v>
      </c>
      <c r="W183" s="13">
        <f t="shared" ca="1" si="43"/>
        <v>8</v>
      </c>
      <c r="X183" s="61" t="str">
        <f t="shared" ca="1" si="44"/>
        <v>MONITOR</v>
      </c>
    </row>
    <row r="184" spans="1:24" x14ac:dyDescent="0.35">
      <c r="A184" s="25" t="s">
        <v>198</v>
      </c>
      <c r="B184" s="10" t="s">
        <v>330</v>
      </c>
      <c r="C184" s="10" t="s">
        <v>342</v>
      </c>
      <c r="D184" s="10" t="s">
        <v>346</v>
      </c>
      <c r="E184" s="11">
        <v>45920</v>
      </c>
      <c r="F184" s="14">
        <f t="shared" ca="1" si="30"/>
        <v>179</v>
      </c>
      <c r="G184" s="17">
        <v>299</v>
      </c>
      <c r="H184" s="17">
        <v>180</v>
      </c>
      <c r="I184" s="53">
        <f t="shared" si="31"/>
        <v>1132</v>
      </c>
      <c r="J184" s="17">
        <v>1550</v>
      </c>
      <c r="K184" s="66">
        <v>418</v>
      </c>
      <c r="L184" s="52">
        <f t="shared" ca="1" si="32"/>
        <v>2.3351955307262569</v>
      </c>
      <c r="M184" s="50">
        <f t="shared" si="33"/>
        <v>0.80451009251471861</v>
      </c>
      <c r="N184" s="52">
        <f t="shared" si="34"/>
        <v>1.274390243902439</v>
      </c>
      <c r="O184" s="56">
        <f t="shared" si="35"/>
        <v>104.5</v>
      </c>
      <c r="P184" s="54">
        <f t="shared" si="36"/>
        <v>10.832535885167465</v>
      </c>
      <c r="Q184" s="55">
        <f t="shared" si="37"/>
        <v>39.799331103678931</v>
      </c>
      <c r="R184" s="55">
        <f t="shared" si="38"/>
        <v>26.967741935483868</v>
      </c>
      <c r="S184" s="13">
        <f t="shared" si="39"/>
        <v>3</v>
      </c>
      <c r="T184" s="13">
        <f t="shared" si="40"/>
        <v>1</v>
      </c>
      <c r="U184" s="13">
        <f t="shared" si="41"/>
        <v>1</v>
      </c>
      <c r="V184" s="13">
        <f t="shared" ca="1" si="42"/>
        <v>3</v>
      </c>
      <c r="W184" s="13">
        <f t="shared" ca="1" si="43"/>
        <v>8</v>
      </c>
      <c r="X184" s="61" t="str">
        <f t="shared" ca="1" si="44"/>
        <v>MONITOR</v>
      </c>
    </row>
    <row r="185" spans="1:24" x14ac:dyDescent="0.35">
      <c r="A185" s="25" t="s">
        <v>199</v>
      </c>
      <c r="B185" s="10" t="s">
        <v>330</v>
      </c>
      <c r="C185" s="10" t="s">
        <v>342</v>
      </c>
      <c r="D185" s="10" t="s">
        <v>346</v>
      </c>
      <c r="E185" s="11">
        <v>45920</v>
      </c>
      <c r="F185" s="14">
        <f t="shared" ca="1" si="30"/>
        <v>179</v>
      </c>
      <c r="G185" s="17">
        <v>299</v>
      </c>
      <c r="H185" s="17">
        <v>180</v>
      </c>
      <c r="I185" s="53">
        <f t="shared" si="31"/>
        <v>1071</v>
      </c>
      <c r="J185" s="17">
        <v>1550</v>
      </c>
      <c r="K185" s="66">
        <v>479</v>
      </c>
      <c r="L185" s="52">
        <f t="shared" ca="1" si="32"/>
        <v>2.6759776536312847</v>
      </c>
      <c r="M185" s="50">
        <f t="shared" si="33"/>
        <v>0.80451009251471861</v>
      </c>
      <c r="N185" s="52">
        <f t="shared" si="34"/>
        <v>1.4603658536585367</v>
      </c>
      <c r="O185" s="56">
        <f t="shared" si="35"/>
        <v>119.75</v>
      </c>
      <c r="P185" s="54">
        <f t="shared" si="36"/>
        <v>8.9436325678496864</v>
      </c>
      <c r="Q185" s="55">
        <f t="shared" si="37"/>
        <v>39.799331103678931</v>
      </c>
      <c r="R185" s="55">
        <f t="shared" si="38"/>
        <v>30.903225806451612</v>
      </c>
      <c r="S185" s="13">
        <f t="shared" si="39"/>
        <v>3</v>
      </c>
      <c r="T185" s="13">
        <f t="shared" si="40"/>
        <v>1</v>
      </c>
      <c r="U185" s="13">
        <f t="shared" si="41"/>
        <v>1</v>
      </c>
      <c r="V185" s="13">
        <f t="shared" ca="1" si="42"/>
        <v>3</v>
      </c>
      <c r="W185" s="13">
        <f t="shared" ca="1" si="43"/>
        <v>8</v>
      </c>
      <c r="X185" s="61" t="str">
        <f t="shared" ca="1" si="44"/>
        <v>MONITOR</v>
      </c>
    </row>
    <row r="186" spans="1:24" x14ac:dyDescent="0.35">
      <c r="A186" s="25" t="s">
        <v>200</v>
      </c>
      <c r="B186" s="10" t="s">
        <v>330</v>
      </c>
      <c r="C186" s="10" t="s">
        <v>342</v>
      </c>
      <c r="D186" s="10" t="s">
        <v>346</v>
      </c>
      <c r="E186" s="11">
        <v>45885</v>
      </c>
      <c r="F186" s="14">
        <f t="shared" ca="1" si="30"/>
        <v>214</v>
      </c>
      <c r="G186" s="17">
        <v>299</v>
      </c>
      <c r="H186" s="17">
        <v>180</v>
      </c>
      <c r="I186" s="53">
        <f t="shared" si="31"/>
        <v>1206</v>
      </c>
      <c r="J186" s="17">
        <v>1550</v>
      </c>
      <c r="K186" s="66">
        <v>344</v>
      </c>
      <c r="L186" s="52">
        <f t="shared" ca="1" si="32"/>
        <v>1.6074766355140186</v>
      </c>
      <c r="M186" s="50">
        <f t="shared" si="33"/>
        <v>0.80451009251471861</v>
      </c>
      <c r="N186" s="52">
        <f t="shared" si="34"/>
        <v>1.0487804878048781</v>
      </c>
      <c r="O186" s="56">
        <f t="shared" si="35"/>
        <v>86</v>
      </c>
      <c r="P186" s="54">
        <f t="shared" si="36"/>
        <v>14.023255813953488</v>
      </c>
      <c r="Q186" s="55">
        <f t="shared" si="37"/>
        <v>39.799331103678931</v>
      </c>
      <c r="R186" s="55">
        <f t="shared" si="38"/>
        <v>22.193548387096772</v>
      </c>
      <c r="S186" s="13">
        <f t="shared" si="39"/>
        <v>3</v>
      </c>
      <c r="T186" s="13">
        <f t="shared" si="40"/>
        <v>1</v>
      </c>
      <c r="U186" s="13">
        <f t="shared" si="41"/>
        <v>1</v>
      </c>
      <c r="V186" s="13">
        <f t="shared" ca="1" si="42"/>
        <v>3</v>
      </c>
      <c r="W186" s="13">
        <f t="shared" ca="1" si="43"/>
        <v>8</v>
      </c>
      <c r="X186" s="61" t="str">
        <f t="shared" ca="1" si="44"/>
        <v>MONITOR</v>
      </c>
    </row>
    <row r="187" spans="1:24" x14ac:dyDescent="0.35">
      <c r="A187" s="25" t="s">
        <v>201</v>
      </c>
      <c r="B187" s="10" t="s">
        <v>330</v>
      </c>
      <c r="C187" s="10" t="s">
        <v>342</v>
      </c>
      <c r="D187" s="10" t="s">
        <v>346</v>
      </c>
      <c r="E187" s="11">
        <v>45885</v>
      </c>
      <c r="F187" s="14">
        <f t="shared" ca="1" si="30"/>
        <v>214</v>
      </c>
      <c r="G187" s="17">
        <v>299</v>
      </c>
      <c r="H187" s="17">
        <v>180</v>
      </c>
      <c r="I187" s="53">
        <f t="shared" si="31"/>
        <v>1392</v>
      </c>
      <c r="J187" s="17">
        <v>1550</v>
      </c>
      <c r="K187" s="66">
        <v>158</v>
      </c>
      <c r="L187" s="52">
        <f t="shared" ca="1" si="32"/>
        <v>0.73831775700934577</v>
      </c>
      <c r="M187" s="50">
        <f t="shared" si="33"/>
        <v>0.80451009251471861</v>
      </c>
      <c r="N187" s="52">
        <f t="shared" si="34"/>
        <v>0.48170731707317072</v>
      </c>
      <c r="O187" s="56">
        <f t="shared" si="35"/>
        <v>39.5</v>
      </c>
      <c r="P187" s="54">
        <f t="shared" si="36"/>
        <v>35.240506329113927</v>
      </c>
      <c r="Q187" s="55">
        <f t="shared" si="37"/>
        <v>39.799331103678931</v>
      </c>
      <c r="R187" s="55">
        <f t="shared" si="38"/>
        <v>10.193548387096774</v>
      </c>
      <c r="S187" s="13">
        <f t="shared" si="39"/>
        <v>1</v>
      </c>
      <c r="T187" s="13">
        <f t="shared" si="40"/>
        <v>1</v>
      </c>
      <c r="U187" s="13">
        <f t="shared" si="41"/>
        <v>1</v>
      </c>
      <c r="V187" s="13">
        <f t="shared" ca="1" si="42"/>
        <v>3</v>
      </c>
      <c r="W187" s="13">
        <f t="shared" ca="1" si="43"/>
        <v>6</v>
      </c>
      <c r="X187" s="61" t="str">
        <f t="shared" ca="1" si="44"/>
        <v>MONITOR</v>
      </c>
    </row>
    <row r="188" spans="1:24" x14ac:dyDescent="0.35">
      <c r="A188" s="25" t="s">
        <v>202</v>
      </c>
      <c r="B188" s="10" t="s">
        <v>330</v>
      </c>
      <c r="C188" s="10" t="s">
        <v>342</v>
      </c>
      <c r="D188" s="10" t="s">
        <v>346</v>
      </c>
      <c r="E188" s="11">
        <v>45885</v>
      </c>
      <c r="F188" s="14">
        <f t="shared" ca="1" si="30"/>
        <v>214</v>
      </c>
      <c r="G188" s="17">
        <v>299</v>
      </c>
      <c r="H188" s="17">
        <v>180</v>
      </c>
      <c r="I188" s="53">
        <f t="shared" si="31"/>
        <v>1222</v>
      </c>
      <c r="J188" s="17">
        <v>1550</v>
      </c>
      <c r="K188" s="66">
        <v>328</v>
      </c>
      <c r="L188" s="52">
        <f t="shared" ca="1" si="32"/>
        <v>1.5327102803738317</v>
      </c>
      <c r="M188" s="50">
        <f t="shared" si="33"/>
        <v>0.80451009251471861</v>
      </c>
      <c r="N188" s="52">
        <f t="shared" si="34"/>
        <v>1</v>
      </c>
      <c r="O188" s="56">
        <f t="shared" si="35"/>
        <v>82</v>
      </c>
      <c r="P188" s="54">
        <f t="shared" si="36"/>
        <v>14.902439024390244</v>
      </c>
      <c r="Q188" s="55">
        <f t="shared" si="37"/>
        <v>39.799331103678931</v>
      </c>
      <c r="R188" s="55">
        <f t="shared" si="38"/>
        <v>21.161290322580644</v>
      </c>
      <c r="S188" s="13">
        <f t="shared" si="39"/>
        <v>3</v>
      </c>
      <c r="T188" s="13">
        <f t="shared" si="40"/>
        <v>1</v>
      </c>
      <c r="U188" s="13">
        <f t="shared" si="41"/>
        <v>1</v>
      </c>
      <c r="V188" s="13">
        <f t="shared" ca="1" si="42"/>
        <v>3</v>
      </c>
      <c r="W188" s="13">
        <f t="shared" ca="1" si="43"/>
        <v>8</v>
      </c>
      <c r="X188" s="61" t="str">
        <f t="shared" ca="1" si="44"/>
        <v>MONITOR</v>
      </c>
    </row>
    <row r="189" spans="1:24" x14ac:dyDescent="0.35">
      <c r="A189" s="25" t="s">
        <v>203</v>
      </c>
      <c r="B189" s="10" t="s">
        <v>330</v>
      </c>
      <c r="C189" s="10" t="s">
        <v>342</v>
      </c>
      <c r="D189" s="10" t="s">
        <v>346</v>
      </c>
      <c r="E189" s="11">
        <v>45885</v>
      </c>
      <c r="F189" s="14">
        <f t="shared" ca="1" si="30"/>
        <v>214</v>
      </c>
      <c r="G189" s="17">
        <v>299</v>
      </c>
      <c r="H189" s="17">
        <v>180</v>
      </c>
      <c r="I189" s="53">
        <f t="shared" si="31"/>
        <v>1173</v>
      </c>
      <c r="J189" s="17">
        <v>1550</v>
      </c>
      <c r="K189" s="66">
        <v>377</v>
      </c>
      <c r="L189" s="52">
        <f t="shared" ca="1" si="32"/>
        <v>1.7616822429906542</v>
      </c>
      <c r="M189" s="50">
        <f t="shared" si="33"/>
        <v>0.80451009251471861</v>
      </c>
      <c r="N189" s="52">
        <f t="shared" si="34"/>
        <v>1.149390243902439</v>
      </c>
      <c r="O189" s="56">
        <f t="shared" si="35"/>
        <v>94.25</v>
      </c>
      <c r="P189" s="54">
        <f t="shared" si="36"/>
        <v>12.445623342175066</v>
      </c>
      <c r="Q189" s="55">
        <f t="shared" si="37"/>
        <v>39.799331103678931</v>
      </c>
      <c r="R189" s="55">
        <f t="shared" si="38"/>
        <v>24.322580645161292</v>
      </c>
      <c r="S189" s="13">
        <f t="shared" si="39"/>
        <v>3</v>
      </c>
      <c r="T189" s="13">
        <f t="shared" si="40"/>
        <v>1</v>
      </c>
      <c r="U189" s="13">
        <f t="shared" si="41"/>
        <v>1</v>
      </c>
      <c r="V189" s="13">
        <f t="shared" ca="1" si="42"/>
        <v>3</v>
      </c>
      <c r="W189" s="13">
        <f t="shared" ca="1" si="43"/>
        <v>8</v>
      </c>
      <c r="X189" s="61" t="str">
        <f t="shared" ca="1" si="44"/>
        <v>MONITOR</v>
      </c>
    </row>
    <row r="190" spans="1:24" x14ac:dyDescent="0.35">
      <c r="A190" s="25" t="s">
        <v>204</v>
      </c>
      <c r="B190" s="10" t="s">
        <v>330</v>
      </c>
      <c r="C190" s="10" t="s">
        <v>342</v>
      </c>
      <c r="D190" s="10" t="s">
        <v>346</v>
      </c>
      <c r="E190" s="11">
        <v>45885</v>
      </c>
      <c r="F190" s="14">
        <f t="shared" ca="1" si="30"/>
        <v>214</v>
      </c>
      <c r="G190" s="17">
        <v>299</v>
      </c>
      <c r="H190" s="17">
        <v>180</v>
      </c>
      <c r="I190" s="53">
        <f t="shared" si="31"/>
        <v>1147</v>
      </c>
      <c r="J190" s="17">
        <v>1550</v>
      </c>
      <c r="K190" s="66">
        <v>403</v>
      </c>
      <c r="L190" s="52">
        <f t="shared" ca="1" si="32"/>
        <v>1.8831775700934579</v>
      </c>
      <c r="M190" s="50">
        <f t="shared" si="33"/>
        <v>0.80451009251471861</v>
      </c>
      <c r="N190" s="52">
        <f t="shared" si="34"/>
        <v>1.2286585365853659</v>
      </c>
      <c r="O190" s="56">
        <f t="shared" si="35"/>
        <v>100.75000000000001</v>
      </c>
      <c r="P190" s="54">
        <f t="shared" si="36"/>
        <v>11.384615384615383</v>
      </c>
      <c r="Q190" s="55">
        <f t="shared" si="37"/>
        <v>39.799331103678931</v>
      </c>
      <c r="R190" s="55">
        <f t="shared" si="38"/>
        <v>26</v>
      </c>
      <c r="S190" s="13">
        <f t="shared" si="39"/>
        <v>3</v>
      </c>
      <c r="T190" s="13">
        <f t="shared" si="40"/>
        <v>1</v>
      </c>
      <c r="U190" s="13">
        <f t="shared" si="41"/>
        <v>1</v>
      </c>
      <c r="V190" s="13">
        <f t="shared" ca="1" si="42"/>
        <v>3</v>
      </c>
      <c r="W190" s="13">
        <f t="shared" ca="1" si="43"/>
        <v>8</v>
      </c>
      <c r="X190" s="61" t="str">
        <f t="shared" ca="1" si="44"/>
        <v>MONITOR</v>
      </c>
    </row>
    <row r="191" spans="1:24" x14ac:dyDescent="0.35">
      <c r="A191" s="25" t="s">
        <v>205</v>
      </c>
      <c r="B191" s="10" t="s">
        <v>330</v>
      </c>
      <c r="C191" s="10" t="s">
        <v>342</v>
      </c>
      <c r="D191" s="10" t="s">
        <v>346</v>
      </c>
      <c r="E191" s="11">
        <v>45885</v>
      </c>
      <c r="F191" s="14">
        <f t="shared" ca="1" si="30"/>
        <v>214</v>
      </c>
      <c r="G191" s="17">
        <v>299</v>
      </c>
      <c r="H191" s="17">
        <v>180</v>
      </c>
      <c r="I191" s="53">
        <f t="shared" si="31"/>
        <v>1059</v>
      </c>
      <c r="J191" s="17">
        <v>1550</v>
      </c>
      <c r="K191" s="66">
        <v>491</v>
      </c>
      <c r="L191" s="52">
        <f t="shared" ca="1" si="32"/>
        <v>2.2943925233644862</v>
      </c>
      <c r="M191" s="50">
        <f t="shared" si="33"/>
        <v>0.80451009251471861</v>
      </c>
      <c r="N191" s="52">
        <f t="shared" si="34"/>
        <v>1.4969512195121952</v>
      </c>
      <c r="O191" s="56">
        <f t="shared" si="35"/>
        <v>122.75000000000001</v>
      </c>
      <c r="P191" s="54">
        <f t="shared" si="36"/>
        <v>8.6272912423625243</v>
      </c>
      <c r="Q191" s="55">
        <f t="shared" si="37"/>
        <v>39.799331103678931</v>
      </c>
      <c r="R191" s="55">
        <f t="shared" si="38"/>
        <v>31.677419354838708</v>
      </c>
      <c r="S191" s="13">
        <f t="shared" si="39"/>
        <v>3</v>
      </c>
      <c r="T191" s="13">
        <f t="shared" si="40"/>
        <v>1</v>
      </c>
      <c r="U191" s="13">
        <f t="shared" si="41"/>
        <v>1</v>
      </c>
      <c r="V191" s="13">
        <f t="shared" ca="1" si="42"/>
        <v>3</v>
      </c>
      <c r="W191" s="13">
        <f t="shared" ca="1" si="43"/>
        <v>8</v>
      </c>
      <c r="X191" s="61" t="str">
        <f t="shared" ca="1" si="44"/>
        <v>MONITOR</v>
      </c>
    </row>
    <row r="192" spans="1:24" x14ac:dyDescent="0.35">
      <c r="A192" s="25" t="s">
        <v>206</v>
      </c>
      <c r="B192" s="10" t="s">
        <v>330</v>
      </c>
      <c r="C192" s="10" t="s">
        <v>342</v>
      </c>
      <c r="D192" s="10" t="s">
        <v>346</v>
      </c>
      <c r="E192" s="11">
        <v>45885</v>
      </c>
      <c r="F192" s="14">
        <f t="shared" ca="1" si="30"/>
        <v>214</v>
      </c>
      <c r="G192" s="17">
        <v>299</v>
      </c>
      <c r="H192" s="17">
        <v>180</v>
      </c>
      <c r="I192" s="53">
        <f t="shared" si="31"/>
        <v>910</v>
      </c>
      <c r="J192" s="17">
        <v>1550</v>
      </c>
      <c r="K192" s="66">
        <v>640</v>
      </c>
      <c r="L192" s="52">
        <f t="shared" ca="1" si="32"/>
        <v>2.9906542056074765</v>
      </c>
      <c r="M192" s="50">
        <f t="shared" si="33"/>
        <v>0.80451009251471861</v>
      </c>
      <c r="N192" s="52">
        <f t="shared" si="34"/>
        <v>1.9512195121951219</v>
      </c>
      <c r="O192" s="56">
        <f t="shared" si="35"/>
        <v>160</v>
      </c>
      <c r="P192" s="54">
        <f t="shared" si="36"/>
        <v>5.6875</v>
      </c>
      <c r="Q192" s="55">
        <f t="shared" si="37"/>
        <v>39.799331103678931</v>
      </c>
      <c r="R192" s="55">
        <f t="shared" si="38"/>
        <v>41.29032258064516</v>
      </c>
      <c r="S192" s="13">
        <f t="shared" si="39"/>
        <v>3</v>
      </c>
      <c r="T192" s="13">
        <f t="shared" si="40"/>
        <v>2</v>
      </c>
      <c r="U192" s="13">
        <f t="shared" si="41"/>
        <v>1</v>
      </c>
      <c r="V192" s="13">
        <f t="shared" ca="1" si="42"/>
        <v>3</v>
      </c>
      <c r="W192" s="13">
        <f t="shared" ca="1" si="43"/>
        <v>9</v>
      </c>
      <c r="X192" s="61" t="str">
        <f t="shared" ca="1" si="44"/>
        <v>RE-BUY</v>
      </c>
    </row>
    <row r="193" spans="1:24" x14ac:dyDescent="0.35">
      <c r="A193" s="25" t="s">
        <v>207</v>
      </c>
      <c r="B193" s="10" t="s">
        <v>330</v>
      </c>
      <c r="C193" s="10" t="s">
        <v>342</v>
      </c>
      <c r="D193" s="10" t="s">
        <v>346</v>
      </c>
      <c r="E193" s="11">
        <v>45885</v>
      </c>
      <c r="F193" s="14">
        <f t="shared" ca="1" si="30"/>
        <v>214</v>
      </c>
      <c r="G193" s="17">
        <v>299</v>
      </c>
      <c r="H193" s="17">
        <v>180</v>
      </c>
      <c r="I193" s="53">
        <f t="shared" si="31"/>
        <v>1120</v>
      </c>
      <c r="J193" s="17">
        <v>1550</v>
      </c>
      <c r="K193" s="66">
        <v>430</v>
      </c>
      <c r="L193" s="52">
        <f t="shared" ca="1" si="32"/>
        <v>2.0093457943925235</v>
      </c>
      <c r="M193" s="50">
        <f t="shared" si="33"/>
        <v>0.80451009251471861</v>
      </c>
      <c r="N193" s="52">
        <f t="shared" si="34"/>
        <v>1.3109756097560976</v>
      </c>
      <c r="O193" s="56">
        <f t="shared" si="35"/>
        <v>107.5</v>
      </c>
      <c r="P193" s="54">
        <f t="shared" si="36"/>
        <v>10.418604651162791</v>
      </c>
      <c r="Q193" s="55">
        <f t="shared" si="37"/>
        <v>39.799331103678931</v>
      </c>
      <c r="R193" s="55">
        <f t="shared" si="38"/>
        <v>27.741935483870968</v>
      </c>
      <c r="S193" s="13">
        <f t="shared" si="39"/>
        <v>3</v>
      </c>
      <c r="T193" s="13">
        <f t="shared" si="40"/>
        <v>1</v>
      </c>
      <c r="U193" s="13">
        <f t="shared" si="41"/>
        <v>1</v>
      </c>
      <c r="V193" s="13">
        <f t="shared" ca="1" si="42"/>
        <v>3</v>
      </c>
      <c r="W193" s="13">
        <f t="shared" ca="1" si="43"/>
        <v>8</v>
      </c>
      <c r="X193" s="61" t="str">
        <f t="shared" ca="1" si="44"/>
        <v>MONITOR</v>
      </c>
    </row>
    <row r="194" spans="1:24" x14ac:dyDescent="0.35">
      <c r="A194" s="25" t="s">
        <v>208</v>
      </c>
      <c r="B194" s="10" t="s">
        <v>330</v>
      </c>
      <c r="C194" s="10" t="s">
        <v>342</v>
      </c>
      <c r="D194" s="10" t="s">
        <v>346</v>
      </c>
      <c r="E194" s="11">
        <v>45885</v>
      </c>
      <c r="F194" s="14">
        <f t="shared" ca="1" si="30"/>
        <v>214</v>
      </c>
      <c r="G194" s="17">
        <v>299</v>
      </c>
      <c r="H194" s="17">
        <v>180</v>
      </c>
      <c r="I194" s="53">
        <f t="shared" si="31"/>
        <v>1218</v>
      </c>
      <c r="J194" s="17">
        <v>1550</v>
      </c>
      <c r="K194" s="66">
        <v>332</v>
      </c>
      <c r="L194" s="52">
        <f t="shared" ca="1" si="32"/>
        <v>1.5514018691588785</v>
      </c>
      <c r="M194" s="50">
        <f t="shared" si="33"/>
        <v>0.80451009251471861</v>
      </c>
      <c r="N194" s="52">
        <f t="shared" si="34"/>
        <v>1.0121951219512195</v>
      </c>
      <c r="O194" s="56">
        <f t="shared" si="35"/>
        <v>83</v>
      </c>
      <c r="P194" s="54">
        <f t="shared" si="36"/>
        <v>14.674698795180722</v>
      </c>
      <c r="Q194" s="55">
        <f t="shared" si="37"/>
        <v>39.799331103678931</v>
      </c>
      <c r="R194" s="55">
        <f t="shared" si="38"/>
        <v>21.41935483870968</v>
      </c>
      <c r="S194" s="13">
        <f t="shared" si="39"/>
        <v>3</v>
      </c>
      <c r="T194" s="13">
        <f t="shared" si="40"/>
        <v>1</v>
      </c>
      <c r="U194" s="13">
        <f t="shared" si="41"/>
        <v>1</v>
      </c>
      <c r="V194" s="13">
        <f t="shared" ca="1" si="42"/>
        <v>3</v>
      </c>
      <c r="W194" s="13">
        <f t="shared" ca="1" si="43"/>
        <v>8</v>
      </c>
      <c r="X194" s="61" t="str">
        <f t="shared" ca="1" si="44"/>
        <v>MONITOR</v>
      </c>
    </row>
    <row r="195" spans="1:24" x14ac:dyDescent="0.35">
      <c r="A195" s="25" t="s">
        <v>209</v>
      </c>
      <c r="B195" s="10" t="s">
        <v>330</v>
      </c>
      <c r="C195" s="10" t="s">
        <v>342</v>
      </c>
      <c r="D195" s="10" t="s">
        <v>346</v>
      </c>
      <c r="E195" s="11">
        <v>45885</v>
      </c>
      <c r="F195" s="14">
        <f t="shared" ref="F195:F258" ca="1" si="45">TODAY()-E195</f>
        <v>214</v>
      </c>
      <c r="G195" s="17">
        <v>299</v>
      </c>
      <c r="H195" s="17">
        <v>180</v>
      </c>
      <c r="I195" s="53">
        <f t="shared" ref="I195:I258" si="46">J195-K195</f>
        <v>1079</v>
      </c>
      <c r="J195" s="17">
        <v>1550</v>
      </c>
      <c r="K195" s="66">
        <v>471</v>
      </c>
      <c r="L195" s="52">
        <f t="shared" ref="L195:L258" ca="1" si="47">K195/F195</f>
        <v>2.2009345794392523</v>
      </c>
      <c r="M195" s="50">
        <f t="shared" ref="M195:M258" si="48">AVERAGEIFS(N:N,C:C,C195)</f>
        <v>0.80451009251471861</v>
      </c>
      <c r="N195" s="52">
        <f t="shared" ref="N195:N258" si="49">K195/328</f>
        <v>1.4359756097560976</v>
      </c>
      <c r="O195" s="56">
        <f t="shared" ref="O195:O258" si="50">N195*82</f>
        <v>117.75</v>
      </c>
      <c r="P195" s="54">
        <f t="shared" ref="P195:P258" si="51">I195/O195</f>
        <v>9.1634819532908711</v>
      </c>
      <c r="Q195" s="55">
        <f t="shared" ref="Q195:Q258" si="52">(G195-H195)/G195*100</f>
        <v>39.799331103678931</v>
      </c>
      <c r="R195" s="55">
        <f t="shared" ref="R195:R258" si="53">K195/J195*100</f>
        <v>30.387096774193552</v>
      </c>
      <c r="S195" s="13">
        <f t="shared" ref="S195:S258" si="54">IF(N195&gt;=M195,3,IF(N195&gt;=0.8*M195,2,1))</f>
        <v>3</v>
      </c>
      <c r="T195" s="13">
        <f t="shared" ref="T195:T258" si="55">IF(P195&lt;=4,3,IF(P195&lt;=6,2,1))</f>
        <v>1</v>
      </c>
      <c r="U195" s="13">
        <f t="shared" ref="U195:U258" si="56">IF(Q195&gt;=60,3,IF(Q195&gt;=45,2,1))</f>
        <v>1</v>
      </c>
      <c r="V195" s="13">
        <f t="shared" ref="V195:V258" ca="1" si="57">IF(L195&lt;=10,3,IF(L195&lt;=25,2,1))</f>
        <v>3</v>
      </c>
      <c r="W195" s="13">
        <f t="shared" ref="W195:W258" ca="1" si="58">S195+T195+U195+V195</f>
        <v>8</v>
      </c>
      <c r="X195" s="61" t="str">
        <f t="shared" ref="X195:X258" ca="1" si="59">IFERROR(IF(W195&gt;=9,"RE-BUY",IF(W195&gt;=6,"MONITOR","EXIT")),"EXIT")</f>
        <v>MONITOR</v>
      </c>
    </row>
    <row r="196" spans="1:24" x14ac:dyDescent="0.35">
      <c r="A196" s="25" t="s">
        <v>210</v>
      </c>
      <c r="B196" s="10" t="s">
        <v>319</v>
      </c>
      <c r="C196" s="10" t="s">
        <v>342</v>
      </c>
      <c r="D196" s="10" t="s">
        <v>346</v>
      </c>
      <c r="E196" s="11">
        <v>45892</v>
      </c>
      <c r="F196" s="14">
        <f t="shared" ca="1" si="45"/>
        <v>207</v>
      </c>
      <c r="G196" s="17">
        <v>499</v>
      </c>
      <c r="H196" s="17">
        <v>248</v>
      </c>
      <c r="I196" s="53">
        <f t="shared" si="46"/>
        <v>746</v>
      </c>
      <c r="J196" s="17">
        <v>900</v>
      </c>
      <c r="K196" s="66">
        <v>154</v>
      </c>
      <c r="L196" s="52">
        <f t="shared" ca="1" si="47"/>
        <v>0.7439613526570048</v>
      </c>
      <c r="M196" s="50">
        <f t="shared" si="48"/>
        <v>0.80451009251471861</v>
      </c>
      <c r="N196" s="52">
        <f t="shared" si="49"/>
        <v>0.46951219512195119</v>
      </c>
      <c r="O196" s="56">
        <f t="shared" si="50"/>
        <v>38.5</v>
      </c>
      <c r="P196" s="54">
        <f t="shared" si="51"/>
        <v>19.376623376623378</v>
      </c>
      <c r="Q196" s="55">
        <f t="shared" si="52"/>
        <v>50.300601202404806</v>
      </c>
      <c r="R196" s="55">
        <f t="shared" si="53"/>
        <v>17.111111111111111</v>
      </c>
      <c r="S196" s="13">
        <f t="shared" si="54"/>
        <v>1</v>
      </c>
      <c r="T196" s="13">
        <f t="shared" si="55"/>
        <v>1</v>
      </c>
      <c r="U196" s="13">
        <f t="shared" si="56"/>
        <v>2</v>
      </c>
      <c r="V196" s="13">
        <f t="shared" ca="1" si="57"/>
        <v>3</v>
      </c>
      <c r="W196" s="13">
        <f t="shared" ca="1" si="58"/>
        <v>7</v>
      </c>
      <c r="X196" s="61" t="str">
        <f t="shared" ca="1" si="59"/>
        <v>MONITOR</v>
      </c>
    </row>
    <row r="197" spans="1:24" x14ac:dyDescent="0.35">
      <c r="A197" s="25" t="s">
        <v>211</v>
      </c>
      <c r="B197" s="10" t="s">
        <v>319</v>
      </c>
      <c r="C197" s="10" t="s">
        <v>342</v>
      </c>
      <c r="D197" s="10" t="s">
        <v>346</v>
      </c>
      <c r="E197" s="11">
        <v>45892</v>
      </c>
      <c r="F197" s="14">
        <f t="shared" ca="1" si="45"/>
        <v>207</v>
      </c>
      <c r="G197" s="17">
        <v>499</v>
      </c>
      <c r="H197" s="17">
        <v>248</v>
      </c>
      <c r="I197" s="53">
        <f t="shared" si="46"/>
        <v>815</v>
      </c>
      <c r="J197" s="17">
        <v>900</v>
      </c>
      <c r="K197" s="66">
        <v>85</v>
      </c>
      <c r="L197" s="52">
        <f t="shared" ca="1" si="47"/>
        <v>0.41062801932367149</v>
      </c>
      <c r="M197" s="50">
        <f t="shared" si="48"/>
        <v>0.80451009251471861</v>
      </c>
      <c r="N197" s="52">
        <f t="shared" si="49"/>
        <v>0.25914634146341464</v>
      </c>
      <c r="O197" s="56">
        <f t="shared" si="50"/>
        <v>21.25</v>
      </c>
      <c r="P197" s="54">
        <f t="shared" si="51"/>
        <v>38.352941176470587</v>
      </c>
      <c r="Q197" s="55">
        <f t="shared" si="52"/>
        <v>50.300601202404806</v>
      </c>
      <c r="R197" s="55">
        <f t="shared" si="53"/>
        <v>9.4444444444444446</v>
      </c>
      <c r="S197" s="13">
        <f t="shared" si="54"/>
        <v>1</v>
      </c>
      <c r="T197" s="13">
        <f t="shared" si="55"/>
        <v>1</v>
      </c>
      <c r="U197" s="13">
        <f t="shared" si="56"/>
        <v>2</v>
      </c>
      <c r="V197" s="13">
        <f t="shared" ca="1" si="57"/>
        <v>3</v>
      </c>
      <c r="W197" s="13">
        <f t="shared" ca="1" si="58"/>
        <v>7</v>
      </c>
      <c r="X197" s="61" t="str">
        <f t="shared" ca="1" si="59"/>
        <v>MONITOR</v>
      </c>
    </row>
    <row r="198" spans="1:24" x14ac:dyDescent="0.35">
      <c r="A198" s="25" t="s">
        <v>212</v>
      </c>
      <c r="B198" s="10" t="s">
        <v>319</v>
      </c>
      <c r="C198" s="10" t="s">
        <v>342</v>
      </c>
      <c r="D198" s="10" t="s">
        <v>346</v>
      </c>
      <c r="E198" s="11">
        <v>45864</v>
      </c>
      <c r="F198" s="14">
        <f t="shared" ca="1" si="45"/>
        <v>235</v>
      </c>
      <c r="G198" s="17">
        <v>499</v>
      </c>
      <c r="H198" s="17">
        <v>270</v>
      </c>
      <c r="I198" s="53">
        <f t="shared" si="46"/>
        <v>892</v>
      </c>
      <c r="J198" s="17">
        <v>900</v>
      </c>
      <c r="K198" s="66">
        <v>8</v>
      </c>
      <c r="L198" s="52">
        <f t="shared" ca="1" si="47"/>
        <v>3.4042553191489362E-2</v>
      </c>
      <c r="M198" s="50">
        <f t="shared" si="48"/>
        <v>0.80451009251471861</v>
      </c>
      <c r="N198" s="52">
        <f t="shared" si="49"/>
        <v>2.4390243902439025E-2</v>
      </c>
      <c r="O198" s="56">
        <f t="shared" si="50"/>
        <v>2</v>
      </c>
      <c r="P198" s="54">
        <f t="shared" si="51"/>
        <v>446</v>
      </c>
      <c r="Q198" s="55">
        <f t="shared" si="52"/>
        <v>45.891783567134269</v>
      </c>
      <c r="R198" s="55">
        <f t="shared" si="53"/>
        <v>0.88888888888888884</v>
      </c>
      <c r="S198" s="13">
        <f t="shared" si="54"/>
        <v>1</v>
      </c>
      <c r="T198" s="13">
        <f t="shared" si="55"/>
        <v>1</v>
      </c>
      <c r="U198" s="13">
        <f t="shared" si="56"/>
        <v>2</v>
      </c>
      <c r="V198" s="13">
        <f t="shared" ca="1" si="57"/>
        <v>3</v>
      </c>
      <c r="W198" s="13">
        <f t="shared" ca="1" si="58"/>
        <v>7</v>
      </c>
      <c r="X198" s="61" t="str">
        <f t="shared" ca="1" si="59"/>
        <v>MONITOR</v>
      </c>
    </row>
    <row r="199" spans="1:24" x14ac:dyDescent="0.35">
      <c r="A199" s="25" t="s">
        <v>213</v>
      </c>
      <c r="B199" s="10" t="s">
        <v>319</v>
      </c>
      <c r="C199" s="10" t="s">
        <v>342</v>
      </c>
      <c r="D199" s="10" t="s">
        <v>346</v>
      </c>
      <c r="E199" s="11">
        <v>45864</v>
      </c>
      <c r="F199" s="14">
        <f t="shared" ca="1" si="45"/>
        <v>235</v>
      </c>
      <c r="G199" s="17">
        <v>499</v>
      </c>
      <c r="H199" s="17">
        <v>245</v>
      </c>
      <c r="I199" s="53">
        <f t="shared" si="46"/>
        <v>382</v>
      </c>
      <c r="J199" s="17">
        <v>750</v>
      </c>
      <c r="K199" s="66">
        <v>368</v>
      </c>
      <c r="L199" s="52">
        <f t="shared" ca="1" si="47"/>
        <v>1.5659574468085107</v>
      </c>
      <c r="M199" s="50">
        <f t="shared" si="48"/>
        <v>0.80451009251471861</v>
      </c>
      <c r="N199" s="52">
        <f t="shared" si="49"/>
        <v>1.1219512195121952</v>
      </c>
      <c r="O199" s="56">
        <f t="shared" si="50"/>
        <v>92.000000000000014</v>
      </c>
      <c r="P199" s="54">
        <f t="shared" si="51"/>
        <v>4.1521739130434776</v>
      </c>
      <c r="Q199" s="55">
        <f t="shared" si="52"/>
        <v>50.901803607214426</v>
      </c>
      <c r="R199" s="55">
        <f t="shared" si="53"/>
        <v>49.066666666666663</v>
      </c>
      <c r="S199" s="13">
        <f t="shared" si="54"/>
        <v>3</v>
      </c>
      <c r="T199" s="13">
        <f t="shared" si="55"/>
        <v>2</v>
      </c>
      <c r="U199" s="13">
        <f t="shared" si="56"/>
        <v>2</v>
      </c>
      <c r="V199" s="13">
        <f t="shared" ca="1" si="57"/>
        <v>3</v>
      </c>
      <c r="W199" s="13">
        <f t="shared" ca="1" si="58"/>
        <v>10</v>
      </c>
      <c r="X199" s="61" t="str">
        <f t="shared" ca="1" si="59"/>
        <v>RE-BUY</v>
      </c>
    </row>
    <row r="200" spans="1:24" x14ac:dyDescent="0.35">
      <c r="A200" s="25" t="s">
        <v>214</v>
      </c>
      <c r="B200" s="10" t="s">
        <v>319</v>
      </c>
      <c r="C200" s="10" t="s">
        <v>342</v>
      </c>
      <c r="D200" s="10" t="s">
        <v>346</v>
      </c>
      <c r="E200" s="11">
        <v>45864</v>
      </c>
      <c r="F200" s="14">
        <f t="shared" ca="1" si="45"/>
        <v>235</v>
      </c>
      <c r="G200" s="17">
        <v>499</v>
      </c>
      <c r="H200" s="17">
        <v>245</v>
      </c>
      <c r="I200" s="53">
        <f t="shared" si="46"/>
        <v>820</v>
      </c>
      <c r="J200" s="17">
        <v>900</v>
      </c>
      <c r="K200" s="66">
        <v>80</v>
      </c>
      <c r="L200" s="52">
        <f t="shared" ca="1" si="47"/>
        <v>0.34042553191489361</v>
      </c>
      <c r="M200" s="50">
        <f t="shared" si="48"/>
        <v>0.80451009251471861</v>
      </c>
      <c r="N200" s="52">
        <f t="shared" si="49"/>
        <v>0.24390243902439024</v>
      </c>
      <c r="O200" s="56">
        <f t="shared" si="50"/>
        <v>20</v>
      </c>
      <c r="P200" s="54">
        <f t="shared" si="51"/>
        <v>41</v>
      </c>
      <c r="Q200" s="55">
        <f t="shared" si="52"/>
        <v>50.901803607214426</v>
      </c>
      <c r="R200" s="55">
        <f t="shared" si="53"/>
        <v>8.8888888888888893</v>
      </c>
      <c r="S200" s="13">
        <f t="shared" si="54"/>
        <v>1</v>
      </c>
      <c r="T200" s="13">
        <f t="shared" si="55"/>
        <v>1</v>
      </c>
      <c r="U200" s="13">
        <f t="shared" si="56"/>
        <v>2</v>
      </c>
      <c r="V200" s="13">
        <f t="shared" ca="1" si="57"/>
        <v>3</v>
      </c>
      <c r="W200" s="13">
        <f t="shared" ca="1" si="58"/>
        <v>7</v>
      </c>
      <c r="X200" s="61" t="str">
        <f t="shared" ca="1" si="59"/>
        <v>MONITOR</v>
      </c>
    </row>
    <row r="201" spans="1:24" x14ac:dyDescent="0.35">
      <c r="A201" s="25" t="s">
        <v>215</v>
      </c>
      <c r="B201" s="10" t="s">
        <v>319</v>
      </c>
      <c r="C201" s="10" t="s">
        <v>342</v>
      </c>
      <c r="D201" s="10" t="s">
        <v>346</v>
      </c>
      <c r="E201" s="11">
        <v>45864</v>
      </c>
      <c r="F201" s="14">
        <f t="shared" ca="1" si="45"/>
        <v>235</v>
      </c>
      <c r="G201" s="17">
        <v>499</v>
      </c>
      <c r="H201" s="17">
        <v>235</v>
      </c>
      <c r="I201" s="53">
        <f t="shared" si="46"/>
        <v>876</v>
      </c>
      <c r="J201" s="17">
        <v>900</v>
      </c>
      <c r="K201" s="66">
        <v>24</v>
      </c>
      <c r="L201" s="52">
        <f t="shared" ca="1" si="47"/>
        <v>0.10212765957446808</v>
      </c>
      <c r="M201" s="50">
        <f t="shared" si="48"/>
        <v>0.80451009251471861</v>
      </c>
      <c r="N201" s="52">
        <f t="shared" si="49"/>
        <v>7.3170731707317069E-2</v>
      </c>
      <c r="O201" s="56">
        <f t="shared" si="50"/>
        <v>6</v>
      </c>
      <c r="P201" s="54">
        <f t="shared" si="51"/>
        <v>146</v>
      </c>
      <c r="Q201" s="55">
        <f t="shared" si="52"/>
        <v>52.905811623246493</v>
      </c>
      <c r="R201" s="55">
        <f t="shared" si="53"/>
        <v>2.666666666666667</v>
      </c>
      <c r="S201" s="13">
        <f t="shared" si="54"/>
        <v>1</v>
      </c>
      <c r="T201" s="13">
        <f t="shared" si="55"/>
        <v>1</v>
      </c>
      <c r="U201" s="13">
        <f t="shared" si="56"/>
        <v>2</v>
      </c>
      <c r="V201" s="13">
        <f t="shared" ca="1" si="57"/>
        <v>3</v>
      </c>
      <c r="W201" s="13">
        <f t="shared" ca="1" si="58"/>
        <v>7</v>
      </c>
      <c r="X201" s="61" t="str">
        <f t="shared" ca="1" si="59"/>
        <v>MONITOR</v>
      </c>
    </row>
    <row r="202" spans="1:24" x14ac:dyDescent="0.35">
      <c r="A202" s="25" t="s">
        <v>216</v>
      </c>
      <c r="B202" s="10" t="s">
        <v>319</v>
      </c>
      <c r="C202" s="10" t="s">
        <v>342</v>
      </c>
      <c r="D202" s="10" t="s">
        <v>346</v>
      </c>
      <c r="E202" s="11">
        <v>45864</v>
      </c>
      <c r="F202" s="14">
        <f t="shared" ca="1" si="45"/>
        <v>235</v>
      </c>
      <c r="G202" s="17">
        <v>499</v>
      </c>
      <c r="H202" s="17">
        <v>239</v>
      </c>
      <c r="I202" s="53">
        <f t="shared" si="46"/>
        <v>660</v>
      </c>
      <c r="J202" s="17">
        <v>900</v>
      </c>
      <c r="K202" s="66">
        <v>240</v>
      </c>
      <c r="L202" s="52">
        <f t="shared" ca="1" si="47"/>
        <v>1.0212765957446808</v>
      </c>
      <c r="M202" s="50">
        <f t="shared" si="48"/>
        <v>0.80451009251471861</v>
      </c>
      <c r="N202" s="52">
        <f t="shared" si="49"/>
        <v>0.73170731707317072</v>
      </c>
      <c r="O202" s="56">
        <f t="shared" si="50"/>
        <v>60</v>
      </c>
      <c r="P202" s="54">
        <f t="shared" si="51"/>
        <v>11</v>
      </c>
      <c r="Q202" s="55">
        <f t="shared" si="52"/>
        <v>52.104208416833664</v>
      </c>
      <c r="R202" s="55">
        <f t="shared" si="53"/>
        <v>26.666666666666668</v>
      </c>
      <c r="S202" s="13">
        <f t="shared" si="54"/>
        <v>2</v>
      </c>
      <c r="T202" s="13">
        <f t="shared" si="55"/>
        <v>1</v>
      </c>
      <c r="U202" s="13">
        <f t="shared" si="56"/>
        <v>2</v>
      </c>
      <c r="V202" s="13">
        <f t="shared" ca="1" si="57"/>
        <v>3</v>
      </c>
      <c r="W202" s="13">
        <f t="shared" ca="1" si="58"/>
        <v>8</v>
      </c>
      <c r="X202" s="61" t="str">
        <f t="shared" ca="1" si="59"/>
        <v>MONITOR</v>
      </c>
    </row>
    <row r="203" spans="1:24" x14ac:dyDescent="0.35">
      <c r="A203" s="25" t="s">
        <v>217</v>
      </c>
      <c r="B203" s="10" t="s">
        <v>319</v>
      </c>
      <c r="C203" s="10" t="s">
        <v>342</v>
      </c>
      <c r="D203" s="10" t="s">
        <v>346</v>
      </c>
      <c r="E203" s="11">
        <v>45864</v>
      </c>
      <c r="F203" s="14">
        <f t="shared" ca="1" si="45"/>
        <v>235</v>
      </c>
      <c r="G203" s="17">
        <v>499</v>
      </c>
      <c r="H203" s="17">
        <v>235</v>
      </c>
      <c r="I203" s="53">
        <f t="shared" si="46"/>
        <v>823</v>
      </c>
      <c r="J203" s="17">
        <v>900</v>
      </c>
      <c r="K203" s="66">
        <v>77</v>
      </c>
      <c r="L203" s="52">
        <f t="shared" ca="1" si="47"/>
        <v>0.32765957446808508</v>
      </c>
      <c r="M203" s="50">
        <f t="shared" si="48"/>
        <v>0.80451009251471861</v>
      </c>
      <c r="N203" s="52">
        <f t="shared" si="49"/>
        <v>0.2347560975609756</v>
      </c>
      <c r="O203" s="56">
        <f t="shared" si="50"/>
        <v>19.25</v>
      </c>
      <c r="P203" s="54">
        <f t="shared" si="51"/>
        <v>42.753246753246756</v>
      </c>
      <c r="Q203" s="55">
        <f t="shared" si="52"/>
        <v>52.905811623246493</v>
      </c>
      <c r="R203" s="55">
        <f t="shared" si="53"/>
        <v>8.5555555555555554</v>
      </c>
      <c r="S203" s="13">
        <f t="shared" si="54"/>
        <v>1</v>
      </c>
      <c r="T203" s="13">
        <f t="shared" si="55"/>
        <v>1</v>
      </c>
      <c r="U203" s="13">
        <f t="shared" si="56"/>
        <v>2</v>
      </c>
      <c r="V203" s="13">
        <f t="shared" ca="1" si="57"/>
        <v>3</v>
      </c>
      <c r="W203" s="13">
        <f t="shared" ca="1" si="58"/>
        <v>7</v>
      </c>
      <c r="X203" s="61" t="str">
        <f t="shared" ca="1" si="59"/>
        <v>MONITOR</v>
      </c>
    </row>
    <row r="204" spans="1:24" x14ac:dyDescent="0.35">
      <c r="A204" s="25" t="s">
        <v>218</v>
      </c>
      <c r="B204" s="10" t="s">
        <v>330</v>
      </c>
      <c r="C204" s="10" t="s">
        <v>342</v>
      </c>
      <c r="D204" s="10" t="s">
        <v>346</v>
      </c>
      <c r="E204" s="11">
        <v>45920</v>
      </c>
      <c r="F204" s="14">
        <f t="shared" ca="1" si="45"/>
        <v>179</v>
      </c>
      <c r="G204" s="17">
        <v>499</v>
      </c>
      <c r="H204" s="17">
        <v>240</v>
      </c>
      <c r="I204" s="53">
        <f t="shared" si="46"/>
        <v>891</v>
      </c>
      <c r="J204" s="17">
        <v>900</v>
      </c>
      <c r="K204" s="66">
        <v>9</v>
      </c>
      <c r="L204" s="52">
        <f t="shared" ca="1" si="47"/>
        <v>5.027932960893855E-2</v>
      </c>
      <c r="M204" s="50">
        <f t="shared" si="48"/>
        <v>0.80451009251471861</v>
      </c>
      <c r="N204" s="52">
        <f t="shared" si="49"/>
        <v>2.7439024390243903E-2</v>
      </c>
      <c r="O204" s="56">
        <f t="shared" si="50"/>
        <v>2.25</v>
      </c>
      <c r="P204" s="54">
        <f t="shared" si="51"/>
        <v>396</v>
      </c>
      <c r="Q204" s="55">
        <f t="shared" si="52"/>
        <v>51.903807615230455</v>
      </c>
      <c r="R204" s="55">
        <f t="shared" si="53"/>
        <v>1</v>
      </c>
      <c r="S204" s="13">
        <f t="shared" si="54"/>
        <v>1</v>
      </c>
      <c r="T204" s="13">
        <f t="shared" si="55"/>
        <v>1</v>
      </c>
      <c r="U204" s="13">
        <f t="shared" si="56"/>
        <v>2</v>
      </c>
      <c r="V204" s="13">
        <f t="shared" ca="1" si="57"/>
        <v>3</v>
      </c>
      <c r="W204" s="13">
        <f t="shared" ca="1" si="58"/>
        <v>7</v>
      </c>
      <c r="X204" s="61" t="str">
        <f t="shared" ca="1" si="59"/>
        <v>MONITOR</v>
      </c>
    </row>
    <row r="205" spans="1:24" x14ac:dyDescent="0.35">
      <c r="A205" s="25" t="s">
        <v>219</v>
      </c>
      <c r="B205" s="10" t="s">
        <v>332</v>
      </c>
      <c r="C205" s="10" t="s">
        <v>342</v>
      </c>
      <c r="D205" s="10" t="s">
        <v>346</v>
      </c>
      <c r="E205" s="11">
        <v>45892</v>
      </c>
      <c r="F205" s="14">
        <f t="shared" ca="1" si="45"/>
        <v>207</v>
      </c>
      <c r="G205" s="17">
        <v>399</v>
      </c>
      <c r="H205" s="17">
        <v>225</v>
      </c>
      <c r="I205" s="53">
        <f t="shared" si="46"/>
        <v>703</v>
      </c>
      <c r="J205" s="17">
        <v>1100</v>
      </c>
      <c r="K205" s="66">
        <v>397</v>
      </c>
      <c r="L205" s="52">
        <f t="shared" ca="1" si="47"/>
        <v>1.9178743961352658</v>
      </c>
      <c r="M205" s="50">
        <f t="shared" si="48"/>
        <v>0.80451009251471861</v>
      </c>
      <c r="N205" s="52">
        <f t="shared" si="49"/>
        <v>1.2103658536585367</v>
      </c>
      <c r="O205" s="56">
        <f t="shared" si="50"/>
        <v>99.25</v>
      </c>
      <c r="P205" s="54">
        <f t="shared" si="51"/>
        <v>7.0831234256926949</v>
      </c>
      <c r="Q205" s="55">
        <f t="shared" si="52"/>
        <v>43.609022556390975</v>
      </c>
      <c r="R205" s="55">
        <f t="shared" si="53"/>
        <v>36.090909090909093</v>
      </c>
      <c r="S205" s="13">
        <f t="shared" si="54"/>
        <v>3</v>
      </c>
      <c r="T205" s="13">
        <f t="shared" si="55"/>
        <v>1</v>
      </c>
      <c r="U205" s="13">
        <f t="shared" si="56"/>
        <v>1</v>
      </c>
      <c r="V205" s="13">
        <f t="shared" ca="1" si="57"/>
        <v>3</v>
      </c>
      <c r="W205" s="13">
        <f t="shared" ca="1" si="58"/>
        <v>8</v>
      </c>
      <c r="X205" s="61" t="str">
        <f t="shared" ca="1" si="59"/>
        <v>MONITOR</v>
      </c>
    </row>
    <row r="206" spans="1:24" x14ac:dyDescent="0.35">
      <c r="A206" s="25" t="s">
        <v>220</v>
      </c>
      <c r="B206" s="10" t="s">
        <v>332</v>
      </c>
      <c r="C206" s="10" t="s">
        <v>342</v>
      </c>
      <c r="D206" s="10" t="s">
        <v>346</v>
      </c>
      <c r="E206" s="11">
        <v>45892</v>
      </c>
      <c r="F206" s="14">
        <f t="shared" ca="1" si="45"/>
        <v>207</v>
      </c>
      <c r="G206" s="17">
        <v>399</v>
      </c>
      <c r="H206" s="17">
        <v>225</v>
      </c>
      <c r="I206" s="53">
        <f t="shared" si="46"/>
        <v>867</v>
      </c>
      <c r="J206" s="17">
        <v>1100</v>
      </c>
      <c r="K206" s="66">
        <v>233</v>
      </c>
      <c r="L206" s="52">
        <f t="shared" ca="1" si="47"/>
        <v>1.1256038647342994</v>
      </c>
      <c r="M206" s="50">
        <f t="shared" si="48"/>
        <v>0.80451009251471861</v>
      </c>
      <c r="N206" s="52">
        <f t="shared" si="49"/>
        <v>0.71036585365853655</v>
      </c>
      <c r="O206" s="56">
        <f t="shared" si="50"/>
        <v>58.25</v>
      </c>
      <c r="P206" s="54">
        <f t="shared" si="51"/>
        <v>14.884120171673819</v>
      </c>
      <c r="Q206" s="55">
        <f t="shared" si="52"/>
        <v>43.609022556390975</v>
      </c>
      <c r="R206" s="55">
        <f t="shared" si="53"/>
        <v>21.181818181818183</v>
      </c>
      <c r="S206" s="13">
        <f t="shared" si="54"/>
        <v>2</v>
      </c>
      <c r="T206" s="13">
        <f t="shared" si="55"/>
        <v>1</v>
      </c>
      <c r="U206" s="13">
        <f t="shared" si="56"/>
        <v>1</v>
      </c>
      <c r="V206" s="13">
        <f t="shared" ca="1" si="57"/>
        <v>3</v>
      </c>
      <c r="W206" s="13">
        <f t="shared" ca="1" si="58"/>
        <v>7</v>
      </c>
      <c r="X206" s="61" t="str">
        <f t="shared" ca="1" si="59"/>
        <v>MONITOR</v>
      </c>
    </row>
    <row r="207" spans="1:24" x14ac:dyDescent="0.35">
      <c r="A207" s="25" t="s">
        <v>221</v>
      </c>
      <c r="B207" s="10" t="s">
        <v>332</v>
      </c>
      <c r="C207" s="10" t="s">
        <v>342</v>
      </c>
      <c r="D207" s="10" t="s">
        <v>346</v>
      </c>
      <c r="E207" s="11">
        <v>45892</v>
      </c>
      <c r="F207" s="14">
        <f t="shared" ca="1" si="45"/>
        <v>207</v>
      </c>
      <c r="G207" s="17">
        <v>399</v>
      </c>
      <c r="H207" s="17">
        <v>225</v>
      </c>
      <c r="I207" s="53">
        <f t="shared" si="46"/>
        <v>939</v>
      </c>
      <c r="J207" s="17">
        <v>1100</v>
      </c>
      <c r="K207" s="66">
        <v>161</v>
      </c>
      <c r="L207" s="52">
        <f t="shared" ca="1" si="47"/>
        <v>0.77777777777777779</v>
      </c>
      <c r="M207" s="50">
        <f t="shared" si="48"/>
        <v>0.80451009251471861</v>
      </c>
      <c r="N207" s="52">
        <f t="shared" si="49"/>
        <v>0.49085365853658536</v>
      </c>
      <c r="O207" s="56">
        <f t="shared" si="50"/>
        <v>40.25</v>
      </c>
      <c r="P207" s="54">
        <f t="shared" si="51"/>
        <v>23.329192546583851</v>
      </c>
      <c r="Q207" s="55">
        <f t="shared" si="52"/>
        <v>43.609022556390975</v>
      </c>
      <c r="R207" s="55">
        <f t="shared" si="53"/>
        <v>14.636363636363637</v>
      </c>
      <c r="S207" s="13">
        <f t="shared" si="54"/>
        <v>1</v>
      </c>
      <c r="T207" s="13">
        <f t="shared" si="55"/>
        <v>1</v>
      </c>
      <c r="U207" s="13">
        <f t="shared" si="56"/>
        <v>1</v>
      </c>
      <c r="V207" s="13">
        <f t="shared" ca="1" si="57"/>
        <v>3</v>
      </c>
      <c r="W207" s="13">
        <f t="shared" ca="1" si="58"/>
        <v>6</v>
      </c>
      <c r="X207" s="61" t="str">
        <f t="shared" ca="1" si="59"/>
        <v>MONITOR</v>
      </c>
    </row>
    <row r="208" spans="1:24" x14ac:dyDescent="0.35">
      <c r="A208" s="25" t="s">
        <v>222</v>
      </c>
      <c r="B208" s="10" t="s">
        <v>332</v>
      </c>
      <c r="C208" s="10" t="s">
        <v>342</v>
      </c>
      <c r="D208" s="10" t="s">
        <v>346</v>
      </c>
      <c r="E208" s="11">
        <v>45892</v>
      </c>
      <c r="F208" s="14">
        <f t="shared" ca="1" si="45"/>
        <v>207</v>
      </c>
      <c r="G208" s="17">
        <v>399</v>
      </c>
      <c r="H208" s="17">
        <v>225</v>
      </c>
      <c r="I208" s="53">
        <f t="shared" si="46"/>
        <v>938</v>
      </c>
      <c r="J208" s="17">
        <v>1100</v>
      </c>
      <c r="K208" s="66">
        <v>162</v>
      </c>
      <c r="L208" s="52">
        <f t="shared" ca="1" si="47"/>
        <v>0.78260869565217395</v>
      </c>
      <c r="M208" s="50">
        <f t="shared" si="48"/>
        <v>0.80451009251471861</v>
      </c>
      <c r="N208" s="52">
        <f t="shared" si="49"/>
        <v>0.49390243902439024</v>
      </c>
      <c r="O208" s="56">
        <f t="shared" si="50"/>
        <v>40.5</v>
      </c>
      <c r="P208" s="54">
        <f t="shared" si="51"/>
        <v>23.160493827160494</v>
      </c>
      <c r="Q208" s="55">
        <f t="shared" si="52"/>
        <v>43.609022556390975</v>
      </c>
      <c r="R208" s="55">
        <f t="shared" si="53"/>
        <v>14.727272727272728</v>
      </c>
      <c r="S208" s="13">
        <f t="shared" si="54"/>
        <v>1</v>
      </c>
      <c r="T208" s="13">
        <f t="shared" si="55"/>
        <v>1</v>
      </c>
      <c r="U208" s="13">
        <f t="shared" si="56"/>
        <v>1</v>
      </c>
      <c r="V208" s="13">
        <f t="shared" ca="1" si="57"/>
        <v>3</v>
      </c>
      <c r="W208" s="13">
        <f t="shared" ca="1" si="58"/>
        <v>6</v>
      </c>
      <c r="X208" s="61" t="str">
        <f t="shared" ca="1" si="59"/>
        <v>MONITOR</v>
      </c>
    </row>
    <row r="209" spans="1:24" x14ac:dyDescent="0.35">
      <c r="A209" s="25" t="s">
        <v>223</v>
      </c>
      <c r="B209" s="10" t="s">
        <v>316</v>
      </c>
      <c r="C209" s="10" t="s">
        <v>345</v>
      </c>
      <c r="D209" s="10" t="s">
        <v>346</v>
      </c>
      <c r="E209" s="11">
        <v>45864</v>
      </c>
      <c r="F209" s="14">
        <f t="shared" ca="1" si="45"/>
        <v>235</v>
      </c>
      <c r="G209" s="17">
        <v>799</v>
      </c>
      <c r="H209" s="17">
        <v>380</v>
      </c>
      <c r="I209" s="53">
        <f t="shared" si="46"/>
        <v>848</v>
      </c>
      <c r="J209" s="17">
        <v>1000</v>
      </c>
      <c r="K209" s="66">
        <v>152</v>
      </c>
      <c r="L209" s="52">
        <f t="shared" ca="1" si="47"/>
        <v>0.64680851063829792</v>
      </c>
      <c r="M209" s="50">
        <f t="shared" si="48"/>
        <v>0.73224085365853642</v>
      </c>
      <c r="N209" s="52">
        <f t="shared" si="49"/>
        <v>0.46341463414634149</v>
      </c>
      <c r="O209" s="56">
        <f t="shared" si="50"/>
        <v>38</v>
      </c>
      <c r="P209" s="54">
        <f t="shared" si="51"/>
        <v>22.315789473684209</v>
      </c>
      <c r="Q209" s="55">
        <f t="shared" si="52"/>
        <v>52.440550688360453</v>
      </c>
      <c r="R209" s="55">
        <f t="shared" si="53"/>
        <v>15.2</v>
      </c>
      <c r="S209" s="13">
        <f t="shared" si="54"/>
        <v>1</v>
      </c>
      <c r="T209" s="13">
        <f t="shared" si="55"/>
        <v>1</v>
      </c>
      <c r="U209" s="13">
        <f t="shared" si="56"/>
        <v>2</v>
      </c>
      <c r="V209" s="13">
        <f t="shared" ca="1" si="57"/>
        <v>3</v>
      </c>
      <c r="W209" s="13">
        <f t="shared" ca="1" si="58"/>
        <v>7</v>
      </c>
      <c r="X209" s="61" t="str">
        <f t="shared" ca="1" si="59"/>
        <v>MONITOR</v>
      </c>
    </row>
    <row r="210" spans="1:24" x14ac:dyDescent="0.35">
      <c r="A210" s="25" t="s">
        <v>224</v>
      </c>
      <c r="B210" s="10" t="s">
        <v>316</v>
      </c>
      <c r="C210" s="10" t="s">
        <v>345</v>
      </c>
      <c r="D210" s="10" t="s">
        <v>346</v>
      </c>
      <c r="E210" s="11">
        <v>45864</v>
      </c>
      <c r="F210" s="14">
        <f t="shared" ca="1" si="45"/>
        <v>235</v>
      </c>
      <c r="G210" s="17">
        <v>799</v>
      </c>
      <c r="H210" s="17">
        <v>380</v>
      </c>
      <c r="I210" s="53">
        <f t="shared" si="46"/>
        <v>812</v>
      </c>
      <c r="J210" s="17">
        <v>1000</v>
      </c>
      <c r="K210" s="66">
        <v>188</v>
      </c>
      <c r="L210" s="52">
        <f t="shared" ca="1" si="47"/>
        <v>0.8</v>
      </c>
      <c r="M210" s="50">
        <f t="shared" si="48"/>
        <v>0.73224085365853642</v>
      </c>
      <c r="N210" s="52">
        <f t="shared" si="49"/>
        <v>0.57317073170731703</v>
      </c>
      <c r="O210" s="56">
        <f t="shared" si="50"/>
        <v>46.999999999999993</v>
      </c>
      <c r="P210" s="54">
        <f t="shared" si="51"/>
        <v>17.276595744680854</v>
      </c>
      <c r="Q210" s="55">
        <f t="shared" si="52"/>
        <v>52.440550688360453</v>
      </c>
      <c r="R210" s="55">
        <f t="shared" si="53"/>
        <v>18.8</v>
      </c>
      <c r="S210" s="13">
        <f t="shared" si="54"/>
        <v>1</v>
      </c>
      <c r="T210" s="13">
        <f t="shared" si="55"/>
        <v>1</v>
      </c>
      <c r="U210" s="13">
        <f t="shared" si="56"/>
        <v>2</v>
      </c>
      <c r="V210" s="13">
        <f t="shared" ca="1" si="57"/>
        <v>3</v>
      </c>
      <c r="W210" s="13">
        <f t="shared" ca="1" si="58"/>
        <v>7</v>
      </c>
      <c r="X210" s="61" t="str">
        <f t="shared" ca="1" si="59"/>
        <v>MONITOR</v>
      </c>
    </row>
    <row r="211" spans="1:24" x14ac:dyDescent="0.35">
      <c r="A211" s="25" t="s">
        <v>225</v>
      </c>
      <c r="B211" s="10" t="s">
        <v>316</v>
      </c>
      <c r="C211" s="10" t="s">
        <v>345</v>
      </c>
      <c r="D211" s="10" t="s">
        <v>346</v>
      </c>
      <c r="E211" s="11">
        <v>45920</v>
      </c>
      <c r="F211" s="14">
        <f t="shared" ca="1" si="45"/>
        <v>179</v>
      </c>
      <c r="G211" s="17">
        <v>799</v>
      </c>
      <c r="H211" s="17">
        <v>380</v>
      </c>
      <c r="I211" s="53">
        <f t="shared" si="46"/>
        <v>850</v>
      </c>
      <c r="J211" s="17">
        <v>1000</v>
      </c>
      <c r="K211" s="66">
        <v>150</v>
      </c>
      <c r="L211" s="52">
        <f t="shared" ca="1" si="47"/>
        <v>0.83798882681564246</v>
      </c>
      <c r="M211" s="50">
        <f t="shared" si="48"/>
        <v>0.73224085365853642</v>
      </c>
      <c r="N211" s="52">
        <f t="shared" si="49"/>
        <v>0.45731707317073172</v>
      </c>
      <c r="O211" s="56">
        <f t="shared" si="50"/>
        <v>37.5</v>
      </c>
      <c r="P211" s="54">
        <f t="shared" si="51"/>
        <v>22.666666666666668</v>
      </c>
      <c r="Q211" s="55">
        <f t="shared" si="52"/>
        <v>52.440550688360453</v>
      </c>
      <c r="R211" s="55">
        <f t="shared" si="53"/>
        <v>15</v>
      </c>
      <c r="S211" s="13">
        <f t="shared" si="54"/>
        <v>1</v>
      </c>
      <c r="T211" s="13">
        <f t="shared" si="55"/>
        <v>1</v>
      </c>
      <c r="U211" s="13">
        <f t="shared" si="56"/>
        <v>2</v>
      </c>
      <c r="V211" s="13">
        <f t="shared" ca="1" si="57"/>
        <v>3</v>
      </c>
      <c r="W211" s="13">
        <f t="shared" ca="1" si="58"/>
        <v>7</v>
      </c>
      <c r="X211" s="61" t="str">
        <f t="shared" ca="1" si="59"/>
        <v>MONITOR</v>
      </c>
    </row>
    <row r="212" spans="1:24" x14ac:dyDescent="0.35">
      <c r="A212" s="25" t="s">
        <v>226</v>
      </c>
      <c r="B212" s="10" t="s">
        <v>316</v>
      </c>
      <c r="C212" s="10" t="s">
        <v>345</v>
      </c>
      <c r="D212" s="10" t="s">
        <v>346</v>
      </c>
      <c r="E212" s="11">
        <v>45920</v>
      </c>
      <c r="F212" s="14">
        <f t="shared" ca="1" si="45"/>
        <v>179</v>
      </c>
      <c r="G212" s="17">
        <v>799</v>
      </c>
      <c r="H212" s="17">
        <v>380</v>
      </c>
      <c r="I212" s="53">
        <f t="shared" si="46"/>
        <v>538</v>
      </c>
      <c r="J212" s="17">
        <v>1000</v>
      </c>
      <c r="K212" s="66">
        <v>462</v>
      </c>
      <c r="L212" s="52">
        <f t="shared" ca="1" si="47"/>
        <v>2.5810055865921786</v>
      </c>
      <c r="M212" s="50">
        <f t="shared" si="48"/>
        <v>0.73224085365853642</v>
      </c>
      <c r="N212" s="52">
        <f t="shared" si="49"/>
        <v>1.4085365853658536</v>
      </c>
      <c r="O212" s="56">
        <f t="shared" si="50"/>
        <v>115.5</v>
      </c>
      <c r="P212" s="54">
        <f t="shared" si="51"/>
        <v>4.6580086580086579</v>
      </c>
      <c r="Q212" s="55">
        <f t="shared" si="52"/>
        <v>52.440550688360453</v>
      </c>
      <c r="R212" s="55">
        <f t="shared" si="53"/>
        <v>46.2</v>
      </c>
      <c r="S212" s="13">
        <f t="shared" si="54"/>
        <v>3</v>
      </c>
      <c r="T212" s="13">
        <f t="shared" si="55"/>
        <v>2</v>
      </c>
      <c r="U212" s="13">
        <f t="shared" si="56"/>
        <v>2</v>
      </c>
      <c r="V212" s="13">
        <f t="shared" ca="1" si="57"/>
        <v>3</v>
      </c>
      <c r="W212" s="13">
        <f t="shared" ca="1" si="58"/>
        <v>10</v>
      </c>
      <c r="X212" s="61" t="str">
        <f t="shared" ca="1" si="59"/>
        <v>RE-BUY</v>
      </c>
    </row>
    <row r="213" spans="1:24" x14ac:dyDescent="0.35">
      <c r="A213" s="25" t="s">
        <v>227</v>
      </c>
      <c r="B213" s="10" t="s">
        <v>316</v>
      </c>
      <c r="C213" s="10" t="s">
        <v>345</v>
      </c>
      <c r="D213" s="10" t="s">
        <v>346</v>
      </c>
      <c r="E213" s="11">
        <v>45878</v>
      </c>
      <c r="F213" s="14">
        <f t="shared" ca="1" si="45"/>
        <v>221</v>
      </c>
      <c r="G213" s="17">
        <v>699</v>
      </c>
      <c r="H213" s="17">
        <v>380</v>
      </c>
      <c r="I213" s="53">
        <f t="shared" si="46"/>
        <v>677</v>
      </c>
      <c r="J213" s="17">
        <v>1000</v>
      </c>
      <c r="K213" s="66">
        <v>323</v>
      </c>
      <c r="L213" s="52">
        <f t="shared" ca="1" si="47"/>
        <v>1.4615384615384615</v>
      </c>
      <c r="M213" s="50">
        <f t="shared" si="48"/>
        <v>0.73224085365853642</v>
      </c>
      <c r="N213" s="52">
        <f t="shared" si="49"/>
        <v>0.9847560975609756</v>
      </c>
      <c r="O213" s="56">
        <f t="shared" si="50"/>
        <v>80.75</v>
      </c>
      <c r="P213" s="54">
        <f t="shared" si="51"/>
        <v>8.3839009287925705</v>
      </c>
      <c r="Q213" s="55">
        <f t="shared" si="52"/>
        <v>45.636623748211733</v>
      </c>
      <c r="R213" s="55">
        <f t="shared" si="53"/>
        <v>32.300000000000004</v>
      </c>
      <c r="S213" s="13">
        <f t="shared" si="54"/>
        <v>3</v>
      </c>
      <c r="T213" s="13">
        <f t="shared" si="55"/>
        <v>1</v>
      </c>
      <c r="U213" s="13">
        <f t="shared" si="56"/>
        <v>2</v>
      </c>
      <c r="V213" s="13">
        <f t="shared" ca="1" si="57"/>
        <v>3</v>
      </c>
      <c r="W213" s="13">
        <f t="shared" ca="1" si="58"/>
        <v>9</v>
      </c>
      <c r="X213" s="61" t="str">
        <f t="shared" ca="1" si="59"/>
        <v>RE-BUY</v>
      </c>
    </row>
    <row r="214" spans="1:24" x14ac:dyDescent="0.35">
      <c r="A214" s="25" t="s">
        <v>228</v>
      </c>
      <c r="B214" s="10" t="s">
        <v>316</v>
      </c>
      <c r="C214" s="10" t="s">
        <v>345</v>
      </c>
      <c r="D214" s="10" t="s">
        <v>346</v>
      </c>
      <c r="E214" s="11">
        <v>45878</v>
      </c>
      <c r="F214" s="14">
        <f t="shared" ca="1" si="45"/>
        <v>221</v>
      </c>
      <c r="G214" s="17">
        <v>699</v>
      </c>
      <c r="H214" s="17">
        <v>380</v>
      </c>
      <c r="I214" s="53">
        <f t="shared" si="46"/>
        <v>708</v>
      </c>
      <c r="J214" s="17">
        <v>1000</v>
      </c>
      <c r="K214" s="66">
        <v>292</v>
      </c>
      <c r="L214" s="52">
        <f t="shared" ca="1" si="47"/>
        <v>1.3212669683257918</v>
      </c>
      <c r="M214" s="50">
        <f t="shared" si="48"/>
        <v>0.73224085365853642</v>
      </c>
      <c r="N214" s="52">
        <f t="shared" si="49"/>
        <v>0.8902439024390244</v>
      </c>
      <c r="O214" s="56">
        <f t="shared" si="50"/>
        <v>73</v>
      </c>
      <c r="P214" s="54">
        <f t="shared" si="51"/>
        <v>9.6986301369863011</v>
      </c>
      <c r="Q214" s="55">
        <f t="shared" si="52"/>
        <v>45.636623748211733</v>
      </c>
      <c r="R214" s="55">
        <f t="shared" si="53"/>
        <v>29.2</v>
      </c>
      <c r="S214" s="13">
        <f t="shared" si="54"/>
        <v>3</v>
      </c>
      <c r="T214" s="13">
        <f t="shared" si="55"/>
        <v>1</v>
      </c>
      <c r="U214" s="13">
        <f t="shared" si="56"/>
        <v>2</v>
      </c>
      <c r="V214" s="13">
        <f t="shared" ca="1" si="57"/>
        <v>3</v>
      </c>
      <c r="W214" s="13">
        <f t="shared" ca="1" si="58"/>
        <v>9</v>
      </c>
      <c r="X214" s="61" t="str">
        <f t="shared" ca="1" si="59"/>
        <v>RE-BUY</v>
      </c>
    </row>
    <row r="215" spans="1:24" x14ac:dyDescent="0.35">
      <c r="A215" s="25" t="s">
        <v>229</v>
      </c>
      <c r="B215" s="10" t="s">
        <v>327</v>
      </c>
      <c r="C215" s="10" t="s">
        <v>345</v>
      </c>
      <c r="D215" s="10" t="s">
        <v>346</v>
      </c>
      <c r="E215" s="11">
        <v>45864</v>
      </c>
      <c r="F215" s="14">
        <f t="shared" ca="1" si="45"/>
        <v>235</v>
      </c>
      <c r="G215" s="17">
        <v>799</v>
      </c>
      <c r="H215" s="17">
        <v>400</v>
      </c>
      <c r="I215" s="53">
        <f t="shared" si="46"/>
        <v>833</v>
      </c>
      <c r="J215" s="17">
        <v>1050</v>
      </c>
      <c r="K215" s="66">
        <v>217</v>
      </c>
      <c r="L215" s="52">
        <f t="shared" ca="1" si="47"/>
        <v>0.92340425531914894</v>
      </c>
      <c r="M215" s="50">
        <f t="shared" si="48"/>
        <v>0.73224085365853642</v>
      </c>
      <c r="N215" s="52">
        <f t="shared" si="49"/>
        <v>0.66158536585365857</v>
      </c>
      <c r="O215" s="56">
        <f t="shared" si="50"/>
        <v>54.25</v>
      </c>
      <c r="P215" s="54">
        <f t="shared" si="51"/>
        <v>15.35483870967742</v>
      </c>
      <c r="Q215" s="55">
        <f t="shared" si="52"/>
        <v>49.937421777221523</v>
      </c>
      <c r="R215" s="55">
        <f t="shared" si="53"/>
        <v>20.666666666666668</v>
      </c>
      <c r="S215" s="13">
        <f t="shared" si="54"/>
        <v>2</v>
      </c>
      <c r="T215" s="13">
        <f t="shared" si="55"/>
        <v>1</v>
      </c>
      <c r="U215" s="13">
        <f t="shared" si="56"/>
        <v>2</v>
      </c>
      <c r="V215" s="13">
        <f t="shared" ca="1" si="57"/>
        <v>3</v>
      </c>
      <c r="W215" s="13">
        <f t="shared" ca="1" si="58"/>
        <v>8</v>
      </c>
      <c r="X215" s="61" t="str">
        <f t="shared" ca="1" si="59"/>
        <v>MONITOR</v>
      </c>
    </row>
    <row r="216" spans="1:24" x14ac:dyDescent="0.35">
      <c r="A216" s="25" t="s">
        <v>230</v>
      </c>
      <c r="B216" s="15" t="s">
        <v>329</v>
      </c>
      <c r="C216" s="10" t="s">
        <v>345</v>
      </c>
      <c r="D216" s="10" t="s">
        <v>346</v>
      </c>
      <c r="E216" s="11">
        <v>45871</v>
      </c>
      <c r="F216" s="14">
        <f t="shared" ca="1" si="45"/>
        <v>228</v>
      </c>
      <c r="G216" s="17">
        <v>599</v>
      </c>
      <c r="H216" s="17">
        <v>315</v>
      </c>
      <c r="I216" s="53">
        <f t="shared" si="46"/>
        <v>1178</v>
      </c>
      <c r="J216" s="17">
        <v>1450</v>
      </c>
      <c r="K216" s="66">
        <v>272</v>
      </c>
      <c r="L216" s="52">
        <f t="shared" ca="1" si="47"/>
        <v>1.1929824561403508</v>
      </c>
      <c r="M216" s="50">
        <f t="shared" si="48"/>
        <v>0.73224085365853642</v>
      </c>
      <c r="N216" s="52">
        <f t="shared" si="49"/>
        <v>0.82926829268292679</v>
      </c>
      <c r="O216" s="56">
        <f t="shared" si="50"/>
        <v>68</v>
      </c>
      <c r="P216" s="54">
        <f t="shared" si="51"/>
        <v>17.323529411764707</v>
      </c>
      <c r="Q216" s="55">
        <f t="shared" si="52"/>
        <v>47.412353923205345</v>
      </c>
      <c r="R216" s="55">
        <f t="shared" si="53"/>
        <v>18.758620689655174</v>
      </c>
      <c r="S216" s="13">
        <f t="shared" si="54"/>
        <v>3</v>
      </c>
      <c r="T216" s="13">
        <f t="shared" si="55"/>
        <v>1</v>
      </c>
      <c r="U216" s="13">
        <f t="shared" si="56"/>
        <v>2</v>
      </c>
      <c r="V216" s="13">
        <f t="shared" ca="1" si="57"/>
        <v>3</v>
      </c>
      <c r="W216" s="13">
        <f t="shared" ca="1" si="58"/>
        <v>9</v>
      </c>
      <c r="X216" s="61" t="str">
        <f t="shared" ca="1" si="59"/>
        <v>RE-BUY</v>
      </c>
    </row>
    <row r="217" spans="1:24" x14ac:dyDescent="0.35">
      <c r="A217" s="25" t="s">
        <v>231</v>
      </c>
      <c r="B217" s="10" t="s">
        <v>316</v>
      </c>
      <c r="C217" s="10" t="s">
        <v>345</v>
      </c>
      <c r="D217" s="10" t="s">
        <v>346</v>
      </c>
      <c r="E217" s="11">
        <v>45871</v>
      </c>
      <c r="F217" s="14">
        <f t="shared" ca="1" si="45"/>
        <v>228</v>
      </c>
      <c r="G217" s="17">
        <v>799</v>
      </c>
      <c r="H217" s="17">
        <v>400</v>
      </c>
      <c r="I217" s="53">
        <f t="shared" si="46"/>
        <v>1357</v>
      </c>
      <c r="J217" s="17">
        <v>1450</v>
      </c>
      <c r="K217" s="66">
        <v>93</v>
      </c>
      <c r="L217" s="52">
        <f t="shared" ca="1" si="47"/>
        <v>0.40789473684210525</v>
      </c>
      <c r="M217" s="50">
        <f t="shared" si="48"/>
        <v>0.73224085365853642</v>
      </c>
      <c r="N217" s="52">
        <f t="shared" si="49"/>
        <v>0.28353658536585363</v>
      </c>
      <c r="O217" s="56">
        <f t="shared" si="50"/>
        <v>23.249999999999996</v>
      </c>
      <c r="P217" s="54">
        <f t="shared" si="51"/>
        <v>58.365591397849471</v>
      </c>
      <c r="Q217" s="55">
        <f t="shared" si="52"/>
        <v>49.937421777221523</v>
      </c>
      <c r="R217" s="55">
        <f t="shared" si="53"/>
        <v>6.4137931034482758</v>
      </c>
      <c r="S217" s="13">
        <f t="shared" si="54"/>
        <v>1</v>
      </c>
      <c r="T217" s="13">
        <f t="shared" si="55"/>
        <v>1</v>
      </c>
      <c r="U217" s="13">
        <f t="shared" si="56"/>
        <v>2</v>
      </c>
      <c r="V217" s="13">
        <f t="shared" ca="1" si="57"/>
        <v>3</v>
      </c>
      <c r="W217" s="13">
        <f t="shared" ca="1" si="58"/>
        <v>7</v>
      </c>
      <c r="X217" s="61" t="str">
        <f t="shared" ca="1" si="59"/>
        <v>MONITOR</v>
      </c>
    </row>
    <row r="218" spans="1:24" x14ac:dyDescent="0.35">
      <c r="A218" s="25" t="s">
        <v>232</v>
      </c>
      <c r="B218" s="10" t="s">
        <v>327</v>
      </c>
      <c r="C218" s="10" t="s">
        <v>345</v>
      </c>
      <c r="D218" s="10" t="s">
        <v>346</v>
      </c>
      <c r="E218" s="11">
        <v>45864</v>
      </c>
      <c r="F218" s="14">
        <f t="shared" ca="1" si="45"/>
        <v>235</v>
      </c>
      <c r="G218" s="17">
        <v>799</v>
      </c>
      <c r="H218" s="17">
        <v>400</v>
      </c>
      <c r="I218" s="53">
        <f t="shared" si="46"/>
        <v>608</v>
      </c>
      <c r="J218" s="17">
        <v>750</v>
      </c>
      <c r="K218" s="66">
        <v>142</v>
      </c>
      <c r="L218" s="52">
        <f t="shared" ca="1" si="47"/>
        <v>0.60425531914893615</v>
      </c>
      <c r="M218" s="50">
        <f t="shared" si="48"/>
        <v>0.73224085365853642</v>
      </c>
      <c r="N218" s="52">
        <f t="shared" si="49"/>
        <v>0.43292682926829268</v>
      </c>
      <c r="O218" s="56">
        <f t="shared" si="50"/>
        <v>35.5</v>
      </c>
      <c r="P218" s="54">
        <f t="shared" si="51"/>
        <v>17.12676056338028</v>
      </c>
      <c r="Q218" s="55">
        <f t="shared" si="52"/>
        <v>49.937421777221523</v>
      </c>
      <c r="R218" s="55">
        <f t="shared" si="53"/>
        <v>18.933333333333334</v>
      </c>
      <c r="S218" s="13">
        <f t="shared" si="54"/>
        <v>1</v>
      </c>
      <c r="T218" s="13">
        <f t="shared" si="55"/>
        <v>1</v>
      </c>
      <c r="U218" s="13">
        <f t="shared" si="56"/>
        <v>2</v>
      </c>
      <c r="V218" s="13">
        <f t="shared" ca="1" si="57"/>
        <v>3</v>
      </c>
      <c r="W218" s="13">
        <f t="shared" ca="1" si="58"/>
        <v>7</v>
      </c>
      <c r="X218" s="61" t="str">
        <f t="shared" ca="1" si="59"/>
        <v>MONITOR</v>
      </c>
    </row>
    <row r="219" spans="1:24" x14ac:dyDescent="0.35">
      <c r="A219" s="25" t="s">
        <v>233</v>
      </c>
      <c r="B219" s="10" t="s">
        <v>327</v>
      </c>
      <c r="C219" s="10" t="s">
        <v>345</v>
      </c>
      <c r="D219" s="10" t="s">
        <v>346</v>
      </c>
      <c r="E219" s="11">
        <v>45892</v>
      </c>
      <c r="F219" s="14">
        <f t="shared" ca="1" si="45"/>
        <v>207</v>
      </c>
      <c r="G219" s="17">
        <v>799</v>
      </c>
      <c r="H219" s="17">
        <v>400</v>
      </c>
      <c r="I219" s="53">
        <f t="shared" si="46"/>
        <v>632</v>
      </c>
      <c r="J219" s="17">
        <v>750</v>
      </c>
      <c r="K219" s="66">
        <v>118</v>
      </c>
      <c r="L219" s="52">
        <f t="shared" ca="1" si="47"/>
        <v>0.57004830917874394</v>
      </c>
      <c r="M219" s="50">
        <f t="shared" si="48"/>
        <v>0.73224085365853642</v>
      </c>
      <c r="N219" s="52">
        <f t="shared" si="49"/>
        <v>0.3597560975609756</v>
      </c>
      <c r="O219" s="56">
        <f t="shared" si="50"/>
        <v>29.5</v>
      </c>
      <c r="P219" s="54">
        <f t="shared" si="51"/>
        <v>21.423728813559322</v>
      </c>
      <c r="Q219" s="55">
        <f t="shared" si="52"/>
        <v>49.937421777221523</v>
      </c>
      <c r="R219" s="55">
        <f t="shared" si="53"/>
        <v>15.733333333333333</v>
      </c>
      <c r="S219" s="13">
        <f t="shared" si="54"/>
        <v>1</v>
      </c>
      <c r="T219" s="13">
        <f t="shared" si="55"/>
        <v>1</v>
      </c>
      <c r="U219" s="13">
        <f t="shared" si="56"/>
        <v>2</v>
      </c>
      <c r="V219" s="13">
        <f t="shared" ca="1" si="57"/>
        <v>3</v>
      </c>
      <c r="W219" s="13">
        <f t="shared" ca="1" si="58"/>
        <v>7</v>
      </c>
      <c r="X219" s="61" t="str">
        <f t="shared" ca="1" si="59"/>
        <v>MONITOR</v>
      </c>
    </row>
    <row r="220" spans="1:24" x14ac:dyDescent="0.35">
      <c r="A220" s="25" t="s">
        <v>234</v>
      </c>
      <c r="B220" s="10" t="s">
        <v>327</v>
      </c>
      <c r="C220" s="10" t="s">
        <v>345</v>
      </c>
      <c r="D220" s="10" t="s">
        <v>346</v>
      </c>
      <c r="E220" s="11">
        <v>45920</v>
      </c>
      <c r="F220" s="14">
        <f t="shared" ca="1" si="45"/>
        <v>179</v>
      </c>
      <c r="G220" s="17">
        <v>799</v>
      </c>
      <c r="H220" s="17">
        <v>400</v>
      </c>
      <c r="I220" s="53">
        <f t="shared" si="46"/>
        <v>791</v>
      </c>
      <c r="J220" s="17">
        <v>1050</v>
      </c>
      <c r="K220" s="66">
        <v>259</v>
      </c>
      <c r="L220" s="52">
        <f t="shared" ca="1" si="47"/>
        <v>1.446927374301676</v>
      </c>
      <c r="M220" s="50">
        <f t="shared" si="48"/>
        <v>0.73224085365853642</v>
      </c>
      <c r="N220" s="52">
        <f t="shared" si="49"/>
        <v>0.78963414634146345</v>
      </c>
      <c r="O220" s="56">
        <f t="shared" si="50"/>
        <v>64.75</v>
      </c>
      <c r="P220" s="54">
        <f t="shared" si="51"/>
        <v>12.216216216216216</v>
      </c>
      <c r="Q220" s="55">
        <f t="shared" si="52"/>
        <v>49.937421777221523</v>
      </c>
      <c r="R220" s="55">
        <f t="shared" si="53"/>
        <v>24.666666666666668</v>
      </c>
      <c r="S220" s="13">
        <f t="shared" si="54"/>
        <v>3</v>
      </c>
      <c r="T220" s="13">
        <f t="shared" si="55"/>
        <v>1</v>
      </c>
      <c r="U220" s="13">
        <f t="shared" si="56"/>
        <v>2</v>
      </c>
      <c r="V220" s="13">
        <f t="shared" ca="1" si="57"/>
        <v>3</v>
      </c>
      <c r="W220" s="13">
        <f t="shared" ca="1" si="58"/>
        <v>9</v>
      </c>
      <c r="X220" s="61" t="str">
        <f t="shared" ca="1" si="59"/>
        <v>RE-BUY</v>
      </c>
    </row>
    <row r="221" spans="1:24" x14ac:dyDescent="0.35">
      <c r="A221" s="25" t="s">
        <v>235</v>
      </c>
      <c r="B221" s="10" t="s">
        <v>327</v>
      </c>
      <c r="C221" s="10" t="s">
        <v>345</v>
      </c>
      <c r="D221" s="10" t="s">
        <v>346</v>
      </c>
      <c r="E221" s="11">
        <v>45920</v>
      </c>
      <c r="F221" s="14">
        <f t="shared" ca="1" si="45"/>
        <v>179</v>
      </c>
      <c r="G221" s="17">
        <v>799</v>
      </c>
      <c r="H221" s="17">
        <v>400</v>
      </c>
      <c r="I221" s="53">
        <f t="shared" si="46"/>
        <v>816</v>
      </c>
      <c r="J221" s="17">
        <v>1050</v>
      </c>
      <c r="K221" s="66">
        <v>234</v>
      </c>
      <c r="L221" s="52">
        <f t="shared" ca="1" si="47"/>
        <v>1.3072625698324023</v>
      </c>
      <c r="M221" s="50">
        <f t="shared" si="48"/>
        <v>0.73224085365853642</v>
      </c>
      <c r="N221" s="52">
        <f t="shared" si="49"/>
        <v>0.71341463414634143</v>
      </c>
      <c r="O221" s="56">
        <f t="shared" si="50"/>
        <v>58.5</v>
      </c>
      <c r="P221" s="54">
        <f t="shared" si="51"/>
        <v>13.948717948717949</v>
      </c>
      <c r="Q221" s="55">
        <f t="shared" si="52"/>
        <v>49.937421777221523</v>
      </c>
      <c r="R221" s="55">
        <f t="shared" si="53"/>
        <v>22.285714285714285</v>
      </c>
      <c r="S221" s="13">
        <f t="shared" si="54"/>
        <v>2</v>
      </c>
      <c r="T221" s="13">
        <f t="shared" si="55"/>
        <v>1</v>
      </c>
      <c r="U221" s="13">
        <f t="shared" si="56"/>
        <v>2</v>
      </c>
      <c r="V221" s="13">
        <f t="shared" ca="1" si="57"/>
        <v>3</v>
      </c>
      <c r="W221" s="13">
        <f t="shared" ca="1" si="58"/>
        <v>8</v>
      </c>
      <c r="X221" s="61" t="str">
        <f t="shared" ca="1" si="59"/>
        <v>MONITOR</v>
      </c>
    </row>
    <row r="222" spans="1:24" x14ac:dyDescent="0.35">
      <c r="A222" s="25" t="s">
        <v>236</v>
      </c>
      <c r="B222" s="10" t="s">
        <v>327</v>
      </c>
      <c r="C222" s="10" t="s">
        <v>345</v>
      </c>
      <c r="D222" s="10" t="s">
        <v>346</v>
      </c>
      <c r="E222" s="11">
        <v>45920</v>
      </c>
      <c r="F222" s="14">
        <f t="shared" ca="1" si="45"/>
        <v>179</v>
      </c>
      <c r="G222" s="17">
        <v>799</v>
      </c>
      <c r="H222" s="17">
        <v>400</v>
      </c>
      <c r="I222" s="53">
        <f t="shared" si="46"/>
        <v>687</v>
      </c>
      <c r="J222" s="17">
        <v>1050</v>
      </c>
      <c r="K222" s="66">
        <v>363</v>
      </c>
      <c r="L222" s="52">
        <f t="shared" ca="1" si="47"/>
        <v>2.0279329608938546</v>
      </c>
      <c r="M222" s="50">
        <f t="shared" si="48"/>
        <v>0.73224085365853642</v>
      </c>
      <c r="N222" s="52">
        <f t="shared" si="49"/>
        <v>1.1067073170731707</v>
      </c>
      <c r="O222" s="56">
        <f t="shared" si="50"/>
        <v>90.75</v>
      </c>
      <c r="P222" s="54">
        <f t="shared" si="51"/>
        <v>7.5702479338842972</v>
      </c>
      <c r="Q222" s="55">
        <f t="shared" si="52"/>
        <v>49.937421777221523</v>
      </c>
      <c r="R222" s="55">
        <f t="shared" si="53"/>
        <v>34.571428571428569</v>
      </c>
      <c r="S222" s="13">
        <f t="shared" si="54"/>
        <v>3</v>
      </c>
      <c r="T222" s="13">
        <f t="shared" si="55"/>
        <v>1</v>
      </c>
      <c r="U222" s="13">
        <f t="shared" si="56"/>
        <v>2</v>
      </c>
      <c r="V222" s="13">
        <f t="shared" ca="1" si="57"/>
        <v>3</v>
      </c>
      <c r="W222" s="13">
        <f t="shared" ca="1" si="58"/>
        <v>9</v>
      </c>
      <c r="X222" s="61" t="str">
        <f t="shared" ca="1" si="59"/>
        <v>RE-BUY</v>
      </c>
    </row>
    <row r="223" spans="1:24" x14ac:dyDescent="0.35">
      <c r="A223" s="25" t="s">
        <v>237</v>
      </c>
      <c r="B223" s="10" t="s">
        <v>333</v>
      </c>
      <c r="C223" s="10" t="s">
        <v>345</v>
      </c>
      <c r="D223" s="10" t="s">
        <v>346</v>
      </c>
      <c r="E223" s="11">
        <v>45913</v>
      </c>
      <c r="F223" s="14">
        <f t="shared" ca="1" si="45"/>
        <v>186</v>
      </c>
      <c r="G223" s="17">
        <v>799</v>
      </c>
      <c r="H223" s="17">
        <v>420</v>
      </c>
      <c r="I223" s="53">
        <f t="shared" si="46"/>
        <v>1517</v>
      </c>
      <c r="J223" s="17">
        <v>1750</v>
      </c>
      <c r="K223" s="66">
        <v>233</v>
      </c>
      <c r="L223" s="52">
        <f t="shared" ca="1" si="47"/>
        <v>1.2526881720430108</v>
      </c>
      <c r="M223" s="50">
        <f t="shared" si="48"/>
        <v>0.73224085365853642</v>
      </c>
      <c r="N223" s="52">
        <f t="shared" si="49"/>
        <v>0.71036585365853655</v>
      </c>
      <c r="O223" s="56">
        <f t="shared" si="50"/>
        <v>58.25</v>
      </c>
      <c r="P223" s="54">
        <f t="shared" si="51"/>
        <v>26.042918454935624</v>
      </c>
      <c r="Q223" s="55">
        <f t="shared" si="52"/>
        <v>47.434292866082608</v>
      </c>
      <c r="R223" s="55">
        <f t="shared" si="53"/>
        <v>13.314285714285715</v>
      </c>
      <c r="S223" s="13">
        <f t="shared" si="54"/>
        <v>2</v>
      </c>
      <c r="T223" s="13">
        <f t="shared" si="55"/>
        <v>1</v>
      </c>
      <c r="U223" s="13">
        <f t="shared" si="56"/>
        <v>2</v>
      </c>
      <c r="V223" s="13">
        <f t="shared" ca="1" si="57"/>
        <v>3</v>
      </c>
      <c r="W223" s="13">
        <f t="shared" ca="1" si="58"/>
        <v>8</v>
      </c>
      <c r="X223" s="61" t="str">
        <f t="shared" ca="1" si="59"/>
        <v>MONITOR</v>
      </c>
    </row>
    <row r="224" spans="1:24" x14ac:dyDescent="0.35">
      <c r="A224" s="25" t="s">
        <v>238</v>
      </c>
      <c r="B224" s="10" t="s">
        <v>333</v>
      </c>
      <c r="C224" s="10" t="s">
        <v>345</v>
      </c>
      <c r="D224" s="10" t="s">
        <v>346</v>
      </c>
      <c r="E224" s="11">
        <v>45913</v>
      </c>
      <c r="F224" s="14">
        <f t="shared" ca="1" si="45"/>
        <v>186</v>
      </c>
      <c r="G224" s="17">
        <v>799</v>
      </c>
      <c r="H224" s="17">
        <v>420</v>
      </c>
      <c r="I224" s="53">
        <f t="shared" si="46"/>
        <v>1320</v>
      </c>
      <c r="J224" s="17">
        <v>1750</v>
      </c>
      <c r="K224" s="66">
        <v>430</v>
      </c>
      <c r="L224" s="52">
        <f t="shared" ca="1" si="47"/>
        <v>2.3118279569892475</v>
      </c>
      <c r="M224" s="50">
        <f t="shared" si="48"/>
        <v>0.73224085365853642</v>
      </c>
      <c r="N224" s="52">
        <f t="shared" si="49"/>
        <v>1.3109756097560976</v>
      </c>
      <c r="O224" s="56">
        <f t="shared" si="50"/>
        <v>107.5</v>
      </c>
      <c r="P224" s="54">
        <f t="shared" si="51"/>
        <v>12.279069767441861</v>
      </c>
      <c r="Q224" s="55">
        <f t="shared" si="52"/>
        <v>47.434292866082608</v>
      </c>
      <c r="R224" s="55">
        <f t="shared" si="53"/>
        <v>24.571428571428573</v>
      </c>
      <c r="S224" s="13">
        <f t="shared" si="54"/>
        <v>3</v>
      </c>
      <c r="T224" s="13">
        <f t="shared" si="55"/>
        <v>1</v>
      </c>
      <c r="U224" s="13">
        <f t="shared" si="56"/>
        <v>2</v>
      </c>
      <c r="V224" s="13">
        <f t="shared" ca="1" si="57"/>
        <v>3</v>
      </c>
      <c r="W224" s="13">
        <f t="shared" ca="1" si="58"/>
        <v>9</v>
      </c>
      <c r="X224" s="61" t="str">
        <f t="shared" ca="1" si="59"/>
        <v>RE-BUY</v>
      </c>
    </row>
    <row r="225" spans="1:24" x14ac:dyDescent="0.35">
      <c r="A225" s="25" t="s">
        <v>239</v>
      </c>
      <c r="B225" s="10" t="s">
        <v>333</v>
      </c>
      <c r="C225" s="10" t="s">
        <v>345</v>
      </c>
      <c r="D225" s="10" t="s">
        <v>346</v>
      </c>
      <c r="E225" s="11">
        <v>45913</v>
      </c>
      <c r="F225" s="14">
        <f t="shared" ca="1" si="45"/>
        <v>186</v>
      </c>
      <c r="G225" s="17">
        <v>799</v>
      </c>
      <c r="H225" s="17">
        <v>420</v>
      </c>
      <c r="I225" s="53">
        <f t="shared" si="46"/>
        <v>1209</v>
      </c>
      <c r="J225" s="17">
        <v>1600</v>
      </c>
      <c r="K225" s="66">
        <v>391</v>
      </c>
      <c r="L225" s="52">
        <f t="shared" ca="1" si="47"/>
        <v>2.1021505376344085</v>
      </c>
      <c r="M225" s="50">
        <f t="shared" si="48"/>
        <v>0.73224085365853642</v>
      </c>
      <c r="N225" s="52">
        <f t="shared" si="49"/>
        <v>1.1920731707317074</v>
      </c>
      <c r="O225" s="56">
        <f t="shared" si="50"/>
        <v>97.75</v>
      </c>
      <c r="P225" s="54">
        <f t="shared" si="51"/>
        <v>12.368286445012787</v>
      </c>
      <c r="Q225" s="55">
        <f t="shared" si="52"/>
        <v>47.434292866082608</v>
      </c>
      <c r="R225" s="55">
        <f t="shared" si="53"/>
        <v>24.4375</v>
      </c>
      <c r="S225" s="13">
        <f t="shared" si="54"/>
        <v>3</v>
      </c>
      <c r="T225" s="13">
        <f t="shared" si="55"/>
        <v>1</v>
      </c>
      <c r="U225" s="13">
        <f t="shared" si="56"/>
        <v>2</v>
      </c>
      <c r="V225" s="13">
        <f t="shared" ca="1" si="57"/>
        <v>3</v>
      </c>
      <c r="W225" s="13">
        <f t="shared" ca="1" si="58"/>
        <v>9</v>
      </c>
      <c r="X225" s="61" t="str">
        <f t="shared" ca="1" si="59"/>
        <v>RE-BUY</v>
      </c>
    </row>
    <row r="226" spans="1:24" x14ac:dyDescent="0.35">
      <c r="A226" s="25" t="s">
        <v>240</v>
      </c>
      <c r="B226" s="10" t="s">
        <v>333</v>
      </c>
      <c r="C226" s="10" t="s">
        <v>345</v>
      </c>
      <c r="D226" s="10" t="s">
        <v>346</v>
      </c>
      <c r="E226" s="11">
        <v>45962</v>
      </c>
      <c r="F226" s="14">
        <f t="shared" ca="1" si="45"/>
        <v>137</v>
      </c>
      <c r="G226" s="17">
        <v>799</v>
      </c>
      <c r="H226" s="17">
        <v>420</v>
      </c>
      <c r="I226" s="53">
        <f t="shared" si="46"/>
        <v>827</v>
      </c>
      <c r="J226" s="17">
        <v>1450</v>
      </c>
      <c r="K226" s="66">
        <v>623</v>
      </c>
      <c r="L226" s="52">
        <f t="shared" ca="1" si="47"/>
        <v>4.5474452554744529</v>
      </c>
      <c r="M226" s="50">
        <f t="shared" si="48"/>
        <v>0.73224085365853642</v>
      </c>
      <c r="N226" s="52">
        <f t="shared" si="49"/>
        <v>1.899390243902439</v>
      </c>
      <c r="O226" s="56">
        <f t="shared" si="50"/>
        <v>155.75</v>
      </c>
      <c r="P226" s="54">
        <f t="shared" si="51"/>
        <v>5.3097913322632424</v>
      </c>
      <c r="Q226" s="55">
        <f t="shared" si="52"/>
        <v>47.434292866082608</v>
      </c>
      <c r="R226" s="55">
        <f t="shared" si="53"/>
        <v>42.96551724137931</v>
      </c>
      <c r="S226" s="13">
        <f t="shared" si="54"/>
        <v>3</v>
      </c>
      <c r="T226" s="13">
        <f t="shared" si="55"/>
        <v>2</v>
      </c>
      <c r="U226" s="13">
        <f t="shared" si="56"/>
        <v>2</v>
      </c>
      <c r="V226" s="13">
        <f t="shared" ca="1" si="57"/>
        <v>3</v>
      </c>
      <c r="W226" s="13">
        <f t="shared" ca="1" si="58"/>
        <v>10</v>
      </c>
      <c r="X226" s="61" t="str">
        <f t="shared" ca="1" si="59"/>
        <v>RE-BUY</v>
      </c>
    </row>
    <row r="227" spans="1:24" x14ac:dyDescent="0.35">
      <c r="A227" s="25" t="s">
        <v>241</v>
      </c>
      <c r="B227" s="10" t="s">
        <v>333</v>
      </c>
      <c r="C227" s="10" t="s">
        <v>345</v>
      </c>
      <c r="D227" s="10" t="s">
        <v>346</v>
      </c>
      <c r="E227" s="11">
        <v>45962</v>
      </c>
      <c r="F227" s="14">
        <f t="shared" ca="1" si="45"/>
        <v>137</v>
      </c>
      <c r="G227" s="17">
        <v>799</v>
      </c>
      <c r="H227" s="17">
        <v>420</v>
      </c>
      <c r="I227" s="53">
        <f t="shared" si="46"/>
        <v>1148</v>
      </c>
      <c r="J227" s="17">
        <v>1450</v>
      </c>
      <c r="K227" s="66">
        <v>302</v>
      </c>
      <c r="L227" s="52">
        <f t="shared" ca="1" si="47"/>
        <v>2.2043795620437958</v>
      </c>
      <c r="M227" s="50">
        <f t="shared" si="48"/>
        <v>0.73224085365853642</v>
      </c>
      <c r="N227" s="52">
        <f t="shared" si="49"/>
        <v>0.92073170731707321</v>
      </c>
      <c r="O227" s="56">
        <f t="shared" si="50"/>
        <v>75.5</v>
      </c>
      <c r="P227" s="54">
        <f t="shared" si="51"/>
        <v>15.205298013245033</v>
      </c>
      <c r="Q227" s="55">
        <f t="shared" si="52"/>
        <v>47.434292866082608</v>
      </c>
      <c r="R227" s="55">
        <f t="shared" si="53"/>
        <v>20.827586206896552</v>
      </c>
      <c r="S227" s="13">
        <f t="shared" si="54"/>
        <v>3</v>
      </c>
      <c r="T227" s="13">
        <f t="shared" si="55"/>
        <v>1</v>
      </c>
      <c r="U227" s="13">
        <f t="shared" si="56"/>
        <v>2</v>
      </c>
      <c r="V227" s="13">
        <f t="shared" ca="1" si="57"/>
        <v>3</v>
      </c>
      <c r="W227" s="13">
        <f t="shared" ca="1" si="58"/>
        <v>9</v>
      </c>
      <c r="X227" s="61" t="str">
        <f t="shared" ca="1" si="59"/>
        <v>RE-BUY</v>
      </c>
    </row>
    <row r="228" spans="1:24" x14ac:dyDescent="0.35">
      <c r="A228" s="25" t="s">
        <v>242</v>
      </c>
      <c r="B228" s="10" t="s">
        <v>333</v>
      </c>
      <c r="C228" s="10" t="s">
        <v>345</v>
      </c>
      <c r="D228" s="10" t="s">
        <v>346</v>
      </c>
      <c r="E228" s="11">
        <v>45913</v>
      </c>
      <c r="F228" s="14">
        <f t="shared" ca="1" si="45"/>
        <v>186</v>
      </c>
      <c r="G228" s="17">
        <v>799</v>
      </c>
      <c r="H228" s="17">
        <v>420</v>
      </c>
      <c r="I228" s="53">
        <f t="shared" si="46"/>
        <v>1143</v>
      </c>
      <c r="J228" s="17">
        <v>1450</v>
      </c>
      <c r="K228" s="66">
        <v>307</v>
      </c>
      <c r="L228" s="52">
        <f t="shared" ca="1" si="47"/>
        <v>1.6505376344086022</v>
      </c>
      <c r="M228" s="50">
        <f t="shared" si="48"/>
        <v>0.73224085365853642</v>
      </c>
      <c r="N228" s="52">
        <f t="shared" si="49"/>
        <v>0.93597560975609762</v>
      </c>
      <c r="O228" s="56">
        <f t="shared" si="50"/>
        <v>76.75</v>
      </c>
      <c r="P228" s="54">
        <f t="shared" si="51"/>
        <v>14.892508143322475</v>
      </c>
      <c r="Q228" s="55">
        <f t="shared" si="52"/>
        <v>47.434292866082608</v>
      </c>
      <c r="R228" s="55">
        <f t="shared" si="53"/>
        <v>21.172413793103448</v>
      </c>
      <c r="S228" s="13">
        <f t="shared" si="54"/>
        <v>3</v>
      </c>
      <c r="T228" s="13">
        <f t="shared" si="55"/>
        <v>1</v>
      </c>
      <c r="U228" s="13">
        <f t="shared" si="56"/>
        <v>2</v>
      </c>
      <c r="V228" s="13">
        <f t="shared" ca="1" si="57"/>
        <v>3</v>
      </c>
      <c r="W228" s="13">
        <f t="shared" ca="1" si="58"/>
        <v>9</v>
      </c>
      <c r="X228" s="61" t="str">
        <f t="shared" ca="1" si="59"/>
        <v>RE-BUY</v>
      </c>
    </row>
    <row r="229" spans="1:24" x14ac:dyDescent="0.35">
      <c r="A229" s="25" t="s">
        <v>243</v>
      </c>
      <c r="B229" s="10" t="s">
        <v>333</v>
      </c>
      <c r="C229" s="10" t="s">
        <v>345</v>
      </c>
      <c r="D229" s="10" t="s">
        <v>346</v>
      </c>
      <c r="E229" s="11">
        <v>45962</v>
      </c>
      <c r="F229" s="14">
        <f t="shared" ca="1" si="45"/>
        <v>137</v>
      </c>
      <c r="G229" s="17">
        <v>799</v>
      </c>
      <c r="H229" s="17">
        <v>340</v>
      </c>
      <c r="I229" s="53">
        <f t="shared" si="46"/>
        <v>824</v>
      </c>
      <c r="J229" s="17">
        <v>1050</v>
      </c>
      <c r="K229" s="66">
        <v>226</v>
      </c>
      <c r="L229" s="52">
        <f t="shared" ca="1" si="47"/>
        <v>1.6496350364963503</v>
      </c>
      <c r="M229" s="50">
        <f t="shared" si="48"/>
        <v>0.73224085365853642</v>
      </c>
      <c r="N229" s="52">
        <f t="shared" si="49"/>
        <v>0.68902439024390238</v>
      </c>
      <c r="O229" s="56">
        <f t="shared" si="50"/>
        <v>56.499999999999993</v>
      </c>
      <c r="P229" s="54">
        <f t="shared" si="51"/>
        <v>14.584070796460178</v>
      </c>
      <c r="Q229" s="55">
        <f t="shared" si="52"/>
        <v>57.446808510638306</v>
      </c>
      <c r="R229" s="55">
        <f t="shared" si="53"/>
        <v>21.523809523809522</v>
      </c>
      <c r="S229" s="13">
        <f t="shared" si="54"/>
        <v>2</v>
      </c>
      <c r="T229" s="13">
        <f t="shared" si="55"/>
        <v>1</v>
      </c>
      <c r="U229" s="13">
        <f t="shared" si="56"/>
        <v>2</v>
      </c>
      <c r="V229" s="13">
        <f t="shared" ca="1" si="57"/>
        <v>3</v>
      </c>
      <c r="W229" s="13">
        <f t="shared" ca="1" si="58"/>
        <v>8</v>
      </c>
      <c r="X229" s="61" t="str">
        <f t="shared" ca="1" si="59"/>
        <v>MONITOR</v>
      </c>
    </row>
    <row r="230" spans="1:24" x14ac:dyDescent="0.35">
      <c r="A230" s="25" t="s">
        <v>244</v>
      </c>
      <c r="B230" s="10" t="s">
        <v>333</v>
      </c>
      <c r="C230" s="10" t="s">
        <v>345</v>
      </c>
      <c r="D230" s="10" t="s">
        <v>346</v>
      </c>
      <c r="E230" s="11">
        <v>45913</v>
      </c>
      <c r="F230" s="14">
        <f t="shared" ca="1" si="45"/>
        <v>186</v>
      </c>
      <c r="G230" s="17">
        <v>799</v>
      </c>
      <c r="H230" s="17">
        <v>340</v>
      </c>
      <c r="I230" s="53">
        <f t="shared" si="46"/>
        <v>763</v>
      </c>
      <c r="J230" s="17">
        <v>1050</v>
      </c>
      <c r="K230" s="66">
        <v>287</v>
      </c>
      <c r="L230" s="52">
        <f t="shared" ca="1" si="47"/>
        <v>1.543010752688172</v>
      </c>
      <c r="M230" s="50">
        <f t="shared" si="48"/>
        <v>0.73224085365853642</v>
      </c>
      <c r="N230" s="52">
        <f t="shared" si="49"/>
        <v>0.875</v>
      </c>
      <c r="O230" s="56">
        <f t="shared" si="50"/>
        <v>71.75</v>
      </c>
      <c r="P230" s="54">
        <f t="shared" si="51"/>
        <v>10.634146341463415</v>
      </c>
      <c r="Q230" s="55">
        <f t="shared" si="52"/>
        <v>57.446808510638306</v>
      </c>
      <c r="R230" s="55">
        <f t="shared" si="53"/>
        <v>27.333333333333332</v>
      </c>
      <c r="S230" s="13">
        <f t="shared" si="54"/>
        <v>3</v>
      </c>
      <c r="T230" s="13">
        <f t="shared" si="55"/>
        <v>1</v>
      </c>
      <c r="U230" s="13">
        <f t="shared" si="56"/>
        <v>2</v>
      </c>
      <c r="V230" s="13">
        <f t="shared" ca="1" si="57"/>
        <v>3</v>
      </c>
      <c r="W230" s="13">
        <f t="shared" ca="1" si="58"/>
        <v>9</v>
      </c>
      <c r="X230" s="61" t="str">
        <f t="shared" ca="1" si="59"/>
        <v>RE-BUY</v>
      </c>
    </row>
    <row r="231" spans="1:24" x14ac:dyDescent="0.35">
      <c r="A231" s="25" t="s">
        <v>245</v>
      </c>
      <c r="B231" s="10" t="s">
        <v>333</v>
      </c>
      <c r="C231" s="10" t="s">
        <v>345</v>
      </c>
      <c r="D231" s="10" t="s">
        <v>346</v>
      </c>
      <c r="E231" s="11">
        <v>45913</v>
      </c>
      <c r="F231" s="14">
        <f t="shared" ca="1" si="45"/>
        <v>186</v>
      </c>
      <c r="G231" s="17">
        <v>799</v>
      </c>
      <c r="H231" s="17">
        <v>340</v>
      </c>
      <c r="I231" s="53">
        <f t="shared" si="46"/>
        <v>739</v>
      </c>
      <c r="J231" s="17">
        <v>1050</v>
      </c>
      <c r="K231" s="66">
        <v>311</v>
      </c>
      <c r="L231" s="52">
        <f t="shared" ca="1" si="47"/>
        <v>1.6720430107526882</v>
      </c>
      <c r="M231" s="50">
        <f t="shared" si="48"/>
        <v>0.73224085365853642</v>
      </c>
      <c r="N231" s="52">
        <f t="shared" si="49"/>
        <v>0.94817073170731703</v>
      </c>
      <c r="O231" s="56">
        <f t="shared" si="50"/>
        <v>77.75</v>
      </c>
      <c r="P231" s="54">
        <f t="shared" si="51"/>
        <v>9.504823151125402</v>
      </c>
      <c r="Q231" s="55">
        <f t="shared" si="52"/>
        <v>57.446808510638306</v>
      </c>
      <c r="R231" s="55">
        <f t="shared" si="53"/>
        <v>29.619047619047617</v>
      </c>
      <c r="S231" s="13">
        <f t="shared" si="54"/>
        <v>3</v>
      </c>
      <c r="T231" s="13">
        <f t="shared" si="55"/>
        <v>1</v>
      </c>
      <c r="U231" s="13">
        <f t="shared" si="56"/>
        <v>2</v>
      </c>
      <c r="V231" s="13">
        <f t="shared" ca="1" si="57"/>
        <v>3</v>
      </c>
      <c r="W231" s="13">
        <f t="shared" ca="1" si="58"/>
        <v>9</v>
      </c>
      <c r="X231" s="61" t="str">
        <f t="shared" ca="1" si="59"/>
        <v>RE-BUY</v>
      </c>
    </row>
    <row r="232" spans="1:24" x14ac:dyDescent="0.35">
      <c r="A232" s="25" t="s">
        <v>246</v>
      </c>
      <c r="B232" s="10" t="s">
        <v>333</v>
      </c>
      <c r="C232" s="10" t="s">
        <v>345</v>
      </c>
      <c r="D232" s="10" t="s">
        <v>346</v>
      </c>
      <c r="E232" s="11">
        <v>45913</v>
      </c>
      <c r="F232" s="14">
        <f t="shared" ca="1" si="45"/>
        <v>186</v>
      </c>
      <c r="G232" s="17">
        <v>799</v>
      </c>
      <c r="H232" s="17">
        <v>340</v>
      </c>
      <c r="I232" s="53">
        <f t="shared" si="46"/>
        <v>692</v>
      </c>
      <c r="J232" s="17">
        <v>1050</v>
      </c>
      <c r="K232" s="66">
        <v>358</v>
      </c>
      <c r="L232" s="52">
        <f t="shared" ca="1" si="47"/>
        <v>1.924731182795699</v>
      </c>
      <c r="M232" s="50">
        <f t="shared" si="48"/>
        <v>0.73224085365853642</v>
      </c>
      <c r="N232" s="52">
        <f t="shared" si="49"/>
        <v>1.0914634146341464</v>
      </c>
      <c r="O232" s="56">
        <f t="shared" si="50"/>
        <v>89.5</v>
      </c>
      <c r="P232" s="54">
        <f t="shared" si="51"/>
        <v>7.7318435754189947</v>
      </c>
      <c r="Q232" s="55">
        <f t="shared" si="52"/>
        <v>57.446808510638306</v>
      </c>
      <c r="R232" s="55">
        <f t="shared" si="53"/>
        <v>34.095238095238095</v>
      </c>
      <c r="S232" s="13">
        <f t="shared" si="54"/>
        <v>3</v>
      </c>
      <c r="T232" s="13">
        <f t="shared" si="55"/>
        <v>1</v>
      </c>
      <c r="U232" s="13">
        <f t="shared" si="56"/>
        <v>2</v>
      </c>
      <c r="V232" s="13">
        <f t="shared" ca="1" si="57"/>
        <v>3</v>
      </c>
      <c r="W232" s="13">
        <f t="shared" ca="1" si="58"/>
        <v>9</v>
      </c>
      <c r="X232" s="61" t="str">
        <f t="shared" ca="1" si="59"/>
        <v>RE-BUY</v>
      </c>
    </row>
    <row r="233" spans="1:24" x14ac:dyDescent="0.35">
      <c r="A233" s="25" t="s">
        <v>247</v>
      </c>
      <c r="B233" s="10" t="s">
        <v>333</v>
      </c>
      <c r="C233" s="10" t="s">
        <v>345</v>
      </c>
      <c r="D233" s="10" t="s">
        <v>346</v>
      </c>
      <c r="E233" s="11">
        <v>45962</v>
      </c>
      <c r="F233" s="14">
        <f t="shared" ca="1" si="45"/>
        <v>137</v>
      </c>
      <c r="G233" s="17">
        <v>799</v>
      </c>
      <c r="H233" s="17">
        <v>340</v>
      </c>
      <c r="I233" s="53">
        <f t="shared" si="46"/>
        <v>934</v>
      </c>
      <c r="J233" s="17">
        <v>1050</v>
      </c>
      <c r="K233" s="66">
        <v>116</v>
      </c>
      <c r="L233" s="52">
        <f t="shared" ca="1" si="47"/>
        <v>0.84671532846715325</v>
      </c>
      <c r="M233" s="50">
        <f t="shared" si="48"/>
        <v>0.73224085365853642</v>
      </c>
      <c r="N233" s="52">
        <f t="shared" si="49"/>
        <v>0.35365853658536583</v>
      </c>
      <c r="O233" s="56">
        <f t="shared" si="50"/>
        <v>29</v>
      </c>
      <c r="P233" s="54">
        <f t="shared" si="51"/>
        <v>32.206896551724135</v>
      </c>
      <c r="Q233" s="55">
        <f t="shared" si="52"/>
        <v>57.446808510638306</v>
      </c>
      <c r="R233" s="55">
        <f t="shared" si="53"/>
        <v>11.047619047619047</v>
      </c>
      <c r="S233" s="13">
        <f t="shared" si="54"/>
        <v>1</v>
      </c>
      <c r="T233" s="13">
        <f t="shared" si="55"/>
        <v>1</v>
      </c>
      <c r="U233" s="13">
        <f t="shared" si="56"/>
        <v>2</v>
      </c>
      <c r="V233" s="13">
        <f t="shared" ca="1" si="57"/>
        <v>3</v>
      </c>
      <c r="W233" s="13">
        <f t="shared" ca="1" si="58"/>
        <v>7</v>
      </c>
      <c r="X233" s="61" t="str">
        <f t="shared" ca="1" si="59"/>
        <v>MONITOR</v>
      </c>
    </row>
    <row r="234" spans="1:24" x14ac:dyDescent="0.35">
      <c r="A234" s="25" t="s">
        <v>248</v>
      </c>
      <c r="B234" s="10" t="s">
        <v>333</v>
      </c>
      <c r="C234" s="10" t="s">
        <v>345</v>
      </c>
      <c r="D234" s="10" t="s">
        <v>346</v>
      </c>
      <c r="E234" s="11">
        <v>45913</v>
      </c>
      <c r="F234" s="14">
        <f t="shared" ca="1" si="45"/>
        <v>186</v>
      </c>
      <c r="G234" s="17">
        <v>799</v>
      </c>
      <c r="H234" s="17">
        <v>340</v>
      </c>
      <c r="I234" s="53">
        <f t="shared" si="46"/>
        <v>715</v>
      </c>
      <c r="J234" s="17">
        <v>1050</v>
      </c>
      <c r="K234" s="66">
        <v>335</v>
      </c>
      <c r="L234" s="52">
        <f t="shared" ca="1" si="47"/>
        <v>1.8010752688172043</v>
      </c>
      <c r="M234" s="50">
        <f t="shared" si="48"/>
        <v>0.73224085365853642</v>
      </c>
      <c r="N234" s="52">
        <f t="shared" si="49"/>
        <v>1.0213414634146341</v>
      </c>
      <c r="O234" s="56">
        <f t="shared" si="50"/>
        <v>83.749999999999986</v>
      </c>
      <c r="P234" s="54">
        <f t="shared" si="51"/>
        <v>8.5373134328358216</v>
      </c>
      <c r="Q234" s="55">
        <f t="shared" si="52"/>
        <v>57.446808510638306</v>
      </c>
      <c r="R234" s="55">
        <f t="shared" si="53"/>
        <v>31.904761904761902</v>
      </c>
      <c r="S234" s="13">
        <f t="shared" si="54"/>
        <v>3</v>
      </c>
      <c r="T234" s="13">
        <f t="shared" si="55"/>
        <v>1</v>
      </c>
      <c r="U234" s="13">
        <f t="shared" si="56"/>
        <v>2</v>
      </c>
      <c r="V234" s="13">
        <f t="shared" ca="1" si="57"/>
        <v>3</v>
      </c>
      <c r="W234" s="13">
        <f t="shared" ca="1" si="58"/>
        <v>9</v>
      </c>
      <c r="X234" s="61" t="str">
        <f t="shared" ca="1" si="59"/>
        <v>RE-BUY</v>
      </c>
    </row>
    <row r="235" spans="1:24" x14ac:dyDescent="0.35">
      <c r="A235" s="25" t="s">
        <v>249</v>
      </c>
      <c r="B235" s="10" t="s">
        <v>316</v>
      </c>
      <c r="C235" s="10" t="s">
        <v>345</v>
      </c>
      <c r="D235" s="10" t="s">
        <v>346</v>
      </c>
      <c r="E235" s="11">
        <v>45878</v>
      </c>
      <c r="F235" s="14">
        <f t="shared" ca="1" si="45"/>
        <v>221</v>
      </c>
      <c r="G235" s="17">
        <v>799</v>
      </c>
      <c r="H235" s="17">
        <v>400</v>
      </c>
      <c r="I235" s="53">
        <f t="shared" si="46"/>
        <v>1322</v>
      </c>
      <c r="J235" s="17">
        <v>1600</v>
      </c>
      <c r="K235" s="66">
        <v>278</v>
      </c>
      <c r="L235" s="52">
        <f t="shared" ca="1" si="47"/>
        <v>1.2579185520361991</v>
      </c>
      <c r="M235" s="50">
        <f t="shared" si="48"/>
        <v>0.73224085365853642</v>
      </c>
      <c r="N235" s="52">
        <f t="shared" si="49"/>
        <v>0.84756097560975607</v>
      </c>
      <c r="O235" s="56">
        <f t="shared" si="50"/>
        <v>69.5</v>
      </c>
      <c r="P235" s="54">
        <f t="shared" si="51"/>
        <v>19.021582733812949</v>
      </c>
      <c r="Q235" s="55">
        <f t="shared" si="52"/>
        <v>49.937421777221523</v>
      </c>
      <c r="R235" s="55">
        <f t="shared" si="53"/>
        <v>17.375</v>
      </c>
      <c r="S235" s="13">
        <f t="shared" si="54"/>
        <v>3</v>
      </c>
      <c r="T235" s="13">
        <f t="shared" si="55"/>
        <v>1</v>
      </c>
      <c r="U235" s="13">
        <f t="shared" si="56"/>
        <v>2</v>
      </c>
      <c r="V235" s="13">
        <f t="shared" ca="1" si="57"/>
        <v>3</v>
      </c>
      <c r="W235" s="13">
        <f t="shared" ca="1" si="58"/>
        <v>9</v>
      </c>
      <c r="X235" s="61" t="str">
        <f t="shared" ca="1" si="59"/>
        <v>RE-BUY</v>
      </c>
    </row>
    <row r="236" spans="1:24" x14ac:dyDescent="0.35">
      <c r="A236" s="25" t="s">
        <v>250</v>
      </c>
      <c r="B236" s="10" t="s">
        <v>316</v>
      </c>
      <c r="C236" s="10" t="s">
        <v>345</v>
      </c>
      <c r="D236" s="10" t="s">
        <v>346</v>
      </c>
      <c r="E236" s="11">
        <v>45864</v>
      </c>
      <c r="F236" s="14">
        <f t="shared" ca="1" si="45"/>
        <v>235</v>
      </c>
      <c r="G236" s="17">
        <v>599</v>
      </c>
      <c r="H236" s="17">
        <v>345</v>
      </c>
      <c r="I236" s="53">
        <f t="shared" si="46"/>
        <v>1351</v>
      </c>
      <c r="J236" s="17">
        <v>1500</v>
      </c>
      <c r="K236" s="66">
        <v>149</v>
      </c>
      <c r="L236" s="52">
        <f t="shared" ca="1" si="47"/>
        <v>0.63404255319148939</v>
      </c>
      <c r="M236" s="50">
        <f t="shared" si="48"/>
        <v>0.73224085365853642</v>
      </c>
      <c r="N236" s="52">
        <f t="shared" si="49"/>
        <v>0.45426829268292684</v>
      </c>
      <c r="O236" s="56">
        <f t="shared" si="50"/>
        <v>37.25</v>
      </c>
      <c r="P236" s="54">
        <f t="shared" si="51"/>
        <v>36.268456375838923</v>
      </c>
      <c r="Q236" s="55">
        <f t="shared" si="52"/>
        <v>42.404006677796332</v>
      </c>
      <c r="R236" s="55">
        <f t="shared" si="53"/>
        <v>9.9333333333333336</v>
      </c>
      <c r="S236" s="13">
        <f t="shared" si="54"/>
        <v>1</v>
      </c>
      <c r="T236" s="13">
        <f t="shared" si="55"/>
        <v>1</v>
      </c>
      <c r="U236" s="13">
        <f t="shared" si="56"/>
        <v>1</v>
      </c>
      <c r="V236" s="13">
        <f t="shared" ca="1" si="57"/>
        <v>3</v>
      </c>
      <c r="W236" s="13">
        <f t="shared" ca="1" si="58"/>
        <v>6</v>
      </c>
      <c r="X236" s="61" t="str">
        <f t="shared" ca="1" si="59"/>
        <v>MONITOR</v>
      </c>
    </row>
    <row r="237" spans="1:24" x14ac:dyDescent="0.35">
      <c r="A237" s="25" t="s">
        <v>251</v>
      </c>
      <c r="B237" s="10" t="s">
        <v>316</v>
      </c>
      <c r="C237" s="10" t="s">
        <v>345</v>
      </c>
      <c r="D237" s="10" t="s">
        <v>346</v>
      </c>
      <c r="E237" s="11">
        <v>45864</v>
      </c>
      <c r="F237" s="14">
        <f t="shared" ca="1" si="45"/>
        <v>235</v>
      </c>
      <c r="G237" s="17">
        <v>599</v>
      </c>
      <c r="H237" s="17">
        <v>345</v>
      </c>
      <c r="I237" s="53">
        <f t="shared" si="46"/>
        <v>1324</v>
      </c>
      <c r="J237" s="17">
        <v>1500</v>
      </c>
      <c r="K237" s="66">
        <v>176</v>
      </c>
      <c r="L237" s="52">
        <f t="shared" ca="1" si="47"/>
        <v>0.74893617021276593</v>
      </c>
      <c r="M237" s="50">
        <f t="shared" si="48"/>
        <v>0.73224085365853642</v>
      </c>
      <c r="N237" s="52">
        <f t="shared" si="49"/>
        <v>0.53658536585365857</v>
      </c>
      <c r="O237" s="56">
        <f t="shared" si="50"/>
        <v>44</v>
      </c>
      <c r="P237" s="54">
        <f t="shared" si="51"/>
        <v>30.09090909090909</v>
      </c>
      <c r="Q237" s="55">
        <f t="shared" si="52"/>
        <v>42.404006677796332</v>
      </c>
      <c r="R237" s="55">
        <f t="shared" si="53"/>
        <v>11.733333333333333</v>
      </c>
      <c r="S237" s="13">
        <f t="shared" si="54"/>
        <v>1</v>
      </c>
      <c r="T237" s="13">
        <f t="shared" si="55"/>
        <v>1</v>
      </c>
      <c r="U237" s="13">
        <f t="shared" si="56"/>
        <v>1</v>
      </c>
      <c r="V237" s="13">
        <f t="shared" ca="1" si="57"/>
        <v>3</v>
      </c>
      <c r="W237" s="13">
        <f t="shared" ca="1" si="58"/>
        <v>6</v>
      </c>
      <c r="X237" s="61" t="str">
        <f t="shared" ca="1" si="59"/>
        <v>MONITOR</v>
      </c>
    </row>
    <row r="238" spans="1:24" x14ac:dyDescent="0.35">
      <c r="A238" s="25" t="s">
        <v>252</v>
      </c>
      <c r="B238" s="15" t="s">
        <v>323</v>
      </c>
      <c r="C238" s="10" t="s">
        <v>345</v>
      </c>
      <c r="D238" s="10" t="s">
        <v>346</v>
      </c>
      <c r="E238" s="11">
        <v>45878</v>
      </c>
      <c r="F238" s="14">
        <f t="shared" ca="1" si="45"/>
        <v>221</v>
      </c>
      <c r="G238" s="17">
        <v>499</v>
      </c>
      <c r="H238" s="17">
        <v>230</v>
      </c>
      <c r="I238" s="53">
        <f t="shared" si="46"/>
        <v>714</v>
      </c>
      <c r="J238" s="17">
        <v>750</v>
      </c>
      <c r="K238" s="66">
        <v>36</v>
      </c>
      <c r="L238" s="52">
        <f t="shared" ca="1" si="47"/>
        <v>0.16289592760180996</v>
      </c>
      <c r="M238" s="50">
        <f t="shared" si="48"/>
        <v>0.73224085365853642</v>
      </c>
      <c r="N238" s="52">
        <f t="shared" si="49"/>
        <v>0.10975609756097561</v>
      </c>
      <c r="O238" s="56">
        <f t="shared" si="50"/>
        <v>9</v>
      </c>
      <c r="P238" s="54">
        <f t="shared" si="51"/>
        <v>79.333333333333329</v>
      </c>
      <c r="Q238" s="55">
        <f t="shared" si="52"/>
        <v>53.907815631262523</v>
      </c>
      <c r="R238" s="55">
        <f t="shared" si="53"/>
        <v>4.8</v>
      </c>
      <c r="S238" s="13">
        <f t="shared" si="54"/>
        <v>1</v>
      </c>
      <c r="T238" s="13">
        <f t="shared" si="55"/>
        <v>1</v>
      </c>
      <c r="U238" s="13">
        <f t="shared" si="56"/>
        <v>2</v>
      </c>
      <c r="V238" s="13">
        <f t="shared" ca="1" si="57"/>
        <v>3</v>
      </c>
      <c r="W238" s="13">
        <f t="shared" ca="1" si="58"/>
        <v>7</v>
      </c>
      <c r="X238" s="61" t="str">
        <f t="shared" ca="1" si="59"/>
        <v>MONITOR</v>
      </c>
    </row>
    <row r="239" spans="1:24" x14ac:dyDescent="0.35">
      <c r="A239" s="25" t="s">
        <v>253</v>
      </c>
      <c r="B239" s="15" t="s">
        <v>323</v>
      </c>
      <c r="C239" s="10" t="s">
        <v>345</v>
      </c>
      <c r="D239" s="10" t="s">
        <v>346</v>
      </c>
      <c r="E239" s="11">
        <v>45864</v>
      </c>
      <c r="F239" s="14">
        <f t="shared" ca="1" si="45"/>
        <v>235</v>
      </c>
      <c r="G239" s="17">
        <v>499</v>
      </c>
      <c r="H239" s="17">
        <v>230</v>
      </c>
      <c r="I239" s="53">
        <f t="shared" si="46"/>
        <v>953</v>
      </c>
      <c r="J239" s="17">
        <v>1000</v>
      </c>
      <c r="K239" s="66">
        <v>47</v>
      </c>
      <c r="L239" s="52">
        <f t="shared" ca="1" si="47"/>
        <v>0.2</v>
      </c>
      <c r="M239" s="50">
        <f t="shared" si="48"/>
        <v>0.73224085365853642</v>
      </c>
      <c r="N239" s="52">
        <f t="shared" si="49"/>
        <v>0.14329268292682926</v>
      </c>
      <c r="O239" s="56">
        <f t="shared" si="50"/>
        <v>11.749999999999998</v>
      </c>
      <c r="P239" s="54">
        <f t="shared" si="51"/>
        <v>81.106382978723417</v>
      </c>
      <c r="Q239" s="55">
        <f t="shared" si="52"/>
        <v>53.907815631262523</v>
      </c>
      <c r="R239" s="55">
        <f t="shared" si="53"/>
        <v>4.7</v>
      </c>
      <c r="S239" s="13">
        <f t="shared" si="54"/>
        <v>1</v>
      </c>
      <c r="T239" s="13">
        <f t="shared" si="55"/>
        <v>1</v>
      </c>
      <c r="U239" s="13">
        <f t="shared" si="56"/>
        <v>2</v>
      </c>
      <c r="V239" s="13">
        <f t="shared" ca="1" si="57"/>
        <v>3</v>
      </c>
      <c r="W239" s="13">
        <f t="shared" ca="1" si="58"/>
        <v>7</v>
      </c>
      <c r="X239" s="61" t="str">
        <f t="shared" ca="1" si="59"/>
        <v>MONITOR</v>
      </c>
    </row>
    <row r="240" spans="1:24" x14ac:dyDescent="0.35">
      <c r="A240" s="25" t="s">
        <v>254</v>
      </c>
      <c r="B240" s="15" t="s">
        <v>323</v>
      </c>
      <c r="C240" s="10" t="s">
        <v>345</v>
      </c>
      <c r="D240" s="10" t="s">
        <v>346</v>
      </c>
      <c r="E240" s="11">
        <v>45864</v>
      </c>
      <c r="F240" s="14">
        <f t="shared" ca="1" si="45"/>
        <v>235</v>
      </c>
      <c r="G240" s="17">
        <v>499</v>
      </c>
      <c r="H240" s="17">
        <v>230</v>
      </c>
      <c r="I240" s="53">
        <f t="shared" si="46"/>
        <v>936</v>
      </c>
      <c r="J240" s="17">
        <v>1000</v>
      </c>
      <c r="K240" s="66">
        <v>64</v>
      </c>
      <c r="L240" s="52">
        <f t="shared" ca="1" si="47"/>
        <v>0.2723404255319149</v>
      </c>
      <c r="M240" s="50">
        <f t="shared" si="48"/>
        <v>0.73224085365853642</v>
      </c>
      <c r="N240" s="52">
        <f t="shared" si="49"/>
        <v>0.1951219512195122</v>
      </c>
      <c r="O240" s="56">
        <f t="shared" si="50"/>
        <v>16</v>
      </c>
      <c r="P240" s="54">
        <f t="shared" si="51"/>
        <v>58.5</v>
      </c>
      <c r="Q240" s="55">
        <f t="shared" si="52"/>
        <v>53.907815631262523</v>
      </c>
      <c r="R240" s="55">
        <f t="shared" si="53"/>
        <v>6.4</v>
      </c>
      <c r="S240" s="13">
        <f t="shared" si="54"/>
        <v>1</v>
      </c>
      <c r="T240" s="13">
        <f t="shared" si="55"/>
        <v>1</v>
      </c>
      <c r="U240" s="13">
        <f t="shared" si="56"/>
        <v>2</v>
      </c>
      <c r="V240" s="13">
        <f t="shared" ca="1" si="57"/>
        <v>3</v>
      </c>
      <c r="W240" s="13">
        <f t="shared" ca="1" si="58"/>
        <v>7</v>
      </c>
      <c r="X240" s="61" t="str">
        <f t="shared" ca="1" si="59"/>
        <v>MONITOR</v>
      </c>
    </row>
    <row r="241" spans="1:24" x14ac:dyDescent="0.35">
      <c r="A241" s="25" t="s">
        <v>255</v>
      </c>
      <c r="B241" s="15" t="s">
        <v>323</v>
      </c>
      <c r="C241" s="10" t="s">
        <v>345</v>
      </c>
      <c r="D241" s="10" t="s">
        <v>346</v>
      </c>
      <c r="E241" s="11">
        <v>45920</v>
      </c>
      <c r="F241" s="14">
        <f t="shared" ca="1" si="45"/>
        <v>179</v>
      </c>
      <c r="G241" s="17">
        <v>499</v>
      </c>
      <c r="H241" s="17">
        <v>230</v>
      </c>
      <c r="I241" s="53">
        <f t="shared" si="46"/>
        <v>770</v>
      </c>
      <c r="J241" s="17">
        <v>1000</v>
      </c>
      <c r="K241" s="66">
        <v>230</v>
      </c>
      <c r="L241" s="52">
        <f t="shared" ca="1" si="47"/>
        <v>1.2849162011173185</v>
      </c>
      <c r="M241" s="50">
        <f t="shared" si="48"/>
        <v>0.73224085365853642</v>
      </c>
      <c r="N241" s="52">
        <f t="shared" si="49"/>
        <v>0.70121951219512191</v>
      </c>
      <c r="O241" s="56">
        <f t="shared" si="50"/>
        <v>57.5</v>
      </c>
      <c r="P241" s="54">
        <f t="shared" si="51"/>
        <v>13.391304347826088</v>
      </c>
      <c r="Q241" s="55">
        <f t="shared" si="52"/>
        <v>53.907815631262523</v>
      </c>
      <c r="R241" s="55">
        <f t="shared" si="53"/>
        <v>23</v>
      </c>
      <c r="S241" s="13">
        <f t="shared" si="54"/>
        <v>2</v>
      </c>
      <c r="T241" s="13">
        <f t="shared" si="55"/>
        <v>1</v>
      </c>
      <c r="U241" s="13">
        <f t="shared" si="56"/>
        <v>2</v>
      </c>
      <c r="V241" s="13">
        <f t="shared" ca="1" si="57"/>
        <v>3</v>
      </c>
      <c r="W241" s="13">
        <f t="shared" ca="1" si="58"/>
        <v>8</v>
      </c>
      <c r="X241" s="61" t="str">
        <f t="shared" ca="1" si="59"/>
        <v>MONITOR</v>
      </c>
    </row>
    <row r="242" spans="1:24" x14ac:dyDescent="0.35">
      <c r="A242" s="25" t="s">
        <v>188</v>
      </c>
      <c r="B242" s="15" t="s">
        <v>331</v>
      </c>
      <c r="C242" s="10" t="s">
        <v>342</v>
      </c>
      <c r="D242" s="10" t="s">
        <v>346</v>
      </c>
      <c r="E242" s="11">
        <v>45962</v>
      </c>
      <c r="F242" s="14">
        <f t="shared" ca="1" si="45"/>
        <v>137</v>
      </c>
      <c r="G242" s="18">
        <v>199</v>
      </c>
      <c r="H242" s="18">
        <v>135</v>
      </c>
      <c r="I242" s="53">
        <f t="shared" si="46"/>
        <v>1970</v>
      </c>
      <c r="J242" s="18">
        <v>2000</v>
      </c>
      <c r="K242" s="66">
        <v>30</v>
      </c>
      <c r="L242" s="52">
        <f t="shared" ca="1" si="47"/>
        <v>0.21897810218978103</v>
      </c>
      <c r="M242" s="50">
        <f t="shared" si="48"/>
        <v>0.80451009251471861</v>
      </c>
      <c r="N242" s="52">
        <f t="shared" si="49"/>
        <v>9.1463414634146339E-2</v>
      </c>
      <c r="O242" s="56">
        <f t="shared" si="50"/>
        <v>7.5</v>
      </c>
      <c r="P242" s="54">
        <f t="shared" si="51"/>
        <v>262.66666666666669</v>
      </c>
      <c r="Q242" s="55">
        <f t="shared" si="52"/>
        <v>32.1608040201005</v>
      </c>
      <c r="R242" s="55">
        <f t="shared" si="53"/>
        <v>1.5</v>
      </c>
      <c r="S242" s="13">
        <f t="shared" si="54"/>
        <v>1</v>
      </c>
      <c r="T242" s="13">
        <f t="shared" si="55"/>
        <v>1</v>
      </c>
      <c r="U242" s="13">
        <f t="shared" si="56"/>
        <v>1</v>
      </c>
      <c r="V242" s="13">
        <f t="shared" ca="1" si="57"/>
        <v>3</v>
      </c>
      <c r="W242" s="13">
        <f t="shared" ca="1" si="58"/>
        <v>6</v>
      </c>
      <c r="X242" s="61" t="str">
        <f t="shared" ca="1" si="59"/>
        <v>MONITOR</v>
      </c>
    </row>
    <row r="243" spans="1:24" x14ac:dyDescent="0.35">
      <c r="A243" s="25" t="s">
        <v>256</v>
      </c>
      <c r="B243" s="10" t="s">
        <v>334</v>
      </c>
      <c r="C243" s="10" t="s">
        <v>342</v>
      </c>
      <c r="D243" s="10" t="s">
        <v>346</v>
      </c>
      <c r="E243" s="11">
        <v>45976</v>
      </c>
      <c r="F243" s="14">
        <f t="shared" ca="1" si="45"/>
        <v>123</v>
      </c>
      <c r="G243" s="17">
        <v>999</v>
      </c>
      <c r="H243" s="17">
        <v>435</v>
      </c>
      <c r="I243" s="53">
        <f t="shared" si="46"/>
        <v>400</v>
      </c>
      <c r="J243" s="18">
        <v>400</v>
      </c>
      <c r="K243" s="67">
        <v>0</v>
      </c>
      <c r="L243" s="52">
        <f t="shared" ca="1" si="47"/>
        <v>0</v>
      </c>
      <c r="M243" s="50">
        <f t="shared" si="48"/>
        <v>0.80451009251471861</v>
      </c>
      <c r="N243" s="52">
        <f t="shared" si="49"/>
        <v>0</v>
      </c>
      <c r="O243" s="56">
        <f t="shared" si="50"/>
        <v>0</v>
      </c>
      <c r="P243" s="54" t="e">
        <f t="shared" si="51"/>
        <v>#DIV/0!</v>
      </c>
      <c r="Q243" s="55">
        <f t="shared" si="52"/>
        <v>56.456456456456458</v>
      </c>
      <c r="R243" s="55">
        <f t="shared" si="53"/>
        <v>0</v>
      </c>
      <c r="S243" s="13">
        <f t="shared" si="54"/>
        <v>1</v>
      </c>
      <c r="T243" s="13" t="e">
        <f t="shared" si="55"/>
        <v>#DIV/0!</v>
      </c>
      <c r="U243" s="13">
        <f t="shared" si="56"/>
        <v>2</v>
      </c>
      <c r="V243" s="13">
        <f t="shared" ca="1" si="57"/>
        <v>3</v>
      </c>
      <c r="W243" s="13" t="e">
        <f t="shared" ca="1" si="58"/>
        <v>#DIV/0!</v>
      </c>
      <c r="X243" s="61" t="str">
        <f t="shared" ca="1" si="59"/>
        <v>EXIT</v>
      </c>
    </row>
    <row r="244" spans="1:24" x14ac:dyDescent="0.35">
      <c r="A244" s="25" t="s">
        <v>257</v>
      </c>
      <c r="B244" s="10" t="s">
        <v>335</v>
      </c>
      <c r="C244" s="10" t="s">
        <v>341</v>
      </c>
      <c r="D244" s="10" t="s">
        <v>346</v>
      </c>
      <c r="E244" s="11">
        <v>45920</v>
      </c>
      <c r="F244" s="14">
        <f t="shared" ca="1" si="45"/>
        <v>179</v>
      </c>
      <c r="G244" s="17">
        <v>499</v>
      </c>
      <c r="H244" s="17">
        <v>255</v>
      </c>
      <c r="I244" s="53">
        <f t="shared" si="46"/>
        <v>1450</v>
      </c>
      <c r="J244" s="17">
        <v>1500</v>
      </c>
      <c r="K244" s="66">
        <v>50</v>
      </c>
      <c r="L244" s="52">
        <f t="shared" ca="1" si="47"/>
        <v>0.27932960893854747</v>
      </c>
      <c r="M244" s="50">
        <f t="shared" si="48"/>
        <v>0.92883099285538351</v>
      </c>
      <c r="N244" s="52">
        <f t="shared" si="49"/>
        <v>0.1524390243902439</v>
      </c>
      <c r="O244" s="56">
        <f t="shared" si="50"/>
        <v>12.5</v>
      </c>
      <c r="P244" s="54">
        <f t="shared" si="51"/>
        <v>116</v>
      </c>
      <c r="Q244" s="55">
        <f t="shared" si="52"/>
        <v>48.897795591182366</v>
      </c>
      <c r="R244" s="55">
        <f t="shared" si="53"/>
        <v>3.3333333333333335</v>
      </c>
      <c r="S244" s="13">
        <f t="shared" si="54"/>
        <v>1</v>
      </c>
      <c r="T244" s="13">
        <f t="shared" si="55"/>
        <v>1</v>
      </c>
      <c r="U244" s="13">
        <f t="shared" si="56"/>
        <v>2</v>
      </c>
      <c r="V244" s="13">
        <f t="shared" ca="1" si="57"/>
        <v>3</v>
      </c>
      <c r="W244" s="13">
        <f t="shared" ca="1" si="58"/>
        <v>7</v>
      </c>
      <c r="X244" s="61" t="str">
        <f t="shared" ca="1" si="59"/>
        <v>MONITOR</v>
      </c>
    </row>
    <row r="245" spans="1:24" x14ac:dyDescent="0.35">
      <c r="A245" s="25" t="s">
        <v>258</v>
      </c>
      <c r="B245" s="10" t="s">
        <v>335</v>
      </c>
      <c r="C245" s="10" t="s">
        <v>341</v>
      </c>
      <c r="D245" s="10" t="s">
        <v>346</v>
      </c>
      <c r="E245" s="11">
        <v>45878</v>
      </c>
      <c r="F245" s="14">
        <f t="shared" ca="1" si="45"/>
        <v>221</v>
      </c>
      <c r="G245" s="17">
        <v>499</v>
      </c>
      <c r="H245" s="17">
        <v>255</v>
      </c>
      <c r="I245" s="53">
        <f t="shared" si="46"/>
        <v>1173</v>
      </c>
      <c r="J245" s="17">
        <v>1500</v>
      </c>
      <c r="K245" s="66">
        <v>327</v>
      </c>
      <c r="L245" s="52">
        <f t="shared" ca="1" si="47"/>
        <v>1.4796380090497738</v>
      </c>
      <c r="M245" s="50">
        <f t="shared" si="48"/>
        <v>0.92883099285538351</v>
      </c>
      <c r="N245" s="52">
        <f t="shared" si="49"/>
        <v>0.99695121951219512</v>
      </c>
      <c r="O245" s="56">
        <f t="shared" si="50"/>
        <v>81.75</v>
      </c>
      <c r="P245" s="54">
        <f t="shared" si="51"/>
        <v>14.348623853211009</v>
      </c>
      <c r="Q245" s="55">
        <f t="shared" si="52"/>
        <v>48.897795591182366</v>
      </c>
      <c r="R245" s="55">
        <f t="shared" si="53"/>
        <v>21.8</v>
      </c>
      <c r="S245" s="13">
        <f t="shared" si="54"/>
        <v>3</v>
      </c>
      <c r="T245" s="13">
        <f t="shared" si="55"/>
        <v>1</v>
      </c>
      <c r="U245" s="13">
        <f t="shared" si="56"/>
        <v>2</v>
      </c>
      <c r="V245" s="13">
        <f t="shared" ca="1" si="57"/>
        <v>3</v>
      </c>
      <c r="W245" s="13">
        <f t="shared" ca="1" si="58"/>
        <v>9</v>
      </c>
      <c r="X245" s="61" t="str">
        <f t="shared" ca="1" si="59"/>
        <v>RE-BUY</v>
      </c>
    </row>
    <row r="246" spans="1:24" x14ac:dyDescent="0.35">
      <c r="A246" s="25" t="s">
        <v>259</v>
      </c>
      <c r="B246" s="10" t="s">
        <v>335</v>
      </c>
      <c r="C246" s="10" t="s">
        <v>341</v>
      </c>
      <c r="D246" s="10" t="s">
        <v>346</v>
      </c>
      <c r="E246" s="11">
        <v>45878</v>
      </c>
      <c r="F246" s="14">
        <f t="shared" ca="1" si="45"/>
        <v>221</v>
      </c>
      <c r="G246" s="17">
        <v>499</v>
      </c>
      <c r="H246" s="17">
        <v>255</v>
      </c>
      <c r="I246" s="53">
        <f t="shared" si="46"/>
        <v>1220</v>
      </c>
      <c r="J246" s="17">
        <v>1500</v>
      </c>
      <c r="K246" s="66">
        <v>280</v>
      </c>
      <c r="L246" s="52">
        <f t="shared" ca="1" si="47"/>
        <v>1.2669683257918551</v>
      </c>
      <c r="M246" s="50">
        <f t="shared" si="48"/>
        <v>0.92883099285538351</v>
      </c>
      <c r="N246" s="52">
        <f t="shared" si="49"/>
        <v>0.85365853658536583</v>
      </c>
      <c r="O246" s="56">
        <f t="shared" si="50"/>
        <v>70</v>
      </c>
      <c r="P246" s="54">
        <f t="shared" si="51"/>
        <v>17.428571428571427</v>
      </c>
      <c r="Q246" s="55">
        <f t="shared" si="52"/>
        <v>48.897795591182366</v>
      </c>
      <c r="R246" s="55">
        <f t="shared" si="53"/>
        <v>18.666666666666668</v>
      </c>
      <c r="S246" s="13">
        <f t="shared" si="54"/>
        <v>2</v>
      </c>
      <c r="T246" s="13">
        <f t="shared" si="55"/>
        <v>1</v>
      </c>
      <c r="U246" s="13">
        <f t="shared" si="56"/>
        <v>2</v>
      </c>
      <c r="V246" s="13">
        <f t="shared" ca="1" si="57"/>
        <v>3</v>
      </c>
      <c r="W246" s="13">
        <f t="shared" ca="1" si="58"/>
        <v>8</v>
      </c>
      <c r="X246" s="61" t="str">
        <f t="shared" ca="1" si="59"/>
        <v>MONITOR</v>
      </c>
    </row>
    <row r="247" spans="1:24" x14ac:dyDescent="0.35">
      <c r="A247" s="25" t="s">
        <v>260</v>
      </c>
      <c r="B247" s="10" t="s">
        <v>335</v>
      </c>
      <c r="C247" s="10" t="s">
        <v>341</v>
      </c>
      <c r="D247" s="10" t="s">
        <v>346</v>
      </c>
      <c r="E247" s="11">
        <v>45920</v>
      </c>
      <c r="F247" s="14">
        <f t="shared" ca="1" si="45"/>
        <v>179</v>
      </c>
      <c r="G247" s="17">
        <v>499</v>
      </c>
      <c r="H247" s="17">
        <v>255</v>
      </c>
      <c r="I247" s="53">
        <f t="shared" si="46"/>
        <v>1324</v>
      </c>
      <c r="J247" s="17">
        <v>1500</v>
      </c>
      <c r="K247" s="66">
        <v>176</v>
      </c>
      <c r="L247" s="52">
        <f t="shared" ca="1" si="47"/>
        <v>0.98324022346368711</v>
      </c>
      <c r="M247" s="50">
        <f t="shared" si="48"/>
        <v>0.92883099285538351</v>
      </c>
      <c r="N247" s="52">
        <f t="shared" si="49"/>
        <v>0.53658536585365857</v>
      </c>
      <c r="O247" s="56">
        <f t="shared" si="50"/>
        <v>44</v>
      </c>
      <c r="P247" s="54">
        <f t="shared" si="51"/>
        <v>30.09090909090909</v>
      </c>
      <c r="Q247" s="55">
        <f t="shared" si="52"/>
        <v>48.897795591182366</v>
      </c>
      <c r="R247" s="55">
        <f t="shared" si="53"/>
        <v>11.733333333333333</v>
      </c>
      <c r="S247" s="13">
        <f t="shared" si="54"/>
        <v>1</v>
      </c>
      <c r="T247" s="13">
        <f t="shared" si="55"/>
        <v>1</v>
      </c>
      <c r="U247" s="13">
        <f t="shared" si="56"/>
        <v>2</v>
      </c>
      <c r="V247" s="13">
        <f t="shared" ca="1" si="57"/>
        <v>3</v>
      </c>
      <c r="W247" s="13">
        <f t="shared" ca="1" si="58"/>
        <v>7</v>
      </c>
      <c r="X247" s="61" t="str">
        <f t="shared" ca="1" si="59"/>
        <v>MONITOR</v>
      </c>
    </row>
    <row r="248" spans="1:24" x14ac:dyDescent="0.35">
      <c r="A248" s="25" t="s">
        <v>261</v>
      </c>
      <c r="B248" s="10" t="s">
        <v>336</v>
      </c>
      <c r="C248" s="10" t="s">
        <v>341</v>
      </c>
      <c r="D248" s="10" t="s">
        <v>346</v>
      </c>
      <c r="E248" s="11">
        <v>45850</v>
      </c>
      <c r="F248" s="14">
        <f t="shared" ca="1" si="45"/>
        <v>249</v>
      </c>
      <c r="G248" s="17">
        <v>499</v>
      </c>
      <c r="H248" s="17">
        <v>297</v>
      </c>
      <c r="I248" s="53">
        <f t="shared" si="46"/>
        <v>2233</v>
      </c>
      <c r="J248" s="17">
        <v>2500</v>
      </c>
      <c r="K248" s="66">
        <v>267</v>
      </c>
      <c r="L248" s="52">
        <f t="shared" ca="1" si="47"/>
        <v>1.072289156626506</v>
      </c>
      <c r="M248" s="50">
        <f t="shared" si="48"/>
        <v>0.92883099285538351</v>
      </c>
      <c r="N248" s="52">
        <f t="shared" si="49"/>
        <v>0.81402439024390238</v>
      </c>
      <c r="O248" s="56">
        <f t="shared" si="50"/>
        <v>66.75</v>
      </c>
      <c r="P248" s="54">
        <f t="shared" si="51"/>
        <v>33.453183520599254</v>
      </c>
      <c r="Q248" s="55">
        <f t="shared" si="52"/>
        <v>40.480961923847694</v>
      </c>
      <c r="R248" s="55">
        <f t="shared" si="53"/>
        <v>10.68</v>
      </c>
      <c r="S248" s="13">
        <f t="shared" si="54"/>
        <v>2</v>
      </c>
      <c r="T248" s="13">
        <f t="shared" si="55"/>
        <v>1</v>
      </c>
      <c r="U248" s="13">
        <f t="shared" si="56"/>
        <v>1</v>
      </c>
      <c r="V248" s="13">
        <f t="shared" ca="1" si="57"/>
        <v>3</v>
      </c>
      <c r="W248" s="13">
        <f t="shared" ca="1" si="58"/>
        <v>7</v>
      </c>
      <c r="X248" s="61" t="str">
        <f t="shared" ca="1" si="59"/>
        <v>MONITOR</v>
      </c>
    </row>
    <row r="249" spans="1:24" x14ac:dyDescent="0.35">
      <c r="A249" s="25" t="s">
        <v>262</v>
      </c>
      <c r="B249" s="10" t="s">
        <v>336</v>
      </c>
      <c r="C249" s="10" t="s">
        <v>341</v>
      </c>
      <c r="D249" s="10" t="s">
        <v>346</v>
      </c>
      <c r="E249" s="11">
        <v>45850</v>
      </c>
      <c r="F249" s="14">
        <f t="shared" ca="1" si="45"/>
        <v>249</v>
      </c>
      <c r="G249" s="17">
        <v>499</v>
      </c>
      <c r="H249" s="17">
        <v>297</v>
      </c>
      <c r="I249" s="53">
        <f t="shared" si="46"/>
        <v>2285</v>
      </c>
      <c r="J249" s="17">
        <v>2500</v>
      </c>
      <c r="K249" s="66">
        <v>215</v>
      </c>
      <c r="L249" s="52">
        <f t="shared" ca="1" si="47"/>
        <v>0.86345381526104414</v>
      </c>
      <c r="M249" s="50">
        <f t="shared" si="48"/>
        <v>0.92883099285538351</v>
      </c>
      <c r="N249" s="52">
        <f t="shared" si="49"/>
        <v>0.65548780487804881</v>
      </c>
      <c r="O249" s="56">
        <f t="shared" si="50"/>
        <v>53.75</v>
      </c>
      <c r="P249" s="54">
        <f t="shared" si="51"/>
        <v>42.511627906976742</v>
      </c>
      <c r="Q249" s="55">
        <f t="shared" si="52"/>
        <v>40.480961923847694</v>
      </c>
      <c r="R249" s="55">
        <f t="shared" si="53"/>
        <v>8.6</v>
      </c>
      <c r="S249" s="13">
        <f t="shared" si="54"/>
        <v>1</v>
      </c>
      <c r="T249" s="13">
        <f t="shared" si="55"/>
        <v>1</v>
      </c>
      <c r="U249" s="13">
        <f t="shared" si="56"/>
        <v>1</v>
      </c>
      <c r="V249" s="13">
        <f t="shared" ca="1" si="57"/>
        <v>3</v>
      </c>
      <c r="W249" s="13">
        <f t="shared" ca="1" si="58"/>
        <v>6</v>
      </c>
      <c r="X249" s="61" t="str">
        <f t="shared" ca="1" si="59"/>
        <v>MONITOR</v>
      </c>
    </row>
    <row r="250" spans="1:24" x14ac:dyDescent="0.35">
      <c r="A250" s="25" t="s">
        <v>263</v>
      </c>
      <c r="B250" s="10" t="s">
        <v>336</v>
      </c>
      <c r="C250" s="10" t="s">
        <v>341</v>
      </c>
      <c r="D250" s="10" t="s">
        <v>346</v>
      </c>
      <c r="E250" s="11">
        <v>45850</v>
      </c>
      <c r="F250" s="14">
        <f t="shared" ca="1" si="45"/>
        <v>249</v>
      </c>
      <c r="G250" s="17">
        <v>499</v>
      </c>
      <c r="H250" s="17">
        <v>297</v>
      </c>
      <c r="I250" s="53">
        <f t="shared" si="46"/>
        <v>2461</v>
      </c>
      <c r="J250" s="17">
        <v>2500</v>
      </c>
      <c r="K250" s="66">
        <v>39</v>
      </c>
      <c r="L250" s="52">
        <f t="shared" ca="1" si="47"/>
        <v>0.15662650602409639</v>
      </c>
      <c r="M250" s="50">
        <f t="shared" si="48"/>
        <v>0.92883099285538351</v>
      </c>
      <c r="N250" s="52">
        <f t="shared" si="49"/>
        <v>0.11890243902439024</v>
      </c>
      <c r="O250" s="56">
        <f t="shared" si="50"/>
        <v>9.75</v>
      </c>
      <c r="P250" s="54">
        <f t="shared" si="51"/>
        <v>252.41025641025641</v>
      </c>
      <c r="Q250" s="55">
        <f t="shared" si="52"/>
        <v>40.480961923847694</v>
      </c>
      <c r="R250" s="55">
        <f t="shared" si="53"/>
        <v>1.5599999999999998</v>
      </c>
      <c r="S250" s="13">
        <f t="shared" si="54"/>
        <v>1</v>
      </c>
      <c r="T250" s="13">
        <f t="shared" si="55"/>
        <v>1</v>
      </c>
      <c r="U250" s="13">
        <f t="shared" si="56"/>
        <v>1</v>
      </c>
      <c r="V250" s="13">
        <f t="shared" ca="1" si="57"/>
        <v>3</v>
      </c>
      <c r="W250" s="13">
        <f t="shared" ca="1" si="58"/>
        <v>6</v>
      </c>
      <c r="X250" s="61" t="str">
        <f t="shared" ca="1" si="59"/>
        <v>MONITOR</v>
      </c>
    </row>
    <row r="251" spans="1:24" x14ac:dyDescent="0.35">
      <c r="A251" s="25" t="s">
        <v>264</v>
      </c>
      <c r="B251" s="10" t="s">
        <v>336</v>
      </c>
      <c r="C251" s="10" t="s">
        <v>341</v>
      </c>
      <c r="D251" s="10" t="s">
        <v>346</v>
      </c>
      <c r="E251" s="11">
        <v>45850</v>
      </c>
      <c r="F251" s="14">
        <f t="shared" ca="1" si="45"/>
        <v>249</v>
      </c>
      <c r="G251" s="17">
        <v>499</v>
      </c>
      <c r="H251" s="17">
        <v>297</v>
      </c>
      <c r="I251" s="53">
        <f t="shared" si="46"/>
        <v>2437</v>
      </c>
      <c r="J251" s="17">
        <v>2500</v>
      </c>
      <c r="K251" s="66">
        <v>63</v>
      </c>
      <c r="L251" s="52">
        <f t="shared" ca="1" si="47"/>
        <v>0.25301204819277107</v>
      </c>
      <c r="M251" s="50">
        <f t="shared" si="48"/>
        <v>0.92883099285538351</v>
      </c>
      <c r="N251" s="52">
        <f t="shared" si="49"/>
        <v>0.19207317073170732</v>
      </c>
      <c r="O251" s="56">
        <f t="shared" si="50"/>
        <v>15.75</v>
      </c>
      <c r="P251" s="54">
        <f t="shared" si="51"/>
        <v>154.73015873015873</v>
      </c>
      <c r="Q251" s="55">
        <f t="shared" si="52"/>
        <v>40.480961923847694</v>
      </c>
      <c r="R251" s="55">
        <f t="shared" si="53"/>
        <v>2.52</v>
      </c>
      <c r="S251" s="13">
        <f t="shared" si="54"/>
        <v>1</v>
      </c>
      <c r="T251" s="13">
        <f t="shared" si="55"/>
        <v>1</v>
      </c>
      <c r="U251" s="13">
        <f t="shared" si="56"/>
        <v>1</v>
      </c>
      <c r="V251" s="13">
        <f t="shared" ca="1" si="57"/>
        <v>3</v>
      </c>
      <c r="W251" s="13">
        <f t="shared" ca="1" si="58"/>
        <v>6</v>
      </c>
      <c r="X251" s="61" t="str">
        <f t="shared" ca="1" si="59"/>
        <v>MONITOR</v>
      </c>
    </row>
    <row r="252" spans="1:24" x14ac:dyDescent="0.35">
      <c r="A252" s="25" t="s">
        <v>265</v>
      </c>
      <c r="B252" s="10" t="s">
        <v>337</v>
      </c>
      <c r="C252" s="10" t="s">
        <v>341</v>
      </c>
      <c r="D252" s="10" t="s">
        <v>346</v>
      </c>
      <c r="E252" s="11">
        <v>45871</v>
      </c>
      <c r="F252" s="14">
        <f t="shared" ca="1" si="45"/>
        <v>228</v>
      </c>
      <c r="G252" s="17">
        <v>699</v>
      </c>
      <c r="H252" s="17">
        <v>335</v>
      </c>
      <c r="I252" s="53">
        <f t="shared" si="46"/>
        <v>798</v>
      </c>
      <c r="J252" s="17">
        <v>1000</v>
      </c>
      <c r="K252" s="66">
        <v>202</v>
      </c>
      <c r="L252" s="52">
        <f t="shared" ca="1" si="47"/>
        <v>0.88596491228070173</v>
      </c>
      <c r="M252" s="50">
        <f t="shared" si="48"/>
        <v>0.92883099285538351</v>
      </c>
      <c r="N252" s="52">
        <f t="shared" si="49"/>
        <v>0.61585365853658536</v>
      </c>
      <c r="O252" s="56">
        <f t="shared" si="50"/>
        <v>50.5</v>
      </c>
      <c r="P252" s="54">
        <f t="shared" si="51"/>
        <v>15.801980198019802</v>
      </c>
      <c r="Q252" s="55">
        <f t="shared" si="52"/>
        <v>52.074391988555078</v>
      </c>
      <c r="R252" s="55">
        <f t="shared" si="53"/>
        <v>20.200000000000003</v>
      </c>
      <c r="S252" s="13">
        <f t="shared" si="54"/>
        <v>1</v>
      </c>
      <c r="T252" s="13">
        <f t="shared" si="55"/>
        <v>1</v>
      </c>
      <c r="U252" s="13">
        <f t="shared" si="56"/>
        <v>2</v>
      </c>
      <c r="V252" s="13">
        <f t="shared" ca="1" si="57"/>
        <v>3</v>
      </c>
      <c r="W252" s="13">
        <f t="shared" ca="1" si="58"/>
        <v>7</v>
      </c>
      <c r="X252" s="61" t="str">
        <f t="shared" ca="1" si="59"/>
        <v>MONITOR</v>
      </c>
    </row>
    <row r="253" spans="1:24" x14ac:dyDescent="0.35">
      <c r="A253" s="25" t="s">
        <v>266</v>
      </c>
      <c r="B253" s="10" t="s">
        <v>336</v>
      </c>
      <c r="C253" s="10" t="s">
        <v>341</v>
      </c>
      <c r="D253" s="10" t="s">
        <v>346</v>
      </c>
      <c r="E253" s="11">
        <v>45871</v>
      </c>
      <c r="F253" s="14">
        <f t="shared" ca="1" si="45"/>
        <v>228</v>
      </c>
      <c r="G253" s="17">
        <v>699</v>
      </c>
      <c r="H253" s="17">
        <v>300</v>
      </c>
      <c r="I253" s="53">
        <f t="shared" si="46"/>
        <v>1240</v>
      </c>
      <c r="J253" s="17">
        <v>1400</v>
      </c>
      <c r="K253" s="66">
        <v>160</v>
      </c>
      <c r="L253" s="52">
        <f t="shared" ca="1" si="47"/>
        <v>0.70175438596491224</v>
      </c>
      <c r="M253" s="50">
        <f t="shared" si="48"/>
        <v>0.92883099285538351</v>
      </c>
      <c r="N253" s="52">
        <f t="shared" si="49"/>
        <v>0.48780487804878048</v>
      </c>
      <c r="O253" s="56">
        <f t="shared" si="50"/>
        <v>40</v>
      </c>
      <c r="P253" s="54">
        <f t="shared" si="51"/>
        <v>31</v>
      </c>
      <c r="Q253" s="55">
        <f t="shared" si="52"/>
        <v>57.081545064377679</v>
      </c>
      <c r="R253" s="55">
        <f t="shared" si="53"/>
        <v>11.428571428571429</v>
      </c>
      <c r="S253" s="13">
        <f t="shared" si="54"/>
        <v>1</v>
      </c>
      <c r="T253" s="13">
        <f t="shared" si="55"/>
        <v>1</v>
      </c>
      <c r="U253" s="13">
        <f t="shared" si="56"/>
        <v>2</v>
      </c>
      <c r="V253" s="13">
        <f t="shared" ca="1" si="57"/>
        <v>3</v>
      </c>
      <c r="W253" s="13">
        <f t="shared" ca="1" si="58"/>
        <v>7</v>
      </c>
      <c r="X253" s="61" t="str">
        <f t="shared" ca="1" si="59"/>
        <v>MONITOR</v>
      </c>
    </row>
    <row r="254" spans="1:24" x14ac:dyDescent="0.35">
      <c r="A254" s="25" t="s">
        <v>267</v>
      </c>
      <c r="B254" s="10" t="s">
        <v>336</v>
      </c>
      <c r="C254" s="10" t="s">
        <v>341</v>
      </c>
      <c r="D254" s="10" t="s">
        <v>346</v>
      </c>
      <c r="E254" s="11">
        <v>45871</v>
      </c>
      <c r="F254" s="14">
        <f t="shared" ca="1" si="45"/>
        <v>228</v>
      </c>
      <c r="G254" s="17">
        <v>699</v>
      </c>
      <c r="H254" s="17">
        <v>320</v>
      </c>
      <c r="I254" s="53">
        <f t="shared" si="46"/>
        <v>1122</v>
      </c>
      <c r="J254" s="17">
        <v>1300</v>
      </c>
      <c r="K254" s="66">
        <v>178</v>
      </c>
      <c r="L254" s="52">
        <f t="shared" ca="1" si="47"/>
        <v>0.7807017543859649</v>
      </c>
      <c r="M254" s="50">
        <f t="shared" si="48"/>
        <v>0.92883099285538351</v>
      </c>
      <c r="N254" s="52">
        <f t="shared" si="49"/>
        <v>0.54268292682926833</v>
      </c>
      <c r="O254" s="56">
        <f t="shared" si="50"/>
        <v>44.5</v>
      </c>
      <c r="P254" s="54">
        <f t="shared" si="51"/>
        <v>25.213483146067414</v>
      </c>
      <c r="Q254" s="55">
        <f t="shared" si="52"/>
        <v>54.220314735336196</v>
      </c>
      <c r="R254" s="55">
        <f t="shared" si="53"/>
        <v>13.692307692307693</v>
      </c>
      <c r="S254" s="13">
        <f t="shared" si="54"/>
        <v>1</v>
      </c>
      <c r="T254" s="13">
        <f t="shared" si="55"/>
        <v>1</v>
      </c>
      <c r="U254" s="13">
        <f t="shared" si="56"/>
        <v>2</v>
      </c>
      <c r="V254" s="13">
        <f t="shared" ca="1" si="57"/>
        <v>3</v>
      </c>
      <c r="W254" s="13">
        <f t="shared" ca="1" si="58"/>
        <v>7</v>
      </c>
      <c r="X254" s="61" t="str">
        <f t="shared" ca="1" si="59"/>
        <v>MONITOR</v>
      </c>
    </row>
    <row r="255" spans="1:24" x14ac:dyDescent="0.35">
      <c r="A255" s="25" t="s">
        <v>268</v>
      </c>
      <c r="B255" s="10" t="s">
        <v>336</v>
      </c>
      <c r="C255" s="10" t="s">
        <v>341</v>
      </c>
      <c r="D255" s="10" t="s">
        <v>346</v>
      </c>
      <c r="E255" s="11">
        <v>45920</v>
      </c>
      <c r="F255" s="14">
        <f t="shared" ca="1" si="45"/>
        <v>179</v>
      </c>
      <c r="G255" s="17">
        <v>699</v>
      </c>
      <c r="H255" s="17">
        <v>320</v>
      </c>
      <c r="I255" s="53">
        <f t="shared" si="46"/>
        <v>1215</v>
      </c>
      <c r="J255" s="17">
        <v>1300</v>
      </c>
      <c r="K255" s="66">
        <v>85</v>
      </c>
      <c r="L255" s="52">
        <f t="shared" ca="1" si="47"/>
        <v>0.47486033519553073</v>
      </c>
      <c r="M255" s="50">
        <f t="shared" si="48"/>
        <v>0.92883099285538351</v>
      </c>
      <c r="N255" s="52">
        <f t="shared" si="49"/>
        <v>0.25914634146341464</v>
      </c>
      <c r="O255" s="56">
        <f t="shared" si="50"/>
        <v>21.25</v>
      </c>
      <c r="P255" s="54">
        <f t="shared" si="51"/>
        <v>57.176470588235297</v>
      </c>
      <c r="Q255" s="55">
        <f t="shared" si="52"/>
        <v>54.220314735336196</v>
      </c>
      <c r="R255" s="55">
        <f t="shared" si="53"/>
        <v>6.5384615384615392</v>
      </c>
      <c r="S255" s="13">
        <f t="shared" si="54"/>
        <v>1</v>
      </c>
      <c r="T255" s="13">
        <f t="shared" si="55"/>
        <v>1</v>
      </c>
      <c r="U255" s="13">
        <f t="shared" si="56"/>
        <v>2</v>
      </c>
      <c r="V255" s="13">
        <f t="shared" ca="1" si="57"/>
        <v>3</v>
      </c>
      <c r="W255" s="13">
        <f t="shared" ca="1" si="58"/>
        <v>7</v>
      </c>
      <c r="X255" s="61" t="str">
        <f t="shared" ca="1" si="59"/>
        <v>MONITOR</v>
      </c>
    </row>
    <row r="256" spans="1:24" x14ac:dyDescent="0.35">
      <c r="A256" s="25" t="s">
        <v>269</v>
      </c>
      <c r="B256" s="10" t="s">
        <v>335</v>
      </c>
      <c r="C256" s="10" t="s">
        <v>341</v>
      </c>
      <c r="D256" s="10" t="s">
        <v>346</v>
      </c>
      <c r="E256" s="11">
        <v>45920</v>
      </c>
      <c r="F256" s="14">
        <f t="shared" ca="1" si="45"/>
        <v>179</v>
      </c>
      <c r="G256" s="17">
        <v>799</v>
      </c>
      <c r="H256" s="17">
        <v>325</v>
      </c>
      <c r="I256" s="53">
        <f t="shared" si="46"/>
        <v>947</v>
      </c>
      <c r="J256" s="17">
        <v>1050</v>
      </c>
      <c r="K256" s="66">
        <v>103</v>
      </c>
      <c r="L256" s="52">
        <f t="shared" ca="1" si="47"/>
        <v>0.57541899441340782</v>
      </c>
      <c r="M256" s="50">
        <f t="shared" si="48"/>
        <v>0.92883099285538351</v>
      </c>
      <c r="N256" s="52">
        <f t="shared" si="49"/>
        <v>0.31402439024390244</v>
      </c>
      <c r="O256" s="56">
        <f t="shared" si="50"/>
        <v>25.75</v>
      </c>
      <c r="P256" s="54">
        <f t="shared" si="51"/>
        <v>36.776699029126213</v>
      </c>
      <c r="Q256" s="55">
        <f t="shared" si="52"/>
        <v>59.324155193992489</v>
      </c>
      <c r="R256" s="55">
        <f t="shared" si="53"/>
        <v>9.8095238095238102</v>
      </c>
      <c r="S256" s="13">
        <f t="shared" si="54"/>
        <v>1</v>
      </c>
      <c r="T256" s="13">
        <f t="shared" si="55"/>
        <v>1</v>
      </c>
      <c r="U256" s="13">
        <f t="shared" si="56"/>
        <v>2</v>
      </c>
      <c r="V256" s="13">
        <f t="shared" ca="1" si="57"/>
        <v>3</v>
      </c>
      <c r="W256" s="13">
        <f t="shared" ca="1" si="58"/>
        <v>7</v>
      </c>
      <c r="X256" s="61" t="str">
        <f t="shared" ca="1" si="59"/>
        <v>MONITOR</v>
      </c>
    </row>
    <row r="257" spans="1:24" x14ac:dyDescent="0.35">
      <c r="A257" s="25" t="s">
        <v>270</v>
      </c>
      <c r="B257" s="10" t="s">
        <v>335</v>
      </c>
      <c r="C257" s="10" t="s">
        <v>341</v>
      </c>
      <c r="D257" s="10" t="s">
        <v>346</v>
      </c>
      <c r="E257" s="11">
        <v>45920</v>
      </c>
      <c r="F257" s="14">
        <f t="shared" ca="1" si="45"/>
        <v>179</v>
      </c>
      <c r="G257" s="17">
        <v>799</v>
      </c>
      <c r="H257" s="17">
        <v>325</v>
      </c>
      <c r="I257" s="53">
        <f t="shared" si="46"/>
        <v>923</v>
      </c>
      <c r="J257" s="17">
        <v>1050</v>
      </c>
      <c r="K257" s="66">
        <v>127</v>
      </c>
      <c r="L257" s="52">
        <f t="shared" ca="1" si="47"/>
        <v>0.70949720670391059</v>
      </c>
      <c r="M257" s="50">
        <f t="shared" si="48"/>
        <v>0.92883099285538351</v>
      </c>
      <c r="N257" s="52">
        <f t="shared" si="49"/>
        <v>0.38719512195121952</v>
      </c>
      <c r="O257" s="56">
        <f t="shared" si="50"/>
        <v>31.75</v>
      </c>
      <c r="P257" s="54">
        <f t="shared" si="51"/>
        <v>29.070866141732285</v>
      </c>
      <c r="Q257" s="55">
        <f t="shared" si="52"/>
        <v>59.324155193992489</v>
      </c>
      <c r="R257" s="55">
        <f t="shared" si="53"/>
        <v>12.095238095238095</v>
      </c>
      <c r="S257" s="13">
        <f t="shared" si="54"/>
        <v>1</v>
      </c>
      <c r="T257" s="13">
        <f t="shared" si="55"/>
        <v>1</v>
      </c>
      <c r="U257" s="13">
        <f t="shared" si="56"/>
        <v>2</v>
      </c>
      <c r="V257" s="13">
        <f t="shared" ca="1" si="57"/>
        <v>3</v>
      </c>
      <c r="W257" s="13">
        <f t="shared" ca="1" si="58"/>
        <v>7</v>
      </c>
      <c r="X257" s="61" t="str">
        <f t="shared" ca="1" si="59"/>
        <v>MONITOR</v>
      </c>
    </row>
    <row r="258" spans="1:24" x14ac:dyDescent="0.35">
      <c r="A258" s="25" t="s">
        <v>271</v>
      </c>
      <c r="B258" s="10" t="s">
        <v>335</v>
      </c>
      <c r="C258" s="10" t="s">
        <v>341</v>
      </c>
      <c r="D258" s="10" t="s">
        <v>346</v>
      </c>
      <c r="E258" s="11">
        <v>45920</v>
      </c>
      <c r="F258" s="14">
        <f t="shared" ca="1" si="45"/>
        <v>179</v>
      </c>
      <c r="G258" s="17">
        <v>799</v>
      </c>
      <c r="H258" s="17">
        <v>325</v>
      </c>
      <c r="I258" s="53">
        <f t="shared" si="46"/>
        <v>1050</v>
      </c>
      <c r="J258" s="17">
        <v>1050</v>
      </c>
      <c r="K258" s="67">
        <v>0</v>
      </c>
      <c r="L258" s="52">
        <f t="shared" ca="1" si="47"/>
        <v>0</v>
      </c>
      <c r="M258" s="50">
        <f t="shared" si="48"/>
        <v>0.92883099285538351</v>
      </c>
      <c r="N258" s="52">
        <f t="shared" si="49"/>
        <v>0</v>
      </c>
      <c r="O258" s="56">
        <f t="shared" si="50"/>
        <v>0</v>
      </c>
      <c r="P258" s="54" t="e">
        <f t="shared" si="51"/>
        <v>#DIV/0!</v>
      </c>
      <c r="Q258" s="55">
        <f t="shared" si="52"/>
        <v>59.324155193992489</v>
      </c>
      <c r="R258" s="55">
        <f t="shared" si="53"/>
        <v>0</v>
      </c>
      <c r="S258" s="13">
        <f t="shared" si="54"/>
        <v>1</v>
      </c>
      <c r="T258" s="13" t="e">
        <f t="shared" si="55"/>
        <v>#DIV/0!</v>
      </c>
      <c r="U258" s="13">
        <f t="shared" si="56"/>
        <v>2</v>
      </c>
      <c r="V258" s="13">
        <f t="shared" ca="1" si="57"/>
        <v>3</v>
      </c>
      <c r="W258" s="13" t="e">
        <f t="shared" ca="1" si="58"/>
        <v>#DIV/0!</v>
      </c>
      <c r="X258" s="61" t="str">
        <f t="shared" ca="1" si="59"/>
        <v>EXIT</v>
      </c>
    </row>
    <row r="259" spans="1:24" x14ac:dyDescent="0.35">
      <c r="A259" s="25" t="s">
        <v>272</v>
      </c>
      <c r="B259" s="10" t="s">
        <v>335</v>
      </c>
      <c r="C259" s="10" t="s">
        <v>341</v>
      </c>
      <c r="D259" s="10" t="s">
        <v>346</v>
      </c>
      <c r="E259" s="11">
        <v>45920</v>
      </c>
      <c r="F259" s="14">
        <f t="shared" ref="F259:F300" ca="1" si="60">TODAY()-E259</f>
        <v>179</v>
      </c>
      <c r="G259" s="17">
        <v>799</v>
      </c>
      <c r="H259" s="17">
        <v>325</v>
      </c>
      <c r="I259" s="53">
        <f t="shared" ref="I259:I300" si="61">J259-K259</f>
        <v>1050</v>
      </c>
      <c r="J259" s="17">
        <v>1050</v>
      </c>
      <c r="K259" s="67">
        <v>0</v>
      </c>
      <c r="L259" s="52">
        <f t="shared" ref="L259:L300" ca="1" si="62">K259/F259</f>
        <v>0</v>
      </c>
      <c r="M259" s="50">
        <f t="shared" ref="M259:M300" si="63">AVERAGEIFS(N:N,C:C,C259)</f>
        <v>0.92883099285538351</v>
      </c>
      <c r="N259" s="52">
        <f t="shared" ref="N259:N300" si="64">K259/328</f>
        <v>0</v>
      </c>
      <c r="O259" s="56">
        <f t="shared" ref="O259:O300" si="65">N259*82</f>
        <v>0</v>
      </c>
      <c r="P259" s="54" t="e">
        <f t="shared" ref="P259:P300" si="66">I259/O259</f>
        <v>#DIV/0!</v>
      </c>
      <c r="Q259" s="55">
        <f t="shared" ref="Q259:Q300" si="67">(G259-H259)/G259*100</f>
        <v>59.324155193992489</v>
      </c>
      <c r="R259" s="55">
        <f t="shared" ref="R259:R299" si="68">K259/J259*100</f>
        <v>0</v>
      </c>
      <c r="S259" s="13">
        <f t="shared" ref="S259:S300" si="69">IF(N259&gt;=M259,3,IF(N259&gt;=0.8*M259,2,1))</f>
        <v>1</v>
      </c>
      <c r="T259" s="13" t="e">
        <f t="shared" ref="T259:T300" si="70">IF(P259&lt;=4,3,IF(P259&lt;=6,2,1))</f>
        <v>#DIV/0!</v>
      </c>
      <c r="U259" s="13">
        <f t="shared" ref="U259:U300" si="71">IF(Q259&gt;=60,3,IF(Q259&gt;=45,2,1))</f>
        <v>2</v>
      </c>
      <c r="V259" s="13">
        <f t="shared" ref="V259:V300" ca="1" si="72">IF(L259&lt;=10,3,IF(L259&lt;=25,2,1))</f>
        <v>3</v>
      </c>
      <c r="W259" s="13" t="e">
        <f t="shared" ref="W259:W300" ca="1" si="73">S259+T259+U259+V259</f>
        <v>#DIV/0!</v>
      </c>
      <c r="X259" s="61" t="str">
        <f t="shared" ref="X259:X300" ca="1" si="74">IFERROR(IF(W259&gt;=9,"RE-BUY",IF(W259&gt;=6,"MONITOR","EXIT")),"EXIT")</f>
        <v>EXIT</v>
      </c>
    </row>
    <row r="260" spans="1:24" x14ac:dyDescent="0.35">
      <c r="A260" s="25" t="s">
        <v>273</v>
      </c>
      <c r="B260" s="10" t="s">
        <v>335</v>
      </c>
      <c r="C260" s="10" t="s">
        <v>343</v>
      </c>
      <c r="D260" s="10" t="s">
        <v>346</v>
      </c>
      <c r="E260" s="11">
        <v>45920</v>
      </c>
      <c r="F260" s="14">
        <f t="shared" ca="1" si="60"/>
        <v>179</v>
      </c>
      <c r="G260" s="17">
        <v>799</v>
      </c>
      <c r="H260" s="17">
        <v>355</v>
      </c>
      <c r="I260" s="53">
        <f t="shared" si="61"/>
        <v>648</v>
      </c>
      <c r="J260" s="17">
        <v>750</v>
      </c>
      <c r="K260" s="66">
        <v>102</v>
      </c>
      <c r="L260" s="52">
        <f t="shared" ca="1" si="62"/>
        <v>0.56983240223463683</v>
      </c>
      <c r="M260" s="50">
        <f t="shared" si="63"/>
        <v>0.56143292682926838</v>
      </c>
      <c r="N260" s="52">
        <f t="shared" si="64"/>
        <v>0.31097560975609756</v>
      </c>
      <c r="O260" s="56">
        <f t="shared" si="65"/>
        <v>25.5</v>
      </c>
      <c r="P260" s="54">
        <f t="shared" si="66"/>
        <v>25.411764705882351</v>
      </c>
      <c r="Q260" s="55">
        <f t="shared" si="67"/>
        <v>55.569461827284108</v>
      </c>
      <c r="R260" s="55">
        <f t="shared" si="68"/>
        <v>13.600000000000001</v>
      </c>
      <c r="S260" s="13">
        <f t="shared" si="69"/>
        <v>1</v>
      </c>
      <c r="T260" s="13">
        <f t="shared" si="70"/>
        <v>1</v>
      </c>
      <c r="U260" s="13">
        <f t="shared" si="71"/>
        <v>2</v>
      </c>
      <c r="V260" s="13">
        <f t="shared" ca="1" si="72"/>
        <v>3</v>
      </c>
      <c r="W260" s="13">
        <f t="shared" ca="1" si="73"/>
        <v>7</v>
      </c>
      <c r="X260" s="61" t="str">
        <f t="shared" ca="1" si="74"/>
        <v>MONITOR</v>
      </c>
    </row>
    <row r="261" spans="1:24" x14ac:dyDescent="0.35">
      <c r="A261" s="25" t="s">
        <v>274</v>
      </c>
      <c r="B261" s="10" t="s">
        <v>335</v>
      </c>
      <c r="C261" s="10" t="s">
        <v>343</v>
      </c>
      <c r="D261" s="10" t="s">
        <v>346</v>
      </c>
      <c r="E261" s="11">
        <v>45920</v>
      </c>
      <c r="F261" s="14">
        <f t="shared" ca="1" si="60"/>
        <v>179</v>
      </c>
      <c r="G261" s="17">
        <v>799</v>
      </c>
      <c r="H261" s="17">
        <v>355</v>
      </c>
      <c r="I261" s="53">
        <f t="shared" si="61"/>
        <v>694</v>
      </c>
      <c r="J261" s="17">
        <v>750</v>
      </c>
      <c r="K261" s="66">
        <v>56</v>
      </c>
      <c r="L261" s="52">
        <f t="shared" ca="1" si="62"/>
        <v>0.31284916201117319</v>
      </c>
      <c r="M261" s="50">
        <f t="shared" si="63"/>
        <v>0.56143292682926838</v>
      </c>
      <c r="N261" s="52">
        <f t="shared" si="64"/>
        <v>0.17073170731707318</v>
      </c>
      <c r="O261" s="56">
        <f t="shared" si="65"/>
        <v>14.000000000000002</v>
      </c>
      <c r="P261" s="54">
        <f t="shared" si="66"/>
        <v>49.571428571428562</v>
      </c>
      <c r="Q261" s="55">
        <f t="shared" si="67"/>
        <v>55.569461827284108</v>
      </c>
      <c r="R261" s="55">
        <f t="shared" si="68"/>
        <v>7.4666666666666677</v>
      </c>
      <c r="S261" s="13">
        <f t="shared" si="69"/>
        <v>1</v>
      </c>
      <c r="T261" s="13">
        <f t="shared" si="70"/>
        <v>1</v>
      </c>
      <c r="U261" s="13">
        <f t="shared" si="71"/>
        <v>2</v>
      </c>
      <c r="V261" s="13">
        <f t="shared" ca="1" si="72"/>
        <v>3</v>
      </c>
      <c r="W261" s="13">
        <f t="shared" ca="1" si="73"/>
        <v>7</v>
      </c>
      <c r="X261" s="61" t="str">
        <f t="shared" ca="1" si="74"/>
        <v>MONITOR</v>
      </c>
    </row>
    <row r="262" spans="1:24" x14ac:dyDescent="0.35">
      <c r="A262" s="25" t="s">
        <v>275</v>
      </c>
      <c r="B262" s="10" t="s">
        <v>335</v>
      </c>
      <c r="C262" s="10" t="s">
        <v>343</v>
      </c>
      <c r="D262" s="10" t="s">
        <v>346</v>
      </c>
      <c r="E262" s="11">
        <v>45941</v>
      </c>
      <c r="F262" s="14">
        <f t="shared" ca="1" si="60"/>
        <v>158</v>
      </c>
      <c r="G262" s="17">
        <v>599</v>
      </c>
      <c r="H262" s="17">
        <v>280</v>
      </c>
      <c r="I262" s="53">
        <f t="shared" si="61"/>
        <v>671</v>
      </c>
      <c r="J262" s="17">
        <v>750</v>
      </c>
      <c r="K262" s="66">
        <v>79</v>
      </c>
      <c r="L262" s="52">
        <f t="shared" ca="1" si="62"/>
        <v>0.5</v>
      </c>
      <c r="M262" s="50">
        <f t="shared" si="63"/>
        <v>0.56143292682926838</v>
      </c>
      <c r="N262" s="52">
        <f t="shared" si="64"/>
        <v>0.24085365853658536</v>
      </c>
      <c r="O262" s="56">
        <f t="shared" si="65"/>
        <v>19.75</v>
      </c>
      <c r="P262" s="54">
        <f t="shared" si="66"/>
        <v>33.974683544303801</v>
      </c>
      <c r="Q262" s="55">
        <f t="shared" si="67"/>
        <v>53.255425709515855</v>
      </c>
      <c r="R262" s="55">
        <f t="shared" si="68"/>
        <v>10.533333333333333</v>
      </c>
      <c r="S262" s="13">
        <f t="shared" si="69"/>
        <v>1</v>
      </c>
      <c r="T262" s="13">
        <f t="shared" si="70"/>
        <v>1</v>
      </c>
      <c r="U262" s="13">
        <f t="shared" si="71"/>
        <v>2</v>
      </c>
      <c r="V262" s="13">
        <f t="shared" ca="1" si="72"/>
        <v>3</v>
      </c>
      <c r="W262" s="13">
        <f t="shared" ca="1" si="73"/>
        <v>7</v>
      </c>
      <c r="X262" s="61" t="str">
        <f t="shared" ca="1" si="74"/>
        <v>MONITOR</v>
      </c>
    </row>
    <row r="263" spans="1:24" x14ac:dyDescent="0.35">
      <c r="A263" s="25" t="s">
        <v>276</v>
      </c>
      <c r="B263" s="10" t="s">
        <v>335</v>
      </c>
      <c r="C263" s="10" t="s">
        <v>343</v>
      </c>
      <c r="D263" s="10" t="s">
        <v>346</v>
      </c>
      <c r="E263" s="11">
        <v>45864</v>
      </c>
      <c r="F263" s="14">
        <f t="shared" ca="1" si="60"/>
        <v>235</v>
      </c>
      <c r="G263" s="17">
        <v>499</v>
      </c>
      <c r="H263" s="17">
        <v>275</v>
      </c>
      <c r="I263" s="53">
        <f t="shared" si="61"/>
        <v>669</v>
      </c>
      <c r="J263" s="17">
        <v>800</v>
      </c>
      <c r="K263" s="66">
        <v>131</v>
      </c>
      <c r="L263" s="52">
        <f t="shared" ca="1" si="62"/>
        <v>0.55744680851063833</v>
      </c>
      <c r="M263" s="50">
        <f t="shared" si="63"/>
        <v>0.56143292682926838</v>
      </c>
      <c r="N263" s="52">
        <f t="shared" si="64"/>
        <v>0.39939024390243905</v>
      </c>
      <c r="O263" s="56">
        <f t="shared" si="65"/>
        <v>32.75</v>
      </c>
      <c r="P263" s="54">
        <f t="shared" si="66"/>
        <v>20.427480916030536</v>
      </c>
      <c r="Q263" s="55">
        <f t="shared" si="67"/>
        <v>44.889779559118239</v>
      </c>
      <c r="R263" s="55">
        <f t="shared" si="68"/>
        <v>16.375</v>
      </c>
      <c r="S263" s="13">
        <f t="shared" si="69"/>
        <v>1</v>
      </c>
      <c r="T263" s="13">
        <f t="shared" si="70"/>
        <v>1</v>
      </c>
      <c r="U263" s="13">
        <f t="shared" si="71"/>
        <v>1</v>
      </c>
      <c r="V263" s="13">
        <f t="shared" ca="1" si="72"/>
        <v>3</v>
      </c>
      <c r="W263" s="13">
        <f t="shared" ca="1" si="73"/>
        <v>6</v>
      </c>
      <c r="X263" s="61" t="str">
        <f t="shared" ca="1" si="74"/>
        <v>MONITOR</v>
      </c>
    </row>
    <row r="264" spans="1:24" x14ac:dyDescent="0.35">
      <c r="A264" s="25" t="s">
        <v>277</v>
      </c>
      <c r="B264" s="10" t="s">
        <v>335</v>
      </c>
      <c r="C264" s="10" t="s">
        <v>343</v>
      </c>
      <c r="D264" s="10" t="s">
        <v>346</v>
      </c>
      <c r="E264" s="11">
        <v>45864</v>
      </c>
      <c r="F264" s="14">
        <f t="shared" ca="1" si="60"/>
        <v>235</v>
      </c>
      <c r="G264" s="17">
        <v>499</v>
      </c>
      <c r="H264" s="17">
        <v>275</v>
      </c>
      <c r="I264" s="53">
        <f t="shared" si="61"/>
        <v>654</v>
      </c>
      <c r="J264" s="17">
        <v>800</v>
      </c>
      <c r="K264" s="66">
        <v>146</v>
      </c>
      <c r="L264" s="52">
        <f t="shared" ca="1" si="62"/>
        <v>0.62127659574468086</v>
      </c>
      <c r="M264" s="50">
        <f t="shared" si="63"/>
        <v>0.56143292682926838</v>
      </c>
      <c r="N264" s="52">
        <f t="shared" si="64"/>
        <v>0.4451219512195122</v>
      </c>
      <c r="O264" s="56">
        <f t="shared" si="65"/>
        <v>36.5</v>
      </c>
      <c r="P264" s="54">
        <f t="shared" si="66"/>
        <v>17.917808219178081</v>
      </c>
      <c r="Q264" s="55">
        <f t="shared" si="67"/>
        <v>44.889779559118239</v>
      </c>
      <c r="R264" s="55">
        <f t="shared" si="68"/>
        <v>18.25</v>
      </c>
      <c r="S264" s="13">
        <f t="shared" si="69"/>
        <v>1</v>
      </c>
      <c r="T264" s="13">
        <f t="shared" si="70"/>
        <v>1</v>
      </c>
      <c r="U264" s="13">
        <f t="shared" si="71"/>
        <v>1</v>
      </c>
      <c r="V264" s="13">
        <f t="shared" ca="1" si="72"/>
        <v>3</v>
      </c>
      <c r="W264" s="13">
        <f t="shared" ca="1" si="73"/>
        <v>6</v>
      </c>
      <c r="X264" s="61" t="str">
        <f t="shared" ca="1" si="74"/>
        <v>MONITOR</v>
      </c>
    </row>
    <row r="265" spans="1:24" x14ac:dyDescent="0.35">
      <c r="A265" s="25" t="s">
        <v>278</v>
      </c>
      <c r="B265" s="10" t="s">
        <v>335</v>
      </c>
      <c r="C265" s="10" t="s">
        <v>343</v>
      </c>
      <c r="D265" s="10" t="s">
        <v>346</v>
      </c>
      <c r="E265" s="11">
        <v>45864</v>
      </c>
      <c r="F265" s="14">
        <f t="shared" ca="1" si="60"/>
        <v>235</v>
      </c>
      <c r="G265" s="17">
        <v>499</v>
      </c>
      <c r="H265" s="17">
        <v>275</v>
      </c>
      <c r="I265" s="53">
        <f t="shared" si="61"/>
        <v>608</v>
      </c>
      <c r="J265" s="17">
        <v>800</v>
      </c>
      <c r="K265" s="66">
        <v>192</v>
      </c>
      <c r="L265" s="52">
        <f t="shared" ca="1" si="62"/>
        <v>0.81702127659574464</v>
      </c>
      <c r="M265" s="50">
        <f t="shared" si="63"/>
        <v>0.56143292682926838</v>
      </c>
      <c r="N265" s="52">
        <f t="shared" si="64"/>
        <v>0.58536585365853655</v>
      </c>
      <c r="O265" s="56">
        <f t="shared" si="65"/>
        <v>48</v>
      </c>
      <c r="P265" s="54">
        <f t="shared" si="66"/>
        <v>12.666666666666666</v>
      </c>
      <c r="Q265" s="55">
        <f t="shared" si="67"/>
        <v>44.889779559118239</v>
      </c>
      <c r="R265" s="55">
        <f t="shared" si="68"/>
        <v>24</v>
      </c>
      <c r="S265" s="13">
        <f t="shared" si="69"/>
        <v>3</v>
      </c>
      <c r="T265" s="13">
        <f t="shared" si="70"/>
        <v>1</v>
      </c>
      <c r="U265" s="13">
        <f t="shared" si="71"/>
        <v>1</v>
      </c>
      <c r="V265" s="13">
        <f t="shared" ca="1" si="72"/>
        <v>3</v>
      </c>
      <c r="W265" s="13">
        <f t="shared" ca="1" si="73"/>
        <v>8</v>
      </c>
      <c r="X265" s="61" t="str">
        <f t="shared" ca="1" si="74"/>
        <v>MONITOR</v>
      </c>
    </row>
    <row r="266" spans="1:24" x14ac:dyDescent="0.35">
      <c r="A266" s="25" t="s">
        <v>279</v>
      </c>
      <c r="B266" s="10" t="s">
        <v>335</v>
      </c>
      <c r="C266" s="10" t="s">
        <v>343</v>
      </c>
      <c r="D266" s="10" t="s">
        <v>346</v>
      </c>
      <c r="E266" s="11">
        <v>45864</v>
      </c>
      <c r="F266" s="14">
        <f t="shared" ca="1" si="60"/>
        <v>235</v>
      </c>
      <c r="G266" s="17">
        <v>499</v>
      </c>
      <c r="H266" s="17">
        <v>275</v>
      </c>
      <c r="I266" s="53">
        <f t="shared" si="61"/>
        <v>697</v>
      </c>
      <c r="J266" s="17">
        <v>800</v>
      </c>
      <c r="K266" s="66">
        <v>103</v>
      </c>
      <c r="L266" s="52">
        <f t="shared" ca="1" si="62"/>
        <v>0.43829787234042555</v>
      </c>
      <c r="M266" s="50">
        <f t="shared" si="63"/>
        <v>0.56143292682926838</v>
      </c>
      <c r="N266" s="52">
        <f t="shared" si="64"/>
        <v>0.31402439024390244</v>
      </c>
      <c r="O266" s="56">
        <f t="shared" si="65"/>
        <v>25.75</v>
      </c>
      <c r="P266" s="54">
        <f t="shared" si="66"/>
        <v>27.067961165048544</v>
      </c>
      <c r="Q266" s="55">
        <f t="shared" si="67"/>
        <v>44.889779559118239</v>
      </c>
      <c r="R266" s="55">
        <f t="shared" si="68"/>
        <v>12.875</v>
      </c>
      <c r="S266" s="13">
        <f t="shared" si="69"/>
        <v>1</v>
      </c>
      <c r="T266" s="13">
        <f t="shared" si="70"/>
        <v>1</v>
      </c>
      <c r="U266" s="13">
        <f t="shared" si="71"/>
        <v>1</v>
      </c>
      <c r="V266" s="13">
        <f t="shared" ca="1" si="72"/>
        <v>3</v>
      </c>
      <c r="W266" s="13">
        <f t="shared" ca="1" si="73"/>
        <v>6</v>
      </c>
      <c r="X266" s="61" t="str">
        <f t="shared" ca="1" si="74"/>
        <v>MONITOR</v>
      </c>
    </row>
    <row r="267" spans="1:24" x14ac:dyDescent="0.35">
      <c r="A267" s="25" t="s">
        <v>280</v>
      </c>
      <c r="B267" s="10" t="s">
        <v>335</v>
      </c>
      <c r="C267" s="10" t="s">
        <v>343</v>
      </c>
      <c r="D267" s="10" t="s">
        <v>346</v>
      </c>
      <c r="E267" s="11">
        <v>45920</v>
      </c>
      <c r="F267" s="14">
        <f t="shared" ca="1" si="60"/>
        <v>179</v>
      </c>
      <c r="G267" s="17">
        <v>999</v>
      </c>
      <c r="H267" s="17">
        <v>400</v>
      </c>
      <c r="I267" s="53">
        <f t="shared" si="61"/>
        <v>750</v>
      </c>
      <c r="J267" s="17">
        <v>750</v>
      </c>
      <c r="K267" s="67">
        <v>0</v>
      </c>
      <c r="L267" s="52">
        <f t="shared" ca="1" si="62"/>
        <v>0</v>
      </c>
      <c r="M267" s="50">
        <f t="shared" si="63"/>
        <v>0.56143292682926838</v>
      </c>
      <c r="N267" s="52">
        <f t="shared" si="64"/>
        <v>0</v>
      </c>
      <c r="O267" s="56">
        <f t="shared" si="65"/>
        <v>0</v>
      </c>
      <c r="P267" s="54" t="e">
        <f t="shared" si="66"/>
        <v>#DIV/0!</v>
      </c>
      <c r="Q267" s="55">
        <f t="shared" si="67"/>
        <v>59.95995995995996</v>
      </c>
      <c r="R267" s="55">
        <f t="shared" si="68"/>
        <v>0</v>
      </c>
      <c r="S267" s="13">
        <f t="shared" si="69"/>
        <v>1</v>
      </c>
      <c r="T267" s="13" t="e">
        <f t="shared" si="70"/>
        <v>#DIV/0!</v>
      </c>
      <c r="U267" s="13">
        <f t="shared" si="71"/>
        <v>2</v>
      </c>
      <c r="V267" s="13">
        <f t="shared" ca="1" si="72"/>
        <v>3</v>
      </c>
      <c r="W267" s="13" t="e">
        <f t="shared" ca="1" si="73"/>
        <v>#DIV/0!</v>
      </c>
      <c r="X267" s="61" t="str">
        <f t="shared" ca="1" si="74"/>
        <v>EXIT</v>
      </c>
    </row>
    <row r="268" spans="1:24" x14ac:dyDescent="0.35">
      <c r="A268" s="25" t="s">
        <v>281</v>
      </c>
      <c r="B268" s="10" t="s">
        <v>335</v>
      </c>
      <c r="C268" s="10" t="s">
        <v>343</v>
      </c>
      <c r="D268" s="10" t="s">
        <v>346</v>
      </c>
      <c r="E268" s="11">
        <v>45920</v>
      </c>
      <c r="F268" s="14">
        <f t="shared" ca="1" si="60"/>
        <v>179</v>
      </c>
      <c r="G268" s="17">
        <v>799</v>
      </c>
      <c r="H268" s="17">
        <v>325</v>
      </c>
      <c r="I268" s="53">
        <f t="shared" si="61"/>
        <v>909</v>
      </c>
      <c r="J268" s="17">
        <v>1050</v>
      </c>
      <c r="K268" s="66">
        <v>141</v>
      </c>
      <c r="L268" s="52">
        <f t="shared" ca="1" si="62"/>
        <v>0.78770949720670391</v>
      </c>
      <c r="M268" s="50">
        <f t="shared" si="63"/>
        <v>0.56143292682926838</v>
      </c>
      <c r="N268" s="52">
        <f t="shared" si="64"/>
        <v>0.4298780487804878</v>
      </c>
      <c r="O268" s="56">
        <f t="shared" si="65"/>
        <v>35.25</v>
      </c>
      <c r="P268" s="54">
        <f t="shared" si="66"/>
        <v>25.787234042553191</v>
      </c>
      <c r="Q268" s="55">
        <f t="shared" si="67"/>
        <v>59.324155193992489</v>
      </c>
      <c r="R268" s="55">
        <f t="shared" si="68"/>
        <v>13.428571428571429</v>
      </c>
      <c r="S268" s="13">
        <f t="shared" si="69"/>
        <v>1</v>
      </c>
      <c r="T268" s="13">
        <f t="shared" si="70"/>
        <v>1</v>
      </c>
      <c r="U268" s="13">
        <f t="shared" si="71"/>
        <v>2</v>
      </c>
      <c r="V268" s="13">
        <f t="shared" ca="1" si="72"/>
        <v>3</v>
      </c>
      <c r="W268" s="13">
        <f t="shared" ca="1" si="73"/>
        <v>7</v>
      </c>
      <c r="X268" s="61" t="str">
        <f t="shared" ca="1" si="74"/>
        <v>MONITOR</v>
      </c>
    </row>
    <row r="269" spans="1:24" x14ac:dyDescent="0.35">
      <c r="A269" s="25" t="s">
        <v>282</v>
      </c>
      <c r="B269" s="10" t="s">
        <v>338</v>
      </c>
      <c r="C269" s="10" t="s">
        <v>343</v>
      </c>
      <c r="D269" s="10" t="s">
        <v>346</v>
      </c>
      <c r="E269" s="11">
        <v>45920</v>
      </c>
      <c r="F269" s="14">
        <f t="shared" ca="1" si="60"/>
        <v>179</v>
      </c>
      <c r="G269" s="17">
        <v>799</v>
      </c>
      <c r="H269" s="17">
        <v>385</v>
      </c>
      <c r="I269" s="53">
        <f t="shared" si="61"/>
        <v>727</v>
      </c>
      <c r="J269" s="17">
        <v>1050</v>
      </c>
      <c r="K269" s="66">
        <v>323</v>
      </c>
      <c r="L269" s="52">
        <f t="shared" ca="1" si="62"/>
        <v>1.8044692737430168</v>
      </c>
      <c r="M269" s="50">
        <f t="shared" si="63"/>
        <v>0.56143292682926838</v>
      </c>
      <c r="N269" s="52">
        <f t="shared" si="64"/>
        <v>0.9847560975609756</v>
      </c>
      <c r="O269" s="56">
        <f t="shared" si="65"/>
        <v>80.75</v>
      </c>
      <c r="P269" s="54">
        <f t="shared" si="66"/>
        <v>9.0030959752321973</v>
      </c>
      <c r="Q269" s="55">
        <f t="shared" si="67"/>
        <v>51.814768460575721</v>
      </c>
      <c r="R269" s="55">
        <f t="shared" si="68"/>
        <v>30.761904761904763</v>
      </c>
      <c r="S269" s="13">
        <f t="shared" si="69"/>
        <v>3</v>
      </c>
      <c r="T269" s="13">
        <f t="shared" si="70"/>
        <v>1</v>
      </c>
      <c r="U269" s="13">
        <f t="shared" si="71"/>
        <v>2</v>
      </c>
      <c r="V269" s="13">
        <f t="shared" ca="1" si="72"/>
        <v>3</v>
      </c>
      <c r="W269" s="13">
        <f t="shared" ca="1" si="73"/>
        <v>9</v>
      </c>
      <c r="X269" s="61" t="str">
        <f t="shared" ca="1" si="74"/>
        <v>RE-BUY</v>
      </c>
    </row>
    <row r="270" spans="1:24" x14ac:dyDescent="0.35">
      <c r="A270" s="25" t="s">
        <v>283</v>
      </c>
      <c r="B270" s="10" t="s">
        <v>335</v>
      </c>
      <c r="C270" s="10" t="s">
        <v>343</v>
      </c>
      <c r="D270" s="10" t="s">
        <v>346</v>
      </c>
      <c r="E270" s="11">
        <v>45885</v>
      </c>
      <c r="F270" s="14">
        <f t="shared" ca="1" si="60"/>
        <v>214</v>
      </c>
      <c r="G270" s="17">
        <v>799</v>
      </c>
      <c r="H270" s="17">
        <v>345</v>
      </c>
      <c r="I270" s="53">
        <f t="shared" si="61"/>
        <v>467</v>
      </c>
      <c r="J270" s="17">
        <v>750</v>
      </c>
      <c r="K270" s="66">
        <v>283</v>
      </c>
      <c r="L270" s="52">
        <f t="shared" ca="1" si="62"/>
        <v>1.3224299065420562</v>
      </c>
      <c r="M270" s="50">
        <f t="shared" si="63"/>
        <v>0.56143292682926838</v>
      </c>
      <c r="N270" s="52">
        <f t="shared" si="64"/>
        <v>0.86280487804878048</v>
      </c>
      <c r="O270" s="56">
        <f t="shared" si="65"/>
        <v>70.75</v>
      </c>
      <c r="P270" s="54">
        <f t="shared" si="66"/>
        <v>6.6007067137809186</v>
      </c>
      <c r="Q270" s="55">
        <f t="shared" si="67"/>
        <v>56.821026282853573</v>
      </c>
      <c r="R270" s="55">
        <f t="shared" si="68"/>
        <v>37.733333333333334</v>
      </c>
      <c r="S270" s="13">
        <f t="shared" si="69"/>
        <v>3</v>
      </c>
      <c r="T270" s="13">
        <f t="shared" si="70"/>
        <v>1</v>
      </c>
      <c r="U270" s="13">
        <f t="shared" si="71"/>
        <v>2</v>
      </c>
      <c r="V270" s="13">
        <f t="shared" ca="1" si="72"/>
        <v>3</v>
      </c>
      <c r="W270" s="13">
        <f t="shared" ca="1" si="73"/>
        <v>9</v>
      </c>
      <c r="X270" s="61" t="str">
        <f t="shared" ca="1" si="74"/>
        <v>RE-BUY</v>
      </c>
    </row>
    <row r="271" spans="1:24" x14ac:dyDescent="0.35">
      <c r="A271" s="25" t="s">
        <v>284</v>
      </c>
      <c r="B271" s="10" t="s">
        <v>335</v>
      </c>
      <c r="C271" s="10" t="s">
        <v>343</v>
      </c>
      <c r="D271" s="10" t="s">
        <v>346</v>
      </c>
      <c r="E271" s="11">
        <v>45885</v>
      </c>
      <c r="F271" s="14">
        <f t="shared" ca="1" si="60"/>
        <v>214</v>
      </c>
      <c r="G271" s="17">
        <v>799</v>
      </c>
      <c r="H271" s="17">
        <v>345</v>
      </c>
      <c r="I271" s="53">
        <f t="shared" si="61"/>
        <v>544</v>
      </c>
      <c r="J271" s="17">
        <v>750</v>
      </c>
      <c r="K271" s="66">
        <v>206</v>
      </c>
      <c r="L271" s="52">
        <f t="shared" ca="1" si="62"/>
        <v>0.96261682242990654</v>
      </c>
      <c r="M271" s="50">
        <f t="shared" si="63"/>
        <v>0.56143292682926838</v>
      </c>
      <c r="N271" s="52">
        <f t="shared" si="64"/>
        <v>0.62804878048780488</v>
      </c>
      <c r="O271" s="56">
        <f t="shared" si="65"/>
        <v>51.5</v>
      </c>
      <c r="P271" s="54">
        <f t="shared" si="66"/>
        <v>10.563106796116505</v>
      </c>
      <c r="Q271" s="55">
        <f t="shared" si="67"/>
        <v>56.821026282853573</v>
      </c>
      <c r="R271" s="55">
        <f t="shared" si="68"/>
        <v>27.466666666666669</v>
      </c>
      <c r="S271" s="13">
        <f t="shared" si="69"/>
        <v>3</v>
      </c>
      <c r="T271" s="13">
        <f t="shared" si="70"/>
        <v>1</v>
      </c>
      <c r="U271" s="13">
        <f t="shared" si="71"/>
        <v>2</v>
      </c>
      <c r="V271" s="13">
        <f t="shared" ca="1" si="72"/>
        <v>3</v>
      </c>
      <c r="W271" s="13">
        <f t="shared" ca="1" si="73"/>
        <v>9</v>
      </c>
      <c r="X271" s="61" t="str">
        <f t="shared" ca="1" si="74"/>
        <v>RE-BUY</v>
      </c>
    </row>
    <row r="272" spans="1:24" x14ac:dyDescent="0.35">
      <c r="A272" s="25" t="s">
        <v>285</v>
      </c>
      <c r="B272" s="10" t="s">
        <v>335</v>
      </c>
      <c r="C272" s="10" t="s">
        <v>343</v>
      </c>
      <c r="D272" s="10" t="s">
        <v>346</v>
      </c>
      <c r="E272" s="11">
        <v>45885</v>
      </c>
      <c r="F272" s="14">
        <f t="shared" ca="1" si="60"/>
        <v>214</v>
      </c>
      <c r="G272" s="17">
        <v>799</v>
      </c>
      <c r="H272" s="17">
        <v>345</v>
      </c>
      <c r="I272" s="53">
        <f t="shared" si="61"/>
        <v>519</v>
      </c>
      <c r="J272" s="17">
        <v>750</v>
      </c>
      <c r="K272" s="66">
        <v>231</v>
      </c>
      <c r="L272" s="52">
        <f t="shared" ca="1" si="62"/>
        <v>1.0794392523364487</v>
      </c>
      <c r="M272" s="50">
        <f t="shared" si="63"/>
        <v>0.56143292682926838</v>
      </c>
      <c r="N272" s="52">
        <f t="shared" si="64"/>
        <v>0.70426829268292679</v>
      </c>
      <c r="O272" s="56">
        <f t="shared" si="65"/>
        <v>57.75</v>
      </c>
      <c r="P272" s="54">
        <f t="shared" si="66"/>
        <v>8.9870129870129869</v>
      </c>
      <c r="Q272" s="55">
        <f t="shared" si="67"/>
        <v>56.821026282853573</v>
      </c>
      <c r="R272" s="55">
        <f t="shared" si="68"/>
        <v>30.8</v>
      </c>
      <c r="S272" s="13">
        <f t="shared" si="69"/>
        <v>3</v>
      </c>
      <c r="T272" s="13">
        <f t="shared" si="70"/>
        <v>1</v>
      </c>
      <c r="U272" s="13">
        <f t="shared" si="71"/>
        <v>2</v>
      </c>
      <c r="V272" s="13">
        <f t="shared" ca="1" si="72"/>
        <v>3</v>
      </c>
      <c r="W272" s="13">
        <f t="shared" ca="1" si="73"/>
        <v>9</v>
      </c>
      <c r="X272" s="61" t="str">
        <f t="shared" ca="1" si="74"/>
        <v>RE-BUY</v>
      </c>
    </row>
    <row r="273" spans="1:24" x14ac:dyDescent="0.35">
      <c r="A273" s="25" t="s">
        <v>286</v>
      </c>
      <c r="B273" s="10" t="s">
        <v>335</v>
      </c>
      <c r="C273" s="10" t="s">
        <v>343</v>
      </c>
      <c r="D273" s="10" t="s">
        <v>346</v>
      </c>
      <c r="E273" s="11">
        <v>45885</v>
      </c>
      <c r="F273" s="14">
        <f t="shared" ca="1" si="60"/>
        <v>214</v>
      </c>
      <c r="G273" s="17">
        <v>799</v>
      </c>
      <c r="H273" s="17">
        <v>345</v>
      </c>
      <c r="I273" s="53">
        <f t="shared" si="61"/>
        <v>594</v>
      </c>
      <c r="J273" s="17">
        <v>750</v>
      </c>
      <c r="K273" s="66">
        <v>156</v>
      </c>
      <c r="L273" s="52">
        <f t="shared" ca="1" si="62"/>
        <v>0.7289719626168224</v>
      </c>
      <c r="M273" s="50">
        <f t="shared" si="63"/>
        <v>0.56143292682926838</v>
      </c>
      <c r="N273" s="52">
        <f t="shared" si="64"/>
        <v>0.47560975609756095</v>
      </c>
      <c r="O273" s="56">
        <f t="shared" si="65"/>
        <v>39</v>
      </c>
      <c r="P273" s="54">
        <f t="shared" si="66"/>
        <v>15.23076923076923</v>
      </c>
      <c r="Q273" s="55">
        <f t="shared" si="67"/>
        <v>56.821026282853573</v>
      </c>
      <c r="R273" s="55">
        <f t="shared" si="68"/>
        <v>20.8</v>
      </c>
      <c r="S273" s="13">
        <f t="shared" si="69"/>
        <v>2</v>
      </c>
      <c r="T273" s="13">
        <f t="shared" si="70"/>
        <v>1</v>
      </c>
      <c r="U273" s="13">
        <f t="shared" si="71"/>
        <v>2</v>
      </c>
      <c r="V273" s="13">
        <f t="shared" ca="1" si="72"/>
        <v>3</v>
      </c>
      <c r="W273" s="13">
        <f t="shared" ca="1" si="73"/>
        <v>8</v>
      </c>
      <c r="X273" s="61" t="str">
        <f t="shared" ca="1" si="74"/>
        <v>MONITOR</v>
      </c>
    </row>
    <row r="274" spans="1:24" x14ac:dyDescent="0.35">
      <c r="A274" s="25" t="s">
        <v>287</v>
      </c>
      <c r="B274" s="10" t="s">
        <v>335</v>
      </c>
      <c r="C274" s="10" t="s">
        <v>343</v>
      </c>
      <c r="D274" s="10" t="s">
        <v>346</v>
      </c>
      <c r="E274" s="11">
        <v>45941</v>
      </c>
      <c r="F274" s="14">
        <f t="shared" ca="1" si="60"/>
        <v>158</v>
      </c>
      <c r="G274" s="17">
        <v>599</v>
      </c>
      <c r="H274" s="17">
        <v>270</v>
      </c>
      <c r="I274" s="53">
        <f t="shared" si="61"/>
        <v>672</v>
      </c>
      <c r="J274" s="17">
        <v>750</v>
      </c>
      <c r="K274" s="66">
        <v>78</v>
      </c>
      <c r="L274" s="52">
        <f t="shared" ca="1" si="62"/>
        <v>0.49367088607594939</v>
      </c>
      <c r="M274" s="50">
        <f t="shared" si="63"/>
        <v>0.56143292682926838</v>
      </c>
      <c r="N274" s="52">
        <f t="shared" si="64"/>
        <v>0.23780487804878048</v>
      </c>
      <c r="O274" s="56">
        <f t="shared" si="65"/>
        <v>19.5</v>
      </c>
      <c r="P274" s="54">
        <f t="shared" si="66"/>
        <v>34.46153846153846</v>
      </c>
      <c r="Q274" s="55">
        <f t="shared" si="67"/>
        <v>54.924874791318871</v>
      </c>
      <c r="R274" s="55">
        <f t="shared" si="68"/>
        <v>10.4</v>
      </c>
      <c r="S274" s="13">
        <f t="shared" si="69"/>
        <v>1</v>
      </c>
      <c r="T274" s="13">
        <f t="shared" si="70"/>
        <v>1</v>
      </c>
      <c r="U274" s="13">
        <f t="shared" si="71"/>
        <v>2</v>
      </c>
      <c r="V274" s="13">
        <f t="shared" ca="1" si="72"/>
        <v>3</v>
      </c>
      <c r="W274" s="13">
        <f t="shared" ca="1" si="73"/>
        <v>7</v>
      </c>
      <c r="X274" s="61" t="str">
        <f t="shared" ca="1" si="74"/>
        <v>MONITOR</v>
      </c>
    </row>
    <row r="275" spans="1:24" x14ac:dyDescent="0.35">
      <c r="A275" s="25" t="s">
        <v>288</v>
      </c>
      <c r="B275" s="10" t="s">
        <v>335</v>
      </c>
      <c r="C275" s="10" t="s">
        <v>343</v>
      </c>
      <c r="D275" s="10" t="s">
        <v>346</v>
      </c>
      <c r="E275" s="11">
        <v>45920</v>
      </c>
      <c r="F275" s="14">
        <f t="shared" ca="1" si="60"/>
        <v>179</v>
      </c>
      <c r="G275" s="17">
        <v>499</v>
      </c>
      <c r="H275" s="17">
        <v>240</v>
      </c>
      <c r="I275" s="53">
        <f t="shared" si="61"/>
        <v>545</v>
      </c>
      <c r="J275" s="17">
        <v>750</v>
      </c>
      <c r="K275" s="66">
        <v>205</v>
      </c>
      <c r="L275" s="52">
        <f t="shared" ca="1" si="62"/>
        <v>1.1452513966480447</v>
      </c>
      <c r="M275" s="50">
        <f t="shared" si="63"/>
        <v>0.56143292682926838</v>
      </c>
      <c r="N275" s="52">
        <f t="shared" si="64"/>
        <v>0.625</v>
      </c>
      <c r="O275" s="56">
        <f t="shared" si="65"/>
        <v>51.25</v>
      </c>
      <c r="P275" s="54">
        <f t="shared" si="66"/>
        <v>10.634146341463415</v>
      </c>
      <c r="Q275" s="55">
        <f t="shared" si="67"/>
        <v>51.903807615230455</v>
      </c>
      <c r="R275" s="55">
        <f t="shared" si="68"/>
        <v>27.333333333333332</v>
      </c>
      <c r="S275" s="13">
        <f t="shared" si="69"/>
        <v>3</v>
      </c>
      <c r="T275" s="13">
        <f t="shared" si="70"/>
        <v>1</v>
      </c>
      <c r="U275" s="13">
        <f t="shared" si="71"/>
        <v>2</v>
      </c>
      <c r="V275" s="13">
        <f t="shared" ca="1" si="72"/>
        <v>3</v>
      </c>
      <c r="W275" s="13">
        <f t="shared" ca="1" si="73"/>
        <v>9</v>
      </c>
      <c r="X275" s="61" t="str">
        <f t="shared" ca="1" si="74"/>
        <v>RE-BUY</v>
      </c>
    </row>
    <row r="276" spans="1:24" x14ac:dyDescent="0.35">
      <c r="A276" s="25" t="s">
        <v>289</v>
      </c>
      <c r="B276" s="10" t="s">
        <v>334</v>
      </c>
      <c r="C276" s="10" t="s">
        <v>342</v>
      </c>
      <c r="D276" s="10" t="s">
        <v>346</v>
      </c>
      <c r="E276" s="11">
        <v>45920</v>
      </c>
      <c r="F276" s="14">
        <f t="shared" ca="1" si="60"/>
        <v>179</v>
      </c>
      <c r="G276" s="17">
        <v>999</v>
      </c>
      <c r="H276" s="17">
        <v>435</v>
      </c>
      <c r="I276" s="53">
        <f t="shared" si="61"/>
        <v>900</v>
      </c>
      <c r="J276" s="17">
        <v>900</v>
      </c>
      <c r="K276" s="67">
        <v>0</v>
      </c>
      <c r="L276" s="52">
        <f t="shared" ca="1" si="62"/>
        <v>0</v>
      </c>
      <c r="M276" s="50">
        <f t="shared" si="63"/>
        <v>0.80451009251471861</v>
      </c>
      <c r="N276" s="52">
        <f t="shared" si="64"/>
        <v>0</v>
      </c>
      <c r="O276" s="56">
        <f t="shared" si="65"/>
        <v>0</v>
      </c>
      <c r="P276" s="54" t="e">
        <f t="shared" si="66"/>
        <v>#DIV/0!</v>
      </c>
      <c r="Q276" s="55">
        <f t="shared" si="67"/>
        <v>56.456456456456458</v>
      </c>
      <c r="R276" s="55">
        <f t="shared" si="68"/>
        <v>0</v>
      </c>
      <c r="S276" s="13">
        <f t="shared" si="69"/>
        <v>1</v>
      </c>
      <c r="T276" s="13" t="e">
        <f t="shared" si="70"/>
        <v>#DIV/0!</v>
      </c>
      <c r="U276" s="13">
        <f t="shared" si="71"/>
        <v>2</v>
      </c>
      <c r="V276" s="13">
        <f t="shared" ca="1" si="72"/>
        <v>3</v>
      </c>
      <c r="W276" s="13" t="e">
        <f t="shared" ca="1" si="73"/>
        <v>#DIV/0!</v>
      </c>
      <c r="X276" s="61" t="str">
        <f t="shared" ca="1" si="74"/>
        <v>EXIT</v>
      </c>
    </row>
    <row r="277" spans="1:24" x14ac:dyDescent="0.35">
      <c r="A277" s="25" t="s">
        <v>290</v>
      </c>
      <c r="B277" s="10" t="s">
        <v>334</v>
      </c>
      <c r="C277" s="10" t="s">
        <v>342</v>
      </c>
      <c r="D277" s="10" t="s">
        <v>346</v>
      </c>
      <c r="E277" s="11">
        <v>45920</v>
      </c>
      <c r="F277" s="14">
        <f t="shared" ca="1" si="60"/>
        <v>179</v>
      </c>
      <c r="G277" s="17">
        <v>999</v>
      </c>
      <c r="H277" s="17">
        <v>435</v>
      </c>
      <c r="I277" s="53">
        <f t="shared" si="61"/>
        <v>734</v>
      </c>
      <c r="J277" s="17">
        <v>900</v>
      </c>
      <c r="K277" s="66">
        <v>166</v>
      </c>
      <c r="L277" s="52">
        <f t="shared" ca="1" si="62"/>
        <v>0.92737430167597767</v>
      </c>
      <c r="M277" s="50">
        <f t="shared" si="63"/>
        <v>0.80451009251471861</v>
      </c>
      <c r="N277" s="52">
        <f t="shared" si="64"/>
        <v>0.50609756097560976</v>
      </c>
      <c r="O277" s="56">
        <f t="shared" si="65"/>
        <v>41.5</v>
      </c>
      <c r="P277" s="54">
        <f t="shared" si="66"/>
        <v>17.686746987951807</v>
      </c>
      <c r="Q277" s="55">
        <f t="shared" si="67"/>
        <v>56.456456456456458</v>
      </c>
      <c r="R277" s="55">
        <f t="shared" si="68"/>
        <v>18.444444444444443</v>
      </c>
      <c r="S277" s="13">
        <f t="shared" si="69"/>
        <v>1</v>
      </c>
      <c r="T277" s="13">
        <f t="shared" si="70"/>
        <v>1</v>
      </c>
      <c r="U277" s="13">
        <f t="shared" si="71"/>
        <v>2</v>
      </c>
      <c r="V277" s="13">
        <f t="shared" ca="1" si="72"/>
        <v>3</v>
      </c>
      <c r="W277" s="13">
        <f t="shared" ca="1" si="73"/>
        <v>7</v>
      </c>
      <c r="X277" s="61" t="str">
        <f t="shared" ca="1" si="74"/>
        <v>MONITOR</v>
      </c>
    </row>
    <row r="278" spans="1:24" x14ac:dyDescent="0.35">
      <c r="A278" s="25" t="s">
        <v>291</v>
      </c>
      <c r="B278" s="10" t="s">
        <v>334</v>
      </c>
      <c r="C278" s="10" t="s">
        <v>342</v>
      </c>
      <c r="D278" s="10" t="s">
        <v>346</v>
      </c>
      <c r="E278" s="11">
        <v>45920</v>
      </c>
      <c r="F278" s="14">
        <f t="shared" ca="1" si="60"/>
        <v>179</v>
      </c>
      <c r="G278" s="17">
        <v>999</v>
      </c>
      <c r="H278" s="17">
        <v>460</v>
      </c>
      <c r="I278" s="53">
        <f t="shared" si="61"/>
        <v>846</v>
      </c>
      <c r="J278" s="17">
        <v>900</v>
      </c>
      <c r="K278" s="66">
        <v>54</v>
      </c>
      <c r="L278" s="52">
        <f t="shared" ca="1" si="62"/>
        <v>0.3016759776536313</v>
      </c>
      <c r="M278" s="50">
        <f t="shared" si="63"/>
        <v>0.80451009251471861</v>
      </c>
      <c r="N278" s="52">
        <f t="shared" si="64"/>
        <v>0.16463414634146342</v>
      </c>
      <c r="O278" s="56">
        <f t="shared" si="65"/>
        <v>13.5</v>
      </c>
      <c r="P278" s="54">
        <f t="shared" si="66"/>
        <v>62.666666666666664</v>
      </c>
      <c r="Q278" s="55">
        <f t="shared" si="67"/>
        <v>53.953953953953956</v>
      </c>
      <c r="R278" s="55">
        <f t="shared" si="68"/>
        <v>6</v>
      </c>
      <c r="S278" s="13">
        <f t="shared" si="69"/>
        <v>1</v>
      </c>
      <c r="T278" s="13">
        <f t="shared" si="70"/>
        <v>1</v>
      </c>
      <c r="U278" s="13">
        <f t="shared" si="71"/>
        <v>2</v>
      </c>
      <c r="V278" s="13">
        <f t="shared" ca="1" si="72"/>
        <v>3</v>
      </c>
      <c r="W278" s="13">
        <f t="shared" ca="1" si="73"/>
        <v>7</v>
      </c>
      <c r="X278" s="61" t="str">
        <f t="shared" ca="1" si="74"/>
        <v>MONITOR</v>
      </c>
    </row>
    <row r="279" spans="1:24" x14ac:dyDescent="0.35">
      <c r="A279" s="25" t="s">
        <v>292</v>
      </c>
      <c r="B279" s="10" t="s">
        <v>334</v>
      </c>
      <c r="C279" s="10" t="s">
        <v>342</v>
      </c>
      <c r="D279" s="10" t="s">
        <v>346</v>
      </c>
      <c r="E279" s="11">
        <v>45920</v>
      </c>
      <c r="F279" s="14">
        <f t="shared" ca="1" si="60"/>
        <v>179</v>
      </c>
      <c r="G279" s="17">
        <v>999</v>
      </c>
      <c r="H279" s="17">
        <v>460</v>
      </c>
      <c r="I279" s="53">
        <f t="shared" si="61"/>
        <v>691</v>
      </c>
      <c r="J279" s="17">
        <v>900</v>
      </c>
      <c r="K279" s="66">
        <v>209</v>
      </c>
      <c r="L279" s="52">
        <f t="shared" ca="1" si="62"/>
        <v>1.1675977653631284</v>
      </c>
      <c r="M279" s="50">
        <f t="shared" si="63"/>
        <v>0.80451009251471861</v>
      </c>
      <c r="N279" s="52">
        <f t="shared" si="64"/>
        <v>0.63719512195121952</v>
      </c>
      <c r="O279" s="56">
        <f t="shared" si="65"/>
        <v>52.25</v>
      </c>
      <c r="P279" s="54">
        <f t="shared" si="66"/>
        <v>13.224880382775119</v>
      </c>
      <c r="Q279" s="55">
        <f t="shared" si="67"/>
        <v>53.953953953953956</v>
      </c>
      <c r="R279" s="55">
        <f t="shared" si="68"/>
        <v>23.222222222222221</v>
      </c>
      <c r="S279" s="13">
        <f t="shared" si="69"/>
        <v>1</v>
      </c>
      <c r="T279" s="13">
        <f t="shared" si="70"/>
        <v>1</v>
      </c>
      <c r="U279" s="13">
        <f t="shared" si="71"/>
        <v>2</v>
      </c>
      <c r="V279" s="13">
        <f t="shared" ca="1" si="72"/>
        <v>3</v>
      </c>
      <c r="W279" s="13">
        <f t="shared" ca="1" si="73"/>
        <v>7</v>
      </c>
      <c r="X279" s="61" t="str">
        <f t="shared" ca="1" si="74"/>
        <v>MONITOR</v>
      </c>
    </row>
    <row r="280" spans="1:24" x14ac:dyDescent="0.35">
      <c r="A280" s="25" t="s">
        <v>293</v>
      </c>
      <c r="B280" s="10" t="s">
        <v>338</v>
      </c>
      <c r="C280" s="10" t="s">
        <v>342</v>
      </c>
      <c r="D280" s="10" t="s">
        <v>346</v>
      </c>
      <c r="E280" s="11">
        <v>45976</v>
      </c>
      <c r="F280" s="14">
        <f t="shared" ca="1" si="60"/>
        <v>123</v>
      </c>
      <c r="G280" s="17">
        <v>799</v>
      </c>
      <c r="H280" s="17">
        <v>360</v>
      </c>
      <c r="I280" s="53">
        <f t="shared" si="61"/>
        <v>800</v>
      </c>
      <c r="J280" s="18">
        <v>800</v>
      </c>
      <c r="K280" s="67">
        <v>0</v>
      </c>
      <c r="L280" s="52">
        <f t="shared" ca="1" si="62"/>
        <v>0</v>
      </c>
      <c r="M280" s="50">
        <f t="shared" si="63"/>
        <v>0.80451009251471861</v>
      </c>
      <c r="N280" s="52">
        <f t="shared" si="64"/>
        <v>0</v>
      </c>
      <c r="O280" s="56">
        <f t="shared" si="65"/>
        <v>0</v>
      </c>
      <c r="P280" s="54" t="e">
        <f t="shared" si="66"/>
        <v>#DIV/0!</v>
      </c>
      <c r="Q280" s="55">
        <f t="shared" si="67"/>
        <v>54.943679599499376</v>
      </c>
      <c r="R280" s="55">
        <f t="shared" si="68"/>
        <v>0</v>
      </c>
      <c r="S280" s="13">
        <f t="shared" si="69"/>
        <v>1</v>
      </c>
      <c r="T280" s="13" t="e">
        <f t="shared" si="70"/>
        <v>#DIV/0!</v>
      </c>
      <c r="U280" s="13">
        <f t="shared" si="71"/>
        <v>2</v>
      </c>
      <c r="V280" s="13">
        <f t="shared" ca="1" si="72"/>
        <v>3</v>
      </c>
      <c r="W280" s="13" t="e">
        <f t="shared" ca="1" si="73"/>
        <v>#DIV/0!</v>
      </c>
      <c r="X280" s="61" t="str">
        <f t="shared" ca="1" si="74"/>
        <v>EXIT</v>
      </c>
    </row>
    <row r="281" spans="1:24" x14ac:dyDescent="0.35">
      <c r="A281" s="25" t="s">
        <v>294</v>
      </c>
      <c r="B281" s="10" t="s">
        <v>335</v>
      </c>
      <c r="C281" s="10" t="s">
        <v>342</v>
      </c>
      <c r="D281" s="10" t="s">
        <v>346</v>
      </c>
      <c r="E281" s="11">
        <v>45892</v>
      </c>
      <c r="F281" s="14">
        <f t="shared" ca="1" si="60"/>
        <v>207</v>
      </c>
      <c r="G281" s="17">
        <v>399</v>
      </c>
      <c r="H281" s="17">
        <v>205</v>
      </c>
      <c r="I281" s="53">
        <f t="shared" si="61"/>
        <v>632</v>
      </c>
      <c r="J281" s="17">
        <v>1000</v>
      </c>
      <c r="K281" s="66">
        <v>368</v>
      </c>
      <c r="L281" s="52">
        <f t="shared" ca="1" si="62"/>
        <v>1.7777777777777777</v>
      </c>
      <c r="M281" s="50">
        <f t="shared" si="63"/>
        <v>0.80451009251471861</v>
      </c>
      <c r="N281" s="52">
        <f t="shared" si="64"/>
        <v>1.1219512195121952</v>
      </c>
      <c r="O281" s="56">
        <f t="shared" si="65"/>
        <v>92.000000000000014</v>
      </c>
      <c r="P281" s="54">
        <f t="shared" si="66"/>
        <v>6.8695652173913029</v>
      </c>
      <c r="Q281" s="55">
        <f t="shared" si="67"/>
        <v>48.62155388471178</v>
      </c>
      <c r="R281" s="55">
        <f t="shared" si="68"/>
        <v>36.799999999999997</v>
      </c>
      <c r="S281" s="13">
        <f t="shared" si="69"/>
        <v>3</v>
      </c>
      <c r="T281" s="13">
        <f t="shared" si="70"/>
        <v>1</v>
      </c>
      <c r="U281" s="13">
        <f t="shared" si="71"/>
        <v>2</v>
      </c>
      <c r="V281" s="13">
        <f t="shared" ca="1" si="72"/>
        <v>3</v>
      </c>
      <c r="W281" s="13">
        <f t="shared" ca="1" si="73"/>
        <v>9</v>
      </c>
      <c r="X281" s="61" t="str">
        <f t="shared" ca="1" si="74"/>
        <v>RE-BUY</v>
      </c>
    </row>
    <row r="282" spans="1:24" x14ac:dyDescent="0.35">
      <c r="A282" s="25" t="s">
        <v>295</v>
      </c>
      <c r="B282" s="10" t="s">
        <v>335</v>
      </c>
      <c r="C282" s="10" t="s">
        <v>342</v>
      </c>
      <c r="D282" s="10" t="s">
        <v>346</v>
      </c>
      <c r="E282" s="11">
        <v>45892</v>
      </c>
      <c r="F282" s="14">
        <f t="shared" ca="1" si="60"/>
        <v>207</v>
      </c>
      <c r="G282" s="17">
        <v>399</v>
      </c>
      <c r="H282" s="17">
        <v>205</v>
      </c>
      <c r="I282" s="53">
        <f t="shared" si="61"/>
        <v>840</v>
      </c>
      <c r="J282" s="17">
        <v>1000</v>
      </c>
      <c r="K282" s="66">
        <v>160</v>
      </c>
      <c r="L282" s="52">
        <f t="shared" ca="1" si="62"/>
        <v>0.77294685990338163</v>
      </c>
      <c r="M282" s="50">
        <f t="shared" si="63"/>
        <v>0.80451009251471861</v>
      </c>
      <c r="N282" s="52">
        <f t="shared" si="64"/>
        <v>0.48780487804878048</v>
      </c>
      <c r="O282" s="56">
        <f t="shared" si="65"/>
        <v>40</v>
      </c>
      <c r="P282" s="54">
        <f t="shared" si="66"/>
        <v>21</v>
      </c>
      <c r="Q282" s="55">
        <f t="shared" si="67"/>
        <v>48.62155388471178</v>
      </c>
      <c r="R282" s="55">
        <f t="shared" si="68"/>
        <v>16</v>
      </c>
      <c r="S282" s="13">
        <f t="shared" si="69"/>
        <v>1</v>
      </c>
      <c r="T282" s="13">
        <f t="shared" si="70"/>
        <v>1</v>
      </c>
      <c r="U282" s="13">
        <f t="shared" si="71"/>
        <v>2</v>
      </c>
      <c r="V282" s="13">
        <f t="shared" ca="1" si="72"/>
        <v>3</v>
      </c>
      <c r="W282" s="13">
        <f t="shared" ca="1" si="73"/>
        <v>7</v>
      </c>
      <c r="X282" s="61" t="str">
        <f t="shared" ca="1" si="74"/>
        <v>MONITOR</v>
      </c>
    </row>
    <row r="283" spans="1:24" x14ac:dyDescent="0.35">
      <c r="A283" s="25" t="s">
        <v>296</v>
      </c>
      <c r="B283" s="10" t="s">
        <v>335</v>
      </c>
      <c r="C283" s="10" t="s">
        <v>342</v>
      </c>
      <c r="D283" s="10" t="s">
        <v>346</v>
      </c>
      <c r="E283" s="11">
        <v>45920</v>
      </c>
      <c r="F283" s="14">
        <f t="shared" ca="1" si="60"/>
        <v>179</v>
      </c>
      <c r="G283" s="17">
        <v>399</v>
      </c>
      <c r="H283" s="17">
        <v>295</v>
      </c>
      <c r="I283" s="53">
        <f t="shared" si="61"/>
        <v>603</v>
      </c>
      <c r="J283" s="17">
        <v>1000</v>
      </c>
      <c r="K283" s="66">
        <v>397</v>
      </c>
      <c r="L283" s="52">
        <f t="shared" ca="1" si="62"/>
        <v>2.2178770949720672</v>
      </c>
      <c r="M283" s="50">
        <f t="shared" si="63"/>
        <v>0.80451009251471861</v>
      </c>
      <c r="N283" s="52">
        <f t="shared" si="64"/>
        <v>1.2103658536585367</v>
      </c>
      <c r="O283" s="56">
        <f t="shared" si="65"/>
        <v>99.25</v>
      </c>
      <c r="P283" s="54">
        <f t="shared" si="66"/>
        <v>6.0755667506297231</v>
      </c>
      <c r="Q283" s="55">
        <f t="shared" si="67"/>
        <v>26.065162907268167</v>
      </c>
      <c r="R283" s="55">
        <f t="shared" si="68"/>
        <v>39.700000000000003</v>
      </c>
      <c r="S283" s="13">
        <f t="shared" si="69"/>
        <v>3</v>
      </c>
      <c r="T283" s="13">
        <f t="shared" si="70"/>
        <v>1</v>
      </c>
      <c r="U283" s="13">
        <f t="shared" si="71"/>
        <v>1</v>
      </c>
      <c r="V283" s="13">
        <f t="shared" ca="1" si="72"/>
        <v>3</v>
      </c>
      <c r="W283" s="13">
        <f t="shared" ca="1" si="73"/>
        <v>8</v>
      </c>
      <c r="X283" s="61" t="str">
        <f t="shared" ca="1" si="74"/>
        <v>MONITOR</v>
      </c>
    </row>
    <row r="284" spans="1:24" x14ac:dyDescent="0.35">
      <c r="A284" s="25" t="s">
        <v>297</v>
      </c>
      <c r="B284" s="10" t="s">
        <v>335</v>
      </c>
      <c r="C284" s="10" t="s">
        <v>345</v>
      </c>
      <c r="D284" s="10" t="s">
        <v>346</v>
      </c>
      <c r="E284" s="11">
        <v>45892</v>
      </c>
      <c r="F284" s="14">
        <f t="shared" ca="1" si="60"/>
        <v>207</v>
      </c>
      <c r="G284" s="17">
        <v>599</v>
      </c>
      <c r="H284" s="17">
        <v>300</v>
      </c>
      <c r="I284" s="53">
        <f t="shared" si="61"/>
        <v>519</v>
      </c>
      <c r="J284" s="17">
        <v>750</v>
      </c>
      <c r="K284" s="66">
        <v>231</v>
      </c>
      <c r="L284" s="52">
        <f t="shared" ca="1" si="62"/>
        <v>1.1159420289855073</v>
      </c>
      <c r="M284" s="50">
        <f t="shared" si="63"/>
        <v>0.73224085365853642</v>
      </c>
      <c r="N284" s="52">
        <f t="shared" si="64"/>
        <v>0.70426829268292679</v>
      </c>
      <c r="O284" s="56">
        <f t="shared" si="65"/>
        <v>57.75</v>
      </c>
      <c r="P284" s="54">
        <f t="shared" si="66"/>
        <v>8.9870129870129869</v>
      </c>
      <c r="Q284" s="55">
        <f t="shared" si="67"/>
        <v>49.916527545909851</v>
      </c>
      <c r="R284" s="55">
        <f t="shared" si="68"/>
        <v>30.8</v>
      </c>
      <c r="S284" s="13">
        <f t="shared" si="69"/>
        <v>2</v>
      </c>
      <c r="T284" s="13">
        <f t="shared" si="70"/>
        <v>1</v>
      </c>
      <c r="U284" s="13">
        <f t="shared" si="71"/>
        <v>2</v>
      </c>
      <c r="V284" s="13">
        <f t="shared" ca="1" si="72"/>
        <v>3</v>
      </c>
      <c r="W284" s="13">
        <f t="shared" ca="1" si="73"/>
        <v>8</v>
      </c>
      <c r="X284" s="61" t="str">
        <f t="shared" ca="1" si="74"/>
        <v>MONITOR</v>
      </c>
    </row>
    <row r="285" spans="1:24" x14ac:dyDescent="0.35">
      <c r="A285" s="25" t="s">
        <v>298</v>
      </c>
      <c r="B285" s="10" t="s">
        <v>337</v>
      </c>
      <c r="C285" s="10" t="s">
        <v>345</v>
      </c>
      <c r="D285" s="10" t="s">
        <v>346</v>
      </c>
      <c r="E285" s="11">
        <v>45864</v>
      </c>
      <c r="F285" s="14">
        <f t="shared" ca="1" si="60"/>
        <v>235</v>
      </c>
      <c r="G285" s="17">
        <v>599</v>
      </c>
      <c r="H285" s="17">
        <v>300</v>
      </c>
      <c r="I285" s="53">
        <f t="shared" si="61"/>
        <v>1328</v>
      </c>
      <c r="J285" s="17">
        <v>1450</v>
      </c>
      <c r="K285" s="66">
        <v>122</v>
      </c>
      <c r="L285" s="52">
        <f t="shared" ca="1" si="62"/>
        <v>0.51914893617021274</v>
      </c>
      <c r="M285" s="50">
        <f t="shared" si="63"/>
        <v>0.73224085365853642</v>
      </c>
      <c r="N285" s="52">
        <f t="shared" si="64"/>
        <v>0.37195121951219512</v>
      </c>
      <c r="O285" s="56">
        <f t="shared" si="65"/>
        <v>30.5</v>
      </c>
      <c r="P285" s="54">
        <f t="shared" si="66"/>
        <v>43.540983606557376</v>
      </c>
      <c r="Q285" s="55">
        <f t="shared" si="67"/>
        <v>49.916527545909851</v>
      </c>
      <c r="R285" s="55">
        <f t="shared" si="68"/>
        <v>8.4137931034482758</v>
      </c>
      <c r="S285" s="13">
        <f t="shared" si="69"/>
        <v>1</v>
      </c>
      <c r="T285" s="13">
        <f t="shared" si="70"/>
        <v>1</v>
      </c>
      <c r="U285" s="13">
        <f t="shared" si="71"/>
        <v>2</v>
      </c>
      <c r="V285" s="13">
        <f t="shared" ca="1" si="72"/>
        <v>3</v>
      </c>
      <c r="W285" s="13">
        <f t="shared" ca="1" si="73"/>
        <v>7</v>
      </c>
      <c r="X285" s="61" t="str">
        <f t="shared" ca="1" si="74"/>
        <v>MONITOR</v>
      </c>
    </row>
    <row r="286" spans="1:24" x14ac:dyDescent="0.35">
      <c r="A286" s="25" t="s">
        <v>299</v>
      </c>
      <c r="B286" s="10" t="s">
        <v>337</v>
      </c>
      <c r="C286" s="10" t="s">
        <v>345</v>
      </c>
      <c r="D286" s="10" t="s">
        <v>346</v>
      </c>
      <c r="E286" s="11">
        <v>45864</v>
      </c>
      <c r="F286" s="14">
        <f t="shared" ca="1" si="60"/>
        <v>235</v>
      </c>
      <c r="G286" s="17">
        <v>599</v>
      </c>
      <c r="H286" s="17">
        <v>300</v>
      </c>
      <c r="I286" s="53">
        <f t="shared" si="61"/>
        <v>1309</v>
      </c>
      <c r="J286" s="17">
        <v>1450</v>
      </c>
      <c r="K286" s="66">
        <v>141</v>
      </c>
      <c r="L286" s="52">
        <f t="shared" ca="1" si="62"/>
        <v>0.6</v>
      </c>
      <c r="M286" s="50">
        <f t="shared" si="63"/>
        <v>0.73224085365853642</v>
      </c>
      <c r="N286" s="52">
        <f t="shared" si="64"/>
        <v>0.4298780487804878</v>
      </c>
      <c r="O286" s="56">
        <f t="shared" si="65"/>
        <v>35.25</v>
      </c>
      <c r="P286" s="54">
        <f t="shared" si="66"/>
        <v>37.134751773049643</v>
      </c>
      <c r="Q286" s="55">
        <f t="shared" si="67"/>
        <v>49.916527545909851</v>
      </c>
      <c r="R286" s="55">
        <f t="shared" si="68"/>
        <v>9.7241379310344822</v>
      </c>
      <c r="S286" s="13">
        <f t="shared" si="69"/>
        <v>1</v>
      </c>
      <c r="T286" s="13">
        <f t="shared" si="70"/>
        <v>1</v>
      </c>
      <c r="U286" s="13">
        <f t="shared" si="71"/>
        <v>2</v>
      </c>
      <c r="V286" s="13">
        <f t="shared" ca="1" si="72"/>
        <v>3</v>
      </c>
      <c r="W286" s="13">
        <f t="shared" ca="1" si="73"/>
        <v>7</v>
      </c>
      <c r="X286" s="61" t="str">
        <f t="shared" ca="1" si="74"/>
        <v>MONITOR</v>
      </c>
    </row>
    <row r="287" spans="1:24" x14ac:dyDescent="0.35">
      <c r="A287" s="25" t="s">
        <v>300</v>
      </c>
      <c r="B287" s="10" t="s">
        <v>337</v>
      </c>
      <c r="C287" s="10" t="s">
        <v>345</v>
      </c>
      <c r="D287" s="10" t="s">
        <v>346</v>
      </c>
      <c r="E287" s="11">
        <v>45864</v>
      </c>
      <c r="F287" s="14">
        <f t="shared" ca="1" si="60"/>
        <v>235</v>
      </c>
      <c r="G287" s="17">
        <v>599</v>
      </c>
      <c r="H287" s="17">
        <v>300</v>
      </c>
      <c r="I287" s="53">
        <f t="shared" si="61"/>
        <v>1212</v>
      </c>
      <c r="J287" s="17">
        <v>1450</v>
      </c>
      <c r="K287" s="66">
        <v>238</v>
      </c>
      <c r="L287" s="52">
        <f t="shared" ca="1" si="62"/>
        <v>1.0127659574468084</v>
      </c>
      <c r="M287" s="50">
        <f t="shared" si="63"/>
        <v>0.73224085365853642</v>
      </c>
      <c r="N287" s="52">
        <f t="shared" si="64"/>
        <v>0.72560975609756095</v>
      </c>
      <c r="O287" s="56">
        <f t="shared" si="65"/>
        <v>59.5</v>
      </c>
      <c r="P287" s="54">
        <f t="shared" si="66"/>
        <v>20.369747899159663</v>
      </c>
      <c r="Q287" s="55">
        <f t="shared" si="67"/>
        <v>49.916527545909851</v>
      </c>
      <c r="R287" s="55">
        <f t="shared" si="68"/>
        <v>16.413793103448278</v>
      </c>
      <c r="S287" s="13">
        <f t="shared" si="69"/>
        <v>2</v>
      </c>
      <c r="T287" s="13">
        <f t="shared" si="70"/>
        <v>1</v>
      </c>
      <c r="U287" s="13">
        <f t="shared" si="71"/>
        <v>2</v>
      </c>
      <c r="V287" s="13">
        <f t="shared" ca="1" si="72"/>
        <v>3</v>
      </c>
      <c r="W287" s="13">
        <f t="shared" ca="1" si="73"/>
        <v>8</v>
      </c>
      <c r="X287" s="61" t="str">
        <f t="shared" ca="1" si="74"/>
        <v>MONITOR</v>
      </c>
    </row>
    <row r="288" spans="1:24" x14ac:dyDescent="0.35">
      <c r="A288" s="25" t="s">
        <v>301</v>
      </c>
      <c r="B288" s="10" t="s">
        <v>337</v>
      </c>
      <c r="C288" s="10" t="s">
        <v>345</v>
      </c>
      <c r="D288" s="10" t="s">
        <v>346</v>
      </c>
      <c r="E288" s="11">
        <v>45864</v>
      </c>
      <c r="F288" s="14">
        <f t="shared" ca="1" si="60"/>
        <v>235</v>
      </c>
      <c r="G288" s="17">
        <v>599</v>
      </c>
      <c r="H288" s="17">
        <v>275</v>
      </c>
      <c r="I288" s="53">
        <f t="shared" si="61"/>
        <v>1152</v>
      </c>
      <c r="J288" s="17">
        <v>1450</v>
      </c>
      <c r="K288" s="66">
        <v>298</v>
      </c>
      <c r="L288" s="52">
        <f t="shared" ca="1" si="62"/>
        <v>1.2680851063829788</v>
      </c>
      <c r="M288" s="50">
        <f t="shared" si="63"/>
        <v>0.73224085365853642</v>
      </c>
      <c r="N288" s="52">
        <f t="shared" si="64"/>
        <v>0.90853658536585369</v>
      </c>
      <c r="O288" s="56">
        <f t="shared" si="65"/>
        <v>74.5</v>
      </c>
      <c r="P288" s="54">
        <f t="shared" si="66"/>
        <v>15.463087248322148</v>
      </c>
      <c r="Q288" s="55">
        <f t="shared" si="67"/>
        <v>54.090150250417359</v>
      </c>
      <c r="R288" s="55">
        <f t="shared" si="68"/>
        <v>20.551724137931036</v>
      </c>
      <c r="S288" s="13">
        <f t="shared" si="69"/>
        <v>3</v>
      </c>
      <c r="T288" s="13">
        <f t="shared" si="70"/>
        <v>1</v>
      </c>
      <c r="U288" s="13">
        <f t="shared" si="71"/>
        <v>2</v>
      </c>
      <c r="V288" s="13">
        <f t="shared" ca="1" si="72"/>
        <v>3</v>
      </c>
      <c r="W288" s="13">
        <f t="shared" ca="1" si="73"/>
        <v>9</v>
      </c>
      <c r="X288" s="61" t="str">
        <f t="shared" ca="1" si="74"/>
        <v>RE-BUY</v>
      </c>
    </row>
    <row r="289" spans="1:25" x14ac:dyDescent="0.35">
      <c r="A289" s="25" t="s">
        <v>302</v>
      </c>
      <c r="B289" s="10" t="s">
        <v>339</v>
      </c>
      <c r="C289" s="10" t="s">
        <v>345</v>
      </c>
      <c r="D289" s="10" t="s">
        <v>346</v>
      </c>
      <c r="E289" s="11">
        <v>45892</v>
      </c>
      <c r="F289" s="14">
        <f t="shared" ca="1" si="60"/>
        <v>207</v>
      </c>
      <c r="G289" s="17">
        <v>499</v>
      </c>
      <c r="H289" s="17">
        <v>275</v>
      </c>
      <c r="I289" s="53">
        <f t="shared" si="61"/>
        <v>1409</v>
      </c>
      <c r="J289" s="17">
        <v>1600</v>
      </c>
      <c r="K289" s="66">
        <v>191</v>
      </c>
      <c r="L289" s="52">
        <f t="shared" ca="1" si="62"/>
        <v>0.92270531400966183</v>
      </c>
      <c r="M289" s="50">
        <f t="shared" si="63"/>
        <v>0.73224085365853642</v>
      </c>
      <c r="N289" s="52">
        <f t="shared" si="64"/>
        <v>0.58231707317073167</v>
      </c>
      <c r="O289" s="56">
        <f t="shared" si="65"/>
        <v>47.75</v>
      </c>
      <c r="P289" s="54">
        <f t="shared" si="66"/>
        <v>29.507853403141361</v>
      </c>
      <c r="Q289" s="55">
        <f t="shared" si="67"/>
        <v>44.889779559118239</v>
      </c>
      <c r="R289" s="55">
        <f t="shared" si="68"/>
        <v>11.9375</v>
      </c>
      <c r="S289" s="13">
        <f t="shared" si="69"/>
        <v>1</v>
      </c>
      <c r="T289" s="13">
        <f t="shared" si="70"/>
        <v>1</v>
      </c>
      <c r="U289" s="13">
        <f t="shared" si="71"/>
        <v>1</v>
      </c>
      <c r="V289" s="13">
        <f t="shared" ca="1" si="72"/>
        <v>3</v>
      </c>
      <c r="W289" s="13">
        <f t="shared" ca="1" si="73"/>
        <v>6</v>
      </c>
      <c r="X289" s="61" t="str">
        <f t="shared" ca="1" si="74"/>
        <v>MONITOR</v>
      </c>
    </row>
    <row r="290" spans="1:25" x14ac:dyDescent="0.35">
      <c r="A290" s="25" t="s">
        <v>303</v>
      </c>
      <c r="B290" s="10" t="s">
        <v>339</v>
      </c>
      <c r="C290" s="10" t="s">
        <v>345</v>
      </c>
      <c r="D290" s="10" t="s">
        <v>346</v>
      </c>
      <c r="E290" s="11">
        <v>45892</v>
      </c>
      <c r="F290" s="14">
        <f t="shared" ca="1" si="60"/>
        <v>207</v>
      </c>
      <c r="G290" s="17">
        <v>499</v>
      </c>
      <c r="H290" s="17">
        <v>230</v>
      </c>
      <c r="I290" s="53">
        <f t="shared" si="61"/>
        <v>1378</v>
      </c>
      <c r="J290" s="17">
        <v>1600</v>
      </c>
      <c r="K290" s="66">
        <v>222</v>
      </c>
      <c r="L290" s="52">
        <f t="shared" ca="1" si="62"/>
        <v>1.0724637681159421</v>
      </c>
      <c r="M290" s="50">
        <f t="shared" si="63"/>
        <v>0.73224085365853642</v>
      </c>
      <c r="N290" s="52">
        <f t="shared" si="64"/>
        <v>0.67682926829268297</v>
      </c>
      <c r="O290" s="56">
        <f t="shared" si="65"/>
        <v>55.500000000000007</v>
      </c>
      <c r="P290" s="54">
        <f t="shared" si="66"/>
        <v>24.828828828828826</v>
      </c>
      <c r="Q290" s="55">
        <f t="shared" si="67"/>
        <v>53.907815631262523</v>
      </c>
      <c r="R290" s="55">
        <f t="shared" si="68"/>
        <v>13.875000000000002</v>
      </c>
      <c r="S290" s="13">
        <f t="shared" si="69"/>
        <v>2</v>
      </c>
      <c r="T290" s="13">
        <f t="shared" si="70"/>
        <v>1</v>
      </c>
      <c r="U290" s="13">
        <f t="shared" si="71"/>
        <v>2</v>
      </c>
      <c r="V290" s="13">
        <f t="shared" ca="1" si="72"/>
        <v>3</v>
      </c>
      <c r="W290" s="13">
        <f t="shared" ca="1" si="73"/>
        <v>8</v>
      </c>
      <c r="X290" s="61" t="str">
        <f t="shared" ca="1" si="74"/>
        <v>MONITOR</v>
      </c>
    </row>
    <row r="291" spans="1:25" x14ac:dyDescent="0.35">
      <c r="A291" s="25" t="s">
        <v>304</v>
      </c>
      <c r="B291" s="16" t="s">
        <v>340</v>
      </c>
      <c r="C291" s="10" t="s">
        <v>342</v>
      </c>
      <c r="D291" s="10" t="s">
        <v>346</v>
      </c>
      <c r="E291" s="27">
        <v>45990</v>
      </c>
      <c r="F291" s="14">
        <f t="shared" ca="1" si="60"/>
        <v>109</v>
      </c>
      <c r="G291" s="16">
        <v>199</v>
      </c>
      <c r="H291" s="16">
        <v>135</v>
      </c>
      <c r="I291" s="53">
        <f t="shared" si="61"/>
        <v>2000</v>
      </c>
      <c r="J291" s="10">
        <v>2000</v>
      </c>
      <c r="K291" s="67">
        <v>0</v>
      </c>
      <c r="L291" s="52">
        <f t="shared" ca="1" si="62"/>
        <v>0</v>
      </c>
      <c r="M291" s="50">
        <f t="shared" si="63"/>
        <v>0.80451009251471861</v>
      </c>
      <c r="N291" s="52">
        <f t="shared" si="64"/>
        <v>0</v>
      </c>
      <c r="O291" s="56">
        <f t="shared" si="65"/>
        <v>0</v>
      </c>
      <c r="P291" s="54" t="e">
        <f t="shared" si="66"/>
        <v>#DIV/0!</v>
      </c>
      <c r="Q291" s="55">
        <f t="shared" si="67"/>
        <v>32.1608040201005</v>
      </c>
      <c r="R291" s="55">
        <f t="shared" si="68"/>
        <v>0</v>
      </c>
      <c r="S291" s="13">
        <f t="shared" si="69"/>
        <v>1</v>
      </c>
      <c r="T291" s="13" t="e">
        <f t="shared" si="70"/>
        <v>#DIV/0!</v>
      </c>
      <c r="U291" s="13">
        <f t="shared" si="71"/>
        <v>1</v>
      </c>
      <c r="V291" s="13">
        <f t="shared" ca="1" si="72"/>
        <v>3</v>
      </c>
      <c r="W291" s="13" t="e">
        <f t="shared" ca="1" si="73"/>
        <v>#DIV/0!</v>
      </c>
      <c r="X291" s="61" t="str">
        <f t="shared" ca="1" si="74"/>
        <v>EXIT</v>
      </c>
    </row>
    <row r="292" spans="1:25" x14ac:dyDescent="0.35">
      <c r="A292" s="25" t="s">
        <v>305</v>
      </c>
      <c r="B292" s="16" t="s">
        <v>340</v>
      </c>
      <c r="C292" s="10" t="s">
        <v>342</v>
      </c>
      <c r="D292" s="10" t="s">
        <v>346</v>
      </c>
      <c r="E292" s="27">
        <v>45990</v>
      </c>
      <c r="F292" s="14">
        <f t="shared" ca="1" si="60"/>
        <v>109</v>
      </c>
      <c r="G292" s="16">
        <v>199</v>
      </c>
      <c r="H292" s="16">
        <v>135</v>
      </c>
      <c r="I292" s="53">
        <f t="shared" si="61"/>
        <v>2000</v>
      </c>
      <c r="J292" s="10">
        <v>2000</v>
      </c>
      <c r="K292" s="67">
        <v>0</v>
      </c>
      <c r="L292" s="52">
        <f t="shared" ca="1" si="62"/>
        <v>0</v>
      </c>
      <c r="M292" s="50">
        <f t="shared" si="63"/>
        <v>0.80451009251471861</v>
      </c>
      <c r="N292" s="52">
        <f t="shared" si="64"/>
        <v>0</v>
      </c>
      <c r="O292" s="56">
        <f t="shared" si="65"/>
        <v>0</v>
      </c>
      <c r="P292" s="54" t="e">
        <f t="shared" si="66"/>
        <v>#DIV/0!</v>
      </c>
      <c r="Q292" s="55">
        <f t="shared" si="67"/>
        <v>32.1608040201005</v>
      </c>
      <c r="R292" s="55">
        <f t="shared" si="68"/>
        <v>0</v>
      </c>
      <c r="S292" s="13">
        <f t="shared" si="69"/>
        <v>1</v>
      </c>
      <c r="T292" s="13" t="e">
        <f t="shared" si="70"/>
        <v>#DIV/0!</v>
      </c>
      <c r="U292" s="13">
        <f t="shared" si="71"/>
        <v>1</v>
      </c>
      <c r="V292" s="13">
        <f t="shared" ca="1" si="72"/>
        <v>3</v>
      </c>
      <c r="W292" s="13" t="e">
        <f t="shared" ca="1" si="73"/>
        <v>#DIV/0!</v>
      </c>
      <c r="X292" s="61" t="str">
        <f t="shared" ca="1" si="74"/>
        <v>EXIT</v>
      </c>
    </row>
    <row r="293" spans="1:25" x14ac:dyDescent="0.35">
      <c r="A293" s="25" t="s">
        <v>306</v>
      </c>
      <c r="B293" s="16" t="s">
        <v>340</v>
      </c>
      <c r="C293" s="10" t="s">
        <v>342</v>
      </c>
      <c r="D293" s="10" t="s">
        <v>346</v>
      </c>
      <c r="E293" s="27">
        <v>45990</v>
      </c>
      <c r="F293" s="14">
        <f t="shared" ca="1" si="60"/>
        <v>109</v>
      </c>
      <c r="G293" s="16">
        <v>199</v>
      </c>
      <c r="H293" s="16">
        <v>135</v>
      </c>
      <c r="I293" s="53">
        <f t="shared" si="61"/>
        <v>2000</v>
      </c>
      <c r="J293" s="10">
        <v>2000</v>
      </c>
      <c r="K293" s="67">
        <v>0</v>
      </c>
      <c r="L293" s="52">
        <f t="shared" ca="1" si="62"/>
        <v>0</v>
      </c>
      <c r="M293" s="50">
        <f t="shared" si="63"/>
        <v>0.80451009251471861</v>
      </c>
      <c r="N293" s="52">
        <f t="shared" si="64"/>
        <v>0</v>
      </c>
      <c r="O293" s="56">
        <f t="shared" si="65"/>
        <v>0</v>
      </c>
      <c r="P293" s="54" t="e">
        <f t="shared" si="66"/>
        <v>#DIV/0!</v>
      </c>
      <c r="Q293" s="55">
        <f t="shared" si="67"/>
        <v>32.1608040201005</v>
      </c>
      <c r="R293" s="55">
        <f t="shared" si="68"/>
        <v>0</v>
      </c>
      <c r="S293" s="13">
        <f t="shared" si="69"/>
        <v>1</v>
      </c>
      <c r="T293" s="13" t="e">
        <f t="shared" si="70"/>
        <v>#DIV/0!</v>
      </c>
      <c r="U293" s="13">
        <f t="shared" si="71"/>
        <v>1</v>
      </c>
      <c r="V293" s="13">
        <f t="shared" ca="1" si="72"/>
        <v>3</v>
      </c>
      <c r="W293" s="13" t="e">
        <f t="shared" ca="1" si="73"/>
        <v>#DIV/0!</v>
      </c>
      <c r="X293" s="61" t="str">
        <f t="shared" ca="1" si="74"/>
        <v>EXIT</v>
      </c>
    </row>
    <row r="294" spans="1:25" x14ac:dyDescent="0.35">
      <c r="A294" s="25" t="s">
        <v>307</v>
      </c>
      <c r="B294" s="16" t="s">
        <v>340</v>
      </c>
      <c r="C294" s="10" t="s">
        <v>342</v>
      </c>
      <c r="D294" s="10" t="s">
        <v>346</v>
      </c>
      <c r="E294" s="27">
        <v>45990</v>
      </c>
      <c r="F294" s="14">
        <f t="shared" ca="1" si="60"/>
        <v>109</v>
      </c>
      <c r="G294" s="16">
        <v>199</v>
      </c>
      <c r="H294" s="16">
        <v>135</v>
      </c>
      <c r="I294" s="53">
        <f t="shared" si="61"/>
        <v>2000</v>
      </c>
      <c r="J294" s="10">
        <v>2000</v>
      </c>
      <c r="K294" s="67">
        <v>0</v>
      </c>
      <c r="L294" s="52">
        <f t="shared" ca="1" si="62"/>
        <v>0</v>
      </c>
      <c r="M294" s="50">
        <f t="shared" si="63"/>
        <v>0.80451009251471861</v>
      </c>
      <c r="N294" s="52">
        <f t="shared" si="64"/>
        <v>0</v>
      </c>
      <c r="O294" s="56">
        <f t="shared" si="65"/>
        <v>0</v>
      </c>
      <c r="P294" s="54" t="e">
        <f t="shared" si="66"/>
        <v>#DIV/0!</v>
      </c>
      <c r="Q294" s="55">
        <f t="shared" si="67"/>
        <v>32.1608040201005</v>
      </c>
      <c r="R294" s="55">
        <f t="shared" si="68"/>
        <v>0</v>
      </c>
      <c r="S294" s="13">
        <f t="shared" si="69"/>
        <v>1</v>
      </c>
      <c r="T294" s="13" t="e">
        <f t="shared" si="70"/>
        <v>#DIV/0!</v>
      </c>
      <c r="U294" s="13">
        <f t="shared" si="71"/>
        <v>1</v>
      </c>
      <c r="V294" s="13">
        <f t="shared" ca="1" si="72"/>
        <v>3</v>
      </c>
      <c r="W294" s="13" t="e">
        <f t="shared" ca="1" si="73"/>
        <v>#DIV/0!</v>
      </c>
      <c r="X294" s="61" t="str">
        <f t="shared" ca="1" si="74"/>
        <v>EXIT</v>
      </c>
    </row>
    <row r="295" spans="1:25" x14ac:dyDescent="0.35">
      <c r="A295" s="25" t="s">
        <v>308</v>
      </c>
      <c r="B295" s="16" t="s">
        <v>340</v>
      </c>
      <c r="C295" s="10" t="s">
        <v>342</v>
      </c>
      <c r="D295" s="10" t="s">
        <v>346</v>
      </c>
      <c r="E295" s="27">
        <v>45990</v>
      </c>
      <c r="F295" s="14">
        <f t="shared" ca="1" si="60"/>
        <v>109</v>
      </c>
      <c r="G295" s="16">
        <v>199</v>
      </c>
      <c r="H295" s="16">
        <v>135</v>
      </c>
      <c r="I295" s="53">
        <f t="shared" si="61"/>
        <v>2000</v>
      </c>
      <c r="J295" s="10">
        <v>2000</v>
      </c>
      <c r="K295" s="67">
        <v>0</v>
      </c>
      <c r="L295" s="52">
        <f t="shared" ca="1" si="62"/>
        <v>0</v>
      </c>
      <c r="M295" s="50">
        <f t="shared" si="63"/>
        <v>0.80451009251471861</v>
      </c>
      <c r="N295" s="52">
        <f t="shared" si="64"/>
        <v>0</v>
      </c>
      <c r="O295" s="56">
        <f t="shared" si="65"/>
        <v>0</v>
      </c>
      <c r="P295" s="54" t="e">
        <f t="shared" si="66"/>
        <v>#DIV/0!</v>
      </c>
      <c r="Q295" s="55">
        <f t="shared" si="67"/>
        <v>32.1608040201005</v>
      </c>
      <c r="R295" s="55">
        <f t="shared" si="68"/>
        <v>0</v>
      </c>
      <c r="S295" s="13">
        <f t="shared" si="69"/>
        <v>1</v>
      </c>
      <c r="T295" s="13" t="e">
        <f t="shared" si="70"/>
        <v>#DIV/0!</v>
      </c>
      <c r="U295" s="13">
        <f t="shared" si="71"/>
        <v>1</v>
      </c>
      <c r="V295" s="13">
        <f t="shared" ca="1" si="72"/>
        <v>3</v>
      </c>
      <c r="W295" s="13" t="e">
        <f t="shared" ca="1" si="73"/>
        <v>#DIV/0!</v>
      </c>
      <c r="X295" s="61" t="str">
        <f t="shared" ca="1" si="74"/>
        <v>EXIT</v>
      </c>
    </row>
    <row r="296" spans="1:25" x14ac:dyDescent="0.35">
      <c r="A296" s="25" t="s">
        <v>309</v>
      </c>
      <c r="B296" s="16" t="s">
        <v>340</v>
      </c>
      <c r="C296" s="10" t="s">
        <v>342</v>
      </c>
      <c r="D296" s="10" t="s">
        <v>346</v>
      </c>
      <c r="E296" s="27">
        <v>45990</v>
      </c>
      <c r="F296" s="14">
        <f t="shared" ca="1" si="60"/>
        <v>109</v>
      </c>
      <c r="G296" s="16">
        <v>199</v>
      </c>
      <c r="H296" s="16">
        <v>135</v>
      </c>
      <c r="I296" s="53">
        <f t="shared" si="61"/>
        <v>2000</v>
      </c>
      <c r="J296" s="10">
        <v>2000</v>
      </c>
      <c r="K296" s="67">
        <v>0</v>
      </c>
      <c r="L296" s="52">
        <f t="shared" ca="1" si="62"/>
        <v>0</v>
      </c>
      <c r="M296" s="50">
        <f t="shared" si="63"/>
        <v>0.80451009251471861</v>
      </c>
      <c r="N296" s="52">
        <f t="shared" si="64"/>
        <v>0</v>
      </c>
      <c r="O296" s="56">
        <f t="shared" si="65"/>
        <v>0</v>
      </c>
      <c r="P296" s="54" t="e">
        <f t="shared" si="66"/>
        <v>#DIV/0!</v>
      </c>
      <c r="Q296" s="55">
        <f t="shared" si="67"/>
        <v>32.1608040201005</v>
      </c>
      <c r="R296" s="55">
        <f t="shared" si="68"/>
        <v>0</v>
      </c>
      <c r="S296" s="13">
        <f t="shared" si="69"/>
        <v>1</v>
      </c>
      <c r="T296" s="13" t="e">
        <f t="shared" si="70"/>
        <v>#DIV/0!</v>
      </c>
      <c r="U296" s="13">
        <f t="shared" si="71"/>
        <v>1</v>
      </c>
      <c r="V296" s="13">
        <f t="shared" ca="1" si="72"/>
        <v>3</v>
      </c>
      <c r="W296" s="13" t="e">
        <f t="shared" ca="1" si="73"/>
        <v>#DIV/0!</v>
      </c>
      <c r="X296" s="61" t="str">
        <f t="shared" ca="1" si="74"/>
        <v>EXIT</v>
      </c>
    </row>
    <row r="297" spans="1:25" x14ac:dyDescent="0.35">
      <c r="A297" s="25" t="s">
        <v>310</v>
      </c>
      <c r="B297" s="16" t="s">
        <v>340</v>
      </c>
      <c r="C297" s="10" t="s">
        <v>342</v>
      </c>
      <c r="D297" s="10" t="s">
        <v>346</v>
      </c>
      <c r="E297" s="27">
        <v>45990</v>
      </c>
      <c r="F297" s="14">
        <f t="shared" ca="1" si="60"/>
        <v>109</v>
      </c>
      <c r="G297" s="16">
        <v>199</v>
      </c>
      <c r="H297" s="16">
        <v>135</v>
      </c>
      <c r="I297" s="53">
        <f t="shared" si="61"/>
        <v>2000</v>
      </c>
      <c r="J297" s="10">
        <v>2000</v>
      </c>
      <c r="K297" s="67">
        <v>0</v>
      </c>
      <c r="L297" s="52">
        <f t="shared" ca="1" si="62"/>
        <v>0</v>
      </c>
      <c r="M297" s="50">
        <f t="shared" si="63"/>
        <v>0.80451009251471861</v>
      </c>
      <c r="N297" s="52">
        <f t="shared" si="64"/>
        <v>0</v>
      </c>
      <c r="O297" s="56">
        <f t="shared" si="65"/>
        <v>0</v>
      </c>
      <c r="P297" s="54" t="e">
        <f t="shared" si="66"/>
        <v>#DIV/0!</v>
      </c>
      <c r="Q297" s="55">
        <f t="shared" si="67"/>
        <v>32.1608040201005</v>
      </c>
      <c r="R297" s="55">
        <f t="shared" si="68"/>
        <v>0</v>
      </c>
      <c r="S297" s="13">
        <f t="shared" si="69"/>
        <v>1</v>
      </c>
      <c r="T297" s="13" t="e">
        <f t="shared" si="70"/>
        <v>#DIV/0!</v>
      </c>
      <c r="U297" s="13">
        <f t="shared" si="71"/>
        <v>1</v>
      </c>
      <c r="V297" s="13">
        <f t="shared" ca="1" si="72"/>
        <v>3</v>
      </c>
      <c r="W297" s="13" t="e">
        <f t="shared" ca="1" si="73"/>
        <v>#DIV/0!</v>
      </c>
      <c r="X297" s="61" t="str">
        <f t="shared" ca="1" si="74"/>
        <v>EXIT</v>
      </c>
    </row>
    <row r="298" spans="1:25" x14ac:dyDescent="0.35">
      <c r="A298" s="25" t="s">
        <v>311</v>
      </c>
      <c r="B298" s="16" t="s">
        <v>340</v>
      </c>
      <c r="C298" s="10" t="s">
        <v>342</v>
      </c>
      <c r="D298" s="10" t="s">
        <v>346</v>
      </c>
      <c r="E298" s="27">
        <v>45990</v>
      </c>
      <c r="F298" s="14">
        <f t="shared" ca="1" si="60"/>
        <v>109</v>
      </c>
      <c r="G298" s="16">
        <v>199</v>
      </c>
      <c r="H298" s="16">
        <v>135</v>
      </c>
      <c r="I298" s="53">
        <f t="shared" si="61"/>
        <v>2000</v>
      </c>
      <c r="J298" s="10">
        <v>2000</v>
      </c>
      <c r="K298" s="67">
        <v>0</v>
      </c>
      <c r="L298" s="52">
        <f t="shared" ca="1" si="62"/>
        <v>0</v>
      </c>
      <c r="M298" s="50">
        <f t="shared" si="63"/>
        <v>0.80451009251471861</v>
      </c>
      <c r="N298" s="52">
        <f t="shared" si="64"/>
        <v>0</v>
      </c>
      <c r="O298" s="56">
        <f t="shared" si="65"/>
        <v>0</v>
      </c>
      <c r="P298" s="54" t="e">
        <f t="shared" si="66"/>
        <v>#DIV/0!</v>
      </c>
      <c r="Q298" s="55">
        <f t="shared" si="67"/>
        <v>32.1608040201005</v>
      </c>
      <c r="R298" s="55">
        <f t="shared" si="68"/>
        <v>0</v>
      </c>
      <c r="S298" s="13">
        <f t="shared" si="69"/>
        <v>1</v>
      </c>
      <c r="T298" s="13" t="e">
        <f t="shared" si="70"/>
        <v>#DIV/0!</v>
      </c>
      <c r="U298" s="13">
        <f t="shared" si="71"/>
        <v>1</v>
      </c>
      <c r="V298" s="13">
        <f t="shared" ca="1" si="72"/>
        <v>3</v>
      </c>
      <c r="W298" s="13" t="e">
        <f t="shared" ca="1" si="73"/>
        <v>#DIV/0!</v>
      </c>
      <c r="X298" s="61" t="str">
        <f t="shared" ca="1" si="74"/>
        <v>EXIT</v>
      </c>
    </row>
    <row r="299" spans="1:25" x14ac:dyDescent="0.35">
      <c r="A299" s="28" t="s">
        <v>312</v>
      </c>
      <c r="B299" s="36" t="s">
        <v>340</v>
      </c>
      <c r="C299" s="29" t="s">
        <v>342</v>
      </c>
      <c r="D299" s="29" t="s">
        <v>346</v>
      </c>
      <c r="E299" s="37">
        <v>45990</v>
      </c>
      <c r="F299" s="30">
        <f t="shared" ca="1" si="60"/>
        <v>109</v>
      </c>
      <c r="G299" s="36">
        <v>199</v>
      </c>
      <c r="H299" s="36">
        <v>135</v>
      </c>
      <c r="I299" s="53">
        <f t="shared" si="61"/>
        <v>2000</v>
      </c>
      <c r="J299" s="29">
        <v>2000</v>
      </c>
      <c r="K299" s="67">
        <v>0</v>
      </c>
      <c r="L299" s="52">
        <f t="shared" ca="1" si="62"/>
        <v>0</v>
      </c>
      <c r="M299" s="50">
        <f t="shared" si="63"/>
        <v>0.80451009251471861</v>
      </c>
      <c r="N299" s="52">
        <f t="shared" si="64"/>
        <v>0</v>
      </c>
      <c r="O299" s="56">
        <f t="shared" si="65"/>
        <v>0</v>
      </c>
      <c r="P299" s="54" t="e">
        <f t="shared" si="66"/>
        <v>#DIV/0!</v>
      </c>
      <c r="Q299" s="55">
        <f t="shared" si="67"/>
        <v>32.1608040201005</v>
      </c>
      <c r="R299" s="55">
        <f t="shared" si="68"/>
        <v>0</v>
      </c>
      <c r="S299" s="13">
        <f t="shared" si="69"/>
        <v>1</v>
      </c>
      <c r="T299" s="13" t="e">
        <f t="shared" si="70"/>
        <v>#DIV/0!</v>
      </c>
      <c r="U299" s="13">
        <f t="shared" si="71"/>
        <v>1</v>
      </c>
      <c r="V299" s="13">
        <f t="shared" ca="1" si="72"/>
        <v>3</v>
      </c>
      <c r="W299" s="13" t="e">
        <f t="shared" ca="1" si="73"/>
        <v>#DIV/0!</v>
      </c>
      <c r="X299" s="61" t="str">
        <f t="shared" ca="1" si="74"/>
        <v>EXIT</v>
      </c>
    </row>
    <row r="300" spans="1:25" s="5" customFormat="1" x14ac:dyDescent="0.35">
      <c r="A300" s="25" t="s">
        <v>313</v>
      </c>
      <c r="B300" s="16" t="s">
        <v>340</v>
      </c>
      <c r="C300" s="10" t="s">
        <v>342</v>
      </c>
      <c r="D300" s="10" t="s">
        <v>346</v>
      </c>
      <c r="E300" s="27">
        <v>45990</v>
      </c>
      <c r="F300" s="14">
        <f t="shared" ca="1" si="60"/>
        <v>109</v>
      </c>
      <c r="G300" s="16">
        <v>199</v>
      </c>
      <c r="H300" s="16">
        <v>135</v>
      </c>
      <c r="I300" s="53">
        <f t="shared" si="61"/>
        <v>2000</v>
      </c>
      <c r="J300" s="10">
        <v>2000</v>
      </c>
      <c r="K300" s="67">
        <v>0</v>
      </c>
      <c r="L300" s="52">
        <f t="shared" ca="1" si="62"/>
        <v>0</v>
      </c>
      <c r="M300" s="50">
        <f t="shared" si="63"/>
        <v>0.80451009251471861</v>
      </c>
      <c r="N300" s="52">
        <f t="shared" si="64"/>
        <v>0</v>
      </c>
      <c r="O300" s="56">
        <f t="shared" si="65"/>
        <v>0</v>
      </c>
      <c r="P300" s="54" t="e">
        <f t="shared" si="66"/>
        <v>#DIV/0!</v>
      </c>
      <c r="Q300" s="55">
        <f t="shared" si="67"/>
        <v>32.1608040201005</v>
      </c>
      <c r="R300" s="55">
        <f>K300/J300*100</f>
        <v>0</v>
      </c>
      <c r="S300" s="13">
        <f t="shared" si="69"/>
        <v>1</v>
      </c>
      <c r="T300" s="13" t="e">
        <f t="shared" si="70"/>
        <v>#DIV/0!</v>
      </c>
      <c r="U300" s="13">
        <f t="shared" si="71"/>
        <v>1</v>
      </c>
      <c r="V300" s="13">
        <f t="shared" ca="1" si="72"/>
        <v>3</v>
      </c>
      <c r="W300" s="13" t="e">
        <f t="shared" ca="1" si="73"/>
        <v>#DIV/0!</v>
      </c>
      <c r="X300" s="61" t="str">
        <f t="shared" ca="1" si="74"/>
        <v>EXIT</v>
      </c>
      <c r="Y300" s="57"/>
    </row>
    <row r="301" spans="1:25" x14ac:dyDescent="0.35">
      <c r="A301" s="31"/>
      <c r="B301" s="38"/>
      <c r="C301" s="31"/>
      <c r="D301" s="32"/>
      <c r="E301" s="33"/>
      <c r="F301" s="34"/>
      <c r="G301" s="35"/>
      <c r="H301" s="35"/>
      <c r="I301" s="6"/>
      <c r="J301" s="35"/>
    </row>
    <row r="302" spans="1:25" x14ac:dyDescent="0.35">
      <c r="A302" s="31"/>
      <c r="B302" s="38"/>
      <c r="C302" s="31"/>
      <c r="D302" s="32"/>
      <c r="E302" s="33"/>
      <c r="F302" s="34"/>
      <c r="G302" s="35"/>
      <c r="H302" s="35"/>
      <c r="I302" s="6"/>
      <c r="J302" s="35"/>
    </row>
    <row r="303" spans="1:25" x14ac:dyDescent="0.35">
      <c r="A303" s="31"/>
      <c r="B303" s="38"/>
      <c r="C303" s="31"/>
      <c r="D303" s="32"/>
      <c r="E303" s="33"/>
      <c r="F303" s="34"/>
      <c r="G303" s="35"/>
      <c r="H303" s="35"/>
      <c r="I303" s="6"/>
      <c r="J303" s="35"/>
    </row>
    <row r="304" spans="1:25" x14ac:dyDescent="0.35">
      <c r="A304" s="31"/>
      <c r="B304" s="38"/>
      <c r="C304" s="31"/>
      <c r="D304" s="32"/>
      <c r="E304" s="33"/>
      <c r="F304" s="34"/>
      <c r="G304" s="35"/>
      <c r="H304" s="35"/>
      <c r="I304" s="6"/>
      <c r="J304" s="35"/>
    </row>
    <row r="305" spans="1:10" x14ac:dyDescent="0.35">
      <c r="A305" s="31"/>
      <c r="B305" s="38"/>
      <c r="C305" s="31"/>
      <c r="D305" s="32"/>
      <c r="E305" s="33"/>
      <c r="F305" s="34"/>
      <c r="G305" s="35"/>
      <c r="H305" s="35"/>
      <c r="I305" s="6"/>
      <c r="J305" s="35"/>
    </row>
    <row r="306" spans="1:10" x14ac:dyDescent="0.35">
      <c r="A306" s="31"/>
      <c r="B306" s="38"/>
      <c r="C306" s="31"/>
      <c r="D306" s="32"/>
      <c r="E306" s="33"/>
      <c r="F306" s="34"/>
      <c r="G306" s="35"/>
      <c r="H306" s="35"/>
      <c r="I306" s="6"/>
      <c r="J306" s="35"/>
    </row>
    <row r="307" spans="1:10" x14ac:dyDescent="0.35">
      <c r="A307" s="31"/>
      <c r="B307" s="38"/>
      <c r="C307" s="31"/>
      <c r="D307" s="32"/>
      <c r="E307" s="33"/>
      <c r="F307" s="34"/>
      <c r="G307" s="35"/>
      <c r="H307" s="35"/>
      <c r="I307" s="6"/>
      <c r="J307" s="35"/>
    </row>
    <row r="308" spans="1:10" x14ac:dyDescent="0.35">
      <c r="A308" s="31"/>
      <c r="B308" s="38"/>
      <c r="C308" s="31"/>
      <c r="D308" s="32"/>
      <c r="E308" s="33"/>
      <c r="F308" s="34"/>
      <c r="G308" s="35"/>
      <c r="H308" s="35"/>
      <c r="I308" s="6"/>
      <c r="J308" s="35"/>
    </row>
    <row r="309" spans="1:10" x14ac:dyDescent="0.35">
      <c r="A309" s="31"/>
      <c r="B309" s="38"/>
      <c r="C309" s="31"/>
      <c r="D309" s="32"/>
      <c r="E309" s="33"/>
      <c r="F309" s="34"/>
      <c r="G309" s="35"/>
      <c r="H309" s="35"/>
      <c r="I309" s="6"/>
      <c r="J309" s="35"/>
    </row>
    <row r="310" spans="1:10" x14ac:dyDescent="0.35">
      <c r="A310" s="31"/>
      <c r="B310" s="38"/>
      <c r="C310" s="31"/>
      <c r="D310" s="32"/>
      <c r="E310" s="33"/>
      <c r="F310" s="34"/>
      <c r="G310" s="35"/>
      <c r="H310" s="35"/>
      <c r="I310" s="6"/>
      <c r="J310" s="35"/>
    </row>
    <row r="311" spans="1:10" x14ac:dyDescent="0.35">
      <c r="A311" s="31"/>
      <c r="B311" s="38"/>
      <c r="C311" s="31"/>
      <c r="D311" s="32"/>
      <c r="E311" s="33"/>
      <c r="F311" s="34"/>
      <c r="G311" s="35"/>
      <c r="H311" s="35"/>
      <c r="I311" s="6"/>
      <c r="J311" s="39"/>
    </row>
    <row r="312" spans="1:10" x14ac:dyDescent="0.35">
      <c r="A312" s="31"/>
      <c r="B312" s="38"/>
      <c r="C312" s="31"/>
      <c r="D312" s="32"/>
      <c r="E312" s="33"/>
      <c r="F312" s="34"/>
      <c r="G312" s="35"/>
      <c r="H312" s="35"/>
      <c r="I312" s="6"/>
      <c r="J312" s="39"/>
    </row>
    <row r="313" spans="1:10" x14ac:dyDescent="0.35">
      <c r="A313" s="31"/>
      <c r="B313" s="38"/>
      <c r="C313" s="31"/>
      <c r="D313" s="32"/>
      <c r="E313" s="33"/>
      <c r="F313" s="34"/>
      <c r="G313" s="35"/>
      <c r="H313" s="35"/>
      <c r="I313" s="6"/>
      <c r="J313" s="35"/>
    </row>
    <row r="314" spans="1:10" x14ac:dyDescent="0.35">
      <c r="A314" s="31"/>
      <c r="B314" s="38"/>
      <c r="C314" s="31"/>
      <c r="D314" s="32"/>
      <c r="E314" s="33"/>
      <c r="F314" s="34"/>
      <c r="G314" s="35"/>
      <c r="H314" s="35"/>
      <c r="I314" s="6"/>
      <c r="J314" s="39"/>
    </row>
    <row r="315" spans="1:10" x14ac:dyDescent="0.35">
      <c r="A315" s="31"/>
      <c r="B315" s="38"/>
      <c r="C315" s="31"/>
      <c r="D315" s="32"/>
      <c r="E315" s="33"/>
      <c r="F315" s="34"/>
      <c r="G315" s="35"/>
      <c r="H315" s="35"/>
      <c r="I315" s="6"/>
      <c r="J315" s="35"/>
    </row>
    <row r="316" spans="1:10" x14ac:dyDescent="0.35">
      <c r="A316" s="31"/>
      <c r="B316" s="38"/>
      <c r="C316" s="31"/>
      <c r="D316" s="32"/>
      <c r="E316" s="33"/>
      <c r="F316" s="34"/>
      <c r="G316" s="35"/>
      <c r="H316" s="35"/>
      <c r="I316" s="6"/>
      <c r="J316" s="35"/>
    </row>
    <row r="317" spans="1:10" x14ac:dyDescent="0.35">
      <c r="A317" s="31"/>
      <c r="B317" s="38"/>
      <c r="C317" s="31"/>
      <c r="D317" s="32"/>
      <c r="E317" s="33"/>
      <c r="F317" s="34"/>
      <c r="G317" s="35"/>
      <c r="H317" s="35"/>
      <c r="I317" s="6"/>
      <c r="J317" s="35"/>
    </row>
    <row r="318" spans="1:10" x14ac:dyDescent="0.35">
      <c r="A318" s="31"/>
      <c r="B318" s="38"/>
      <c r="C318" s="31"/>
      <c r="D318" s="32"/>
      <c r="E318" s="33"/>
      <c r="F318" s="34"/>
      <c r="G318" s="35"/>
      <c r="H318" s="35"/>
      <c r="I318" s="6"/>
      <c r="J318" s="35"/>
    </row>
    <row r="319" spans="1:10" x14ac:dyDescent="0.35">
      <c r="A319" s="31"/>
      <c r="B319" s="38"/>
      <c r="C319" s="31"/>
      <c r="D319" s="32"/>
      <c r="E319" s="33"/>
      <c r="F319" s="34"/>
      <c r="G319" s="35"/>
      <c r="H319" s="35"/>
      <c r="I319" s="6"/>
      <c r="J319" s="35"/>
    </row>
    <row r="320" spans="1:10" x14ac:dyDescent="0.35">
      <c r="A320" s="31"/>
      <c r="B320" s="38"/>
      <c r="C320" s="31"/>
      <c r="D320" s="32"/>
      <c r="E320" s="33"/>
      <c r="F320" s="34"/>
      <c r="G320" s="35"/>
      <c r="H320" s="35"/>
      <c r="I320" s="6"/>
      <c r="J320" s="35"/>
    </row>
    <row r="321" spans="1:10" x14ac:dyDescent="0.35">
      <c r="A321" s="31"/>
      <c r="B321" s="38"/>
      <c r="C321" s="31"/>
      <c r="D321" s="32"/>
      <c r="E321" s="33"/>
      <c r="F321" s="34"/>
      <c r="G321" s="35"/>
      <c r="H321" s="35"/>
      <c r="I321" s="6"/>
      <c r="J321" s="35"/>
    </row>
    <row r="322" spans="1:10" x14ac:dyDescent="0.35">
      <c r="A322" s="31"/>
      <c r="B322" s="38"/>
      <c r="C322" s="31"/>
      <c r="D322" s="32"/>
      <c r="E322" s="33"/>
      <c r="F322" s="34"/>
      <c r="G322" s="35"/>
      <c r="H322" s="35"/>
      <c r="I322" s="6"/>
      <c r="J322" s="35"/>
    </row>
    <row r="323" spans="1:10" x14ac:dyDescent="0.35">
      <c r="A323" s="31"/>
      <c r="B323" s="38"/>
      <c r="C323" s="31"/>
      <c r="D323" s="32"/>
      <c r="E323" s="33"/>
      <c r="F323" s="34"/>
      <c r="G323" s="35"/>
      <c r="H323" s="35"/>
      <c r="I323" s="6"/>
      <c r="J323" s="35"/>
    </row>
    <row r="324" spans="1:10" x14ac:dyDescent="0.35">
      <c r="A324" s="31"/>
      <c r="B324" s="38"/>
      <c r="C324" s="31"/>
      <c r="D324" s="32"/>
      <c r="E324" s="33"/>
      <c r="F324" s="34"/>
      <c r="G324" s="35"/>
      <c r="H324" s="35"/>
      <c r="I324" s="6"/>
      <c r="J324" s="35"/>
    </row>
    <row r="325" spans="1:10" x14ac:dyDescent="0.35">
      <c r="A325" s="31"/>
      <c r="B325" s="38"/>
      <c r="C325" s="31"/>
      <c r="D325" s="32"/>
      <c r="E325" s="33"/>
      <c r="F325" s="34"/>
      <c r="G325" s="35"/>
      <c r="H325" s="35"/>
      <c r="I325" s="6"/>
      <c r="J325" s="35"/>
    </row>
    <row r="326" spans="1:10" x14ac:dyDescent="0.35">
      <c r="A326" s="31"/>
      <c r="B326" s="38"/>
      <c r="C326" s="31"/>
      <c r="D326" s="32"/>
      <c r="E326" s="33"/>
      <c r="F326" s="34"/>
      <c r="G326" s="35"/>
      <c r="H326" s="35"/>
      <c r="I326" s="6"/>
      <c r="J326" s="35"/>
    </row>
    <row r="327" spans="1:10" x14ac:dyDescent="0.35">
      <c r="A327" s="31"/>
      <c r="B327" s="38"/>
      <c r="C327" s="31"/>
      <c r="D327" s="32"/>
      <c r="E327" s="33"/>
      <c r="F327" s="34"/>
      <c r="G327" s="35"/>
      <c r="H327" s="35"/>
      <c r="I327" s="6"/>
      <c r="J327" s="35"/>
    </row>
    <row r="328" spans="1:10" x14ac:dyDescent="0.35">
      <c r="A328" s="31"/>
      <c r="B328" s="38"/>
      <c r="C328" s="31"/>
      <c r="D328" s="32"/>
      <c r="E328" s="33"/>
      <c r="F328" s="34"/>
      <c r="G328" s="35"/>
      <c r="H328" s="35"/>
      <c r="I328" s="6"/>
      <c r="J328" s="35"/>
    </row>
    <row r="329" spans="1:10" x14ac:dyDescent="0.35">
      <c r="A329" s="31"/>
      <c r="B329" s="38"/>
      <c r="C329" s="31"/>
      <c r="D329" s="32"/>
      <c r="E329" s="40"/>
      <c r="F329" s="34"/>
      <c r="G329" s="41"/>
      <c r="H329" s="35"/>
      <c r="I329" s="6"/>
      <c r="J329" s="32"/>
    </row>
    <row r="330" spans="1:10" x14ac:dyDescent="0.35">
      <c r="A330" s="31"/>
      <c r="B330" s="38"/>
      <c r="C330" s="31"/>
      <c r="D330" s="32"/>
      <c r="E330" s="40"/>
      <c r="F330" s="34"/>
      <c r="G330" s="41"/>
      <c r="H330" s="35"/>
      <c r="I330" s="6"/>
      <c r="J330" s="32"/>
    </row>
    <row r="331" spans="1:10" x14ac:dyDescent="0.35">
      <c r="A331" s="31"/>
      <c r="B331" s="38"/>
      <c r="C331" s="31"/>
      <c r="D331" s="32"/>
      <c r="E331" s="40"/>
      <c r="F331" s="34"/>
      <c r="G331" s="41"/>
      <c r="H331" s="35"/>
      <c r="I331" s="6"/>
      <c r="J331" s="32"/>
    </row>
    <row r="332" spans="1:10" x14ac:dyDescent="0.35">
      <c r="A332" s="31"/>
      <c r="B332" s="38"/>
      <c r="C332" s="31"/>
      <c r="D332" s="32"/>
      <c r="E332" s="40"/>
      <c r="F332" s="34"/>
      <c r="G332" s="41"/>
      <c r="H332" s="35"/>
      <c r="I332" s="6"/>
      <c r="J332" s="32"/>
    </row>
    <row r="333" spans="1:10" x14ac:dyDescent="0.35">
      <c r="A333" s="31"/>
      <c r="B333" s="38"/>
      <c r="C333" s="31"/>
      <c r="D333" s="32"/>
      <c r="E333" s="40"/>
      <c r="F333" s="34"/>
      <c r="G333" s="41"/>
      <c r="H333" s="35"/>
      <c r="I333" s="6"/>
      <c r="J333" s="32"/>
    </row>
    <row r="334" spans="1:10" x14ac:dyDescent="0.35">
      <c r="A334" s="31"/>
      <c r="B334" s="38"/>
      <c r="C334" s="31"/>
      <c r="D334" s="32"/>
      <c r="E334" s="40"/>
      <c r="F334" s="34"/>
      <c r="G334" s="41"/>
      <c r="H334" s="35"/>
      <c r="I334" s="6"/>
      <c r="J334" s="32"/>
    </row>
    <row r="335" spans="1:10" x14ac:dyDescent="0.35">
      <c r="A335" s="31"/>
      <c r="B335" s="38"/>
      <c r="C335" s="31"/>
      <c r="D335" s="32"/>
      <c r="E335" s="40"/>
      <c r="F335" s="34"/>
      <c r="G335" s="41"/>
      <c r="H335" s="35"/>
      <c r="I335" s="6"/>
      <c r="J335" s="32"/>
    </row>
    <row r="336" spans="1:10" x14ac:dyDescent="0.35">
      <c r="A336" s="31"/>
      <c r="B336" s="38"/>
      <c r="C336" s="31"/>
      <c r="D336" s="32"/>
      <c r="E336" s="40"/>
      <c r="F336" s="34"/>
      <c r="G336" s="41"/>
      <c r="H336" s="35"/>
      <c r="I336" s="6"/>
      <c r="J336" s="32"/>
    </row>
    <row r="337" spans="1:10" x14ac:dyDescent="0.35">
      <c r="A337" s="31"/>
      <c r="B337" s="38"/>
      <c r="C337" s="31"/>
      <c r="D337" s="32"/>
      <c r="E337" s="40"/>
      <c r="F337" s="34"/>
      <c r="G337" s="41"/>
      <c r="H337" s="35"/>
      <c r="I337" s="6"/>
      <c r="J337" s="32"/>
    </row>
    <row r="338" spans="1:10" x14ac:dyDescent="0.35">
      <c r="A338" s="31"/>
      <c r="B338" s="38"/>
      <c r="C338" s="31"/>
      <c r="D338" s="32"/>
      <c r="E338" s="40"/>
      <c r="F338" s="34"/>
      <c r="G338" s="41"/>
      <c r="H338" s="35"/>
      <c r="I338" s="6"/>
      <c r="J338" s="32"/>
    </row>
    <row r="339" spans="1:10" x14ac:dyDescent="0.35">
      <c r="A339" s="31"/>
      <c r="B339" s="38"/>
      <c r="C339" s="32"/>
      <c r="D339" s="32"/>
      <c r="E339" s="33"/>
      <c r="F339" s="34"/>
      <c r="G339" s="35"/>
      <c r="H339" s="35"/>
      <c r="I339" s="6"/>
      <c r="J339" s="35"/>
    </row>
    <row r="340" spans="1:10" x14ac:dyDescent="0.35">
      <c r="A340" s="31"/>
      <c r="B340" s="38"/>
      <c r="C340" s="32"/>
      <c r="D340" s="32"/>
      <c r="E340" s="33"/>
      <c r="F340" s="34"/>
      <c r="G340" s="39"/>
      <c r="H340" s="35"/>
      <c r="I340" s="6"/>
      <c r="J340" s="39"/>
    </row>
    <row r="341" spans="1:10" x14ac:dyDescent="0.35">
      <c r="A341" s="31"/>
      <c r="B341" s="38"/>
      <c r="C341" s="32"/>
      <c r="D341" s="32"/>
      <c r="E341" s="33"/>
      <c r="F341" s="34"/>
      <c r="G341" s="35"/>
      <c r="H341" s="35"/>
      <c r="I341" s="6"/>
      <c r="J341" s="35"/>
    </row>
    <row r="342" spans="1:10" x14ac:dyDescent="0.35">
      <c r="A342" s="42"/>
      <c r="B342" s="38"/>
      <c r="C342" s="32"/>
      <c r="D342" s="32"/>
      <c r="E342" s="33"/>
      <c r="F342" s="34"/>
      <c r="G342" s="43"/>
      <c r="H342" s="35"/>
      <c r="I342" s="6"/>
      <c r="J342" s="43"/>
    </row>
    <row r="343" spans="1:10" x14ac:dyDescent="0.35">
      <c r="A343" s="31"/>
      <c r="B343" s="38"/>
      <c r="C343" s="32"/>
      <c r="D343" s="32"/>
      <c r="E343" s="33"/>
      <c r="F343" s="34"/>
      <c r="G343" s="35"/>
      <c r="H343" s="35"/>
      <c r="I343" s="6"/>
      <c r="J343" s="35"/>
    </row>
    <row r="344" spans="1:10" x14ac:dyDescent="0.35">
      <c r="A344" s="42"/>
      <c r="B344" s="38"/>
      <c r="C344" s="32"/>
      <c r="D344" s="32"/>
      <c r="E344" s="33"/>
      <c r="F344" s="34"/>
      <c r="G344" s="43"/>
      <c r="H344" s="35"/>
      <c r="I344" s="6"/>
      <c r="J344" s="43"/>
    </row>
    <row r="345" spans="1:10" x14ac:dyDescent="0.35">
      <c r="A345" s="44"/>
      <c r="B345" s="38"/>
      <c r="C345" s="32"/>
      <c r="D345" s="32"/>
      <c r="E345" s="33"/>
      <c r="F345" s="34"/>
      <c r="G345" s="35"/>
      <c r="H345" s="35"/>
      <c r="I345" s="6"/>
      <c r="J345" s="45"/>
    </row>
    <row r="346" spans="1:10" x14ac:dyDescent="0.35">
      <c r="A346" s="44"/>
      <c r="B346" s="38"/>
      <c r="C346" s="32"/>
      <c r="D346" s="32"/>
      <c r="E346" s="33"/>
      <c r="F346" s="34"/>
      <c r="G346" s="35"/>
      <c r="H346" s="35"/>
      <c r="I346" s="6"/>
      <c r="J346" s="45"/>
    </row>
    <row r="347" spans="1:10" x14ac:dyDescent="0.35">
      <c r="A347" s="44"/>
      <c r="B347" s="38"/>
      <c r="C347" s="32"/>
      <c r="D347" s="32"/>
      <c r="E347" s="33"/>
      <c r="F347" s="34"/>
      <c r="G347" s="35"/>
      <c r="H347" s="35"/>
      <c r="I347" s="6"/>
      <c r="J347" s="45"/>
    </row>
    <row r="348" spans="1:10" x14ac:dyDescent="0.35">
      <c r="A348" s="44"/>
      <c r="B348" s="38"/>
      <c r="C348" s="32"/>
      <c r="D348" s="32"/>
      <c r="E348" s="33"/>
      <c r="F348" s="34"/>
      <c r="G348" s="35"/>
      <c r="H348" s="35"/>
      <c r="I348" s="6"/>
      <c r="J348" s="45"/>
    </row>
    <row r="349" spans="1:10" x14ac:dyDescent="0.35">
      <c r="A349" s="31"/>
      <c r="B349" s="38"/>
      <c r="C349" s="32"/>
      <c r="D349" s="32"/>
      <c r="E349" s="33"/>
      <c r="F349" s="34"/>
      <c r="G349" s="35"/>
      <c r="H349" s="35"/>
      <c r="I349" s="6"/>
      <c r="J349" s="39"/>
    </row>
    <row r="350" spans="1:10" x14ac:dyDescent="0.35">
      <c r="A350" s="31"/>
      <c r="B350" s="38"/>
      <c r="C350" s="32"/>
      <c r="D350" s="32"/>
      <c r="E350" s="33"/>
      <c r="F350" s="34"/>
      <c r="G350" s="35"/>
      <c r="H350" s="35"/>
      <c r="I350" s="6"/>
      <c r="J350" s="35"/>
    </row>
    <row r="351" spans="1:10" x14ac:dyDescent="0.35">
      <c r="A351" s="31"/>
      <c r="B351" s="38"/>
      <c r="C351" s="32"/>
      <c r="D351" s="32"/>
      <c r="E351" s="33"/>
      <c r="F351" s="34"/>
      <c r="G351" s="35"/>
      <c r="H351" s="35"/>
      <c r="I351" s="6"/>
      <c r="J351" s="35"/>
    </row>
    <row r="352" spans="1:10" x14ac:dyDescent="0.35">
      <c r="A352" s="31"/>
      <c r="B352" s="38"/>
      <c r="C352" s="32"/>
      <c r="D352" s="32"/>
      <c r="E352" s="33"/>
      <c r="F352" s="34"/>
      <c r="G352" s="35"/>
      <c r="H352" s="41"/>
      <c r="I352" s="6"/>
      <c r="J352" s="35"/>
    </row>
    <row r="353" spans="1:10" x14ac:dyDescent="0.35">
      <c r="A353" s="31"/>
      <c r="B353" s="38"/>
      <c r="C353" s="32"/>
      <c r="D353" s="32"/>
      <c r="E353" s="33"/>
      <c r="F353" s="34"/>
      <c r="G353" s="35"/>
      <c r="H353" s="41"/>
      <c r="I353" s="6"/>
      <c r="J353" s="35"/>
    </row>
    <row r="354" spans="1:10" x14ac:dyDescent="0.35">
      <c r="A354" s="31"/>
      <c r="B354" s="38"/>
      <c r="C354" s="32"/>
      <c r="D354" s="32"/>
      <c r="E354" s="33"/>
      <c r="F354" s="34"/>
      <c r="G354" s="35"/>
      <c r="H354" s="41"/>
      <c r="I354" s="6"/>
      <c r="J354" s="35"/>
    </row>
    <row r="355" spans="1:10" x14ac:dyDescent="0.35">
      <c r="A355" s="31"/>
      <c r="B355" s="38"/>
      <c r="C355" s="32"/>
      <c r="D355" s="32"/>
      <c r="E355" s="33"/>
      <c r="F355" s="34"/>
      <c r="G355" s="35"/>
      <c r="H355" s="41"/>
      <c r="I355" s="6"/>
      <c r="J355" s="35"/>
    </row>
    <row r="356" spans="1:10" x14ac:dyDescent="0.35">
      <c r="A356" s="31"/>
      <c r="B356" s="38"/>
      <c r="C356" s="32"/>
      <c r="D356" s="32"/>
      <c r="E356" s="33"/>
      <c r="F356" s="34"/>
      <c r="G356" s="35"/>
      <c r="H356" s="41"/>
      <c r="I356" s="6"/>
      <c r="J356" s="35"/>
    </row>
    <row r="357" spans="1:10" x14ac:dyDescent="0.35">
      <c r="A357" s="31"/>
      <c r="B357" s="38"/>
      <c r="C357" s="32"/>
      <c r="D357" s="32"/>
      <c r="E357" s="33"/>
      <c r="F357" s="34"/>
      <c r="G357" s="35"/>
      <c r="H357" s="41"/>
      <c r="I357" s="6"/>
      <c r="J357" s="35"/>
    </row>
    <row r="358" spans="1:10" x14ac:dyDescent="0.35">
      <c r="A358" s="31"/>
      <c r="B358" s="38"/>
      <c r="C358" s="32"/>
      <c r="D358" s="32"/>
      <c r="E358" s="33"/>
      <c r="F358" s="34"/>
      <c r="G358" s="35"/>
      <c r="H358" s="41"/>
      <c r="I358" s="6"/>
      <c r="J358" s="35"/>
    </row>
    <row r="359" spans="1:10" x14ac:dyDescent="0.35">
      <c r="A359" s="31"/>
      <c r="B359" s="38"/>
      <c r="C359" s="32"/>
      <c r="D359" s="32"/>
      <c r="E359" s="33"/>
      <c r="F359" s="34"/>
      <c r="G359" s="35"/>
      <c r="H359" s="41"/>
      <c r="I359" s="6"/>
      <c r="J359" s="35"/>
    </row>
    <row r="360" spans="1:10" x14ac:dyDescent="0.35">
      <c r="A360" s="31"/>
      <c r="B360" s="38"/>
      <c r="C360" s="32"/>
      <c r="D360" s="32"/>
      <c r="E360" s="33"/>
      <c r="F360" s="34"/>
      <c r="G360" s="35"/>
      <c r="H360" s="41"/>
      <c r="I360" s="6"/>
      <c r="J360" s="35"/>
    </row>
    <row r="361" spans="1:10" x14ac:dyDescent="0.35">
      <c r="A361" s="31"/>
      <c r="B361" s="38"/>
      <c r="C361" s="32"/>
      <c r="D361" s="32"/>
      <c r="E361" s="33"/>
      <c r="F361" s="34"/>
      <c r="G361" s="35"/>
      <c r="H361" s="41"/>
      <c r="I361" s="6"/>
      <c r="J361" s="35"/>
    </row>
    <row r="362" spans="1:10" x14ac:dyDescent="0.35">
      <c r="A362" s="31"/>
      <c r="B362" s="38"/>
      <c r="C362" s="32"/>
      <c r="D362" s="32"/>
      <c r="E362" s="33"/>
      <c r="F362" s="34"/>
      <c r="G362" s="35"/>
      <c r="H362" s="46"/>
      <c r="I362" s="6"/>
      <c r="J362" s="35"/>
    </row>
    <row r="363" spans="1:10" x14ac:dyDescent="0.35">
      <c r="A363" s="31"/>
      <c r="B363" s="38"/>
      <c r="C363" s="32"/>
      <c r="D363" s="32"/>
      <c r="E363" s="33"/>
      <c r="F363" s="34"/>
      <c r="G363" s="35"/>
      <c r="H363" s="46"/>
      <c r="I363" s="6"/>
      <c r="J363" s="35"/>
    </row>
    <row r="364" spans="1:10" x14ac:dyDescent="0.35">
      <c r="A364" s="31"/>
      <c r="B364" s="38"/>
      <c r="C364" s="32"/>
      <c r="D364" s="32"/>
      <c r="E364" s="33"/>
      <c r="F364" s="34"/>
      <c r="G364" s="35"/>
      <c r="H364" s="46"/>
      <c r="I364" s="6"/>
      <c r="J364" s="35"/>
    </row>
    <row r="365" spans="1:10" x14ac:dyDescent="0.35">
      <c r="A365" s="31"/>
      <c r="B365" s="38"/>
      <c r="C365" s="32"/>
      <c r="D365" s="32"/>
      <c r="E365" s="33"/>
      <c r="F365" s="34"/>
      <c r="G365" s="35"/>
      <c r="H365" s="46"/>
      <c r="I365" s="6"/>
      <c r="J365" s="35"/>
    </row>
    <row r="366" spans="1:10" x14ac:dyDescent="0.35">
      <c r="A366" s="31"/>
      <c r="B366" s="38"/>
      <c r="C366" s="32"/>
      <c r="D366" s="32"/>
      <c r="E366" s="33"/>
      <c r="F366" s="34"/>
      <c r="G366" s="35"/>
      <c r="H366" s="46"/>
      <c r="I366" s="6"/>
      <c r="J366" s="35"/>
    </row>
    <row r="367" spans="1:10" x14ac:dyDescent="0.35">
      <c r="A367" s="31"/>
      <c r="B367" s="38"/>
      <c r="C367" s="32"/>
      <c r="D367" s="32"/>
      <c r="E367" s="33"/>
      <c r="F367" s="34"/>
      <c r="G367" s="35"/>
      <c r="H367" s="46"/>
      <c r="I367" s="6"/>
      <c r="J367" s="35"/>
    </row>
    <row r="368" spans="1:10" x14ac:dyDescent="0.35">
      <c r="A368" s="31"/>
      <c r="B368" s="38"/>
      <c r="C368" s="32"/>
      <c r="D368" s="32"/>
      <c r="E368" s="33"/>
      <c r="F368" s="34"/>
      <c r="G368" s="35"/>
      <c r="H368" s="46"/>
      <c r="I368" s="6"/>
      <c r="J368" s="35"/>
    </row>
    <row r="369" spans="1:10" x14ac:dyDescent="0.35">
      <c r="A369" s="31"/>
      <c r="B369" s="38"/>
      <c r="C369" s="32"/>
      <c r="D369" s="32"/>
      <c r="E369" s="33"/>
      <c r="F369" s="34"/>
      <c r="G369" s="35"/>
      <c r="H369" s="46"/>
      <c r="I369" s="6"/>
      <c r="J369" s="35"/>
    </row>
    <row r="370" spans="1:10" x14ac:dyDescent="0.35">
      <c r="A370" s="31"/>
      <c r="B370" s="38"/>
      <c r="C370" s="32"/>
      <c r="D370" s="32"/>
      <c r="E370" s="33"/>
      <c r="F370" s="34"/>
      <c r="G370" s="35"/>
      <c r="H370" s="46"/>
      <c r="I370" s="6"/>
      <c r="J370" s="35"/>
    </row>
    <row r="371" spans="1:10" x14ac:dyDescent="0.35">
      <c r="A371" s="31"/>
      <c r="B371" s="38"/>
      <c r="C371" s="32"/>
      <c r="D371" s="32"/>
      <c r="E371" s="33"/>
      <c r="F371" s="34"/>
      <c r="G371" s="35"/>
      <c r="H371" s="46"/>
      <c r="I371" s="6"/>
      <c r="J371" s="35"/>
    </row>
    <row r="372" spans="1:10" x14ac:dyDescent="0.35">
      <c r="A372" s="31"/>
      <c r="B372" s="38"/>
      <c r="C372" s="32"/>
      <c r="D372" s="32"/>
      <c r="E372" s="33"/>
      <c r="F372" s="34"/>
      <c r="G372" s="35"/>
      <c r="H372" s="46"/>
      <c r="I372" s="6"/>
      <c r="J372" s="35"/>
    </row>
    <row r="373" spans="1:10" x14ac:dyDescent="0.35">
      <c r="A373" s="31"/>
      <c r="B373" s="38"/>
      <c r="C373" s="32"/>
      <c r="D373" s="32"/>
      <c r="E373" s="33"/>
      <c r="F373" s="34"/>
      <c r="G373" s="35"/>
      <c r="H373" s="46"/>
      <c r="I373" s="6"/>
      <c r="J373" s="35"/>
    </row>
    <row r="374" spans="1:10" x14ac:dyDescent="0.35">
      <c r="A374" s="31"/>
      <c r="B374" s="38"/>
      <c r="C374" s="32"/>
      <c r="D374" s="32"/>
      <c r="E374" s="33"/>
      <c r="F374" s="34"/>
      <c r="G374" s="35"/>
      <c r="H374" s="46"/>
      <c r="I374" s="6"/>
      <c r="J374" s="35"/>
    </row>
    <row r="375" spans="1:10" x14ac:dyDescent="0.35">
      <c r="A375" s="31"/>
      <c r="B375" s="38"/>
      <c r="C375" s="32"/>
      <c r="D375" s="32"/>
      <c r="E375" s="33"/>
      <c r="F375" s="34"/>
      <c r="G375" s="35"/>
      <c r="H375" s="46"/>
      <c r="I375" s="6"/>
      <c r="J375" s="35"/>
    </row>
    <row r="376" spans="1:10" x14ac:dyDescent="0.35">
      <c r="A376" s="31"/>
      <c r="B376" s="38"/>
      <c r="C376" s="32"/>
      <c r="D376" s="32"/>
      <c r="E376" s="33"/>
      <c r="F376" s="34"/>
      <c r="G376" s="35"/>
      <c r="H376" s="46"/>
      <c r="I376" s="6"/>
      <c r="J376" s="35"/>
    </row>
    <row r="377" spans="1:10" x14ac:dyDescent="0.35">
      <c r="A377" s="31"/>
      <c r="B377" s="38"/>
      <c r="C377" s="32"/>
      <c r="D377" s="32"/>
      <c r="E377" s="33"/>
      <c r="F377" s="34"/>
      <c r="G377" s="35"/>
      <c r="H377" s="46"/>
      <c r="I377" s="6"/>
      <c r="J377" s="35"/>
    </row>
    <row r="378" spans="1:10" x14ac:dyDescent="0.35">
      <c r="A378" s="31"/>
      <c r="B378" s="38"/>
      <c r="C378" s="32"/>
      <c r="D378" s="32"/>
      <c r="E378" s="33"/>
      <c r="F378" s="34"/>
      <c r="G378" s="35"/>
      <c r="H378" s="46"/>
      <c r="I378" s="6"/>
      <c r="J378" s="35"/>
    </row>
    <row r="379" spans="1:10" x14ac:dyDescent="0.35">
      <c r="A379" s="31"/>
      <c r="B379" s="38"/>
      <c r="C379" s="32"/>
      <c r="D379" s="32"/>
      <c r="E379" s="33"/>
      <c r="F379" s="34"/>
      <c r="G379" s="35"/>
      <c r="H379" s="46"/>
      <c r="I379" s="6"/>
      <c r="J379" s="35"/>
    </row>
    <row r="380" spans="1:10" x14ac:dyDescent="0.35">
      <c r="A380" s="31"/>
      <c r="B380" s="38"/>
      <c r="C380" s="32"/>
      <c r="D380" s="32"/>
      <c r="E380" s="33"/>
      <c r="F380" s="34"/>
      <c r="G380" s="35"/>
      <c r="H380" s="46"/>
      <c r="I380" s="6"/>
      <c r="J380" s="35"/>
    </row>
    <row r="381" spans="1:10" x14ac:dyDescent="0.35">
      <c r="A381" s="31"/>
      <c r="B381" s="38"/>
      <c r="C381" s="32"/>
      <c r="D381" s="32"/>
      <c r="E381" s="33"/>
      <c r="F381" s="34"/>
      <c r="G381" s="35"/>
      <c r="H381" s="46"/>
      <c r="I381" s="6"/>
      <c r="J381" s="35"/>
    </row>
    <row r="382" spans="1:10" x14ac:dyDescent="0.35">
      <c r="A382" s="31"/>
      <c r="B382" s="38"/>
      <c r="C382" s="32"/>
      <c r="D382" s="32"/>
      <c r="E382" s="33"/>
      <c r="F382" s="34"/>
      <c r="G382" s="35"/>
      <c r="H382" s="46"/>
      <c r="I382" s="6"/>
      <c r="J382" s="35"/>
    </row>
    <row r="383" spans="1:10" x14ac:dyDescent="0.35">
      <c r="A383" s="31"/>
      <c r="B383" s="38"/>
      <c r="C383" s="32"/>
      <c r="D383" s="32"/>
      <c r="E383" s="33"/>
      <c r="F383" s="34"/>
      <c r="G383" s="35"/>
      <c r="H383" s="46"/>
      <c r="I383" s="6"/>
      <c r="J383" s="35"/>
    </row>
    <row r="384" spans="1:10" x14ac:dyDescent="0.35">
      <c r="A384" s="31"/>
      <c r="B384" s="38"/>
      <c r="C384" s="32"/>
      <c r="D384" s="32"/>
      <c r="E384" s="33"/>
      <c r="F384" s="34"/>
      <c r="G384" s="35"/>
      <c r="H384" s="46"/>
      <c r="I384" s="6"/>
      <c r="J384" s="35"/>
    </row>
    <row r="385" spans="1:10" x14ac:dyDescent="0.35">
      <c r="A385" s="31"/>
      <c r="B385" s="38"/>
      <c r="C385" s="32"/>
      <c r="D385" s="32"/>
      <c r="E385" s="33"/>
      <c r="F385" s="34"/>
      <c r="G385" s="35"/>
      <c r="H385" s="46"/>
      <c r="I385" s="6"/>
      <c r="J385" s="35"/>
    </row>
    <row r="386" spans="1:10" x14ac:dyDescent="0.35">
      <c r="A386" s="31"/>
      <c r="B386" s="38"/>
      <c r="C386" s="32"/>
      <c r="D386" s="32"/>
      <c r="E386" s="33"/>
      <c r="F386" s="34"/>
      <c r="G386" s="35"/>
      <c r="H386" s="46"/>
      <c r="I386" s="6"/>
      <c r="J386" s="35"/>
    </row>
    <row r="387" spans="1:10" x14ac:dyDescent="0.35">
      <c r="A387" s="31"/>
      <c r="B387" s="38"/>
      <c r="C387" s="32"/>
      <c r="E387" s="33"/>
      <c r="F387" s="12"/>
      <c r="G387" s="35"/>
      <c r="I387" s="6"/>
      <c r="J387" s="35"/>
    </row>
    <row r="388" spans="1:10" x14ac:dyDescent="0.35">
      <c r="A388" s="31"/>
      <c r="B388" s="38"/>
      <c r="C388" s="32"/>
      <c r="E388" s="33"/>
      <c r="F388" s="12"/>
      <c r="G388" s="35"/>
      <c r="I388" s="6"/>
      <c r="J388" s="35"/>
    </row>
    <row r="389" spans="1:10" x14ac:dyDescent="0.35">
      <c r="A389" s="31"/>
      <c r="B389" s="38"/>
      <c r="C389" s="32"/>
      <c r="E389" s="33"/>
      <c r="F389" s="12"/>
      <c r="G389" s="35"/>
      <c r="I389" s="6"/>
      <c r="J389" s="35"/>
    </row>
    <row r="390" spans="1:10" x14ac:dyDescent="0.35">
      <c r="A390" s="31"/>
      <c r="B390" s="38"/>
      <c r="C390" s="32"/>
      <c r="E390" s="33"/>
      <c r="F390" s="12"/>
      <c r="G390" s="35"/>
      <c r="I390" s="6"/>
      <c r="J390" s="35"/>
    </row>
    <row r="391" spans="1:10" x14ac:dyDescent="0.35">
      <c r="A391" s="31"/>
      <c r="B391" s="38"/>
      <c r="C391" s="32"/>
      <c r="E391" s="33"/>
      <c r="F391" s="12"/>
      <c r="G391" s="35"/>
      <c r="I391" s="6"/>
      <c r="J391" s="35"/>
    </row>
    <row r="392" spans="1:10" x14ac:dyDescent="0.35">
      <c r="A392" s="31"/>
      <c r="B392" s="38"/>
      <c r="C392" s="32"/>
      <c r="E392" s="33"/>
      <c r="F392" s="12"/>
      <c r="G392" s="35"/>
      <c r="I392" s="6"/>
      <c r="J392" s="35"/>
    </row>
    <row r="393" spans="1:10" x14ac:dyDescent="0.35">
      <c r="A393" s="31"/>
      <c r="B393" s="38"/>
      <c r="C393" s="32"/>
      <c r="E393" s="33"/>
      <c r="F393" s="12"/>
      <c r="G393" s="35"/>
      <c r="I393" s="6"/>
      <c r="J393" s="35"/>
    </row>
    <row r="394" spans="1:10" x14ac:dyDescent="0.35">
      <c r="A394" s="31"/>
      <c r="B394" s="38"/>
      <c r="C394" s="32"/>
      <c r="E394" s="33"/>
      <c r="F394" s="12"/>
      <c r="G394" s="35"/>
      <c r="I394" s="6"/>
      <c r="J394" s="35"/>
    </row>
    <row r="395" spans="1:10" x14ac:dyDescent="0.35">
      <c r="A395" s="31"/>
      <c r="B395" s="38"/>
      <c r="C395" s="32"/>
      <c r="E395" s="33"/>
      <c r="F395" s="12"/>
      <c r="G395" s="35"/>
      <c r="I395" s="6"/>
      <c r="J395" s="35"/>
    </row>
    <row r="396" spans="1:10" x14ac:dyDescent="0.35">
      <c r="A396" s="31"/>
      <c r="B396" s="38"/>
      <c r="C396" s="32"/>
      <c r="E396" s="33"/>
      <c r="F396" s="12"/>
      <c r="G396" s="35"/>
      <c r="I396" s="6"/>
      <c r="J396" s="35"/>
    </row>
    <row r="397" spans="1:10" x14ac:dyDescent="0.35">
      <c r="A397" s="31"/>
      <c r="B397" s="38"/>
      <c r="C397" s="32"/>
      <c r="E397" s="33"/>
      <c r="F397" s="12"/>
      <c r="G397" s="35"/>
      <c r="I397" s="6"/>
      <c r="J397" s="35"/>
    </row>
    <row r="398" spans="1:10" x14ac:dyDescent="0.35">
      <c r="A398" s="31"/>
      <c r="B398" s="38"/>
      <c r="C398" s="32"/>
      <c r="E398" s="33"/>
      <c r="F398" s="12"/>
      <c r="G398" s="35"/>
      <c r="I398" s="6"/>
      <c r="J398" s="35"/>
    </row>
    <row r="399" spans="1:10" x14ac:dyDescent="0.35">
      <c r="A399" s="31"/>
      <c r="B399" s="38"/>
      <c r="C399" s="32"/>
      <c r="E399" s="33"/>
      <c r="F399" s="12"/>
      <c r="G399" s="35"/>
      <c r="I399" s="6"/>
      <c r="J399" s="35"/>
    </row>
    <row r="400" spans="1:10" x14ac:dyDescent="0.35">
      <c r="A400" s="31"/>
      <c r="B400" s="38"/>
      <c r="C400" s="32"/>
      <c r="E400" s="33"/>
      <c r="F400" s="12"/>
      <c r="G400" s="35"/>
      <c r="I400" s="6"/>
      <c r="J400" s="35"/>
    </row>
    <row r="401" spans="1:10" x14ac:dyDescent="0.35">
      <c r="A401" s="31"/>
      <c r="B401" s="38"/>
      <c r="C401" s="32"/>
      <c r="E401" s="33"/>
      <c r="F401" s="12"/>
      <c r="G401" s="35"/>
      <c r="I401" s="6"/>
      <c r="J401" s="35"/>
    </row>
    <row r="402" spans="1:10" x14ac:dyDescent="0.35">
      <c r="A402" s="31"/>
      <c r="B402" s="38"/>
      <c r="C402" s="32"/>
      <c r="E402" s="33"/>
      <c r="F402" s="12"/>
      <c r="G402" s="35"/>
      <c r="I402" s="6"/>
      <c r="J402" s="35"/>
    </row>
    <row r="403" spans="1:10" x14ac:dyDescent="0.35">
      <c r="A403" s="31"/>
      <c r="B403" s="38"/>
      <c r="C403" s="32"/>
      <c r="E403" s="33"/>
      <c r="F403" s="12"/>
      <c r="G403" s="35"/>
      <c r="I403" s="6"/>
      <c r="J403" s="35"/>
    </row>
    <row r="404" spans="1:10" x14ac:dyDescent="0.35">
      <c r="A404" s="31"/>
      <c r="B404" s="38"/>
      <c r="C404" s="32"/>
      <c r="E404" s="33"/>
      <c r="F404" s="12"/>
      <c r="G404" s="35"/>
      <c r="I404" s="6"/>
      <c r="J404" s="35"/>
    </row>
    <row r="405" spans="1:10" x14ac:dyDescent="0.35">
      <c r="A405" s="31"/>
      <c r="B405" s="38"/>
      <c r="C405" s="32"/>
      <c r="E405" s="33"/>
      <c r="F405" s="12"/>
      <c r="G405" s="35"/>
      <c r="I405" s="6"/>
      <c r="J405" s="35"/>
    </row>
    <row r="406" spans="1:10" x14ac:dyDescent="0.35">
      <c r="A406" s="31"/>
      <c r="B406" s="38"/>
      <c r="C406" s="32"/>
      <c r="E406" s="33"/>
      <c r="F406" s="12"/>
      <c r="G406" s="35"/>
      <c r="I406" s="6"/>
      <c r="J406" s="35"/>
    </row>
    <row r="407" spans="1:10" x14ac:dyDescent="0.35">
      <c r="A407" s="31"/>
      <c r="B407" s="38"/>
      <c r="C407" s="32"/>
      <c r="E407" s="33"/>
      <c r="F407" s="12"/>
      <c r="G407" s="35"/>
      <c r="I407" s="6"/>
      <c r="J407" s="35"/>
    </row>
    <row r="408" spans="1:10" x14ac:dyDescent="0.35">
      <c r="A408" s="31"/>
      <c r="B408" s="38"/>
      <c r="C408" s="32"/>
      <c r="E408" s="33"/>
      <c r="F408" s="12"/>
      <c r="G408" s="35"/>
      <c r="I408" s="6"/>
      <c r="J408" s="35"/>
    </row>
    <row r="409" spans="1:10" x14ac:dyDescent="0.35">
      <c r="A409" s="31"/>
      <c r="B409" s="38"/>
      <c r="C409" s="32"/>
      <c r="E409" s="33"/>
      <c r="F409" s="12"/>
      <c r="G409" s="35"/>
      <c r="I409" s="6"/>
      <c r="J409" s="35"/>
    </row>
    <row r="410" spans="1:10" x14ac:dyDescent="0.35">
      <c r="A410" s="31"/>
      <c r="B410" s="38"/>
      <c r="C410" s="32"/>
      <c r="E410" s="33"/>
      <c r="F410" s="12"/>
      <c r="G410" s="35"/>
      <c r="I410" s="6"/>
      <c r="J410" s="35"/>
    </row>
    <row r="411" spans="1:10" x14ac:dyDescent="0.35">
      <c r="A411" s="31"/>
      <c r="B411" s="38"/>
      <c r="C411" s="32"/>
      <c r="E411" s="33"/>
      <c r="F411" s="12"/>
      <c r="G411" s="35"/>
      <c r="I411" s="6"/>
      <c r="J411" s="35"/>
    </row>
    <row r="412" spans="1:10" x14ac:dyDescent="0.35">
      <c r="A412" s="31"/>
      <c r="B412" s="38"/>
      <c r="C412" s="32"/>
      <c r="E412" s="33"/>
      <c r="F412" s="12"/>
      <c r="G412" s="35"/>
      <c r="I412" s="6"/>
      <c r="J412" s="35"/>
    </row>
    <row r="413" spans="1:10" x14ac:dyDescent="0.35">
      <c r="A413" s="31"/>
      <c r="B413" s="38"/>
      <c r="C413" s="32"/>
      <c r="E413" s="33"/>
      <c r="F413" s="12"/>
      <c r="G413" s="35"/>
      <c r="I413" s="6"/>
      <c r="J413" s="35"/>
    </row>
    <row r="414" spans="1:10" x14ac:dyDescent="0.35">
      <c r="A414" s="31"/>
      <c r="B414" s="38"/>
      <c r="C414" s="32"/>
      <c r="E414" s="33"/>
      <c r="F414" s="12"/>
      <c r="G414" s="35"/>
      <c r="I414" s="6"/>
      <c r="J414" s="35"/>
    </row>
    <row r="415" spans="1:10" x14ac:dyDescent="0.35">
      <c r="A415" s="31"/>
      <c r="B415" s="38"/>
      <c r="C415" s="32"/>
      <c r="E415" s="33"/>
      <c r="F415" s="12"/>
      <c r="G415" s="35"/>
      <c r="I415" s="6"/>
      <c r="J415" s="35"/>
    </row>
    <row r="416" spans="1:10" x14ac:dyDescent="0.35">
      <c r="A416" s="31"/>
      <c r="B416" s="38"/>
      <c r="C416" s="32"/>
      <c r="E416" s="33"/>
      <c r="F416" s="12"/>
      <c r="G416" s="35"/>
      <c r="I416" s="6"/>
      <c r="J416" s="35"/>
    </row>
    <row r="417" spans="1:10" x14ac:dyDescent="0.35">
      <c r="A417" s="31"/>
      <c r="B417" s="38"/>
      <c r="C417" s="32"/>
      <c r="E417" s="33"/>
      <c r="F417" s="12"/>
      <c r="G417" s="35"/>
      <c r="I417" s="6"/>
      <c r="J417" s="35"/>
    </row>
    <row r="418" spans="1:10" x14ac:dyDescent="0.35">
      <c r="A418" s="31"/>
      <c r="B418" s="38"/>
      <c r="C418" s="32"/>
      <c r="E418" s="33"/>
      <c r="F418" s="12"/>
      <c r="G418" s="35"/>
      <c r="I418" s="6"/>
      <c r="J418" s="35"/>
    </row>
    <row r="419" spans="1:10" x14ac:dyDescent="0.35">
      <c r="A419" s="31"/>
      <c r="B419" s="38"/>
      <c r="C419" s="32"/>
      <c r="E419" s="33"/>
      <c r="F419" s="12"/>
      <c r="G419" s="35"/>
      <c r="I419" s="6"/>
      <c r="J419" s="35"/>
    </row>
    <row r="420" spans="1:10" x14ac:dyDescent="0.35">
      <c r="A420" s="31"/>
      <c r="B420" s="38"/>
      <c r="C420" s="32"/>
      <c r="E420" s="33"/>
      <c r="F420" s="12"/>
      <c r="G420" s="35"/>
      <c r="I420" s="6"/>
      <c r="J420" s="35"/>
    </row>
    <row r="421" spans="1:10" x14ac:dyDescent="0.35">
      <c r="A421" s="31"/>
      <c r="B421" s="38"/>
      <c r="C421" s="32"/>
      <c r="E421" s="33"/>
      <c r="F421" s="12"/>
      <c r="G421" s="35"/>
      <c r="I421" s="6"/>
      <c r="J421" s="35"/>
    </row>
    <row r="422" spans="1:10" x14ac:dyDescent="0.35">
      <c r="A422" s="31"/>
      <c r="B422" s="38"/>
      <c r="C422" s="32"/>
      <c r="E422" s="33"/>
      <c r="F422" s="12"/>
      <c r="G422" s="35"/>
      <c r="I422" s="6"/>
      <c r="J422" s="35"/>
    </row>
    <row r="423" spans="1:10" x14ac:dyDescent="0.35">
      <c r="A423" s="31"/>
      <c r="B423" s="38"/>
      <c r="C423" s="32"/>
      <c r="E423" s="33"/>
      <c r="F423" s="12"/>
      <c r="G423" s="35"/>
      <c r="I423" s="6"/>
      <c r="J423" s="35"/>
    </row>
    <row r="424" spans="1:10" x14ac:dyDescent="0.35">
      <c r="A424" s="31"/>
      <c r="B424" s="38"/>
      <c r="C424" s="32"/>
      <c r="E424" s="33"/>
      <c r="F424" s="12"/>
      <c r="G424" s="35"/>
      <c r="I424" s="6"/>
      <c r="J424" s="35"/>
    </row>
    <row r="425" spans="1:10" x14ac:dyDescent="0.35">
      <c r="A425" s="31"/>
      <c r="B425" s="38"/>
      <c r="C425" s="32"/>
      <c r="E425" s="33"/>
      <c r="F425" s="12"/>
      <c r="G425" s="35"/>
      <c r="I425" s="6"/>
      <c r="J425" s="35"/>
    </row>
    <row r="426" spans="1:10" x14ac:dyDescent="0.35">
      <c r="A426" s="31"/>
      <c r="B426" s="38"/>
      <c r="C426" s="32"/>
      <c r="E426" s="33"/>
      <c r="F426" s="12"/>
      <c r="G426" s="35"/>
      <c r="I426" s="6"/>
      <c r="J426" s="35"/>
    </row>
    <row r="427" spans="1:10" x14ac:dyDescent="0.35">
      <c r="A427" s="31"/>
      <c r="B427" s="38"/>
      <c r="C427" s="32"/>
      <c r="E427" s="33"/>
      <c r="F427" s="12"/>
      <c r="G427" s="35"/>
      <c r="I427" s="6"/>
      <c r="J427" s="35"/>
    </row>
    <row r="428" spans="1:10" x14ac:dyDescent="0.35">
      <c r="A428" s="31"/>
      <c r="B428" s="38"/>
      <c r="C428" s="32"/>
      <c r="E428" s="33"/>
      <c r="F428" s="12"/>
      <c r="G428" s="35"/>
      <c r="I428" s="6"/>
      <c r="J428" s="35"/>
    </row>
    <row r="429" spans="1:10" x14ac:dyDescent="0.35">
      <c r="A429" s="31"/>
      <c r="B429" s="38"/>
      <c r="C429" s="32"/>
      <c r="E429" s="33"/>
      <c r="F429" s="12"/>
      <c r="G429" s="35"/>
      <c r="I429" s="6"/>
      <c r="J429" s="35"/>
    </row>
    <row r="430" spans="1:10" x14ac:dyDescent="0.35">
      <c r="A430" s="31"/>
      <c r="B430" s="38"/>
      <c r="C430" s="32"/>
      <c r="E430" s="33"/>
      <c r="F430" s="12"/>
      <c r="G430" s="35"/>
      <c r="I430" s="6"/>
      <c r="J430" s="35"/>
    </row>
    <row r="431" spans="1:10" x14ac:dyDescent="0.35">
      <c r="A431" s="31"/>
      <c r="B431" s="38"/>
      <c r="C431" s="32"/>
      <c r="E431" s="33"/>
      <c r="F431" s="12"/>
      <c r="G431" s="35"/>
      <c r="I431" s="6"/>
      <c r="J431" s="35"/>
    </row>
    <row r="432" spans="1:10" x14ac:dyDescent="0.35">
      <c r="A432" s="31"/>
      <c r="B432" s="38"/>
      <c r="C432" s="32"/>
      <c r="E432" s="33"/>
      <c r="F432" s="12"/>
      <c r="G432" s="35"/>
      <c r="I432" s="6"/>
      <c r="J432" s="35"/>
    </row>
    <row r="433" spans="1:10" x14ac:dyDescent="0.35">
      <c r="A433" s="31"/>
      <c r="B433" s="38"/>
      <c r="C433" s="32"/>
      <c r="E433" s="33"/>
      <c r="F433" s="12"/>
      <c r="G433" s="35"/>
      <c r="I433" s="6"/>
      <c r="J433" s="35"/>
    </row>
    <row r="434" spans="1:10" x14ac:dyDescent="0.35">
      <c r="A434" s="31"/>
      <c r="B434" s="38"/>
      <c r="C434" s="32"/>
      <c r="E434" s="33"/>
      <c r="F434" s="12"/>
      <c r="G434" s="35"/>
      <c r="I434" s="6"/>
      <c r="J434" s="35"/>
    </row>
    <row r="435" spans="1:10" x14ac:dyDescent="0.35">
      <c r="A435" s="31"/>
      <c r="B435" s="38"/>
      <c r="C435" s="32"/>
      <c r="E435" s="33"/>
      <c r="F435" s="12"/>
      <c r="G435" s="35"/>
      <c r="I435" s="6"/>
      <c r="J435" s="35"/>
    </row>
    <row r="436" spans="1:10" x14ac:dyDescent="0.35">
      <c r="A436" s="31"/>
      <c r="B436" s="38"/>
      <c r="C436" s="32"/>
      <c r="E436" s="33"/>
      <c r="F436" s="12"/>
      <c r="G436" s="35"/>
      <c r="I436" s="6"/>
      <c r="J436" s="35"/>
    </row>
    <row r="437" spans="1:10" x14ac:dyDescent="0.35">
      <c r="A437" s="31"/>
      <c r="B437" s="38"/>
      <c r="C437" s="32"/>
      <c r="E437" s="33"/>
      <c r="F437" s="12"/>
      <c r="G437" s="35"/>
      <c r="I437" s="6"/>
      <c r="J437" s="35"/>
    </row>
    <row r="438" spans="1:10" x14ac:dyDescent="0.35">
      <c r="A438" s="31"/>
      <c r="B438" s="38"/>
      <c r="C438" s="32"/>
      <c r="E438" s="33"/>
      <c r="F438" s="12"/>
      <c r="G438" s="35"/>
      <c r="I438" s="6"/>
      <c r="J438" s="35"/>
    </row>
    <row r="439" spans="1:10" x14ac:dyDescent="0.35">
      <c r="A439" s="31"/>
      <c r="B439" s="38"/>
      <c r="C439" s="32"/>
      <c r="E439" s="33"/>
      <c r="F439" s="12"/>
      <c r="G439" s="35"/>
      <c r="I439" s="6"/>
      <c r="J439" s="35"/>
    </row>
    <row r="440" spans="1:10" x14ac:dyDescent="0.35">
      <c r="A440" s="31"/>
      <c r="B440" s="38"/>
      <c r="C440" s="32"/>
      <c r="E440" s="33"/>
      <c r="F440" s="12"/>
      <c r="G440" s="35"/>
      <c r="I440" s="6"/>
      <c r="J440" s="35"/>
    </row>
    <row r="441" spans="1:10" x14ac:dyDescent="0.35">
      <c r="A441" s="31"/>
      <c r="B441" s="38"/>
      <c r="C441" s="32"/>
      <c r="E441" s="33"/>
      <c r="F441" s="12"/>
      <c r="G441" s="35"/>
      <c r="I441" s="6"/>
      <c r="J441" s="35"/>
    </row>
    <row r="442" spans="1:10" x14ac:dyDescent="0.35">
      <c r="A442" s="31"/>
      <c r="B442" s="38"/>
      <c r="C442" s="32"/>
      <c r="E442" s="33"/>
      <c r="F442" s="12"/>
      <c r="G442" s="35"/>
      <c r="I442" s="6"/>
      <c r="J442" s="35"/>
    </row>
    <row r="443" spans="1:10" x14ac:dyDescent="0.35">
      <c r="A443" s="31"/>
      <c r="B443" s="38"/>
      <c r="C443" s="32"/>
      <c r="E443" s="33"/>
      <c r="F443" s="12"/>
      <c r="G443" s="35"/>
      <c r="I443" s="6"/>
      <c r="J443" s="35"/>
    </row>
    <row r="444" spans="1:10" x14ac:dyDescent="0.35">
      <c r="A444" s="31"/>
      <c r="B444" s="38"/>
      <c r="C444" s="32"/>
      <c r="E444" s="33"/>
      <c r="F444" s="12"/>
      <c r="G444" s="35"/>
      <c r="I444" s="6"/>
      <c r="J444" s="35"/>
    </row>
    <row r="445" spans="1:10" x14ac:dyDescent="0.35">
      <c r="A445" s="31"/>
      <c r="B445" s="38"/>
      <c r="C445" s="32"/>
      <c r="E445" s="33"/>
      <c r="F445" s="12"/>
      <c r="G445" s="35"/>
      <c r="I445" s="6"/>
      <c r="J445" s="35"/>
    </row>
    <row r="446" spans="1:10" x14ac:dyDescent="0.35">
      <c r="A446" s="31"/>
      <c r="B446" s="38"/>
      <c r="C446" s="32"/>
      <c r="E446" s="33"/>
      <c r="F446" s="12"/>
      <c r="G446" s="35"/>
      <c r="I446" s="6"/>
      <c r="J446" s="35"/>
    </row>
    <row r="447" spans="1:10" x14ac:dyDescent="0.35">
      <c r="A447" s="31"/>
      <c r="B447" s="38"/>
      <c r="C447" s="32"/>
      <c r="E447" s="33"/>
      <c r="F447" s="12"/>
      <c r="G447" s="35"/>
      <c r="I447" s="6"/>
      <c r="J447" s="35"/>
    </row>
    <row r="448" spans="1:10" x14ac:dyDescent="0.35">
      <c r="A448" s="31"/>
      <c r="B448" s="38"/>
      <c r="C448" s="32"/>
      <c r="E448" s="33"/>
      <c r="F448" s="12"/>
      <c r="G448" s="35"/>
      <c r="I448" s="6"/>
      <c r="J448" s="35"/>
    </row>
    <row r="449" spans="1:10" x14ac:dyDescent="0.35">
      <c r="A449" s="31"/>
      <c r="B449" s="38"/>
      <c r="C449" s="32"/>
      <c r="E449" s="33"/>
      <c r="F449" s="12"/>
      <c r="G449" s="35"/>
      <c r="I449" s="6"/>
      <c r="J449" s="35"/>
    </row>
    <row r="450" spans="1:10" x14ac:dyDescent="0.35">
      <c r="A450" s="31"/>
      <c r="B450" s="38"/>
      <c r="C450" s="32"/>
      <c r="E450" s="33"/>
      <c r="F450" s="12"/>
      <c r="G450" s="35"/>
      <c r="I450" s="6"/>
      <c r="J450" s="35"/>
    </row>
    <row r="451" spans="1:10" x14ac:dyDescent="0.35">
      <c r="A451" s="31"/>
      <c r="B451" s="38"/>
      <c r="C451" s="32"/>
      <c r="E451" s="33"/>
      <c r="F451" s="12"/>
      <c r="G451" s="35"/>
      <c r="I451" s="6"/>
      <c r="J451" s="39"/>
    </row>
    <row r="452" spans="1:10" x14ac:dyDescent="0.35">
      <c r="A452" s="31"/>
      <c r="B452" s="38"/>
      <c r="C452" s="32"/>
      <c r="E452" s="33"/>
      <c r="F452" s="12"/>
      <c r="G452" s="35"/>
      <c r="I452" s="6"/>
      <c r="J452" s="39"/>
    </row>
    <row r="453" spans="1:10" x14ac:dyDescent="0.35">
      <c r="A453" s="31"/>
      <c r="B453" s="38"/>
      <c r="C453" s="32"/>
      <c r="E453" s="33"/>
      <c r="F453" s="12"/>
      <c r="G453" s="35"/>
      <c r="I453" s="6"/>
      <c r="J453" s="35"/>
    </row>
    <row r="454" spans="1:10" x14ac:dyDescent="0.35">
      <c r="A454" s="31"/>
      <c r="B454" s="38"/>
      <c r="C454" s="32"/>
      <c r="E454" s="33"/>
      <c r="F454" s="12"/>
      <c r="G454" s="35"/>
      <c r="I454" s="6"/>
      <c r="J454" s="35"/>
    </row>
    <row r="455" spans="1:10" x14ac:dyDescent="0.35">
      <c r="A455" s="31"/>
      <c r="B455" s="38"/>
      <c r="C455" s="32"/>
      <c r="E455" s="33"/>
      <c r="F455" s="12"/>
      <c r="G455" s="35"/>
      <c r="I455" s="6"/>
      <c r="J455" s="35"/>
    </row>
    <row r="456" spans="1:10" x14ac:dyDescent="0.35">
      <c r="A456" s="31"/>
      <c r="B456" s="38"/>
      <c r="C456" s="32"/>
      <c r="E456" s="33"/>
      <c r="F456" s="12"/>
      <c r="G456" s="35"/>
      <c r="I456" s="6"/>
      <c r="J456" s="35"/>
    </row>
    <row r="457" spans="1:10" x14ac:dyDescent="0.35">
      <c r="A457" s="31"/>
      <c r="B457" s="38"/>
      <c r="C457" s="32"/>
      <c r="E457" s="33"/>
      <c r="F457" s="12"/>
      <c r="G457" s="35"/>
      <c r="I457" s="6"/>
      <c r="J457" s="35"/>
    </row>
    <row r="458" spans="1:10" x14ac:dyDescent="0.35">
      <c r="A458" s="31"/>
      <c r="B458" s="38"/>
      <c r="C458" s="32"/>
      <c r="E458" s="33"/>
      <c r="F458" s="12"/>
      <c r="G458" s="35"/>
      <c r="I458" s="6"/>
      <c r="J458" s="35"/>
    </row>
    <row r="459" spans="1:10" x14ac:dyDescent="0.35">
      <c r="A459" s="31"/>
      <c r="B459" s="38"/>
      <c r="C459" s="32"/>
      <c r="E459" s="33"/>
      <c r="F459" s="12"/>
      <c r="G459" s="35"/>
      <c r="I459" s="6"/>
      <c r="J459" s="35"/>
    </row>
    <row r="460" spans="1:10" x14ac:dyDescent="0.35">
      <c r="A460" s="31"/>
      <c r="B460" s="38"/>
      <c r="C460" s="32"/>
      <c r="E460" s="33"/>
      <c r="F460" s="12"/>
      <c r="G460" s="35"/>
      <c r="I460" s="6"/>
      <c r="J460" s="35"/>
    </row>
    <row r="461" spans="1:10" x14ac:dyDescent="0.35">
      <c r="A461" s="31"/>
      <c r="B461" s="38"/>
      <c r="C461" s="32"/>
      <c r="E461" s="33"/>
      <c r="F461" s="12"/>
      <c r="G461" s="35"/>
      <c r="I461" s="6"/>
      <c r="J461" s="35"/>
    </row>
    <row r="462" spans="1:10" x14ac:dyDescent="0.35">
      <c r="A462" s="31"/>
      <c r="B462" s="38"/>
      <c r="C462" s="32"/>
      <c r="E462" s="33"/>
      <c r="F462" s="12"/>
      <c r="G462" s="35"/>
      <c r="I462" s="6"/>
      <c r="J462" s="35"/>
    </row>
    <row r="463" spans="1:10" x14ac:dyDescent="0.35">
      <c r="A463" s="31"/>
      <c r="B463" s="38"/>
      <c r="C463" s="32"/>
      <c r="E463" s="33"/>
      <c r="F463" s="12"/>
      <c r="G463" s="35"/>
      <c r="I463" s="6"/>
      <c r="J463" s="35"/>
    </row>
    <row r="464" spans="1:10" x14ac:dyDescent="0.35">
      <c r="A464" s="31"/>
      <c r="B464" s="38"/>
      <c r="C464" s="32"/>
      <c r="E464" s="33"/>
      <c r="F464" s="12"/>
      <c r="G464" s="35"/>
      <c r="I464" s="6"/>
      <c r="J464" s="35"/>
    </row>
    <row r="465" spans="1:10" x14ac:dyDescent="0.35">
      <c r="A465" s="31"/>
      <c r="B465" s="38"/>
      <c r="C465" s="32"/>
      <c r="E465" s="33"/>
      <c r="F465" s="12"/>
      <c r="G465" s="35"/>
      <c r="I465" s="6"/>
      <c r="J465" s="35"/>
    </row>
    <row r="466" spans="1:10" x14ac:dyDescent="0.35">
      <c r="A466" s="31"/>
      <c r="B466" s="38"/>
      <c r="C466" s="32"/>
      <c r="E466" s="33"/>
      <c r="F466" s="12"/>
      <c r="G466" s="35"/>
      <c r="I466" s="6"/>
      <c r="J466" s="35"/>
    </row>
    <row r="467" spans="1:10" x14ac:dyDescent="0.35">
      <c r="A467" s="31"/>
      <c r="B467" s="38"/>
      <c r="C467" s="32"/>
      <c r="E467" s="33"/>
      <c r="F467" s="12"/>
      <c r="G467" s="35"/>
      <c r="I467" s="6"/>
      <c r="J467" s="35"/>
    </row>
    <row r="468" spans="1:10" x14ac:dyDescent="0.35">
      <c r="A468" s="31"/>
      <c r="B468" s="38"/>
      <c r="C468" s="32"/>
      <c r="E468" s="33"/>
      <c r="F468" s="12"/>
      <c r="G468" s="35"/>
      <c r="I468" s="6"/>
      <c r="J468" s="35"/>
    </row>
    <row r="469" spans="1:10" x14ac:dyDescent="0.35">
      <c r="A469" s="31"/>
      <c r="B469" s="38"/>
      <c r="C469" s="32"/>
      <c r="E469" s="33"/>
      <c r="F469" s="12"/>
      <c r="G469" s="35"/>
      <c r="I469" s="6"/>
      <c r="J469" s="35"/>
    </row>
    <row r="470" spans="1:10" x14ac:dyDescent="0.35">
      <c r="A470" s="31"/>
      <c r="B470" s="38"/>
      <c r="C470" s="32"/>
      <c r="E470" s="33"/>
      <c r="F470" s="12"/>
      <c r="G470" s="35"/>
      <c r="I470" s="6"/>
      <c r="J470" s="47"/>
    </row>
    <row r="471" spans="1:10" x14ac:dyDescent="0.35">
      <c r="A471" s="31"/>
      <c r="B471" s="38"/>
      <c r="C471" s="32"/>
      <c r="E471" s="48"/>
      <c r="F471" s="12"/>
      <c r="G471" s="49"/>
      <c r="I471" s="6"/>
      <c r="J471" s="49"/>
    </row>
    <row r="472" spans="1:10" x14ac:dyDescent="0.35">
      <c r="A472" s="31"/>
      <c r="B472" s="38"/>
      <c r="C472" s="32"/>
      <c r="E472" s="48"/>
      <c r="F472" s="12"/>
      <c r="G472" s="49"/>
      <c r="I472" s="6"/>
      <c r="J472" s="49"/>
    </row>
    <row r="473" spans="1:10" x14ac:dyDescent="0.35">
      <c r="A473" s="31"/>
      <c r="B473" s="38"/>
      <c r="C473" s="32"/>
      <c r="E473" s="48"/>
      <c r="F473" s="12"/>
      <c r="G473" s="49"/>
      <c r="I473" s="6"/>
      <c r="J473" s="49"/>
    </row>
    <row r="474" spans="1:10" x14ac:dyDescent="0.35">
      <c r="A474" s="31"/>
      <c r="B474" s="38"/>
      <c r="C474" s="32"/>
      <c r="E474" s="33"/>
      <c r="F474" s="12"/>
      <c r="G474" s="35"/>
      <c r="I474" s="6"/>
      <c r="J474" s="39"/>
    </row>
    <row r="475" spans="1:10" x14ac:dyDescent="0.35">
      <c r="A475" s="31"/>
      <c r="B475" s="38"/>
      <c r="C475" s="32"/>
      <c r="E475" s="33"/>
      <c r="F475" s="12"/>
      <c r="G475" s="35"/>
      <c r="I475" s="6"/>
      <c r="J475" s="47"/>
    </row>
    <row r="476" spans="1:10" x14ac:dyDescent="0.35">
      <c r="A476" s="31"/>
      <c r="B476" s="38"/>
      <c r="C476" s="32"/>
      <c r="E476" s="33"/>
      <c r="F476" s="12"/>
      <c r="G476" s="35"/>
      <c r="I476" s="6"/>
      <c r="J476" s="35"/>
    </row>
    <row r="477" spans="1:10" x14ac:dyDescent="0.35">
      <c r="A477" s="31"/>
      <c r="B477" s="38"/>
      <c r="C477" s="32"/>
      <c r="E477" s="33"/>
      <c r="F477" s="12"/>
      <c r="G477" s="35"/>
      <c r="I477" s="6"/>
      <c r="J477" s="35"/>
    </row>
    <row r="478" spans="1:10" x14ac:dyDescent="0.35">
      <c r="A478" s="31"/>
      <c r="B478" s="38"/>
      <c r="C478" s="32"/>
      <c r="E478" s="33"/>
      <c r="F478" s="12"/>
      <c r="G478" s="35"/>
      <c r="I478" s="6"/>
      <c r="J478" s="35"/>
    </row>
    <row r="479" spans="1:10" x14ac:dyDescent="0.35">
      <c r="A479" s="31"/>
      <c r="B479" s="38"/>
      <c r="C479" s="32"/>
      <c r="E479" s="33"/>
      <c r="F479" s="12"/>
      <c r="G479" s="35"/>
      <c r="I479" s="6"/>
      <c r="J479" s="35"/>
    </row>
    <row r="480" spans="1:10" x14ac:dyDescent="0.35">
      <c r="A480" s="31"/>
      <c r="B480" s="38"/>
      <c r="C480" s="32"/>
      <c r="E480" s="33"/>
      <c r="F480" s="12"/>
      <c r="G480" s="35"/>
      <c r="I480" s="6"/>
      <c r="J480" s="35"/>
    </row>
    <row r="481" spans="1:10" x14ac:dyDescent="0.35">
      <c r="A481" s="31"/>
      <c r="B481" s="38"/>
      <c r="C481" s="32"/>
      <c r="E481" s="33"/>
      <c r="F481" s="12"/>
      <c r="G481" s="35"/>
      <c r="I481" s="6"/>
      <c r="J481" s="35"/>
    </row>
    <row r="482" spans="1:10" x14ac:dyDescent="0.35">
      <c r="A482" s="31"/>
      <c r="B482" s="38"/>
      <c r="C482" s="32"/>
      <c r="E482" s="33"/>
      <c r="F482" s="12"/>
      <c r="G482" s="35"/>
      <c r="I482" s="6"/>
      <c r="J482" s="35"/>
    </row>
    <row r="483" spans="1:10" x14ac:dyDescent="0.35">
      <c r="A483" s="31"/>
      <c r="B483" s="38"/>
      <c r="C483" s="32"/>
      <c r="E483" s="33"/>
      <c r="F483" s="12"/>
      <c r="G483" s="35"/>
      <c r="I483" s="6"/>
      <c r="J483" s="35"/>
    </row>
    <row r="484" spans="1:10" x14ac:dyDescent="0.35">
      <c r="A484" s="31"/>
      <c r="B484" s="38"/>
      <c r="C484" s="32"/>
      <c r="E484" s="33"/>
      <c r="F484" s="12"/>
      <c r="G484" s="35"/>
      <c r="I484" s="6"/>
      <c r="J484" s="35"/>
    </row>
    <row r="485" spans="1:10" x14ac:dyDescent="0.35">
      <c r="A485" s="31"/>
      <c r="B485" s="38"/>
      <c r="C485" s="32"/>
      <c r="E485" s="33"/>
      <c r="F485" s="12"/>
      <c r="G485" s="35"/>
      <c r="I485" s="6"/>
      <c r="J485" s="35"/>
    </row>
    <row r="486" spans="1:10" x14ac:dyDescent="0.35">
      <c r="A486" s="31"/>
      <c r="B486" s="38"/>
      <c r="C486" s="32"/>
      <c r="E486" s="33"/>
      <c r="F486" s="12"/>
      <c r="G486" s="35"/>
      <c r="I486" s="6"/>
      <c r="J486" s="35"/>
    </row>
    <row r="487" spans="1:10" x14ac:dyDescent="0.35">
      <c r="A487" s="31"/>
      <c r="B487" s="38"/>
      <c r="C487" s="32"/>
      <c r="E487" s="33"/>
      <c r="F487" s="12"/>
      <c r="G487" s="35"/>
      <c r="I487" s="6"/>
      <c r="J487" s="35"/>
    </row>
    <row r="488" spans="1:10" x14ac:dyDescent="0.35">
      <c r="A488" s="31"/>
      <c r="B488" s="38"/>
      <c r="C488" s="32"/>
      <c r="E488" s="33"/>
      <c r="F488" s="12"/>
      <c r="G488" s="35"/>
      <c r="I488" s="6"/>
      <c r="J488" s="35"/>
    </row>
    <row r="489" spans="1:10" x14ac:dyDescent="0.35">
      <c r="A489" s="31"/>
      <c r="B489" s="38"/>
      <c r="C489" s="32"/>
      <c r="E489" s="33"/>
      <c r="F489" s="12"/>
      <c r="G489" s="35"/>
      <c r="I489" s="6"/>
      <c r="J489" s="35"/>
    </row>
    <row r="490" spans="1:10" x14ac:dyDescent="0.35">
      <c r="A490" s="31"/>
      <c r="B490" s="38"/>
      <c r="C490" s="32"/>
      <c r="E490" s="33"/>
      <c r="F490" s="12"/>
      <c r="G490" s="35"/>
      <c r="I490" s="6"/>
      <c r="J490" s="35"/>
    </row>
    <row r="491" spans="1:10" x14ac:dyDescent="0.35">
      <c r="A491" s="31"/>
      <c r="B491" s="38"/>
      <c r="C491" s="32"/>
      <c r="E491" s="33"/>
      <c r="F491" s="12"/>
      <c r="G491" s="35"/>
      <c r="I491" s="6"/>
      <c r="J491" s="35"/>
    </row>
    <row r="492" spans="1:10" x14ac:dyDescent="0.35">
      <c r="A492" s="31"/>
      <c r="B492" s="38"/>
      <c r="C492" s="32"/>
      <c r="E492" s="40"/>
      <c r="F492" s="12"/>
      <c r="G492" s="41"/>
      <c r="I492" s="6"/>
      <c r="J492" s="32"/>
    </row>
    <row r="493" spans="1:10" x14ac:dyDescent="0.35">
      <c r="A493" s="31"/>
      <c r="B493" s="38"/>
      <c r="C493" s="32"/>
      <c r="E493" s="40"/>
      <c r="F493" s="12"/>
      <c r="G493" s="41"/>
      <c r="I493" s="6"/>
      <c r="J493" s="32"/>
    </row>
    <row r="494" spans="1:10" x14ac:dyDescent="0.35">
      <c r="A494" s="31"/>
      <c r="B494" s="38"/>
      <c r="C494" s="32"/>
      <c r="E494" s="40"/>
      <c r="F494" s="12"/>
      <c r="G494" s="41"/>
      <c r="I494" s="6"/>
      <c r="J494" s="32"/>
    </row>
    <row r="495" spans="1:10" x14ac:dyDescent="0.35">
      <c r="A495" s="31"/>
      <c r="B495" s="38"/>
      <c r="C495" s="32"/>
      <c r="E495" s="40"/>
      <c r="F495" s="12"/>
      <c r="G495" s="41"/>
      <c r="I495" s="6"/>
      <c r="J495" s="32"/>
    </row>
    <row r="496" spans="1:10" x14ac:dyDescent="0.35">
      <c r="A496" s="31"/>
      <c r="B496" s="38"/>
      <c r="C496" s="32"/>
      <c r="E496" s="40"/>
      <c r="F496" s="12"/>
      <c r="G496" s="41"/>
      <c r="I496" s="6"/>
      <c r="J496" s="32"/>
    </row>
    <row r="497" spans="1:10" x14ac:dyDescent="0.35">
      <c r="A497" s="31"/>
      <c r="B497" s="38"/>
      <c r="C497" s="32"/>
      <c r="E497" s="40"/>
      <c r="F497" s="12"/>
      <c r="G497" s="41"/>
      <c r="I497" s="6"/>
      <c r="J497" s="32"/>
    </row>
    <row r="498" spans="1:10" x14ac:dyDescent="0.35">
      <c r="A498" s="31"/>
      <c r="B498" s="38"/>
      <c r="C498" s="32"/>
      <c r="E498" s="40"/>
      <c r="F498" s="12"/>
      <c r="G498" s="41"/>
      <c r="I498" s="6"/>
      <c r="J498" s="32"/>
    </row>
    <row r="499" spans="1:10" x14ac:dyDescent="0.35">
      <c r="A499" s="31"/>
      <c r="B499" s="38"/>
      <c r="C499" s="32"/>
      <c r="E499" s="40"/>
      <c r="F499" s="12"/>
      <c r="G499" s="41"/>
      <c r="I499" s="6"/>
      <c r="J499" s="32"/>
    </row>
    <row r="500" spans="1:10" x14ac:dyDescent="0.35">
      <c r="A500" s="31"/>
      <c r="B500" s="38"/>
      <c r="C500" s="32"/>
      <c r="E500" s="40"/>
      <c r="F500" s="12"/>
      <c r="G500" s="41"/>
      <c r="I500" s="6"/>
      <c r="J500" s="32"/>
    </row>
    <row r="501" spans="1:10" x14ac:dyDescent="0.35">
      <c r="A501" s="31"/>
      <c r="B501" s="38"/>
      <c r="C501" s="32"/>
      <c r="E501" s="40"/>
      <c r="F501" s="12"/>
      <c r="G501" s="41"/>
      <c r="I501" s="6"/>
      <c r="J501" s="32"/>
    </row>
    <row r="502" spans="1:10" x14ac:dyDescent="0.35">
      <c r="A502" s="31"/>
      <c r="B502" s="38"/>
      <c r="C502" s="32"/>
      <c r="E502" s="33"/>
      <c r="F502" s="12"/>
      <c r="G502" s="32"/>
      <c r="I502" s="6"/>
      <c r="J502" s="32"/>
    </row>
    <row r="503" spans="1:10" x14ac:dyDescent="0.35">
      <c r="A503" s="31"/>
      <c r="B503" s="38"/>
      <c r="C503" s="32"/>
      <c r="E503" s="33"/>
      <c r="F503" s="12"/>
      <c r="G503" s="32"/>
      <c r="I503" s="6"/>
      <c r="J503" s="32"/>
    </row>
    <row r="504" spans="1:10" x14ac:dyDescent="0.35">
      <c r="A504" s="31"/>
      <c r="B504" s="38"/>
      <c r="C504" s="32"/>
      <c r="E504" s="33"/>
      <c r="F504" s="12"/>
      <c r="G504" s="32"/>
      <c r="I504" s="6"/>
      <c r="J504" s="32"/>
    </row>
    <row r="505" spans="1:10" x14ac:dyDescent="0.35">
      <c r="A505" s="31"/>
      <c r="B505" s="38"/>
      <c r="C505" s="32"/>
      <c r="E505" s="33"/>
      <c r="F505" s="12"/>
      <c r="G505" s="32"/>
      <c r="I505" s="6"/>
      <c r="J505" s="32"/>
    </row>
    <row r="506" spans="1:10" x14ac:dyDescent="0.35">
      <c r="A506" s="31"/>
      <c r="B506" s="38"/>
      <c r="C506" s="32"/>
      <c r="E506" s="33"/>
      <c r="F506" s="12"/>
      <c r="G506" s="32"/>
      <c r="I506" s="6"/>
      <c r="J506" s="32"/>
    </row>
    <row r="507" spans="1:10" x14ac:dyDescent="0.35">
      <c r="A507" s="31"/>
      <c r="B507" s="38"/>
      <c r="C507" s="32"/>
      <c r="E507" s="33"/>
      <c r="F507" s="12"/>
      <c r="G507" s="32"/>
      <c r="I507" s="6"/>
      <c r="J507" s="32"/>
    </row>
    <row r="508" spans="1:10" x14ac:dyDescent="0.35">
      <c r="A508" s="31"/>
      <c r="B508" s="38"/>
      <c r="C508" s="32"/>
      <c r="E508" s="33"/>
      <c r="F508" s="12"/>
      <c r="G508" s="32"/>
      <c r="I508" s="6"/>
      <c r="J508" s="32"/>
    </row>
    <row r="509" spans="1:10" x14ac:dyDescent="0.35">
      <c r="A509" s="31"/>
      <c r="B509" s="38"/>
      <c r="C509" s="32"/>
      <c r="E509" s="33"/>
      <c r="F509" s="12"/>
      <c r="G509" s="32"/>
      <c r="I509" s="6"/>
      <c r="J509" s="32"/>
    </row>
    <row r="510" spans="1:10" x14ac:dyDescent="0.35">
      <c r="A510" s="31"/>
      <c r="B510" s="38"/>
      <c r="C510" s="32"/>
      <c r="E510" s="33"/>
      <c r="F510" s="12"/>
      <c r="G510" s="32"/>
      <c r="I510" s="6"/>
      <c r="J510" s="32"/>
    </row>
    <row r="511" spans="1:10" x14ac:dyDescent="0.35">
      <c r="A511" s="31"/>
      <c r="B511" s="38"/>
      <c r="C511" s="32"/>
      <c r="E511" s="33"/>
      <c r="F511" s="12"/>
      <c r="G511" s="35"/>
      <c r="I511" s="6"/>
      <c r="J511" s="32"/>
    </row>
    <row r="512" spans="1:10" x14ac:dyDescent="0.35">
      <c r="B512" s="38"/>
      <c r="F512" s="12"/>
      <c r="I512" s="6"/>
    </row>
    <row r="513" spans="2:9" x14ac:dyDescent="0.35">
      <c r="B513" s="38"/>
      <c r="F513" s="12"/>
      <c r="I513" s="6"/>
    </row>
    <row r="514" spans="2:9" x14ac:dyDescent="0.35">
      <c r="B514" s="38"/>
      <c r="F514" s="12"/>
      <c r="I514" s="6"/>
    </row>
    <row r="515" spans="2:9" x14ac:dyDescent="0.35">
      <c r="B515" s="38"/>
      <c r="F515" s="12"/>
      <c r="I515" s="6"/>
    </row>
    <row r="516" spans="2:9" x14ac:dyDescent="0.35">
      <c r="B516" s="38"/>
      <c r="F516" s="12"/>
      <c r="I516" s="6"/>
    </row>
    <row r="517" spans="2:9" x14ac:dyDescent="0.35">
      <c r="B517" s="38"/>
      <c r="F517" s="12"/>
      <c r="I517" s="6"/>
    </row>
    <row r="518" spans="2:9" x14ac:dyDescent="0.35">
      <c r="B518" s="38"/>
      <c r="F518" s="12"/>
      <c r="I518" s="6"/>
    </row>
    <row r="519" spans="2:9" x14ac:dyDescent="0.35">
      <c r="B519" s="38"/>
      <c r="F519" s="12"/>
      <c r="I519" s="6"/>
    </row>
    <row r="520" spans="2:9" x14ac:dyDescent="0.35">
      <c r="B520" s="38"/>
      <c r="F520" s="12"/>
      <c r="I520" s="6"/>
    </row>
    <row r="521" spans="2:9" x14ac:dyDescent="0.35">
      <c r="B521" s="38"/>
      <c r="F521" s="12"/>
      <c r="I521" s="6"/>
    </row>
    <row r="522" spans="2:9" x14ac:dyDescent="0.35">
      <c r="B522" s="38"/>
      <c r="F522" s="12"/>
      <c r="I522" s="6"/>
    </row>
    <row r="523" spans="2:9" x14ac:dyDescent="0.35">
      <c r="B523" s="38"/>
      <c r="F523" s="12"/>
      <c r="I523" s="6"/>
    </row>
    <row r="524" spans="2:9" x14ac:dyDescent="0.35">
      <c r="B524" s="38"/>
      <c r="F524" s="12"/>
      <c r="I524" s="6"/>
    </row>
    <row r="525" spans="2:9" x14ac:dyDescent="0.35">
      <c r="B525" s="38"/>
      <c r="F525" s="12"/>
      <c r="I525" s="6"/>
    </row>
    <row r="526" spans="2:9" x14ac:dyDescent="0.35">
      <c r="B526" s="38"/>
      <c r="F526" s="12"/>
      <c r="I526" s="6"/>
    </row>
    <row r="527" spans="2:9" x14ac:dyDescent="0.35">
      <c r="B527" s="38"/>
      <c r="F527" s="12"/>
      <c r="I527" s="6"/>
    </row>
    <row r="528" spans="2:9" x14ac:dyDescent="0.35">
      <c r="B528" s="38"/>
      <c r="F528" s="12"/>
      <c r="I528" s="6"/>
    </row>
    <row r="529" spans="2:9" x14ac:dyDescent="0.35">
      <c r="B529" s="38"/>
      <c r="F529" s="12"/>
      <c r="I529" s="6"/>
    </row>
    <row r="530" spans="2:9" x14ac:dyDescent="0.35">
      <c r="B530" s="38"/>
      <c r="F530" s="12"/>
      <c r="I530" s="6"/>
    </row>
    <row r="531" spans="2:9" x14ac:dyDescent="0.35">
      <c r="B531" s="38"/>
      <c r="F531" s="12"/>
      <c r="I531" s="6"/>
    </row>
    <row r="532" spans="2:9" x14ac:dyDescent="0.35">
      <c r="B532" s="38"/>
      <c r="F532" s="12"/>
      <c r="I532" s="6"/>
    </row>
    <row r="533" spans="2:9" x14ac:dyDescent="0.35">
      <c r="B533" s="38"/>
      <c r="F533" s="12"/>
      <c r="I533" s="6"/>
    </row>
    <row r="534" spans="2:9" x14ac:dyDescent="0.35">
      <c r="B534" s="38"/>
      <c r="F534" s="12"/>
      <c r="I534" s="6"/>
    </row>
    <row r="535" spans="2:9" x14ac:dyDescent="0.35">
      <c r="B535" s="38"/>
      <c r="F535" s="12"/>
      <c r="I535" s="6"/>
    </row>
    <row r="536" spans="2:9" x14ac:dyDescent="0.35">
      <c r="B536" s="38"/>
      <c r="F536" s="12"/>
      <c r="I536" s="6"/>
    </row>
    <row r="537" spans="2:9" x14ac:dyDescent="0.35">
      <c r="B537" s="38"/>
      <c r="F537" s="12"/>
      <c r="I537" s="6"/>
    </row>
    <row r="538" spans="2:9" x14ac:dyDescent="0.35">
      <c r="B538" s="38"/>
      <c r="F538" s="12"/>
      <c r="I538" s="6"/>
    </row>
    <row r="539" spans="2:9" x14ac:dyDescent="0.35">
      <c r="B539" s="38"/>
      <c r="F539" s="12"/>
      <c r="I539" s="6"/>
    </row>
    <row r="540" spans="2:9" x14ac:dyDescent="0.35">
      <c r="B540" s="38"/>
      <c r="F540" s="12"/>
      <c r="I540" s="6"/>
    </row>
    <row r="541" spans="2:9" x14ac:dyDescent="0.35">
      <c r="B541" s="38"/>
      <c r="F541" s="12"/>
      <c r="I541" s="6"/>
    </row>
    <row r="542" spans="2:9" x14ac:dyDescent="0.35">
      <c r="B542" s="38"/>
      <c r="F542" s="12"/>
      <c r="I542" s="6"/>
    </row>
    <row r="543" spans="2:9" x14ac:dyDescent="0.35">
      <c r="B543" s="38"/>
      <c r="F543" s="12"/>
      <c r="I543" s="6"/>
    </row>
    <row r="544" spans="2:9" x14ac:dyDescent="0.35">
      <c r="B544" s="38"/>
      <c r="F544" s="12"/>
      <c r="I544" s="6"/>
    </row>
    <row r="545" spans="2:9" x14ac:dyDescent="0.35">
      <c r="B545" s="38"/>
      <c r="F545" s="12"/>
      <c r="I545" s="6"/>
    </row>
    <row r="546" spans="2:9" x14ac:dyDescent="0.35">
      <c r="B546" s="38"/>
      <c r="F546" s="12"/>
      <c r="I546" s="6"/>
    </row>
    <row r="547" spans="2:9" x14ac:dyDescent="0.35">
      <c r="B547" s="38"/>
      <c r="F547" s="12"/>
      <c r="I547" s="6"/>
    </row>
    <row r="548" spans="2:9" x14ac:dyDescent="0.35">
      <c r="B548" s="38"/>
      <c r="F548" s="12"/>
      <c r="I548" s="6"/>
    </row>
    <row r="549" spans="2:9" x14ac:dyDescent="0.35">
      <c r="B549" s="38"/>
      <c r="F549" s="12"/>
      <c r="I549" s="6"/>
    </row>
    <row r="550" spans="2:9" x14ac:dyDescent="0.35">
      <c r="B550" s="38"/>
      <c r="F550" s="12"/>
      <c r="I550" s="6"/>
    </row>
    <row r="551" spans="2:9" x14ac:dyDescent="0.35">
      <c r="B551" s="38"/>
      <c r="F551" s="12"/>
      <c r="I551" s="6"/>
    </row>
    <row r="552" spans="2:9" x14ac:dyDescent="0.35">
      <c r="F552" s="12"/>
      <c r="I552" s="6"/>
    </row>
    <row r="553" spans="2:9" x14ac:dyDescent="0.35">
      <c r="F553" s="12"/>
      <c r="I553" s="6"/>
    </row>
    <row r="554" spans="2:9" x14ac:dyDescent="0.35">
      <c r="F554" s="12"/>
      <c r="I554" s="6"/>
    </row>
    <row r="555" spans="2:9" x14ac:dyDescent="0.35">
      <c r="F555" s="12"/>
      <c r="I555" s="6"/>
    </row>
    <row r="556" spans="2:9" x14ac:dyDescent="0.35">
      <c r="F556" s="12"/>
      <c r="I556" s="6"/>
    </row>
    <row r="557" spans="2:9" x14ac:dyDescent="0.35">
      <c r="F557" s="12"/>
      <c r="I557" s="6"/>
    </row>
    <row r="558" spans="2:9" x14ac:dyDescent="0.35">
      <c r="F558" s="12"/>
      <c r="I558" s="6"/>
    </row>
    <row r="559" spans="2:9" x14ac:dyDescent="0.35">
      <c r="F559" s="12"/>
      <c r="I559" s="6"/>
    </row>
    <row r="560" spans="2:9" x14ac:dyDescent="0.35">
      <c r="F560" s="12"/>
      <c r="I560" s="6"/>
    </row>
    <row r="561" spans="6:9" x14ac:dyDescent="0.35">
      <c r="F561" s="12"/>
      <c r="I561" s="6"/>
    </row>
    <row r="562" spans="6:9" x14ac:dyDescent="0.35">
      <c r="F562" s="12"/>
      <c r="I562" s="6"/>
    </row>
    <row r="563" spans="6:9" x14ac:dyDescent="0.35">
      <c r="F563" s="12"/>
      <c r="I563" s="6"/>
    </row>
    <row r="564" spans="6:9" x14ac:dyDescent="0.35">
      <c r="F564" s="12"/>
      <c r="I564" s="6"/>
    </row>
    <row r="565" spans="6:9" x14ac:dyDescent="0.35">
      <c r="F565" s="12"/>
      <c r="I565" s="6"/>
    </row>
    <row r="566" spans="6:9" x14ac:dyDescent="0.35">
      <c r="F566" s="12"/>
      <c r="I566" s="6"/>
    </row>
    <row r="567" spans="6:9" x14ac:dyDescent="0.35">
      <c r="F567" s="12"/>
      <c r="I567" s="6"/>
    </row>
    <row r="568" spans="6:9" x14ac:dyDescent="0.35">
      <c r="F568" s="12"/>
      <c r="I568" s="6"/>
    </row>
    <row r="569" spans="6:9" x14ac:dyDescent="0.35">
      <c r="F569" s="12"/>
      <c r="I569" s="6"/>
    </row>
    <row r="570" spans="6:9" x14ac:dyDescent="0.35">
      <c r="F570" s="12"/>
      <c r="I570" s="6"/>
    </row>
    <row r="571" spans="6:9" x14ac:dyDescent="0.35">
      <c r="F571" s="12"/>
      <c r="I571" s="6"/>
    </row>
    <row r="572" spans="6:9" x14ac:dyDescent="0.35">
      <c r="F572" s="12"/>
      <c r="I572" s="6"/>
    </row>
    <row r="573" spans="6:9" x14ac:dyDescent="0.35">
      <c r="F573" s="12"/>
      <c r="I573" s="6"/>
    </row>
    <row r="574" spans="6:9" x14ac:dyDescent="0.35">
      <c r="F574" s="12"/>
      <c r="I574" s="6"/>
    </row>
    <row r="575" spans="6:9" x14ac:dyDescent="0.35">
      <c r="F575" s="12"/>
      <c r="I575" s="6"/>
    </row>
    <row r="576" spans="6:9" x14ac:dyDescent="0.35">
      <c r="F576" s="12"/>
      <c r="I576" s="6"/>
    </row>
    <row r="577" spans="6:9" x14ac:dyDescent="0.35">
      <c r="F577" s="12"/>
      <c r="I577" s="6"/>
    </row>
    <row r="578" spans="6:9" x14ac:dyDescent="0.35">
      <c r="F578" s="12"/>
      <c r="I578" s="6"/>
    </row>
    <row r="579" spans="6:9" x14ac:dyDescent="0.35">
      <c r="F579" s="12"/>
      <c r="I579" s="6"/>
    </row>
    <row r="580" spans="6:9" x14ac:dyDescent="0.35">
      <c r="F580" s="12"/>
      <c r="I580" s="6"/>
    </row>
    <row r="581" spans="6:9" x14ac:dyDescent="0.35">
      <c r="F581" s="12"/>
      <c r="I581" s="6"/>
    </row>
    <row r="582" spans="6:9" x14ac:dyDescent="0.35">
      <c r="F582" s="12"/>
      <c r="I582" s="6"/>
    </row>
    <row r="583" spans="6:9" x14ac:dyDescent="0.35">
      <c r="F583" s="12"/>
      <c r="I583" s="6"/>
    </row>
    <row r="584" spans="6:9" x14ac:dyDescent="0.35">
      <c r="F584" s="12"/>
      <c r="I584" s="6"/>
    </row>
    <row r="585" spans="6:9" x14ac:dyDescent="0.35">
      <c r="F585" s="12"/>
      <c r="I585" s="6"/>
    </row>
    <row r="586" spans="6:9" x14ac:dyDescent="0.35">
      <c r="F586" s="12"/>
      <c r="I586" s="6"/>
    </row>
    <row r="587" spans="6:9" x14ac:dyDescent="0.35">
      <c r="F587" s="12"/>
      <c r="I587" s="6"/>
    </row>
    <row r="588" spans="6:9" x14ac:dyDescent="0.35">
      <c r="F588" s="12"/>
      <c r="I588" s="6"/>
    </row>
    <row r="589" spans="6:9" x14ac:dyDescent="0.35">
      <c r="F589" s="12"/>
      <c r="I589" s="6"/>
    </row>
    <row r="590" spans="6:9" x14ac:dyDescent="0.35">
      <c r="F590" s="12"/>
      <c r="I590" s="6"/>
    </row>
    <row r="591" spans="6:9" x14ac:dyDescent="0.35">
      <c r="F591" s="12"/>
      <c r="I591" s="6"/>
    </row>
    <row r="592" spans="6:9" x14ac:dyDescent="0.35">
      <c r="F592" s="12"/>
      <c r="I592" s="6"/>
    </row>
    <row r="593" spans="6:9" x14ac:dyDescent="0.35">
      <c r="F593" s="12"/>
      <c r="I593" s="6"/>
    </row>
    <row r="594" spans="6:9" x14ac:dyDescent="0.35">
      <c r="F594" s="12"/>
      <c r="I594" s="6"/>
    </row>
    <row r="595" spans="6:9" x14ac:dyDescent="0.35">
      <c r="F595" s="12"/>
      <c r="I595" s="6"/>
    </row>
    <row r="596" spans="6:9" x14ac:dyDescent="0.35">
      <c r="F596" s="12"/>
      <c r="I596" s="6"/>
    </row>
    <row r="597" spans="6:9" x14ac:dyDescent="0.35">
      <c r="F597" s="12"/>
      <c r="I597" s="6"/>
    </row>
    <row r="598" spans="6:9" x14ac:dyDescent="0.35">
      <c r="F598" s="12"/>
      <c r="I598" s="6"/>
    </row>
    <row r="599" spans="6:9" x14ac:dyDescent="0.35">
      <c r="F599" s="12"/>
      <c r="I599" s="6"/>
    </row>
    <row r="600" spans="6:9" x14ac:dyDescent="0.35">
      <c r="F600" s="12"/>
      <c r="I600" s="6"/>
    </row>
    <row r="601" spans="6:9" x14ac:dyDescent="0.35">
      <c r="F601" s="12"/>
      <c r="I601" s="6"/>
    </row>
    <row r="602" spans="6:9" x14ac:dyDescent="0.35">
      <c r="F602" s="12"/>
      <c r="I602" s="6"/>
    </row>
    <row r="603" spans="6:9" x14ac:dyDescent="0.35">
      <c r="F603" s="12"/>
      <c r="I603" s="6"/>
    </row>
    <row r="604" spans="6:9" x14ac:dyDescent="0.35">
      <c r="F604" s="12"/>
      <c r="I604" s="6"/>
    </row>
    <row r="605" spans="6:9" x14ac:dyDescent="0.35">
      <c r="F605" s="12"/>
      <c r="I605" s="6"/>
    </row>
    <row r="606" spans="6:9" x14ac:dyDescent="0.35">
      <c r="F606" s="12"/>
      <c r="I606" s="6"/>
    </row>
    <row r="607" spans="6:9" x14ac:dyDescent="0.35">
      <c r="F607" s="12"/>
      <c r="I607" s="6"/>
    </row>
    <row r="608" spans="6:9" x14ac:dyDescent="0.35">
      <c r="F608" s="12"/>
      <c r="I608" s="6"/>
    </row>
    <row r="609" spans="6:9" x14ac:dyDescent="0.35">
      <c r="F609" s="12"/>
      <c r="I609" s="6"/>
    </row>
    <row r="610" spans="6:9" x14ac:dyDescent="0.35">
      <c r="F610" s="12"/>
      <c r="I610" s="6"/>
    </row>
    <row r="611" spans="6:9" x14ac:dyDescent="0.35">
      <c r="F611" s="12"/>
      <c r="I611" s="6"/>
    </row>
    <row r="612" spans="6:9" x14ac:dyDescent="0.35">
      <c r="F612" s="12"/>
      <c r="I612" s="6"/>
    </row>
    <row r="613" spans="6:9" x14ac:dyDescent="0.35">
      <c r="F613" s="12"/>
      <c r="I613" s="6"/>
    </row>
    <row r="614" spans="6:9" x14ac:dyDescent="0.35">
      <c r="F614" s="12"/>
      <c r="I614" s="6"/>
    </row>
    <row r="615" spans="6:9" x14ac:dyDescent="0.35">
      <c r="F615" s="12"/>
      <c r="I615" s="6"/>
    </row>
    <row r="616" spans="6:9" x14ac:dyDescent="0.35">
      <c r="F616" s="12"/>
      <c r="I616" s="6"/>
    </row>
    <row r="617" spans="6:9" x14ac:dyDescent="0.35">
      <c r="F617" s="12"/>
      <c r="I617" s="6"/>
    </row>
    <row r="618" spans="6:9" x14ac:dyDescent="0.35">
      <c r="F618" s="12"/>
      <c r="I618" s="6"/>
    </row>
    <row r="619" spans="6:9" x14ac:dyDescent="0.35">
      <c r="F619" s="12"/>
      <c r="I619" s="6"/>
    </row>
    <row r="620" spans="6:9" x14ac:dyDescent="0.35">
      <c r="F620" s="12"/>
      <c r="I620" s="6"/>
    </row>
    <row r="621" spans="6:9" x14ac:dyDescent="0.35">
      <c r="F621" s="12"/>
      <c r="I621" s="6"/>
    </row>
    <row r="622" spans="6:9" x14ac:dyDescent="0.35">
      <c r="F622" s="12"/>
      <c r="I622" s="6"/>
    </row>
    <row r="623" spans="6:9" x14ac:dyDescent="0.35">
      <c r="F623" s="12"/>
      <c r="I623" s="6"/>
    </row>
    <row r="624" spans="6:9" x14ac:dyDescent="0.35">
      <c r="F624" s="12"/>
      <c r="I624" s="6"/>
    </row>
    <row r="625" spans="6:9" x14ac:dyDescent="0.35">
      <c r="F625" s="12"/>
      <c r="I625" s="6"/>
    </row>
    <row r="626" spans="6:9" x14ac:dyDescent="0.35">
      <c r="F626" s="12"/>
      <c r="I626" s="6"/>
    </row>
    <row r="627" spans="6:9" x14ac:dyDescent="0.35">
      <c r="F627" s="12"/>
      <c r="I627" s="6"/>
    </row>
    <row r="628" spans="6:9" x14ac:dyDescent="0.35">
      <c r="F628" s="12"/>
      <c r="I628" s="6"/>
    </row>
    <row r="629" spans="6:9" x14ac:dyDescent="0.35">
      <c r="F629" s="12"/>
      <c r="I629" s="6"/>
    </row>
    <row r="630" spans="6:9" x14ac:dyDescent="0.35">
      <c r="F630" s="12"/>
      <c r="I630" s="6"/>
    </row>
    <row r="631" spans="6:9" x14ac:dyDescent="0.35">
      <c r="F631" s="12"/>
      <c r="I631" s="6"/>
    </row>
    <row r="632" spans="6:9" x14ac:dyDescent="0.35">
      <c r="F632" s="12"/>
      <c r="I632" s="6"/>
    </row>
    <row r="633" spans="6:9" x14ac:dyDescent="0.35">
      <c r="F633" s="12"/>
      <c r="I633" s="6"/>
    </row>
    <row r="634" spans="6:9" x14ac:dyDescent="0.35">
      <c r="F634" s="12"/>
      <c r="I634" s="6"/>
    </row>
    <row r="635" spans="6:9" x14ac:dyDescent="0.35">
      <c r="F635" s="12"/>
      <c r="I635" s="6"/>
    </row>
    <row r="636" spans="6:9" x14ac:dyDescent="0.35">
      <c r="F636" s="12"/>
      <c r="I636" s="6"/>
    </row>
    <row r="637" spans="6:9" x14ac:dyDescent="0.35">
      <c r="F637" s="12"/>
      <c r="I637" s="6"/>
    </row>
    <row r="638" spans="6:9" x14ac:dyDescent="0.35">
      <c r="F638" s="12"/>
      <c r="I638" s="6"/>
    </row>
    <row r="639" spans="6:9" x14ac:dyDescent="0.35">
      <c r="F639" s="12"/>
      <c r="I639" s="6"/>
    </row>
    <row r="640" spans="6:9" x14ac:dyDescent="0.35">
      <c r="F640" s="12"/>
      <c r="I640" s="6"/>
    </row>
    <row r="641" spans="6:9" x14ac:dyDescent="0.35">
      <c r="F641" s="12"/>
      <c r="I641" s="6"/>
    </row>
    <row r="642" spans="6:9" x14ac:dyDescent="0.35">
      <c r="F642" s="12"/>
      <c r="I642" s="6"/>
    </row>
    <row r="643" spans="6:9" x14ac:dyDescent="0.35">
      <c r="F643" s="12"/>
      <c r="I643" s="6"/>
    </row>
    <row r="644" spans="6:9" x14ac:dyDescent="0.35">
      <c r="F644" s="12"/>
      <c r="I644" s="6"/>
    </row>
    <row r="645" spans="6:9" x14ac:dyDescent="0.35">
      <c r="F645" s="12"/>
      <c r="I645" s="6"/>
    </row>
    <row r="646" spans="6:9" x14ac:dyDescent="0.35">
      <c r="F646" s="12"/>
      <c r="I646" s="6"/>
    </row>
    <row r="647" spans="6:9" x14ac:dyDescent="0.35">
      <c r="F647" s="12"/>
      <c r="I647" s="6"/>
    </row>
    <row r="648" spans="6:9" x14ac:dyDescent="0.35">
      <c r="F648" s="12"/>
      <c r="I648" s="6"/>
    </row>
    <row r="649" spans="6:9" x14ac:dyDescent="0.35">
      <c r="F649" s="12"/>
      <c r="I649" s="6"/>
    </row>
    <row r="650" spans="6:9" x14ac:dyDescent="0.35">
      <c r="F650" s="12"/>
      <c r="I650" s="6"/>
    </row>
    <row r="651" spans="6:9" x14ac:dyDescent="0.35">
      <c r="F651" s="12"/>
      <c r="I651" s="6"/>
    </row>
    <row r="652" spans="6:9" x14ac:dyDescent="0.35">
      <c r="F652" s="12"/>
      <c r="I652" s="6"/>
    </row>
    <row r="653" spans="6:9" x14ac:dyDescent="0.35">
      <c r="F653" s="12"/>
      <c r="I653" s="6"/>
    </row>
    <row r="654" spans="6:9" x14ac:dyDescent="0.35">
      <c r="F654" s="12"/>
      <c r="I654" s="6"/>
    </row>
    <row r="655" spans="6:9" x14ac:dyDescent="0.35">
      <c r="F655" s="12"/>
      <c r="I655" s="6"/>
    </row>
    <row r="656" spans="6:9" x14ac:dyDescent="0.35">
      <c r="F656" s="12"/>
      <c r="I656" s="6"/>
    </row>
    <row r="657" spans="6:9" x14ac:dyDescent="0.35">
      <c r="F657" s="12"/>
      <c r="I657" s="6"/>
    </row>
    <row r="658" spans="6:9" x14ac:dyDescent="0.35">
      <c r="F658" s="12"/>
      <c r="I658" s="6"/>
    </row>
    <row r="659" spans="6:9" x14ac:dyDescent="0.35">
      <c r="F659" s="12"/>
      <c r="I659" s="6"/>
    </row>
    <row r="660" spans="6:9" x14ac:dyDescent="0.35">
      <c r="F660" s="12"/>
      <c r="I660" s="6"/>
    </row>
    <row r="661" spans="6:9" x14ac:dyDescent="0.35">
      <c r="F661" s="12"/>
      <c r="I661" s="6"/>
    </row>
    <row r="662" spans="6:9" x14ac:dyDescent="0.35">
      <c r="F662" s="12"/>
      <c r="I662" s="6"/>
    </row>
    <row r="663" spans="6:9" x14ac:dyDescent="0.35">
      <c r="F663" s="12"/>
      <c r="I663" s="6"/>
    </row>
    <row r="664" spans="6:9" x14ac:dyDescent="0.35">
      <c r="F664" s="12"/>
      <c r="I664" s="6"/>
    </row>
    <row r="665" spans="6:9" x14ac:dyDescent="0.35">
      <c r="F665" s="12"/>
      <c r="I665" s="6"/>
    </row>
    <row r="666" spans="6:9" x14ac:dyDescent="0.35">
      <c r="F666" s="12"/>
      <c r="I666" s="6"/>
    </row>
    <row r="667" spans="6:9" x14ac:dyDescent="0.35">
      <c r="F667" s="12"/>
      <c r="I667" s="6"/>
    </row>
    <row r="668" spans="6:9" x14ac:dyDescent="0.35">
      <c r="F668" s="12"/>
      <c r="I668" s="6"/>
    </row>
    <row r="669" spans="6:9" x14ac:dyDescent="0.35">
      <c r="F669" s="12"/>
      <c r="I669" s="6"/>
    </row>
    <row r="670" spans="6:9" x14ac:dyDescent="0.35">
      <c r="F670" s="12"/>
      <c r="I670" s="6"/>
    </row>
    <row r="671" spans="6:9" x14ac:dyDescent="0.35">
      <c r="F671" s="12"/>
      <c r="I671" s="6"/>
    </row>
    <row r="672" spans="6:9" x14ac:dyDescent="0.35">
      <c r="F672" s="12"/>
      <c r="I672" s="6"/>
    </row>
    <row r="673" spans="6:9" x14ac:dyDescent="0.35">
      <c r="F673" s="12"/>
      <c r="I673" s="6"/>
    </row>
    <row r="674" spans="6:9" x14ac:dyDescent="0.35">
      <c r="F674" s="12"/>
      <c r="I674" s="6"/>
    </row>
    <row r="675" spans="6:9" x14ac:dyDescent="0.35">
      <c r="F675" s="12"/>
      <c r="I675" s="6"/>
    </row>
    <row r="676" spans="6:9" x14ac:dyDescent="0.35">
      <c r="F676" s="12"/>
      <c r="I676" s="6"/>
    </row>
    <row r="677" spans="6:9" x14ac:dyDescent="0.35">
      <c r="F677" s="12"/>
      <c r="I677" s="6"/>
    </row>
    <row r="678" spans="6:9" x14ac:dyDescent="0.35">
      <c r="F678" s="12"/>
      <c r="I678" s="6"/>
    </row>
    <row r="679" spans="6:9" x14ac:dyDescent="0.35">
      <c r="F679" s="12"/>
      <c r="I679" s="6"/>
    </row>
    <row r="680" spans="6:9" x14ac:dyDescent="0.35">
      <c r="F680" s="12"/>
      <c r="I680" s="6"/>
    </row>
    <row r="681" spans="6:9" x14ac:dyDescent="0.35">
      <c r="F681" s="12"/>
      <c r="I681" s="6"/>
    </row>
    <row r="682" spans="6:9" x14ac:dyDescent="0.35">
      <c r="F682" s="12"/>
      <c r="I682" s="6"/>
    </row>
    <row r="683" spans="6:9" x14ac:dyDescent="0.35">
      <c r="F683" s="12"/>
      <c r="I683" s="6"/>
    </row>
    <row r="684" spans="6:9" x14ac:dyDescent="0.35">
      <c r="F684" s="12"/>
      <c r="I684" s="6"/>
    </row>
    <row r="685" spans="6:9" x14ac:dyDescent="0.35">
      <c r="F685" s="12"/>
      <c r="I685" s="6"/>
    </row>
    <row r="686" spans="6:9" x14ac:dyDescent="0.35">
      <c r="F686" s="12"/>
      <c r="I686" s="6"/>
    </row>
    <row r="687" spans="6:9" x14ac:dyDescent="0.35">
      <c r="F687" s="12"/>
      <c r="I687" s="6"/>
    </row>
    <row r="688" spans="6:9" x14ac:dyDescent="0.35">
      <c r="F688" s="12"/>
      <c r="I688" s="6"/>
    </row>
    <row r="689" spans="6:9" x14ac:dyDescent="0.35">
      <c r="F689" s="12"/>
      <c r="I689" s="6"/>
    </row>
    <row r="690" spans="6:9" x14ac:dyDescent="0.35">
      <c r="F690" s="12"/>
      <c r="I690" s="6"/>
    </row>
    <row r="691" spans="6:9" x14ac:dyDescent="0.35">
      <c r="F691" s="12"/>
      <c r="I691" s="6"/>
    </row>
    <row r="692" spans="6:9" x14ac:dyDescent="0.35">
      <c r="F692" s="12"/>
      <c r="I692" s="6"/>
    </row>
    <row r="693" spans="6:9" x14ac:dyDescent="0.35">
      <c r="F693" s="12"/>
      <c r="I693" s="6"/>
    </row>
    <row r="694" spans="6:9" x14ac:dyDescent="0.35">
      <c r="F694" s="12"/>
      <c r="I694" s="6"/>
    </row>
    <row r="695" spans="6:9" x14ac:dyDescent="0.35">
      <c r="F695" s="12"/>
      <c r="I695" s="6"/>
    </row>
    <row r="696" spans="6:9" x14ac:dyDescent="0.35">
      <c r="F696" s="12"/>
      <c r="I696" s="6"/>
    </row>
    <row r="697" spans="6:9" x14ac:dyDescent="0.35">
      <c r="F697" s="12"/>
      <c r="I697" s="6"/>
    </row>
    <row r="698" spans="6:9" x14ac:dyDescent="0.35">
      <c r="F698" s="12"/>
      <c r="I698" s="6"/>
    </row>
    <row r="699" spans="6:9" x14ac:dyDescent="0.35">
      <c r="F699" s="12"/>
      <c r="I699" s="6"/>
    </row>
    <row r="700" spans="6:9" x14ac:dyDescent="0.35">
      <c r="F700" s="12"/>
      <c r="I700" s="6"/>
    </row>
    <row r="701" spans="6:9" x14ac:dyDescent="0.35">
      <c r="F701" s="12"/>
      <c r="I701" s="6"/>
    </row>
    <row r="702" spans="6:9" x14ac:dyDescent="0.35">
      <c r="F702" s="12"/>
      <c r="I702" s="6"/>
    </row>
    <row r="703" spans="6:9" x14ac:dyDescent="0.35">
      <c r="F703" s="12"/>
      <c r="I703" s="6"/>
    </row>
    <row r="704" spans="6:9" x14ac:dyDescent="0.35">
      <c r="F704" s="12"/>
      <c r="I704" s="6"/>
    </row>
    <row r="705" spans="6:9" x14ac:dyDescent="0.35">
      <c r="F705" s="12"/>
      <c r="I705" s="6"/>
    </row>
    <row r="706" spans="6:9" x14ac:dyDescent="0.35">
      <c r="F706" s="12"/>
      <c r="I706" s="6"/>
    </row>
    <row r="707" spans="6:9" x14ac:dyDescent="0.35">
      <c r="F707" s="12"/>
      <c r="I707" s="6"/>
    </row>
    <row r="708" spans="6:9" x14ac:dyDescent="0.35">
      <c r="F708" s="12"/>
      <c r="I708" s="6"/>
    </row>
    <row r="709" spans="6:9" x14ac:dyDescent="0.35">
      <c r="F709" s="12"/>
      <c r="I709" s="6"/>
    </row>
    <row r="710" spans="6:9" x14ac:dyDescent="0.35">
      <c r="F710" s="12"/>
      <c r="I710" s="6"/>
    </row>
    <row r="711" spans="6:9" x14ac:dyDescent="0.35">
      <c r="F711" s="12"/>
      <c r="I711" s="6"/>
    </row>
    <row r="712" spans="6:9" x14ac:dyDescent="0.35">
      <c r="F712" s="12"/>
      <c r="I712" s="6"/>
    </row>
    <row r="713" spans="6:9" x14ac:dyDescent="0.35">
      <c r="F713" s="12"/>
      <c r="I713" s="6"/>
    </row>
    <row r="714" spans="6:9" x14ac:dyDescent="0.35">
      <c r="F714" s="12"/>
      <c r="I714" s="6"/>
    </row>
    <row r="715" spans="6:9" x14ac:dyDescent="0.35">
      <c r="F715" s="12"/>
      <c r="I715" s="6"/>
    </row>
    <row r="716" spans="6:9" x14ac:dyDescent="0.35">
      <c r="F716" s="12"/>
      <c r="I716" s="6"/>
    </row>
    <row r="717" spans="6:9" x14ac:dyDescent="0.35">
      <c r="F717" s="12"/>
      <c r="I717" s="6"/>
    </row>
    <row r="718" spans="6:9" x14ac:dyDescent="0.35">
      <c r="F718" s="12"/>
      <c r="I718" s="6"/>
    </row>
    <row r="719" spans="6:9" x14ac:dyDescent="0.35">
      <c r="F719" s="12"/>
      <c r="I719" s="6"/>
    </row>
    <row r="720" spans="6:9" x14ac:dyDescent="0.35">
      <c r="F720" s="12"/>
      <c r="I720" s="6"/>
    </row>
    <row r="721" spans="6:9" x14ac:dyDescent="0.35">
      <c r="F721" s="12"/>
      <c r="I721" s="6"/>
    </row>
    <row r="722" spans="6:9" x14ac:dyDescent="0.35">
      <c r="F722" s="12"/>
      <c r="I722" s="6"/>
    </row>
    <row r="723" spans="6:9" x14ac:dyDescent="0.35">
      <c r="F723" s="12"/>
      <c r="I723" s="6"/>
    </row>
    <row r="724" spans="6:9" x14ac:dyDescent="0.35">
      <c r="F724" s="12"/>
      <c r="I724" s="6"/>
    </row>
    <row r="725" spans="6:9" x14ac:dyDescent="0.35">
      <c r="F725" s="12"/>
      <c r="I725" s="6"/>
    </row>
    <row r="726" spans="6:9" x14ac:dyDescent="0.35">
      <c r="F726" s="12"/>
      <c r="I726" s="6"/>
    </row>
    <row r="727" spans="6:9" x14ac:dyDescent="0.35">
      <c r="F727" s="12"/>
      <c r="I727" s="6"/>
    </row>
    <row r="728" spans="6:9" x14ac:dyDescent="0.35">
      <c r="F728" s="12"/>
      <c r="I728" s="6"/>
    </row>
    <row r="729" spans="6:9" x14ac:dyDescent="0.35">
      <c r="F729" s="12"/>
      <c r="I729" s="6"/>
    </row>
    <row r="730" spans="6:9" x14ac:dyDescent="0.35">
      <c r="F730" s="12"/>
      <c r="I730" s="6"/>
    </row>
    <row r="731" spans="6:9" x14ac:dyDescent="0.35">
      <c r="F731" s="12"/>
      <c r="I731" s="6"/>
    </row>
    <row r="732" spans="6:9" x14ac:dyDescent="0.35">
      <c r="F732" s="12"/>
      <c r="I732" s="6"/>
    </row>
    <row r="733" spans="6:9" x14ac:dyDescent="0.35">
      <c r="F733" s="12"/>
      <c r="I733" s="6"/>
    </row>
    <row r="734" spans="6:9" x14ac:dyDescent="0.35">
      <c r="F734" s="12"/>
      <c r="I734" s="6"/>
    </row>
    <row r="735" spans="6:9" x14ac:dyDescent="0.35">
      <c r="F735" s="12"/>
      <c r="I735" s="6"/>
    </row>
    <row r="736" spans="6:9" x14ac:dyDescent="0.35">
      <c r="F736" s="12"/>
      <c r="I736" s="6"/>
    </row>
    <row r="737" spans="6:9" x14ac:dyDescent="0.35">
      <c r="F737" s="12"/>
      <c r="I737" s="6"/>
    </row>
    <row r="738" spans="6:9" x14ac:dyDescent="0.35">
      <c r="F738" s="12"/>
      <c r="I738" s="6"/>
    </row>
    <row r="739" spans="6:9" x14ac:dyDescent="0.35">
      <c r="F739" s="12"/>
      <c r="I739" s="6"/>
    </row>
    <row r="740" spans="6:9" x14ac:dyDescent="0.35">
      <c r="F740" s="12"/>
      <c r="I740" s="6"/>
    </row>
    <row r="741" spans="6:9" x14ac:dyDescent="0.35">
      <c r="F741" s="12"/>
      <c r="I741" s="6"/>
    </row>
    <row r="742" spans="6:9" x14ac:dyDescent="0.35">
      <c r="F742" s="12"/>
      <c r="I742" s="6"/>
    </row>
    <row r="743" spans="6:9" x14ac:dyDescent="0.35">
      <c r="F743" s="12"/>
      <c r="I743" s="6"/>
    </row>
    <row r="744" spans="6:9" x14ac:dyDescent="0.35">
      <c r="F744" s="12"/>
      <c r="I744" s="6"/>
    </row>
    <row r="745" spans="6:9" x14ac:dyDescent="0.35">
      <c r="F745" s="12"/>
      <c r="I745" s="6"/>
    </row>
    <row r="746" spans="6:9" x14ac:dyDescent="0.35">
      <c r="F746" s="12"/>
      <c r="I746" s="6"/>
    </row>
    <row r="747" spans="6:9" x14ac:dyDescent="0.35">
      <c r="F747" s="12"/>
      <c r="I747" s="6"/>
    </row>
    <row r="748" spans="6:9" x14ac:dyDescent="0.35">
      <c r="F748" s="12"/>
      <c r="I748" s="6"/>
    </row>
    <row r="749" spans="6:9" x14ac:dyDescent="0.35">
      <c r="F749" s="12"/>
      <c r="I749" s="6"/>
    </row>
    <row r="750" spans="6:9" x14ac:dyDescent="0.35">
      <c r="F750" s="12"/>
      <c r="I750" s="6"/>
    </row>
    <row r="751" spans="6:9" x14ac:dyDescent="0.35">
      <c r="F751" s="12"/>
      <c r="I751" s="6"/>
    </row>
    <row r="752" spans="6:9" x14ac:dyDescent="0.35">
      <c r="F752" s="12"/>
      <c r="I752" s="6"/>
    </row>
    <row r="753" spans="6:9" x14ac:dyDescent="0.35">
      <c r="F753" s="12"/>
      <c r="I753" s="6"/>
    </row>
    <row r="754" spans="6:9" x14ac:dyDescent="0.35">
      <c r="F754" s="12"/>
      <c r="I754" s="6"/>
    </row>
    <row r="755" spans="6:9" x14ac:dyDescent="0.35">
      <c r="F755" s="12"/>
      <c r="I755" s="6"/>
    </row>
    <row r="756" spans="6:9" x14ac:dyDescent="0.35">
      <c r="F756" s="12"/>
      <c r="I756" s="6"/>
    </row>
    <row r="757" spans="6:9" x14ac:dyDescent="0.35">
      <c r="F757" s="12"/>
      <c r="I757" s="6"/>
    </row>
    <row r="758" spans="6:9" x14ac:dyDescent="0.35">
      <c r="F758" s="12"/>
      <c r="I758" s="6"/>
    </row>
    <row r="759" spans="6:9" x14ac:dyDescent="0.35">
      <c r="F759" s="12"/>
      <c r="I759" s="6"/>
    </row>
    <row r="760" spans="6:9" x14ac:dyDescent="0.35">
      <c r="F760" s="12"/>
      <c r="I760" s="6"/>
    </row>
    <row r="761" spans="6:9" x14ac:dyDescent="0.35">
      <c r="F761" s="12"/>
      <c r="I761" s="6"/>
    </row>
    <row r="762" spans="6:9" x14ac:dyDescent="0.35">
      <c r="F762" s="12"/>
      <c r="I762" s="6"/>
    </row>
    <row r="763" spans="6:9" x14ac:dyDescent="0.35">
      <c r="F763" s="12"/>
      <c r="I763" s="6"/>
    </row>
    <row r="764" spans="6:9" x14ac:dyDescent="0.35">
      <c r="F764" s="12"/>
      <c r="I764" s="6"/>
    </row>
    <row r="765" spans="6:9" x14ac:dyDescent="0.35">
      <c r="F765" s="12"/>
      <c r="I765" s="6"/>
    </row>
    <row r="766" spans="6:9" x14ac:dyDescent="0.35">
      <c r="F766" s="12"/>
      <c r="I766" s="6"/>
    </row>
    <row r="767" spans="6:9" x14ac:dyDescent="0.35">
      <c r="F767" s="12"/>
      <c r="I767" s="6"/>
    </row>
    <row r="768" spans="6:9" x14ac:dyDescent="0.35">
      <c r="F768" s="12"/>
      <c r="I768" s="6"/>
    </row>
    <row r="769" spans="6:9" x14ac:dyDescent="0.35">
      <c r="F769" s="12"/>
      <c r="I769" s="6"/>
    </row>
    <row r="770" spans="6:9" x14ac:dyDescent="0.35">
      <c r="F770" s="12"/>
      <c r="I770" s="6"/>
    </row>
    <row r="771" spans="6:9" x14ac:dyDescent="0.35">
      <c r="F771" s="12"/>
      <c r="I771" s="6"/>
    </row>
    <row r="772" spans="6:9" x14ac:dyDescent="0.35">
      <c r="F772" s="12"/>
      <c r="I772" s="6"/>
    </row>
    <row r="773" spans="6:9" x14ac:dyDescent="0.35">
      <c r="F773" s="12"/>
      <c r="I773" s="6"/>
    </row>
    <row r="774" spans="6:9" x14ac:dyDescent="0.35">
      <c r="F774" s="12"/>
      <c r="I774" s="6"/>
    </row>
    <row r="775" spans="6:9" x14ac:dyDescent="0.35">
      <c r="F775" s="12"/>
      <c r="I775" s="6"/>
    </row>
    <row r="776" spans="6:9" x14ac:dyDescent="0.35">
      <c r="F776" s="12"/>
      <c r="I776" s="6"/>
    </row>
    <row r="777" spans="6:9" x14ac:dyDescent="0.35">
      <c r="F777" s="12"/>
      <c r="I777" s="6"/>
    </row>
    <row r="778" spans="6:9" x14ac:dyDescent="0.35">
      <c r="F778" s="12"/>
      <c r="I778" s="6"/>
    </row>
    <row r="779" spans="6:9" x14ac:dyDescent="0.35">
      <c r="F779" s="12"/>
      <c r="I779" s="6"/>
    </row>
    <row r="780" spans="6:9" x14ac:dyDescent="0.35">
      <c r="F780" s="12"/>
      <c r="I780" s="6"/>
    </row>
    <row r="781" spans="6:9" x14ac:dyDescent="0.35">
      <c r="F781" s="12"/>
      <c r="I781" s="6"/>
    </row>
    <row r="782" spans="6:9" x14ac:dyDescent="0.35">
      <c r="F782" s="12"/>
      <c r="I782" s="6"/>
    </row>
    <row r="783" spans="6:9" x14ac:dyDescent="0.35">
      <c r="F783" s="12"/>
      <c r="I783" s="6"/>
    </row>
    <row r="784" spans="6:9" x14ac:dyDescent="0.35">
      <c r="F784" s="12"/>
      <c r="I784" s="6"/>
    </row>
    <row r="785" spans="6:9" x14ac:dyDescent="0.35">
      <c r="F785" s="12"/>
      <c r="I785" s="6"/>
    </row>
    <row r="786" spans="6:9" x14ac:dyDescent="0.35">
      <c r="F786" s="12"/>
      <c r="I786" s="6"/>
    </row>
    <row r="787" spans="6:9" x14ac:dyDescent="0.35">
      <c r="F787" s="12"/>
      <c r="I787" s="6"/>
    </row>
    <row r="788" spans="6:9" x14ac:dyDescent="0.35">
      <c r="F788" s="12"/>
      <c r="I788" s="6"/>
    </row>
    <row r="789" spans="6:9" x14ac:dyDescent="0.35">
      <c r="F789" s="12"/>
      <c r="I789" s="6"/>
    </row>
    <row r="790" spans="6:9" x14ac:dyDescent="0.35">
      <c r="F790" s="12"/>
      <c r="I790" s="6"/>
    </row>
    <row r="791" spans="6:9" x14ac:dyDescent="0.35">
      <c r="F791" s="12"/>
      <c r="I791" s="6"/>
    </row>
    <row r="792" spans="6:9" x14ac:dyDescent="0.35">
      <c r="F792" s="12"/>
      <c r="I792" s="6"/>
    </row>
    <row r="793" spans="6:9" x14ac:dyDescent="0.35">
      <c r="F793" s="12"/>
      <c r="I793" s="6"/>
    </row>
    <row r="794" spans="6:9" x14ac:dyDescent="0.35">
      <c r="F794" s="12"/>
      <c r="I794" s="6"/>
    </row>
    <row r="795" spans="6:9" x14ac:dyDescent="0.35">
      <c r="F795" s="12"/>
      <c r="I795" s="6"/>
    </row>
    <row r="796" spans="6:9" x14ac:dyDescent="0.35">
      <c r="F796" s="12"/>
      <c r="I796" s="6"/>
    </row>
    <row r="797" spans="6:9" x14ac:dyDescent="0.35">
      <c r="F797" s="12"/>
      <c r="I797" s="6"/>
    </row>
    <row r="798" spans="6:9" x14ac:dyDescent="0.35">
      <c r="F798" s="12"/>
      <c r="I798" s="6"/>
    </row>
    <row r="799" spans="6:9" x14ac:dyDescent="0.35">
      <c r="F799" s="12"/>
      <c r="I799" s="6"/>
    </row>
    <row r="800" spans="6:9" x14ac:dyDescent="0.35">
      <c r="F800" s="12"/>
      <c r="I800" s="6"/>
    </row>
    <row r="801" spans="6:9" x14ac:dyDescent="0.35">
      <c r="F801" s="12"/>
      <c r="I801" s="6"/>
    </row>
    <row r="802" spans="6:9" x14ac:dyDescent="0.35">
      <c r="F802" s="12"/>
      <c r="I802" s="6"/>
    </row>
    <row r="803" spans="6:9" x14ac:dyDescent="0.35">
      <c r="F803" s="12"/>
      <c r="I803" s="6"/>
    </row>
    <row r="804" spans="6:9" x14ac:dyDescent="0.35">
      <c r="F804" s="12"/>
      <c r="I804" s="6"/>
    </row>
    <row r="805" spans="6:9" x14ac:dyDescent="0.35">
      <c r="F805" s="12"/>
      <c r="I805" s="6"/>
    </row>
    <row r="806" spans="6:9" x14ac:dyDescent="0.35">
      <c r="F806" s="12"/>
      <c r="I806" s="6"/>
    </row>
    <row r="807" spans="6:9" x14ac:dyDescent="0.35">
      <c r="F807" s="12"/>
      <c r="I807" s="6"/>
    </row>
    <row r="808" spans="6:9" x14ac:dyDescent="0.35">
      <c r="F808" s="12"/>
      <c r="I808" s="6"/>
    </row>
    <row r="809" spans="6:9" x14ac:dyDescent="0.35">
      <c r="F809" s="12"/>
      <c r="I809" s="6"/>
    </row>
    <row r="810" spans="6:9" x14ac:dyDescent="0.35">
      <c r="F810" s="12"/>
      <c r="I810" s="6"/>
    </row>
    <row r="811" spans="6:9" x14ac:dyDescent="0.35">
      <c r="F811" s="12"/>
      <c r="I811" s="6"/>
    </row>
    <row r="812" spans="6:9" x14ac:dyDescent="0.35">
      <c r="F812" s="12"/>
      <c r="I812" s="6"/>
    </row>
    <row r="813" spans="6:9" x14ac:dyDescent="0.35">
      <c r="F813" s="12"/>
      <c r="I813" s="6"/>
    </row>
    <row r="814" spans="6:9" x14ac:dyDescent="0.35">
      <c r="F814" s="12"/>
      <c r="I814" s="6"/>
    </row>
    <row r="815" spans="6:9" x14ac:dyDescent="0.35">
      <c r="F815" s="12"/>
      <c r="I815" s="6"/>
    </row>
    <row r="816" spans="6:9" x14ac:dyDescent="0.35">
      <c r="F816" s="12"/>
      <c r="I816" s="6"/>
    </row>
    <row r="817" spans="6:9" x14ac:dyDescent="0.35">
      <c r="F817" s="12"/>
      <c r="I817" s="6"/>
    </row>
    <row r="818" spans="6:9" x14ac:dyDescent="0.35">
      <c r="F818" s="12"/>
      <c r="I818" s="6"/>
    </row>
    <row r="819" spans="6:9" x14ac:dyDescent="0.35">
      <c r="F819" s="12"/>
      <c r="I819" s="6"/>
    </row>
    <row r="820" spans="6:9" x14ac:dyDescent="0.35">
      <c r="F820" s="12"/>
      <c r="I820" s="6"/>
    </row>
    <row r="821" spans="6:9" x14ac:dyDescent="0.35">
      <c r="F821" s="12"/>
      <c r="I821" s="6"/>
    </row>
    <row r="822" spans="6:9" x14ac:dyDescent="0.35">
      <c r="F822" s="12"/>
      <c r="I822" s="6"/>
    </row>
    <row r="823" spans="6:9" x14ac:dyDescent="0.35">
      <c r="F823" s="12"/>
      <c r="I823" s="6"/>
    </row>
    <row r="824" spans="6:9" x14ac:dyDescent="0.35">
      <c r="F824" s="12"/>
      <c r="I824" s="6"/>
    </row>
    <row r="825" spans="6:9" x14ac:dyDescent="0.35">
      <c r="F825" s="12"/>
      <c r="I825" s="6"/>
    </row>
    <row r="826" spans="6:9" x14ac:dyDescent="0.35">
      <c r="F826" s="12"/>
      <c r="I826" s="6"/>
    </row>
    <row r="827" spans="6:9" x14ac:dyDescent="0.35">
      <c r="F827" s="12"/>
      <c r="I827" s="6"/>
    </row>
    <row r="828" spans="6:9" x14ac:dyDescent="0.35">
      <c r="F828" s="12"/>
      <c r="I828" s="6"/>
    </row>
    <row r="829" spans="6:9" x14ac:dyDescent="0.35">
      <c r="F829" s="12"/>
      <c r="I829" s="6"/>
    </row>
    <row r="830" spans="6:9" x14ac:dyDescent="0.35">
      <c r="F830" s="12"/>
      <c r="I830" s="6"/>
    </row>
    <row r="831" spans="6:9" x14ac:dyDescent="0.35">
      <c r="F831" s="12"/>
      <c r="I831" s="6"/>
    </row>
    <row r="832" spans="6:9" x14ac:dyDescent="0.35">
      <c r="F832" s="12"/>
      <c r="I832" s="6"/>
    </row>
    <row r="833" spans="6:9" x14ac:dyDescent="0.35">
      <c r="F833" s="12"/>
      <c r="I833" s="6"/>
    </row>
    <row r="834" spans="6:9" x14ac:dyDescent="0.35">
      <c r="F834" s="12"/>
      <c r="I834" s="6"/>
    </row>
    <row r="835" spans="6:9" x14ac:dyDescent="0.35">
      <c r="F835" s="12"/>
      <c r="I835" s="6"/>
    </row>
    <row r="836" spans="6:9" x14ac:dyDescent="0.35">
      <c r="F836" s="12"/>
      <c r="I836" s="6"/>
    </row>
    <row r="837" spans="6:9" x14ac:dyDescent="0.35">
      <c r="F837" s="12"/>
      <c r="I837" s="6"/>
    </row>
    <row r="838" spans="6:9" x14ac:dyDescent="0.35">
      <c r="F838" s="12"/>
      <c r="I838" s="6"/>
    </row>
    <row r="839" spans="6:9" x14ac:dyDescent="0.35">
      <c r="F839" s="12"/>
      <c r="I839" s="6"/>
    </row>
    <row r="840" spans="6:9" x14ac:dyDescent="0.35">
      <c r="F840" s="12"/>
      <c r="I840" s="6"/>
    </row>
    <row r="841" spans="6:9" x14ac:dyDescent="0.35">
      <c r="F841" s="12"/>
      <c r="I841" s="6"/>
    </row>
    <row r="842" spans="6:9" x14ac:dyDescent="0.35">
      <c r="F842" s="12"/>
      <c r="I842" s="6"/>
    </row>
    <row r="843" spans="6:9" x14ac:dyDescent="0.35">
      <c r="F843" s="12"/>
      <c r="I843" s="6"/>
    </row>
    <row r="844" spans="6:9" x14ac:dyDescent="0.35">
      <c r="F844" s="12"/>
      <c r="I844" s="6"/>
    </row>
    <row r="845" spans="6:9" x14ac:dyDescent="0.35">
      <c r="F845" s="12"/>
      <c r="I845" s="6"/>
    </row>
    <row r="846" spans="6:9" x14ac:dyDescent="0.35">
      <c r="F846" s="12"/>
      <c r="I846" s="6"/>
    </row>
    <row r="847" spans="6:9" x14ac:dyDescent="0.35">
      <c r="F847" s="12"/>
      <c r="I847" s="6"/>
    </row>
    <row r="848" spans="6:9" x14ac:dyDescent="0.35">
      <c r="F848" s="12"/>
      <c r="I848" s="6"/>
    </row>
    <row r="849" spans="6:9" x14ac:dyDescent="0.35">
      <c r="F849" s="12"/>
      <c r="I849" s="6"/>
    </row>
    <row r="850" spans="6:9" x14ac:dyDescent="0.35">
      <c r="F850" s="12"/>
      <c r="I850" s="6"/>
    </row>
    <row r="851" spans="6:9" x14ac:dyDescent="0.35">
      <c r="F851" s="12"/>
      <c r="I851" s="6"/>
    </row>
    <row r="852" spans="6:9" x14ac:dyDescent="0.35">
      <c r="F852" s="12"/>
      <c r="I852" s="6"/>
    </row>
    <row r="853" spans="6:9" x14ac:dyDescent="0.35">
      <c r="F853" s="12"/>
      <c r="I853" s="6"/>
    </row>
    <row r="854" spans="6:9" x14ac:dyDescent="0.35">
      <c r="F854" s="12"/>
      <c r="I854" s="6"/>
    </row>
    <row r="855" spans="6:9" x14ac:dyDescent="0.35">
      <c r="F855" s="12"/>
      <c r="I855" s="6"/>
    </row>
    <row r="856" spans="6:9" x14ac:dyDescent="0.35">
      <c r="F856" s="12"/>
      <c r="I856" s="6"/>
    </row>
    <row r="857" spans="6:9" x14ac:dyDescent="0.35">
      <c r="F857" s="12"/>
      <c r="I857" s="6"/>
    </row>
    <row r="858" spans="6:9" x14ac:dyDescent="0.35">
      <c r="F858" s="12"/>
      <c r="I858" s="6"/>
    </row>
    <row r="859" spans="6:9" x14ac:dyDescent="0.35">
      <c r="F859" s="12"/>
      <c r="I859" s="6"/>
    </row>
    <row r="860" spans="6:9" x14ac:dyDescent="0.35">
      <c r="F860" s="12"/>
      <c r="I860" s="6"/>
    </row>
    <row r="861" spans="6:9" x14ac:dyDescent="0.35">
      <c r="F861" s="12"/>
      <c r="I861" s="6"/>
    </row>
    <row r="862" spans="6:9" x14ac:dyDescent="0.35">
      <c r="F862" s="12"/>
      <c r="I862" s="6"/>
    </row>
    <row r="863" spans="6:9" x14ac:dyDescent="0.35">
      <c r="F863" s="12"/>
      <c r="I863" s="6"/>
    </row>
    <row r="864" spans="6:9" x14ac:dyDescent="0.35">
      <c r="F864" s="12"/>
      <c r="I864" s="6"/>
    </row>
    <row r="865" spans="6:9" x14ac:dyDescent="0.35">
      <c r="F865" s="12"/>
      <c r="I865" s="6"/>
    </row>
    <row r="866" spans="6:9" x14ac:dyDescent="0.35">
      <c r="F866" s="12"/>
      <c r="I866" s="6"/>
    </row>
    <row r="867" spans="6:9" x14ac:dyDescent="0.35">
      <c r="F867" s="12"/>
      <c r="I867" s="6"/>
    </row>
    <row r="868" spans="6:9" x14ac:dyDescent="0.35">
      <c r="F868" s="12"/>
      <c r="I868" s="6"/>
    </row>
    <row r="869" spans="6:9" x14ac:dyDescent="0.35">
      <c r="F869" s="12"/>
      <c r="I869" s="6"/>
    </row>
    <row r="870" spans="6:9" x14ac:dyDescent="0.35">
      <c r="F870" s="12"/>
      <c r="I870" s="6"/>
    </row>
    <row r="871" spans="6:9" x14ac:dyDescent="0.35">
      <c r="F871" s="12"/>
      <c r="I871" s="6"/>
    </row>
    <row r="872" spans="6:9" x14ac:dyDescent="0.35">
      <c r="F872" s="12"/>
      <c r="I872" s="6"/>
    </row>
    <row r="873" spans="6:9" x14ac:dyDescent="0.35">
      <c r="F873" s="12"/>
      <c r="I873" s="6"/>
    </row>
    <row r="874" spans="6:9" x14ac:dyDescent="0.35">
      <c r="F874" s="12"/>
      <c r="I874" s="6"/>
    </row>
    <row r="875" spans="6:9" x14ac:dyDescent="0.35">
      <c r="F875" s="12"/>
      <c r="I875" s="6"/>
    </row>
    <row r="876" spans="6:9" x14ac:dyDescent="0.35">
      <c r="F876" s="12"/>
      <c r="I876" s="6"/>
    </row>
    <row r="877" spans="6:9" x14ac:dyDescent="0.35">
      <c r="F877" s="12"/>
      <c r="I877" s="6"/>
    </row>
    <row r="878" spans="6:9" x14ac:dyDescent="0.35">
      <c r="F878" s="12"/>
      <c r="I878" s="6"/>
    </row>
    <row r="879" spans="6:9" x14ac:dyDescent="0.35">
      <c r="F879" s="12"/>
      <c r="I879" s="6"/>
    </row>
    <row r="880" spans="6:9" x14ac:dyDescent="0.35">
      <c r="F880" s="12"/>
      <c r="I880" s="6"/>
    </row>
    <row r="881" spans="6:9" x14ac:dyDescent="0.35">
      <c r="F881" s="12"/>
      <c r="I881" s="6"/>
    </row>
    <row r="882" spans="6:9" x14ac:dyDescent="0.35">
      <c r="F882" s="12"/>
      <c r="I882" s="6"/>
    </row>
    <row r="883" spans="6:9" x14ac:dyDescent="0.35">
      <c r="F883" s="12"/>
      <c r="I883" s="6"/>
    </row>
    <row r="884" spans="6:9" x14ac:dyDescent="0.35">
      <c r="F884" s="12"/>
      <c r="I884" s="6"/>
    </row>
    <row r="885" spans="6:9" x14ac:dyDescent="0.35">
      <c r="F885" s="12"/>
      <c r="I885" s="6"/>
    </row>
    <row r="886" spans="6:9" x14ac:dyDescent="0.35">
      <c r="F886" s="12"/>
      <c r="I886" s="6"/>
    </row>
    <row r="887" spans="6:9" x14ac:dyDescent="0.35">
      <c r="F887" s="12"/>
      <c r="I887" s="6"/>
    </row>
    <row r="888" spans="6:9" x14ac:dyDescent="0.35">
      <c r="F888" s="12"/>
      <c r="I888" s="6"/>
    </row>
    <row r="889" spans="6:9" x14ac:dyDescent="0.35">
      <c r="F889" s="12"/>
      <c r="I889" s="6"/>
    </row>
    <row r="890" spans="6:9" x14ac:dyDescent="0.35">
      <c r="F890" s="12"/>
      <c r="I890" s="6"/>
    </row>
    <row r="891" spans="6:9" x14ac:dyDescent="0.35">
      <c r="F891" s="12"/>
      <c r="I891" s="6"/>
    </row>
    <row r="892" spans="6:9" x14ac:dyDescent="0.35">
      <c r="F892" s="12"/>
      <c r="I892" s="6"/>
    </row>
    <row r="893" spans="6:9" x14ac:dyDescent="0.35">
      <c r="F893" s="12"/>
      <c r="I893" s="6"/>
    </row>
    <row r="894" spans="6:9" x14ac:dyDescent="0.35">
      <c r="F894" s="12"/>
      <c r="I894" s="6"/>
    </row>
    <row r="895" spans="6:9" x14ac:dyDescent="0.35">
      <c r="F895" s="12"/>
      <c r="I895" s="6"/>
    </row>
    <row r="896" spans="6:9" x14ac:dyDescent="0.35">
      <c r="F896" s="12"/>
      <c r="I896" s="6"/>
    </row>
    <row r="897" spans="6:9" x14ac:dyDescent="0.35">
      <c r="F897" s="12"/>
      <c r="I897" s="6"/>
    </row>
    <row r="898" spans="6:9" x14ac:dyDescent="0.35">
      <c r="F898" s="12"/>
      <c r="I898" s="6"/>
    </row>
    <row r="899" spans="6:9" x14ac:dyDescent="0.35">
      <c r="F899" s="12"/>
      <c r="I899" s="6"/>
    </row>
    <row r="900" spans="6:9" x14ac:dyDescent="0.35">
      <c r="F900" s="12"/>
      <c r="I900" s="6"/>
    </row>
    <row r="901" spans="6:9" x14ac:dyDescent="0.35">
      <c r="F901" s="12"/>
      <c r="I901" s="6"/>
    </row>
    <row r="902" spans="6:9" x14ac:dyDescent="0.35">
      <c r="F902" s="12"/>
      <c r="I902" s="6"/>
    </row>
    <row r="903" spans="6:9" x14ac:dyDescent="0.35">
      <c r="F903" s="12"/>
      <c r="I903" s="6"/>
    </row>
    <row r="904" spans="6:9" x14ac:dyDescent="0.35">
      <c r="F904" s="12"/>
      <c r="I904" s="6"/>
    </row>
    <row r="905" spans="6:9" x14ac:dyDescent="0.35">
      <c r="F905" s="12"/>
      <c r="I905" s="6"/>
    </row>
    <row r="906" spans="6:9" x14ac:dyDescent="0.35">
      <c r="F906" s="12"/>
      <c r="I906" s="6"/>
    </row>
    <row r="907" spans="6:9" x14ac:dyDescent="0.35">
      <c r="F907" s="12"/>
      <c r="I907" s="6"/>
    </row>
    <row r="908" spans="6:9" x14ac:dyDescent="0.35">
      <c r="F908" s="12"/>
      <c r="I908" s="6"/>
    </row>
    <row r="909" spans="6:9" x14ac:dyDescent="0.35">
      <c r="F909" s="12"/>
      <c r="I909" s="6"/>
    </row>
    <row r="910" spans="6:9" x14ac:dyDescent="0.35">
      <c r="F910" s="12"/>
      <c r="I910" s="6"/>
    </row>
    <row r="911" spans="6:9" x14ac:dyDescent="0.35">
      <c r="F911" s="12"/>
      <c r="I911" s="6"/>
    </row>
    <row r="912" spans="6:9" x14ac:dyDescent="0.35">
      <c r="F912" s="12"/>
      <c r="I912" s="6"/>
    </row>
    <row r="913" spans="6:9" x14ac:dyDescent="0.35">
      <c r="F913" s="12"/>
      <c r="I913" s="6"/>
    </row>
    <row r="914" spans="6:9" x14ac:dyDescent="0.35">
      <c r="F914" s="12"/>
      <c r="I914" s="6"/>
    </row>
    <row r="915" spans="6:9" x14ac:dyDescent="0.35">
      <c r="F915" s="12"/>
      <c r="I915" s="6"/>
    </row>
    <row r="916" spans="6:9" x14ac:dyDescent="0.35">
      <c r="F916" s="12"/>
      <c r="I916" s="6"/>
    </row>
    <row r="917" spans="6:9" x14ac:dyDescent="0.35">
      <c r="F917" s="12"/>
      <c r="I917" s="6"/>
    </row>
    <row r="918" spans="6:9" x14ac:dyDescent="0.35">
      <c r="F918" s="12"/>
      <c r="I918" s="6"/>
    </row>
    <row r="919" spans="6:9" x14ac:dyDescent="0.35">
      <c r="F919" s="12"/>
      <c r="I919" s="6"/>
    </row>
    <row r="920" spans="6:9" x14ac:dyDescent="0.35">
      <c r="F920" s="12"/>
      <c r="I920" s="6"/>
    </row>
    <row r="921" spans="6:9" x14ac:dyDescent="0.35">
      <c r="F921" s="12"/>
      <c r="I921" s="6"/>
    </row>
    <row r="922" spans="6:9" x14ac:dyDescent="0.35">
      <c r="F922" s="12"/>
      <c r="I922" s="6"/>
    </row>
    <row r="923" spans="6:9" x14ac:dyDescent="0.35">
      <c r="F923" s="12"/>
      <c r="I923" s="6"/>
    </row>
    <row r="924" spans="6:9" x14ac:dyDescent="0.35">
      <c r="F924" s="12"/>
      <c r="I924" s="6"/>
    </row>
    <row r="925" spans="6:9" x14ac:dyDescent="0.35">
      <c r="F925" s="12"/>
      <c r="I925" s="6"/>
    </row>
    <row r="926" spans="6:9" x14ac:dyDescent="0.35">
      <c r="F926" s="12"/>
      <c r="I926" s="6"/>
    </row>
    <row r="927" spans="6:9" x14ac:dyDescent="0.35">
      <c r="F927" s="12"/>
      <c r="I927" s="6"/>
    </row>
    <row r="928" spans="6:9" x14ac:dyDescent="0.35">
      <c r="F928" s="12"/>
      <c r="I928" s="6"/>
    </row>
    <row r="929" spans="6:9" x14ac:dyDescent="0.35">
      <c r="F929" s="12"/>
      <c r="I929" s="6"/>
    </row>
    <row r="930" spans="6:9" x14ac:dyDescent="0.35">
      <c r="F930" s="12"/>
      <c r="I930" s="6"/>
    </row>
    <row r="931" spans="6:9" x14ac:dyDescent="0.35">
      <c r="F931" s="12"/>
      <c r="I931" s="6"/>
    </row>
    <row r="932" spans="6:9" x14ac:dyDescent="0.35">
      <c r="F932" s="12"/>
      <c r="I932" s="6"/>
    </row>
    <row r="933" spans="6:9" x14ac:dyDescent="0.35">
      <c r="F933" s="12"/>
      <c r="I933" s="6"/>
    </row>
    <row r="934" spans="6:9" x14ac:dyDescent="0.35">
      <c r="F934" s="12"/>
      <c r="I934" s="6"/>
    </row>
    <row r="935" spans="6:9" x14ac:dyDescent="0.35">
      <c r="F935" s="12"/>
      <c r="I935" s="6"/>
    </row>
    <row r="936" spans="6:9" x14ac:dyDescent="0.35">
      <c r="F936" s="12"/>
      <c r="I936" s="6"/>
    </row>
    <row r="937" spans="6:9" x14ac:dyDescent="0.35">
      <c r="F937" s="12"/>
      <c r="I937" s="6"/>
    </row>
    <row r="938" spans="6:9" x14ac:dyDescent="0.35">
      <c r="F938" s="12"/>
      <c r="I938" s="6"/>
    </row>
    <row r="939" spans="6:9" x14ac:dyDescent="0.35">
      <c r="F939" s="12"/>
      <c r="I939" s="6"/>
    </row>
    <row r="940" spans="6:9" x14ac:dyDescent="0.35">
      <c r="F940" s="12"/>
      <c r="I940" s="6"/>
    </row>
    <row r="941" spans="6:9" x14ac:dyDescent="0.35">
      <c r="F941" s="12"/>
      <c r="I941" s="6"/>
    </row>
    <row r="942" spans="6:9" x14ac:dyDescent="0.35">
      <c r="F942" s="12"/>
      <c r="I942" s="6"/>
    </row>
    <row r="943" spans="6:9" x14ac:dyDescent="0.35">
      <c r="F943" s="12"/>
      <c r="I943" s="6"/>
    </row>
    <row r="944" spans="6:9" x14ac:dyDescent="0.35">
      <c r="F944" s="12"/>
      <c r="I944" s="6"/>
    </row>
    <row r="945" spans="6:9" x14ac:dyDescent="0.35">
      <c r="F945" s="12"/>
      <c r="I945" s="6"/>
    </row>
    <row r="946" spans="6:9" x14ac:dyDescent="0.35">
      <c r="F946" s="12"/>
      <c r="I946" s="6"/>
    </row>
    <row r="947" spans="6:9" x14ac:dyDescent="0.35">
      <c r="F947" s="12"/>
      <c r="I947" s="6"/>
    </row>
    <row r="948" spans="6:9" x14ac:dyDescent="0.35">
      <c r="F948" s="12"/>
      <c r="I948" s="6"/>
    </row>
    <row r="949" spans="6:9" x14ac:dyDescent="0.35">
      <c r="F949" s="12"/>
      <c r="I949" s="6"/>
    </row>
    <row r="950" spans="6:9" x14ac:dyDescent="0.35">
      <c r="F950" s="12"/>
      <c r="I950" s="6"/>
    </row>
    <row r="951" spans="6:9" x14ac:dyDescent="0.35">
      <c r="F951" s="12"/>
      <c r="I951" s="6"/>
    </row>
    <row r="952" spans="6:9" x14ac:dyDescent="0.35">
      <c r="F952" s="12"/>
      <c r="I952" s="6"/>
    </row>
    <row r="953" spans="6:9" x14ac:dyDescent="0.35">
      <c r="F953" s="12"/>
      <c r="I953" s="6"/>
    </row>
    <row r="954" spans="6:9" x14ac:dyDescent="0.35">
      <c r="F954" s="12"/>
      <c r="I954" s="6"/>
    </row>
    <row r="955" spans="6:9" x14ac:dyDescent="0.35">
      <c r="F955" s="12"/>
      <c r="I955" s="6"/>
    </row>
    <row r="956" spans="6:9" x14ac:dyDescent="0.35">
      <c r="F956" s="12"/>
      <c r="I956" s="6"/>
    </row>
    <row r="957" spans="6:9" x14ac:dyDescent="0.35">
      <c r="F957" s="12"/>
      <c r="I957" s="6"/>
    </row>
    <row r="958" spans="6:9" x14ac:dyDescent="0.35">
      <c r="F958" s="12"/>
      <c r="I958" s="6"/>
    </row>
    <row r="959" spans="6:9" x14ac:dyDescent="0.35">
      <c r="F959" s="12"/>
      <c r="I959" s="6"/>
    </row>
    <row r="960" spans="6:9" x14ac:dyDescent="0.35">
      <c r="F960" s="12"/>
      <c r="I960" s="6"/>
    </row>
    <row r="961" spans="6:9" x14ac:dyDescent="0.35">
      <c r="F961" s="12"/>
      <c r="I961" s="6"/>
    </row>
    <row r="962" spans="6:9" x14ac:dyDescent="0.35">
      <c r="F962" s="12"/>
      <c r="I962" s="6"/>
    </row>
    <row r="963" spans="6:9" x14ac:dyDescent="0.35">
      <c r="F963" s="12"/>
      <c r="I963" s="6"/>
    </row>
    <row r="964" spans="6:9" x14ac:dyDescent="0.35">
      <c r="F964" s="12"/>
      <c r="I964" s="6"/>
    </row>
    <row r="965" spans="6:9" x14ac:dyDescent="0.35">
      <c r="F965" s="12"/>
      <c r="I965" s="6"/>
    </row>
    <row r="966" spans="6:9" x14ac:dyDescent="0.35">
      <c r="F966" s="12"/>
      <c r="I966" s="6"/>
    </row>
    <row r="967" spans="6:9" x14ac:dyDescent="0.35">
      <c r="F967" s="12"/>
      <c r="I967" s="6"/>
    </row>
    <row r="968" spans="6:9" x14ac:dyDescent="0.35">
      <c r="F968" s="12"/>
      <c r="I968" s="6"/>
    </row>
    <row r="969" spans="6:9" x14ac:dyDescent="0.35">
      <c r="F969" s="12"/>
      <c r="I969" s="6"/>
    </row>
    <row r="970" spans="6:9" x14ac:dyDescent="0.35">
      <c r="F970" s="12"/>
      <c r="I970" s="6"/>
    </row>
    <row r="971" spans="6:9" x14ac:dyDescent="0.35">
      <c r="F971" s="12"/>
      <c r="I971" s="6"/>
    </row>
    <row r="972" spans="6:9" x14ac:dyDescent="0.35">
      <c r="F972" s="12"/>
      <c r="I972" s="6"/>
    </row>
    <row r="973" spans="6:9" x14ac:dyDescent="0.35">
      <c r="F973" s="12"/>
      <c r="I973" s="6"/>
    </row>
    <row r="974" spans="6:9" x14ac:dyDescent="0.35">
      <c r="F974" s="12"/>
      <c r="I974" s="6"/>
    </row>
    <row r="975" spans="6:9" x14ac:dyDescent="0.35">
      <c r="F975" s="12"/>
      <c r="I975" s="6"/>
    </row>
    <row r="976" spans="6:9" x14ac:dyDescent="0.35">
      <c r="F976" s="12"/>
      <c r="I976" s="6"/>
    </row>
    <row r="977" spans="6:9" x14ac:dyDescent="0.35">
      <c r="F977" s="12"/>
      <c r="I977" s="6"/>
    </row>
    <row r="978" spans="6:9" x14ac:dyDescent="0.35">
      <c r="F978" s="12"/>
      <c r="I978" s="6"/>
    </row>
    <row r="979" spans="6:9" x14ac:dyDescent="0.35">
      <c r="F979" s="12"/>
      <c r="I979" s="6"/>
    </row>
    <row r="980" spans="6:9" x14ac:dyDescent="0.35">
      <c r="F980" s="12"/>
      <c r="I980" s="6"/>
    </row>
    <row r="981" spans="6:9" x14ac:dyDescent="0.35">
      <c r="F981" s="12"/>
      <c r="I981" s="6"/>
    </row>
    <row r="982" spans="6:9" x14ac:dyDescent="0.35">
      <c r="F982" s="12"/>
      <c r="I982" s="6"/>
    </row>
    <row r="983" spans="6:9" x14ac:dyDescent="0.35">
      <c r="F983" s="12"/>
      <c r="I983" s="6"/>
    </row>
    <row r="984" spans="6:9" x14ac:dyDescent="0.35">
      <c r="F984" s="12"/>
      <c r="I984" s="6"/>
    </row>
    <row r="985" spans="6:9" x14ac:dyDescent="0.35">
      <c r="F985" s="12"/>
      <c r="I985" s="6"/>
    </row>
    <row r="986" spans="6:9" x14ac:dyDescent="0.35">
      <c r="F986" s="12"/>
      <c r="I986" s="6"/>
    </row>
    <row r="987" spans="6:9" x14ac:dyDescent="0.35">
      <c r="F987" s="12"/>
      <c r="I987" s="6"/>
    </row>
    <row r="988" spans="6:9" x14ac:dyDescent="0.35">
      <c r="F988" s="12"/>
      <c r="I988" s="6"/>
    </row>
    <row r="989" spans="6:9" x14ac:dyDescent="0.35">
      <c r="F989" s="12"/>
      <c r="I989" s="6"/>
    </row>
    <row r="990" spans="6:9" x14ac:dyDescent="0.35">
      <c r="F990" s="12"/>
      <c r="I990" s="6"/>
    </row>
    <row r="991" spans="6:9" x14ac:dyDescent="0.35">
      <c r="F991" s="12"/>
      <c r="I991" s="6"/>
    </row>
    <row r="992" spans="6:9" x14ac:dyDescent="0.35">
      <c r="F992" s="12"/>
      <c r="I992" s="6"/>
    </row>
    <row r="993" spans="6:9" x14ac:dyDescent="0.35">
      <c r="F993" s="12"/>
      <c r="I993" s="6"/>
    </row>
    <row r="994" spans="6:9" x14ac:dyDescent="0.35">
      <c r="F994" s="12"/>
      <c r="I994" s="6"/>
    </row>
    <row r="995" spans="6:9" x14ac:dyDescent="0.35">
      <c r="F995" s="12"/>
      <c r="I995" s="6"/>
    </row>
    <row r="996" spans="6:9" x14ac:dyDescent="0.35">
      <c r="F996" s="12"/>
      <c r="I996" s="6"/>
    </row>
    <row r="997" spans="6:9" x14ac:dyDescent="0.35">
      <c r="F997" s="12"/>
      <c r="I997" s="6"/>
    </row>
    <row r="998" spans="6:9" x14ac:dyDescent="0.35">
      <c r="F998" s="12"/>
      <c r="I998" s="6"/>
    </row>
    <row r="999" spans="6:9" x14ac:dyDescent="0.35">
      <c r="F999" s="12"/>
      <c r="I999" s="6"/>
    </row>
    <row r="1000" spans="6:9" x14ac:dyDescent="0.35">
      <c r="F1000" s="12"/>
      <c r="I1000" s="6"/>
    </row>
    <row r="1001" spans="6:9" x14ac:dyDescent="0.35">
      <c r="F1001" s="12"/>
      <c r="I1001" s="6"/>
    </row>
    <row r="1002" spans="6:9" x14ac:dyDescent="0.35">
      <c r="F1002" s="12"/>
      <c r="I1002" s="6"/>
    </row>
    <row r="1003" spans="6:9" x14ac:dyDescent="0.35">
      <c r="F1003" s="12"/>
      <c r="I1003" s="6"/>
    </row>
    <row r="1004" spans="6:9" x14ac:dyDescent="0.35">
      <c r="F1004" s="12"/>
      <c r="I1004" s="6"/>
    </row>
    <row r="1005" spans="6:9" x14ac:dyDescent="0.35">
      <c r="F1005" s="12"/>
      <c r="I1005" s="6"/>
    </row>
    <row r="1006" spans="6:9" x14ac:dyDescent="0.35">
      <c r="F1006" s="12"/>
      <c r="I1006" s="6"/>
    </row>
    <row r="1007" spans="6:9" x14ac:dyDescent="0.35">
      <c r="F1007" s="12"/>
      <c r="I1007" s="6"/>
    </row>
    <row r="1008" spans="6:9" x14ac:dyDescent="0.35">
      <c r="F1008" s="12"/>
      <c r="I1008" s="6"/>
    </row>
    <row r="1009" spans="6:9" x14ac:dyDescent="0.35">
      <c r="F1009" s="12"/>
      <c r="I1009" s="6"/>
    </row>
    <row r="1010" spans="6:9" x14ac:dyDescent="0.35">
      <c r="F1010" s="12"/>
      <c r="I1010" s="6"/>
    </row>
    <row r="1011" spans="6:9" x14ac:dyDescent="0.35">
      <c r="F1011" s="12"/>
      <c r="I1011" s="6"/>
    </row>
    <row r="1012" spans="6:9" x14ac:dyDescent="0.35">
      <c r="F1012" s="12"/>
      <c r="I1012" s="6"/>
    </row>
    <row r="1013" spans="6:9" x14ac:dyDescent="0.35">
      <c r="F1013" s="12"/>
      <c r="I1013" s="6"/>
    </row>
    <row r="1014" spans="6:9" x14ac:dyDescent="0.35">
      <c r="F1014" s="12"/>
      <c r="I1014" s="6"/>
    </row>
    <row r="1015" spans="6:9" x14ac:dyDescent="0.35">
      <c r="F1015" s="12"/>
      <c r="I1015" s="6"/>
    </row>
    <row r="1016" spans="6:9" x14ac:dyDescent="0.35">
      <c r="F1016" s="12"/>
      <c r="I1016" s="6"/>
    </row>
    <row r="1017" spans="6:9" x14ac:dyDescent="0.35">
      <c r="F1017" s="12"/>
      <c r="I1017" s="6"/>
    </row>
    <row r="1018" spans="6:9" x14ac:dyDescent="0.35">
      <c r="F1018" s="12"/>
      <c r="I1018" s="6"/>
    </row>
    <row r="1019" spans="6:9" x14ac:dyDescent="0.35">
      <c r="F1019" s="12"/>
      <c r="I1019" s="6"/>
    </row>
    <row r="1020" spans="6:9" x14ac:dyDescent="0.35">
      <c r="F1020" s="12"/>
      <c r="I1020" s="6"/>
    </row>
    <row r="1021" spans="6:9" x14ac:dyDescent="0.35">
      <c r="F1021" s="12"/>
      <c r="I1021" s="6"/>
    </row>
    <row r="1022" spans="6:9" x14ac:dyDescent="0.35">
      <c r="F1022" s="12"/>
      <c r="I1022" s="6"/>
    </row>
    <row r="1023" spans="6:9" x14ac:dyDescent="0.35">
      <c r="F1023" s="12"/>
      <c r="I1023" s="6"/>
    </row>
    <row r="1024" spans="6:9" x14ac:dyDescent="0.35">
      <c r="F1024" s="12"/>
      <c r="I1024" s="6"/>
    </row>
    <row r="1025" spans="6:9" x14ac:dyDescent="0.35">
      <c r="F1025" s="12"/>
      <c r="I1025" s="6"/>
    </row>
    <row r="1026" spans="6:9" x14ac:dyDescent="0.35">
      <c r="F1026" s="12"/>
      <c r="I1026" s="6"/>
    </row>
    <row r="1027" spans="6:9" x14ac:dyDescent="0.35">
      <c r="F1027" s="12"/>
      <c r="I1027" s="6"/>
    </row>
    <row r="1028" spans="6:9" x14ac:dyDescent="0.35">
      <c r="F1028" s="12"/>
      <c r="I1028" s="6"/>
    </row>
    <row r="1029" spans="6:9" x14ac:dyDescent="0.35">
      <c r="F1029" s="12"/>
      <c r="I1029" s="6"/>
    </row>
    <row r="1030" spans="6:9" x14ac:dyDescent="0.35">
      <c r="F1030" s="12"/>
      <c r="I1030" s="6"/>
    </row>
    <row r="1031" spans="6:9" x14ac:dyDescent="0.35">
      <c r="F1031" s="12"/>
      <c r="I1031" s="6"/>
    </row>
    <row r="1032" spans="6:9" x14ac:dyDescent="0.35">
      <c r="F1032" s="12"/>
      <c r="I1032" s="6"/>
    </row>
    <row r="1033" spans="6:9" x14ac:dyDescent="0.35">
      <c r="F1033" s="12"/>
      <c r="I1033" s="6"/>
    </row>
    <row r="1034" spans="6:9" x14ac:dyDescent="0.35">
      <c r="F1034" s="12"/>
      <c r="I1034" s="6"/>
    </row>
    <row r="1035" spans="6:9" x14ac:dyDescent="0.35">
      <c r="F1035" s="12"/>
      <c r="I1035" s="6"/>
    </row>
    <row r="1036" spans="6:9" x14ac:dyDescent="0.35">
      <c r="F1036" s="12"/>
      <c r="I1036" s="6"/>
    </row>
    <row r="1037" spans="6:9" x14ac:dyDescent="0.35">
      <c r="F1037" s="12"/>
      <c r="I1037" s="6"/>
    </row>
    <row r="1038" spans="6:9" x14ac:dyDescent="0.35">
      <c r="F1038" s="12"/>
      <c r="I1038" s="6"/>
    </row>
    <row r="1039" spans="6:9" x14ac:dyDescent="0.35">
      <c r="F1039" s="12"/>
      <c r="I1039" s="6"/>
    </row>
    <row r="1040" spans="6:9" x14ac:dyDescent="0.35">
      <c r="F1040" s="12"/>
      <c r="I1040" s="6"/>
    </row>
    <row r="1041" spans="6:9" x14ac:dyDescent="0.35">
      <c r="F1041" s="12"/>
      <c r="I1041" s="6"/>
    </row>
    <row r="1042" spans="6:9" x14ac:dyDescent="0.35">
      <c r="F1042" s="12"/>
      <c r="I1042" s="6"/>
    </row>
    <row r="1043" spans="6:9" x14ac:dyDescent="0.35">
      <c r="F1043" s="12"/>
      <c r="I1043" s="6"/>
    </row>
    <row r="1044" spans="6:9" x14ac:dyDescent="0.35">
      <c r="F1044" s="12"/>
      <c r="I1044" s="6"/>
    </row>
    <row r="1045" spans="6:9" x14ac:dyDescent="0.35">
      <c r="F1045" s="12"/>
      <c r="I1045" s="6"/>
    </row>
    <row r="1046" spans="6:9" x14ac:dyDescent="0.35">
      <c r="F1046" s="12"/>
      <c r="I1046" s="6"/>
    </row>
    <row r="1047" spans="6:9" x14ac:dyDescent="0.35">
      <c r="F1047" s="12"/>
      <c r="I1047" s="6"/>
    </row>
    <row r="1048" spans="6:9" x14ac:dyDescent="0.35">
      <c r="F1048" s="12"/>
      <c r="I1048" s="6"/>
    </row>
    <row r="1049" spans="6:9" x14ac:dyDescent="0.35">
      <c r="F1049" s="12"/>
      <c r="I1049" s="6"/>
    </row>
    <row r="1050" spans="6:9" x14ac:dyDescent="0.35">
      <c r="F1050" s="12"/>
      <c r="I1050" s="6"/>
    </row>
    <row r="1051" spans="6:9" x14ac:dyDescent="0.35">
      <c r="F1051" s="12"/>
      <c r="I1051" s="6"/>
    </row>
    <row r="1052" spans="6:9" x14ac:dyDescent="0.35">
      <c r="F1052" s="12"/>
      <c r="I1052" s="6"/>
    </row>
    <row r="1053" spans="6:9" x14ac:dyDescent="0.35">
      <c r="F1053" s="12"/>
      <c r="I1053" s="6"/>
    </row>
    <row r="1054" spans="6:9" x14ac:dyDescent="0.35">
      <c r="F1054" s="12"/>
      <c r="I1054" s="6"/>
    </row>
    <row r="1055" spans="6:9" x14ac:dyDescent="0.35">
      <c r="F1055" s="12"/>
      <c r="I1055" s="6"/>
    </row>
    <row r="1056" spans="6:9" x14ac:dyDescent="0.35">
      <c r="F1056" s="12"/>
      <c r="I1056" s="6"/>
    </row>
    <row r="1057" spans="6:9" x14ac:dyDescent="0.35">
      <c r="F1057" s="12"/>
      <c r="I1057" s="6"/>
    </row>
    <row r="1058" spans="6:9" x14ac:dyDescent="0.35">
      <c r="F1058" s="12"/>
      <c r="I1058" s="6"/>
    </row>
    <row r="1059" spans="6:9" x14ac:dyDescent="0.35">
      <c r="F1059" s="12"/>
      <c r="I1059" s="6"/>
    </row>
    <row r="1060" spans="6:9" x14ac:dyDescent="0.35">
      <c r="F1060" s="12"/>
      <c r="I1060" s="6"/>
    </row>
    <row r="1061" spans="6:9" x14ac:dyDescent="0.35">
      <c r="F1061" s="12"/>
      <c r="I1061" s="6"/>
    </row>
    <row r="1062" spans="6:9" x14ac:dyDescent="0.35">
      <c r="F1062" s="12"/>
      <c r="I1062" s="6"/>
    </row>
    <row r="1063" spans="6:9" x14ac:dyDescent="0.35">
      <c r="F1063" s="12"/>
      <c r="I1063" s="6"/>
    </row>
    <row r="1064" spans="6:9" x14ac:dyDescent="0.35">
      <c r="F1064" s="12"/>
      <c r="I1064" s="6"/>
    </row>
    <row r="1065" spans="6:9" x14ac:dyDescent="0.35">
      <c r="F1065" s="12"/>
      <c r="I1065" s="6"/>
    </row>
    <row r="1066" spans="6:9" x14ac:dyDescent="0.35">
      <c r="F1066" s="12"/>
      <c r="I1066" s="6"/>
    </row>
    <row r="1067" spans="6:9" x14ac:dyDescent="0.35">
      <c r="F1067" s="12"/>
      <c r="I1067" s="6"/>
    </row>
    <row r="1068" spans="6:9" x14ac:dyDescent="0.35">
      <c r="F1068" s="12"/>
      <c r="I1068" s="6"/>
    </row>
    <row r="1069" spans="6:9" x14ac:dyDescent="0.35">
      <c r="F1069" s="12"/>
      <c r="I1069" s="6"/>
    </row>
    <row r="1070" spans="6:9" x14ac:dyDescent="0.35">
      <c r="F1070" s="12"/>
      <c r="I1070" s="6"/>
    </row>
    <row r="1071" spans="6:9" x14ac:dyDescent="0.35">
      <c r="F1071" s="12"/>
      <c r="I1071" s="6"/>
    </row>
    <row r="1072" spans="6:9" x14ac:dyDescent="0.35">
      <c r="F1072" s="12"/>
      <c r="I1072" s="6"/>
    </row>
    <row r="1073" spans="6:9" x14ac:dyDescent="0.35">
      <c r="F1073" s="12"/>
      <c r="I1073" s="6"/>
    </row>
    <row r="1074" spans="6:9" x14ac:dyDescent="0.35">
      <c r="F1074" s="12"/>
      <c r="I1074" s="6"/>
    </row>
    <row r="1075" spans="6:9" x14ac:dyDescent="0.35">
      <c r="F1075" s="12"/>
      <c r="I1075" s="6"/>
    </row>
    <row r="1076" spans="6:9" x14ac:dyDescent="0.35">
      <c r="F1076" s="12"/>
      <c r="I1076" s="6"/>
    </row>
    <row r="1077" spans="6:9" x14ac:dyDescent="0.35">
      <c r="F1077" s="12"/>
      <c r="I1077" s="6"/>
    </row>
    <row r="1078" spans="6:9" x14ac:dyDescent="0.35">
      <c r="F1078" s="12"/>
      <c r="I1078" s="6"/>
    </row>
    <row r="1079" spans="6:9" x14ac:dyDescent="0.35">
      <c r="F1079" s="12"/>
      <c r="I1079" s="6"/>
    </row>
    <row r="1080" spans="6:9" x14ac:dyDescent="0.35">
      <c r="F1080" s="12"/>
      <c r="I1080" s="6"/>
    </row>
    <row r="1081" spans="6:9" x14ac:dyDescent="0.35">
      <c r="F1081" s="12"/>
      <c r="I1081" s="6"/>
    </row>
    <row r="1082" spans="6:9" x14ac:dyDescent="0.35">
      <c r="F1082" s="12"/>
      <c r="I1082" s="6"/>
    </row>
    <row r="1083" spans="6:9" x14ac:dyDescent="0.35">
      <c r="F1083" s="12"/>
      <c r="I1083" s="6"/>
    </row>
    <row r="1084" spans="6:9" x14ac:dyDescent="0.35">
      <c r="F1084" s="12"/>
      <c r="I1084" s="6"/>
    </row>
    <row r="1085" spans="6:9" x14ac:dyDescent="0.35">
      <c r="F1085" s="12"/>
      <c r="I1085" s="6"/>
    </row>
    <row r="1086" spans="6:9" x14ac:dyDescent="0.35">
      <c r="F1086" s="12"/>
      <c r="I1086" s="6"/>
    </row>
    <row r="1087" spans="6:9" x14ac:dyDescent="0.35">
      <c r="F1087" s="12"/>
      <c r="I1087" s="6"/>
    </row>
    <row r="1088" spans="6:9" x14ac:dyDescent="0.35">
      <c r="F1088" s="12"/>
      <c r="I1088" s="6"/>
    </row>
    <row r="1089" spans="6:9" x14ac:dyDescent="0.35">
      <c r="F1089" s="12"/>
      <c r="I1089" s="6"/>
    </row>
    <row r="1090" spans="6:9" x14ac:dyDescent="0.35">
      <c r="F1090" s="12"/>
      <c r="I1090" s="6"/>
    </row>
    <row r="1091" spans="6:9" x14ac:dyDescent="0.35">
      <c r="F1091" s="12"/>
      <c r="I1091" s="6"/>
    </row>
    <row r="1092" spans="6:9" x14ac:dyDescent="0.35">
      <c r="F1092" s="12"/>
      <c r="I1092" s="6"/>
    </row>
    <row r="1093" spans="6:9" x14ac:dyDescent="0.35">
      <c r="F1093" s="12"/>
      <c r="I1093" s="6"/>
    </row>
    <row r="1094" spans="6:9" x14ac:dyDescent="0.35">
      <c r="F1094" s="12"/>
      <c r="I1094" s="6"/>
    </row>
    <row r="1095" spans="6:9" x14ac:dyDescent="0.35">
      <c r="F1095" s="12"/>
      <c r="I1095" s="6"/>
    </row>
    <row r="1096" spans="6:9" x14ac:dyDescent="0.35">
      <c r="F1096" s="12"/>
      <c r="I1096" s="6"/>
    </row>
    <row r="1097" spans="6:9" x14ac:dyDescent="0.35">
      <c r="F1097" s="12"/>
      <c r="I1097" s="6"/>
    </row>
    <row r="1098" spans="6:9" x14ac:dyDescent="0.35">
      <c r="F1098" s="12"/>
      <c r="I1098" s="6"/>
    </row>
    <row r="1099" spans="6:9" x14ac:dyDescent="0.35">
      <c r="F1099" s="12"/>
      <c r="I1099" s="6"/>
    </row>
    <row r="1100" spans="6:9" x14ac:dyDescent="0.35">
      <c r="F1100" s="12"/>
      <c r="I1100" s="6"/>
    </row>
    <row r="1101" spans="6:9" x14ac:dyDescent="0.35">
      <c r="F1101" s="12"/>
      <c r="I1101" s="6"/>
    </row>
    <row r="1102" spans="6:9" x14ac:dyDescent="0.35">
      <c r="F1102" s="12"/>
      <c r="I1102" s="6"/>
    </row>
    <row r="1103" spans="6:9" x14ac:dyDescent="0.35">
      <c r="F1103" s="12"/>
      <c r="I1103" s="6"/>
    </row>
    <row r="1104" spans="6:9" x14ac:dyDescent="0.35">
      <c r="F1104" s="12"/>
      <c r="I1104" s="6"/>
    </row>
    <row r="1105" spans="6:9" x14ac:dyDescent="0.35">
      <c r="F1105" s="12"/>
      <c r="I1105" s="6"/>
    </row>
    <row r="1106" spans="6:9" x14ac:dyDescent="0.35">
      <c r="F1106" s="12"/>
      <c r="I1106" s="6"/>
    </row>
    <row r="1107" spans="6:9" x14ac:dyDescent="0.35">
      <c r="F1107" s="12"/>
      <c r="I1107" s="6"/>
    </row>
    <row r="1108" spans="6:9" x14ac:dyDescent="0.35">
      <c r="F1108" s="12"/>
      <c r="I1108" s="6"/>
    </row>
    <row r="1109" spans="6:9" x14ac:dyDescent="0.35">
      <c r="F1109" s="12"/>
      <c r="I1109" s="6"/>
    </row>
    <row r="1110" spans="6:9" x14ac:dyDescent="0.35">
      <c r="F1110" s="12"/>
      <c r="I1110" s="6"/>
    </row>
    <row r="1111" spans="6:9" x14ac:dyDescent="0.35">
      <c r="F1111" s="12"/>
      <c r="I1111" s="6"/>
    </row>
    <row r="1112" spans="6:9" x14ac:dyDescent="0.35">
      <c r="F1112" s="12"/>
      <c r="I1112" s="6"/>
    </row>
    <row r="1113" spans="6:9" x14ac:dyDescent="0.35">
      <c r="F1113" s="12"/>
      <c r="I1113" s="6"/>
    </row>
    <row r="1114" spans="6:9" x14ac:dyDescent="0.35">
      <c r="F1114" s="12"/>
      <c r="I1114" s="6"/>
    </row>
    <row r="1115" spans="6:9" x14ac:dyDescent="0.35">
      <c r="F1115" s="12"/>
      <c r="I1115" s="6"/>
    </row>
    <row r="1116" spans="6:9" x14ac:dyDescent="0.35">
      <c r="F1116" s="12"/>
      <c r="I1116" s="6"/>
    </row>
    <row r="1117" spans="6:9" x14ac:dyDescent="0.35">
      <c r="F1117" s="12"/>
      <c r="I1117" s="6"/>
    </row>
    <row r="1118" spans="6:9" x14ac:dyDescent="0.35">
      <c r="F1118" s="12"/>
      <c r="I1118" s="6"/>
    </row>
    <row r="1119" spans="6:9" x14ac:dyDescent="0.35">
      <c r="F1119" s="12"/>
      <c r="I1119" s="6"/>
    </row>
    <row r="1120" spans="6:9" x14ac:dyDescent="0.35">
      <c r="F1120" s="12"/>
      <c r="I1120" s="6"/>
    </row>
    <row r="1121" spans="6:9" x14ac:dyDescent="0.35">
      <c r="F1121" s="12"/>
      <c r="I1121" s="6"/>
    </row>
    <row r="1122" spans="6:9" x14ac:dyDescent="0.35">
      <c r="F1122" s="12"/>
      <c r="I1122" s="6"/>
    </row>
    <row r="1123" spans="6:9" x14ac:dyDescent="0.35">
      <c r="F1123" s="12"/>
      <c r="I1123" s="6"/>
    </row>
    <row r="1124" spans="6:9" x14ac:dyDescent="0.35">
      <c r="F1124" s="12"/>
      <c r="I1124" s="6"/>
    </row>
    <row r="1125" spans="6:9" x14ac:dyDescent="0.35">
      <c r="F1125" s="12"/>
      <c r="I1125" s="6"/>
    </row>
    <row r="1126" spans="6:9" x14ac:dyDescent="0.35">
      <c r="F1126" s="12"/>
      <c r="I1126" s="6"/>
    </row>
    <row r="1127" spans="6:9" x14ac:dyDescent="0.35">
      <c r="F1127" s="12"/>
      <c r="I1127" s="6"/>
    </row>
    <row r="1128" spans="6:9" x14ac:dyDescent="0.35">
      <c r="F1128" s="12"/>
      <c r="I1128" s="6"/>
    </row>
    <row r="1129" spans="6:9" x14ac:dyDescent="0.35">
      <c r="F1129" s="12"/>
      <c r="I1129" s="6"/>
    </row>
    <row r="1130" spans="6:9" x14ac:dyDescent="0.35">
      <c r="F1130" s="12"/>
      <c r="I1130" s="6"/>
    </row>
    <row r="1131" spans="6:9" x14ac:dyDescent="0.35">
      <c r="F1131" s="12"/>
      <c r="I1131" s="6"/>
    </row>
    <row r="1132" spans="6:9" x14ac:dyDescent="0.35">
      <c r="F1132" s="12"/>
      <c r="I1132" s="6"/>
    </row>
    <row r="1133" spans="6:9" x14ac:dyDescent="0.35">
      <c r="F1133" s="12"/>
      <c r="I1133" s="6"/>
    </row>
    <row r="1134" spans="6:9" x14ac:dyDescent="0.35">
      <c r="F1134" s="12"/>
      <c r="I1134" s="6"/>
    </row>
    <row r="1135" spans="6:9" x14ac:dyDescent="0.35">
      <c r="F1135" s="12"/>
      <c r="I1135" s="6"/>
    </row>
    <row r="1136" spans="6:9" x14ac:dyDescent="0.35">
      <c r="F1136" s="12"/>
      <c r="I1136" s="6"/>
    </row>
    <row r="1137" spans="6:9" x14ac:dyDescent="0.35">
      <c r="F1137" s="12"/>
      <c r="I1137" s="6"/>
    </row>
    <row r="1138" spans="6:9" x14ac:dyDescent="0.35">
      <c r="F1138" s="12"/>
      <c r="I1138" s="6"/>
    </row>
    <row r="1139" spans="6:9" x14ac:dyDescent="0.35">
      <c r="F1139" s="12"/>
      <c r="I1139" s="6"/>
    </row>
    <row r="1140" spans="6:9" x14ac:dyDescent="0.35">
      <c r="F1140" s="12"/>
      <c r="I1140" s="6"/>
    </row>
    <row r="1141" spans="6:9" x14ac:dyDescent="0.35">
      <c r="F1141" s="12"/>
      <c r="I1141" s="6"/>
    </row>
    <row r="1142" spans="6:9" x14ac:dyDescent="0.35">
      <c r="F1142" s="12"/>
      <c r="I1142" s="6"/>
    </row>
    <row r="1143" spans="6:9" x14ac:dyDescent="0.35">
      <c r="F1143" s="12"/>
      <c r="I1143" s="6"/>
    </row>
    <row r="1144" spans="6:9" x14ac:dyDescent="0.35">
      <c r="F1144" s="12"/>
      <c r="I1144" s="6"/>
    </row>
    <row r="1145" spans="6:9" x14ac:dyDescent="0.35">
      <c r="F1145" s="12"/>
      <c r="I1145" s="6"/>
    </row>
    <row r="1146" spans="6:9" x14ac:dyDescent="0.35">
      <c r="F1146" s="12"/>
      <c r="I1146" s="6"/>
    </row>
    <row r="1147" spans="6:9" x14ac:dyDescent="0.35">
      <c r="F1147" s="12"/>
      <c r="I1147" s="6"/>
    </row>
    <row r="1148" spans="6:9" x14ac:dyDescent="0.35">
      <c r="F1148" s="12"/>
      <c r="I1148" s="6"/>
    </row>
    <row r="1149" spans="6:9" x14ac:dyDescent="0.35">
      <c r="F1149" s="12"/>
      <c r="I1149" s="6"/>
    </row>
    <row r="1150" spans="6:9" x14ac:dyDescent="0.35">
      <c r="F1150" s="12"/>
      <c r="I1150" s="6"/>
    </row>
    <row r="1151" spans="6:9" x14ac:dyDescent="0.35">
      <c r="F1151" s="12"/>
      <c r="I1151" s="6"/>
    </row>
    <row r="1152" spans="6:9" x14ac:dyDescent="0.35">
      <c r="F1152" s="12"/>
      <c r="I1152" s="6"/>
    </row>
    <row r="1153" spans="6:9" x14ac:dyDescent="0.35">
      <c r="F1153" s="12"/>
      <c r="I1153" s="6"/>
    </row>
    <row r="1154" spans="6:9" x14ac:dyDescent="0.35">
      <c r="F1154" s="12"/>
      <c r="I1154" s="6"/>
    </row>
    <row r="1155" spans="6:9" x14ac:dyDescent="0.35">
      <c r="F1155" s="12"/>
      <c r="I1155" s="6"/>
    </row>
    <row r="1156" spans="6:9" x14ac:dyDescent="0.35">
      <c r="F1156" s="12"/>
      <c r="I1156" s="6"/>
    </row>
    <row r="1157" spans="6:9" x14ac:dyDescent="0.35">
      <c r="F1157" s="12"/>
      <c r="I1157" s="6"/>
    </row>
    <row r="1158" spans="6:9" x14ac:dyDescent="0.35">
      <c r="F1158" s="12"/>
      <c r="I1158" s="6"/>
    </row>
    <row r="1159" spans="6:9" x14ac:dyDescent="0.35">
      <c r="F1159" s="12"/>
      <c r="I1159" s="6"/>
    </row>
    <row r="1160" spans="6:9" x14ac:dyDescent="0.35">
      <c r="F1160" s="12"/>
      <c r="I1160" s="6"/>
    </row>
    <row r="1161" spans="6:9" x14ac:dyDescent="0.35">
      <c r="F1161" s="12"/>
      <c r="I1161" s="6"/>
    </row>
    <row r="1162" spans="6:9" x14ac:dyDescent="0.35">
      <c r="F1162" s="12"/>
      <c r="I1162" s="6"/>
    </row>
    <row r="1163" spans="6:9" x14ac:dyDescent="0.35">
      <c r="F1163" s="12"/>
      <c r="I1163" s="6"/>
    </row>
    <row r="1164" spans="6:9" x14ac:dyDescent="0.35">
      <c r="F1164" s="12"/>
      <c r="I1164" s="6"/>
    </row>
    <row r="1165" spans="6:9" x14ac:dyDescent="0.35">
      <c r="F1165" s="12"/>
      <c r="I1165" s="6"/>
    </row>
    <row r="1166" spans="6:9" x14ac:dyDescent="0.35">
      <c r="F1166" s="12"/>
      <c r="I1166" s="6"/>
    </row>
    <row r="1167" spans="6:9" x14ac:dyDescent="0.35">
      <c r="F1167" s="12"/>
      <c r="I1167" s="6"/>
    </row>
    <row r="1168" spans="6:9" x14ac:dyDescent="0.35">
      <c r="F1168" s="12"/>
      <c r="I1168" s="6"/>
    </row>
    <row r="1169" spans="6:9" x14ac:dyDescent="0.35">
      <c r="F1169" s="12"/>
      <c r="I1169" s="6"/>
    </row>
    <row r="1170" spans="6:9" x14ac:dyDescent="0.35">
      <c r="F1170" s="12"/>
      <c r="I1170" s="6"/>
    </row>
    <row r="1171" spans="6:9" x14ac:dyDescent="0.35">
      <c r="F1171" s="12"/>
      <c r="I1171" s="6"/>
    </row>
    <row r="1172" spans="6:9" x14ac:dyDescent="0.35">
      <c r="F1172" s="12"/>
      <c r="I1172" s="6"/>
    </row>
    <row r="1173" spans="6:9" x14ac:dyDescent="0.35">
      <c r="F1173" s="12"/>
      <c r="I1173" s="6"/>
    </row>
    <row r="1174" spans="6:9" x14ac:dyDescent="0.35">
      <c r="F1174" s="12"/>
      <c r="I1174" s="6"/>
    </row>
    <row r="1175" spans="6:9" x14ac:dyDescent="0.35">
      <c r="F1175" s="12"/>
      <c r="I1175" s="6"/>
    </row>
    <row r="1176" spans="6:9" x14ac:dyDescent="0.35">
      <c r="F1176" s="12"/>
      <c r="I1176" s="6"/>
    </row>
    <row r="1177" spans="6:9" x14ac:dyDescent="0.35">
      <c r="F1177" s="12"/>
      <c r="I1177" s="6"/>
    </row>
    <row r="1178" spans="6:9" x14ac:dyDescent="0.35">
      <c r="F1178" s="12"/>
      <c r="I1178" s="6"/>
    </row>
    <row r="1179" spans="6:9" x14ac:dyDescent="0.35">
      <c r="F1179" s="12"/>
      <c r="I1179" s="6"/>
    </row>
    <row r="1180" spans="6:9" x14ac:dyDescent="0.35">
      <c r="F1180" s="12"/>
      <c r="I1180" s="6"/>
    </row>
    <row r="1181" spans="6:9" x14ac:dyDescent="0.35">
      <c r="F1181" s="12"/>
      <c r="I1181" s="6"/>
    </row>
    <row r="1182" spans="6:9" x14ac:dyDescent="0.35">
      <c r="F1182" s="12"/>
      <c r="I1182" s="6"/>
    </row>
    <row r="1183" spans="6:9" x14ac:dyDescent="0.35">
      <c r="F1183" s="12"/>
      <c r="I1183" s="6"/>
    </row>
    <row r="1184" spans="6:9" x14ac:dyDescent="0.35">
      <c r="F1184" s="12"/>
      <c r="I1184" s="6"/>
    </row>
    <row r="1185" spans="6:9" x14ac:dyDescent="0.35">
      <c r="F1185" s="12"/>
      <c r="I1185" s="6"/>
    </row>
    <row r="1186" spans="6:9" x14ac:dyDescent="0.35">
      <c r="F1186" s="12"/>
      <c r="I1186" s="6"/>
    </row>
    <row r="1187" spans="6:9" x14ac:dyDescent="0.35">
      <c r="F1187" s="12"/>
      <c r="I1187" s="6"/>
    </row>
    <row r="1188" spans="6:9" x14ac:dyDescent="0.35">
      <c r="F1188" s="12"/>
      <c r="I1188" s="6"/>
    </row>
    <row r="1189" spans="6:9" x14ac:dyDescent="0.35">
      <c r="F1189" s="12"/>
      <c r="I1189" s="6"/>
    </row>
    <row r="1190" spans="6:9" x14ac:dyDescent="0.35">
      <c r="F1190" s="12"/>
      <c r="I1190" s="6"/>
    </row>
    <row r="1191" spans="6:9" x14ac:dyDescent="0.35">
      <c r="F1191" s="12"/>
      <c r="I1191" s="6"/>
    </row>
    <row r="1192" spans="6:9" x14ac:dyDescent="0.35">
      <c r="F1192" s="12"/>
      <c r="I1192" s="6"/>
    </row>
    <row r="1193" spans="6:9" x14ac:dyDescent="0.35">
      <c r="F1193" s="12"/>
      <c r="I1193" s="6"/>
    </row>
    <row r="1194" spans="6:9" x14ac:dyDescent="0.35">
      <c r="F1194" s="12"/>
      <c r="I1194" s="6"/>
    </row>
    <row r="1195" spans="6:9" x14ac:dyDescent="0.35">
      <c r="F1195" s="12"/>
      <c r="I1195" s="6"/>
    </row>
    <row r="1196" spans="6:9" x14ac:dyDescent="0.35">
      <c r="F1196" s="12"/>
      <c r="I1196" s="6"/>
    </row>
    <row r="1197" spans="6:9" x14ac:dyDescent="0.35">
      <c r="F1197" s="12"/>
      <c r="I1197" s="6"/>
    </row>
    <row r="1198" spans="6:9" x14ac:dyDescent="0.35">
      <c r="F1198" s="12"/>
      <c r="I1198" s="6"/>
    </row>
    <row r="1199" spans="6:9" x14ac:dyDescent="0.35">
      <c r="F1199" s="12"/>
      <c r="I1199" s="6"/>
    </row>
    <row r="1200" spans="6:9" x14ac:dyDescent="0.35">
      <c r="F1200" s="12"/>
      <c r="I1200" s="6"/>
    </row>
    <row r="1201" spans="6:9" x14ac:dyDescent="0.35">
      <c r="F1201" s="12"/>
      <c r="I1201" s="6"/>
    </row>
    <row r="1202" spans="6:9" x14ac:dyDescent="0.35">
      <c r="F1202" s="12"/>
      <c r="I1202" s="6"/>
    </row>
    <row r="1203" spans="6:9" x14ac:dyDescent="0.35">
      <c r="F1203" s="12"/>
      <c r="I1203" s="6"/>
    </row>
    <row r="1204" spans="6:9" x14ac:dyDescent="0.35">
      <c r="F1204" s="12"/>
      <c r="I1204" s="6"/>
    </row>
    <row r="1205" spans="6:9" x14ac:dyDescent="0.35">
      <c r="F1205" s="12"/>
      <c r="I1205" s="6"/>
    </row>
    <row r="1206" spans="6:9" x14ac:dyDescent="0.35">
      <c r="F1206" s="12"/>
      <c r="I1206" s="6"/>
    </row>
    <row r="1207" spans="6:9" x14ac:dyDescent="0.35">
      <c r="F1207" s="12"/>
      <c r="I1207" s="6"/>
    </row>
    <row r="1208" spans="6:9" x14ac:dyDescent="0.35">
      <c r="F1208" s="12"/>
      <c r="I1208" s="6"/>
    </row>
    <row r="1209" spans="6:9" x14ac:dyDescent="0.35">
      <c r="F1209" s="12"/>
      <c r="I1209" s="6"/>
    </row>
    <row r="1210" spans="6:9" x14ac:dyDescent="0.35">
      <c r="F1210" s="12"/>
      <c r="I1210" s="6"/>
    </row>
    <row r="1211" spans="6:9" x14ac:dyDescent="0.35">
      <c r="F1211" s="12"/>
      <c r="I1211" s="6"/>
    </row>
    <row r="1212" spans="6:9" x14ac:dyDescent="0.35">
      <c r="F1212" s="12"/>
      <c r="I1212" s="6"/>
    </row>
    <row r="1213" spans="6:9" x14ac:dyDescent="0.35">
      <c r="F1213" s="12"/>
      <c r="I1213" s="6"/>
    </row>
    <row r="1214" spans="6:9" x14ac:dyDescent="0.35">
      <c r="F1214" s="12"/>
      <c r="I1214" s="6"/>
    </row>
    <row r="1215" spans="6:9" x14ac:dyDescent="0.35">
      <c r="F1215" s="12"/>
      <c r="I1215" s="6"/>
    </row>
    <row r="1216" spans="6:9" x14ac:dyDescent="0.35">
      <c r="F1216" s="12"/>
      <c r="I1216" s="6"/>
    </row>
    <row r="1217" spans="6:9" x14ac:dyDescent="0.35">
      <c r="F1217" s="12"/>
      <c r="I1217" s="6"/>
    </row>
    <row r="1218" spans="6:9" x14ac:dyDescent="0.35">
      <c r="F1218" s="12"/>
      <c r="I1218" s="6"/>
    </row>
    <row r="1219" spans="6:9" x14ac:dyDescent="0.35">
      <c r="F1219" s="12"/>
      <c r="I1219" s="6"/>
    </row>
    <row r="1220" spans="6:9" x14ac:dyDescent="0.35">
      <c r="F1220" s="12"/>
      <c r="I1220" s="6"/>
    </row>
    <row r="1221" spans="6:9" x14ac:dyDescent="0.35">
      <c r="F1221" s="12"/>
      <c r="I1221" s="6"/>
    </row>
    <row r="1222" spans="6:9" x14ac:dyDescent="0.35">
      <c r="F1222" s="12"/>
      <c r="I1222" s="6"/>
    </row>
    <row r="1223" spans="6:9" x14ac:dyDescent="0.35">
      <c r="F1223" s="12"/>
      <c r="I1223" s="6"/>
    </row>
    <row r="1224" spans="6:9" x14ac:dyDescent="0.35">
      <c r="F1224" s="12"/>
      <c r="I1224" s="6"/>
    </row>
    <row r="1225" spans="6:9" x14ac:dyDescent="0.35">
      <c r="F1225" s="12"/>
      <c r="I1225" s="6"/>
    </row>
    <row r="1226" spans="6:9" x14ac:dyDescent="0.35">
      <c r="F1226" s="12"/>
      <c r="I1226" s="6"/>
    </row>
    <row r="1227" spans="6:9" x14ac:dyDescent="0.35">
      <c r="F1227" s="12"/>
      <c r="I1227" s="6"/>
    </row>
    <row r="1228" spans="6:9" x14ac:dyDescent="0.35">
      <c r="F1228" s="12"/>
      <c r="I1228" s="6"/>
    </row>
    <row r="1229" spans="6:9" x14ac:dyDescent="0.35">
      <c r="F1229" s="12"/>
      <c r="I1229" s="6"/>
    </row>
    <row r="1230" spans="6:9" x14ac:dyDescent="0.35">
      <c r="F1230" s="12"/>
      <c r="I1230" s="6"/>
    </row>
    <row r="1231" spans="6:9" x14ac:dyDescent="0.35">
      <c r="F1231" s="12"/>
      <c r="I1231" s="6"/>
    </row>
    <row r="1232" spans="6:9" x14ac:dyDescent="0.35">
      <c r="F1232" s="12"/>
      <c r="I1232" s="6"/>
    </row>
    <row r="1233" spans="6:9" x14ac:dyDescent="0.35">
      <c r="F1233" s="12"/>
      <c r="I1233" s="6"/>
    </row>
    <row r="1234" spans="6:9" x14ac:dyDescent="0.35">
      <c r="F1234" s="12"/>
      <c r="I1234" s="6"/>
    </row>
    <row r="1235" spans="6:9" x14ac:dyDescent="0.35">
      <c r="F1235" s="12"/>
      <c r="I1235" s="6"/>
    </row>
    <row r="1236" spans="6:9" x14ac:dyDescent="0.35">
      <c r="F1236" s="12"/>
      <c r="I1236" s="6"/>
    </row>
    <row r="1237" spans="6:9" x14ac:dyDescent="0.35">
      <c r="F1237" s="12"/>
      <c r="I1237" s="6"/>
    </row>
    <row r="1238" spans="6:9" x14ac:dyDescent="0.35">
      <c r="F1238" s="12"/>
      <c r="I1238" s="6"/>
    </row>
    <row r="1239" spans="6:9" x14ac:dyDescent="0.35">
      <c r="F1239" s="12"/>
      <c r="I1239" s="6"/>
    </row>
    <row r="1240" spans="6:9" x14ac:dyDescent="0.35">
      <c r="F1240" s="12"/>
      <c r="I1240" s="6"/>
    </row>
    <row r="1241" spans="6:9" x14ac:dyDescent="0.35">
      <c r="F1241" s="12"/>
      <c r="I1241" s="6"/>
    </row>
    <row r="1242" spans="6:9" x14ac:dyDescent="0.35">
      <c r="F1242" s="12"/>
      <c r="I1242" s="6"/>
    </row>
    <row r="1243" spans="6:9" x14ac:dyDescent="0.35">
      <c r="F1243" s="12"/>
      <c r="I1243" s="6"/>
    </row>
    <row r="1244" spans="6:9" x14ac:dyDescent="0.35">
      <c r="F1244" s="12"/>
      <c r="I1244" s="6"/>
    </row>
    <row r="1245" spans="6:9" x14ac:dyDescent="0.35">
      <c r="F1245" s="12"/>
      <c r="I1245" s="6"/>
    </row>
    <row r="1246" spans="6:9" x14ac:dyDescent="0.35">
      <c r="F1246" s="12"/>
      <c r="I1246" s="6"/>
    </row>
    <row r="1247" spans="6:9" x14ac:dyDescent="0.35">
      <c r="F1247" s="12"/>
      <c r="I1247" s="6"/>
    </row>
    <row r="1248" spans="6:9" x14ac:dyDescent="0.35">
      <c r="F1248" s="12"/>
      <c r="I1248" s="6"/>
    </row>
    <row r="1249" spans="6:9" x14ac:dyDescent="0.35">
      <c r="F1249" s="12"/>
      <c r="I1249" s="6"/>
    </row>
    <row r="1250" spans="6:9" x14ac:dyDescent="0.35">
      <c r="F1250" s="12"/>
      <c r="I1250" s="6"/>
    </row>
    <row r="1251" spans="6:9" x14ac:dyDescent="0.35">
      <c r="F1251" s="12"/>
      <c r="I1251" s="6"/>
    </row>
    <row r="1252" spans="6:9" x14ac:dyDescent="0.35">
      <c r="F1252" s="12"/>
      <c r="I1252" s="6"/>
    </row>
    <row r="1253" spans="6:9" x14ac:dyDescent="0.35">
      <c r="F1253" s="12"/>
      <c r="I1253" s="6"/>
    </row>
    <row r="1254" spans="6:9" x14ac:dyDescent="0.35">
      <c r="F1254" s="12"/>
      <c r="I1254" s="6"/>
    </row>
    <row r="1255" spans="6:9" x14ac:dyDescent="0.35">
      <c r="F1255" s="12"/>
      <c r="I1255" s="6"/>
    </row>
    <row r="1256" spans="6:9" x14ac:dyDescent="0.35">
      <c r="F1256" s="12"/>
      <c r="I1256" s="6"/>
    </row>
    <row r="1257" spans="6:9" x14ac:dyDescent="0.35">
      <c r="F1257" s="12"/>
      <c r="I1257" s="6"/>
    </row>
    <row r="1258" spans="6:9" x14ac:dyDescent="0.35">
      <c r="F1258" s="12"/>
      <c r="I1258" s="6"/>
    </row>
    <row r="1259" spans="6:9" x14ac:dyDescent="0.35">
      <c r="F1259" s="12"/>
      <c r="I1259" s="6"/>
    </row>
    <row r="1260" spans="6:9" x14ac:dyDescent="0.35">
      <c r="F1260" s="12"/>
      <c r="I1260" s="6"/>
    </row>
    <row r="1261" spans="6:9" x14ac:dyDescent="0.35">
      <c r="F1261" s="12"/>
      <c r="I1261" s="6"/>
    </row>
    <row r="1262" spans="6:9" x14ac:dyDescent="0.35">
      <c r="F1262" s="12"/>
      <c r="I1262" s="6"/>
    </row>
    <row r="1263" spans="6:9" x14ac:dyDescent="0.35">
      <c r="F1263" s="12"/>
      <c r="I1263" s="6"/>
    </row>
    <row r="1264" spans="6:9" x14ac:dyDescent="0.35">
      <c r="F1264" s="12"/>
      <c r="I1264" s="6"/>
    </row>
  </sheetData>
  <autoFilter ref="A1:Y1" xr:uid="{B4425CDA-4DA2-495D-981F-938AB04B7F76}"/>
  <phoneticPr fontId="7" type="noConversion"/>
  <conditionalFormatting sqref="A2:A98">
    <cfRule type="duplicateValues" dxfId="165" priority="120"/>
  </conditionalFormatting>
  <conditionalFormatting sqref="A2:A241">
    <cfRule type="duplicateValues" dxfId="164" priority="121"/>
    <cfRule type="duplicateValues" dxfId="163" priority="118"/>
    <cfRule type="duplicateValues" dxfId="162" priority="117"/>
    <cfRule type="duplicateValues" dxfId="161" priority="122"/>
    <cfRule type="duplicateValues" dxfId="160" priority="123"/>
  </conditionalFormatting>
  <conditionalFormatting sqref="A2:A242">
    <cfRule type="duplicateValues" dxfId="159" priority="124"/>
    <cfRule type="duplicateValues" dxfId="158" priority="119"/>
  </conditionalFormatting>
  <conditionalFormatting sqref="A2:A290">
    <cfRule type="duplicateValues" dxfId="157" priority="116"/>
  </conditionalFormatting>
  <conditionalFormatting sqref="A3:A88">
    <cfRule type="duplicateValues" dxfId="156" priority="115"/>
  </conditionalFormatting>
  <conditionalFormatting sqref="A113:A115">
    <cfRule type="duplicateValues" dxfId="155" priority="114"/>
    <cfRule type="duplicateValues" dxfId="154" priority="113"/>
    <cfRule type="duplicateValues" dxfId="153" priority="112"/>
  </conditionalFormatting>
  <conditionalFormatting sqref="A113:A148">
    <cfRule type="duplicateValues" dxfId="152" priority="111"/>
  </conditionalFormatting>
  <conditionalFormatting sqref="A118">
    <cfRule type="duplicateValues" dxfId="151" priority="102"/>
    <cfRule type="duplicateValues" dxfId="150" priority="104"/>
    <cfRule type="duplicateValues" dxfId="149" priority="103"/>
  </conditionalFormatting>
  <conditionalFormatting sqref="A119">
    <cfRule type="duplicateValues" dxfId="148" priority="105"/>
    <cfRule type="duplicateValues" dxfId="147" priority="107"/>
    <cfRule type="duplicateValues" dxfId="146" priority="106"/>
  </conditionalFormatting>
  <conditionalFormatting sqref="A122">
    <cfRule type="duplicateValues" dxfId="145" priority="96"/>
    <cfRule type="duplicateValues" dxfId="144" priority="97"/>
    <cfRule type="duplicateValues" dxfId="143" priority="98"/>
  </conditionalFormatting>
  <conditionalFormatting sqref="A123">
    <cfRule type="duplicateValues" dxfId="142" priority="99"/>
    <cfRule type="duplicateValues" dxfId="141" priority="101"/>
    <cfRule type="duplicateValues" dxfId="140" priority="100"/>
  </conditionalFormatting>
  <conditionalFormatting sqref="A126">
    <cfRule type="duplicateValues" dxfId="139" priority="93"/>
    <cfRule type="duplicateValues" dxfId="138" priority="94"/>
    <cfRule type="duplicateValues" dxfId="137" priority="95"/>
  </conditionalFormatting>
  <conditionalFormatting sqref="A127 A124:A125 A116:A117 A120:A121">
    <cfRule type="duplicateValues" dxfId="136" priority="110"/>
    <cfRule type="duplicateValues" dxfId="135" priority="109"/>
    <cfRule type="duplicateValues" dxfId="134" priority="108"/>
  </conditionalFormatting>
  <conditionalFormatting sqref="A129">
    <cfRule type="duplicateValues" dxfId="133" priority="87"/>
    <cfRule type="duplicateValues" dxfId="132" priority="88"/>
    <cfRule type="duplicateValues" dxfId="131" priority="89"/>
  </conditionalFormatting>
  <conditionalFormatting sqref="A130:A134">
    <cfRule type="duplicateValues" dxfId="130" priority="90"/>
    <cfRule type="duplicateValues" dxfId="129" priority="91"/>
    <cfRule type="duplicateValues" dxfId="128" priority="92"/>
  </conditionalFormatting>
  <conditionalFormatting sqref="A149:A183">
    <cfRule type="duplicateValues" dxfId="127" priority="86"/>
  </conditionalFormatting>
  <conditionalFormatting sqref="A243">
    <cfRule type="duplicateValues" dxfId="126" priority="80"/>
    <cfRule type="duplicateValues" dxfId="125" priority="81"/>
    <cfRule type="duplicateValues" dxfId="124" priority="82"/>
  </conditionalFormatting>
  <conditionalFormatting sqref="A243:A290">
    <cfRule type="duplicateValues" dxfId="123" priority="83"/>
    <cfRule type="duplicateValues" dxfId="122" priority="79"/>
    <cfRule type="duplicateValues" dxfId="121" priority="85"/>
    <cfRule type="duplicateValues" dxfId="120" priority="84"/>
  </conditionalFormatting>
  <conditionalFormatting sqref="A244:A275">
    <cfRule type="duplicateValues" dxfId="119" priority="78"/>
    <cfRule type="duplicateValues" dxfId="118" priority="77"/>
  </conditionalFormatting>
  <conditionalFormatting sqref="A244:A290">
    <cfRule type="duplicateValues" dxfId="117" priority="76"/>
    <cfRule type="duplicateValues" dxfId="116" priority="75"/>
  </conditionalFormatting>
  <conditionalFormatting sqref="A276">
    <cfRule type="duplicateValues" dxfId="115" priority="67"/>
    <cfRule type="duplicateValues" dxfId="114" priority="66"/>
    <cfRule type="duplicateValues" dxfId="113" priority="65"/>
  </conditionalFormatting>
  <conditionalFormatting sqref="A276:A279">
    <cfRule type="duplicateValues" dxfId="112" priority="74"/>
  </conditionalFormatting>
  <conditionalFormatting sqref="A277:A278">
    <cfRule type="duplicateValues" dxfId="111" priority="70"/>
    <cfRule type="duplicateValues" dxfId="110" priority="69"/>
    <cfRule type="duplicateValues" dxfId="109" priority="68"/>
  </conditionalFormatting>
  <conditionalFormatting sqref="A279">
    <cfRule type="duplicateValues" dxfId="108" priority="73"/>
    <cfRule type="duplicateValues" dxfId="107" priority="72"/>
    <cfRule type="duplicateValues" dxfId="106" priority="71"/>
  </conditionalFormatting>
  <conditionalFormatting sqref="A280">
    <cfRule type="duplicateValues" dxfId="105" priority="64"/>
  </conditionalFormatting>
  <conditionalFormatting sqref="A301:A306">
    <cfRule type="duplicateValues" dxfId="104" priority="144"/>
    <cfRule type="duplicateValues" dxfId="103" priority="145"/>
  </conditionalFormatting>
  <conditionalFormatting sqref="A301:A328">
    <cfRule type="duplicateValues" dxfId="102" priority="198"/>
    <cfRule type="duplicateValues" dxfId="101" priority="152"/>
    <cfRule type="duplicateValues" dxfId="100" priority="150"/>
    <cfRule type="duplicateValues" dxfId="99" priority="151"/>
    <cfRule type="duplicateValues" dxfId="98" priority="146"/>
  </conditionalFormatting>
  <conditionalFormatting sqref="A307">
    <cfRule type="duplicateValues" dxfId="97" priority="132"/>
    <cfRule type="duplicateValues" dxfId="96" priority="133"/>
    <cfRule type="duplicateValues" dxfId="95" priority="134"/>
  </conditionalFormatting>
  <conditionalFormatting sqref="A308:A309">
    <cfRule type="duplicateValues" dxfId="94" priority="135"/>
    <cfRule type="duplicateValues" dxfId="93" priority="136"/>
    <cfRule type="duplicateValues" dxfId="92" priority="137"/>
  </conditionalFormatting>
  <conditionalFormatting sqref="A310">
    <cfRule type="duplicateValues" dxfId="91" priority="138"/>
    <cfRule type="duplicateValues" dxfId="90" priority="139"/>
    <cfRule type="duplicateValues" dxfId="89" priority="140"/>
  </conditionalFormatting>
  <conditionalFormatting sqref="A311">
    <cfRule type="duplicateValues" dxfId="88" priority="127"/>
    <cfRule type="duplicateValues" dxfId="87" priority="126"/>
    <cfRule type="duplicateValues" dxfId="86" priority="128"/>
  </conditionalFormatting>
  <conditionalFormatting sqref="A313 A307:A311">
    <cfRule type="duplicateValues" dxfId="85" priority="141"/>
  </conditionalFormatting>
  <conditionalFormatting sqref="A313">
    <cfRule type="duplicateValues" dxfId="84" priority="129"/>
    <cfRule type="duplicateValues" dxfId="83" priority="130"/>
    <cfRule type="duplicateValues" dxfId="82" priority="131"/>
  </conditionalFormatting>
  <conditionalFormatting sqref="A313:A328 A301:A311">
    <cfRule type="duplicateValues" dxfId="81" priority="142"/>
    <cfRule type="duplicateValues" dxfId="80" priority="143"/>
  </conditionalFormatting>
  <conditionalFormatting sqref="A314">
    <cfRule type="duplicateValues" dxfId="79" priority="125"/>
  </conditionalFormatting>
  <conditionalFormatting sqref="A339">
    <cfRule type="duplicateValues" dxfId="78" priority="342"/>
    <cfRule type="duplicateValues" dxfId="77" priority="341"/>
    <cfRule type="duplicateValues" dxfId="76" priority="345"/>
  </conditionalFormatting>
  <conditionalFormatting sqref="A339:A340">
    <cfRule type="duplicateValues" dxfId="75" priority="343"/>
  </conditionalFormatting>
  <conditionalFormatting sqref="A345">
    <cfRule type="duplicateValues" dxfId="74" priority="274"/>
    <cfRule type="duplicateValues" dxfId="73" priority="273"/>
  </conditionalFormatting>
  <conditionalFormatting sqref="A345:A491">
    <cfRule type="duplicateValues" dxfId="72" priority="272"/>
  </conditionalFormatting>
  <conditionalFormatting sqref="A346:A348">
    <cfRule type="duplicateValues" dxfId="71" priority="275"/>
    <cfRule type="duplicateValues" dxfId="70" priority="276"/>
  </conditionalFormatting>
  <conditionalFormatting sqref="A349">
    <cfRule type="duplicateValues" dxfId="69" priority="269"/>
    <cfRule type="duplicateValues" dxfId="68" priority="271"/>
    <cfRule type="duplicateValues" dxfId="67" priority="270"/>
  </conditionalFormatting>
  <conditionalFormatting sqref="A381">
    <cfRule type="duplicateValues" dxfId="66" priority="222"/>
    <cfRule type="duplicateValues" dxfId="65" priority="220"/>
    <cfRule type="duplicateValues" dxfId="64" priority="221"/>
  </conditionalFormatting>
  <conditionalFormatting sqref="A382">
    <cfRule type="duplicateValues" dxfId="63" priority="223"/>
    <cfRule type="duplicateValues" dxfId="62" priority="224"/>
    <cfRule type="duplicateValues" dxfId="61" priority="225"/>
  </conditionalFormatting>
  <conditionalFormatting sqref="A383">
    <cfRule type="duplicateValues" dxfId="60" priority="226"/>
    <cfRule type="duplicateValues" dxfId="59" priority="227"/>
    <cfRule type="duplicateValues" dxfId="58" priority="228"/>
  </conditionalFormatting>
  <conditionalFormatting sqref="A383:A491 A345:A380">
    <cfRule type="duplicateValues" dxfId="57" priority="279"/>
    <cfRule type="duplicateValues" dxfId="56" priority="277"/>
    <cfRule type="duplicateValues" dxfId="55" priority="278"/>
  </conditionalFormatting>
  <conditionalFormatting sqref="A384">
    <cfRule type="duplicateValues" dxfId="54" priority="229"/>
    <cfRule type="duplicateValues" dxfId="53" priority="230"/>
    <cfRule type="duplicateValues" dxfId="52" priority="231"/>
  </conditionalFormatting>
  <conditionalFormatting sqref="A385">
    <cfRule type="duplicateValues" dxfId="51" priority="232"/>
    <cfRule type="duplicateValues" dxfId="50" priority="233"/>
    <cfRule type="duplicateValues" dxfId="49" priority="234"/>
  </conditionalFormatting>
  <conditionalFormatting sqref="A386">
    <cfRule type="duplicateValues" dxfId="48" priority="235"/>
    <cfRule type="duplicateValues" dxfId="47" priority="236"/>
    <cfRule type="duplicateValues" dxfId="46" priority="237"/>
  </conditionalFormatting>
  <conditionalFormatting sqref="A387:A434 A350:A380">
    <cfRule type="duplicateValues" dxfId="45" priority="238"/>
  </conditionalFormatting>
  <conditionalFormatting sqref="A387:A435 A350:A380">
    <cfRule type="duplicateValues" dxfId="44" priority="239"/>
  </conditionalFormatting>
  <conditionalFormatting sqref="A436">
    <cfRule type="duplicateValues" dxfId="43" priority="240"/>
    <cfRule type="duplicateValues" dxfId="42" priority="241"/>
    <cfRule type="duplicateValues" dxfId="41" priority="242"/>
  </conditionalFormatting>
  <conditionalFormatting sqref="A437:A438">
    <cfRule type="duplicateValues" dxfId="40" priority="245"/>
    <cfRule type="duplicateValues" dxfId="39" priority="243"/>
    <cfRule type="duplicateValues" dxfId="38" priority="244"/>
  </conditionalFormatting>
  <conditionalFormatting sqref="A439:A440">
    <cfRule type="duplicateValues" dxfId="37" priority="248"/>
    <cfRule type="duplicateValues" dxfId="36" priority="246"/>
    <cfRule type="duplicateValues" dxfId="35" priority="247"/>
  </conditionalFormatting>
  <conditionalFormatting sqref="A441:A442">
    <cfRule type="duplicateValues" dxfId="34" priority="249"/>
    <cfRule type="duplicateValues" dxfId="33" priority="250"/>
    <cfRule type="duplicateValues" dxfId="32" priority="251"/>
  </conditionalFormatting>
  <conditionalFormatting sqref="A445:A446 A449">
    <cfRule type="duplicateValues" dxfId="31" priority="252"/>
    <cfRule type="duplicateValues" dxfId="30" priority="253"/>
    <cfRule type="duplicateValues" dxfId="29" priority="254"/>
  </conditionalFormatting>
  <conditionalFormatting sqref="A447">
    <cfRule type="duplicateValues" dxfId="28" priority="255"/>
    <cfRule type="duplicateValues" dxfId="27" priority="256"/>
    <cfRule type="duplicateValues" dxfId="26" priority="257"/>
  </conditionalFormatting>
  <conditionalFormatting sqref="A448">
    <cfRule type="duplicateValues" dxfId="25" priority="258"/>
    <cfRule type="duplicateValues" dxfId="24" priority="259"/>
    <cfRule type="duplicateValues" dxfId="23" priority="260"/>
  </conditionalFormatting>
  <conditionalFormatting sqref="A451">
    <cfRule type="duplicateValues" dxfId="22" priority="261"/>
    <cfRule type="duplicateValues" dxfId="21" priority="262"/>
    <cfRule type="duplicateValues" dxfId="20" priority="263"/>
  </conditionalFormatting>
  <conditionalFormatting sqref="A453 A451 A436:A449">
    <cfRule type="duplicateValues" dxfId="19" priority="264"/>
  </conditionalFormatting>
  <conditionalFormatting sqref="A453">
    <cfRule type="duplicateValues" dxfId="18" priority="267"/>
    <cfRule type="duplicateValues" dxfId="17" priority="265"/>
    <cfRule type="duplicateValues" dxfId="16" priority="266"/>
  </conditionalFormatting>
  <conditionalFormatting sqref="A453:A491 A451 A387:A449 A350:A380">
    <cfRule type="duplicateValues" dxfId="15" priority="218"/>
    <cfRule type="duplicateValues" dxfId="14" priority="219"/>
  </conditionalFormatting>
  <conditionalFormatting sqref="A454:A476">
    <cfRule type="duplicateValues" dxfId="13" priority="268"/>
  </conditionalFormatting>
  <conditionalFormatting sqref="A502:A510 A339:A340">
    <cfRule type="duplicateValues" dxfId="12" priority="348"/>
  </conditionalFormatting>
  <conditionalFormatting sqref="A502:A510 A339:A491">
    <cfRule type="duplicateValues" dxfId="11" priority="340"/>
  </conditionalFormatting>
  <conditionalFormatting sqref="A511">
    <cfRule type="duplicateValues" dxfId="10" priority="217"/>
    <cfRule type="duplicateValues" dxfId="9" priority="216"/>
    <cfRule type="duplicateValues" dxfId="8" priority="215"/>
    <cfRule type="duplicateValues" dxfId="7" priority="214"/>
    <cfRule type="duplicateValues" dxfId="6" priority="213"/>
    <cfRule type="duplicateValues" dxfId="5" priority="212"/>
    <cfRule type="duplicateValues" dxfId="4" priority="211"/>
    <cfRule type="duplicateValues" dxfId="3" priority="209"/>
    <cfRule type="duplicateValues" dxfId="2" priority="208"/>
    <cfRule type="duplicateValues" dxfId="1" priority="207"/>
    <cfRule type="duplicateValues" dxfId="0" priority="2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M3</vt:lpstr>
      <vt:lpstr>Sheet1</vt:lpstr>
      <vt:lpstr>M2</vt:lpstr>
      <vt:lpstr>M1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nandanamp14@gmail.com</dc:creator>
  <cp:lastModifiedBy>nandanamp14@gmail.com</cp:lastModifiedBy>
  <dcterms:created xsi:type="dcterms:W3CDTF">2025-12-29T10:41:57Z</dcterms:created>
  <dcterms:modified xsi:type="dcterms:W3CDTF">2026-03-18T12:44:43Z</dcterms:modified>
</cp:coreProperties>
</file>